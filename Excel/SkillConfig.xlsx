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08A707A0-6ED9-4934-9238-5B459B371532}"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SkillProto!$BA$1:$BA$2344</definedName>
  </definedNames>
  <calcPr calcId="191029"/>
</workbook>
</file>

<file path=xl/calcChain.xml><?xml version="1.0" encoding="utf-8"?>
<calcChain xmlns="http://schemas.openxmlformats.org/spreadsheetml/2006/main">
  <c r="BE1724" i="1" l="1"/>
  <c r="BE1725" i="1"/>
  <c r="BE1726" i="1"/>
  <c r="BE1727" i="1"/>
  <c r="BE1728" i="1"/>
  <c r="BE1729" i="1"/>
  <c r="BE1730" i="1"/>
  <c r="BE1731" i="1"/>
  <c r="BE1732" i="1"/>
  <c r="BE1733" i="1"/>
  <c r="BE1734" i="1"/>
  <c r="BE1723" i="1"/>
  <c r="BE1247" i="1"/>
  <c r="BE1248" i="1"/>
  <c r="BE1245" i="1"/>
  <c r="BE2344" i="1"/>
  <c r="BE2202" i="1"/>
  <c r="BE2199" i="1"/>
  <c r="BE2193" i="1"/>
  <c r="BE2192" i="1"/>
  <c r="BE2191" i="1"/>
  <c r="H2191" i="1"/>
  <c r="J2174" i="1"/>
  <c r="BE2152" i="1"/>
  <c r="H1788" i="1"/>
  <c r="H1787" i="1"/>
  <c r="H1786" i="1"/>
  <c r="H1785" i="1"/>
  <c r="H1784" i="1"/>
  <c r="H1783" i="1"/>
  <c r="H1782" i="1"/>
  <c r="H1781" i="1"/>
  <c r="H1780" i="1"/>
  <c r="H1779" i="1"/>
  <c r="H1777" i="1"/>
  <c r="H1776" i="1"/>
  <c r="H1775" i="1"/>
  <c r="H1774" i="1"/>
  <c r="H1773" i="1"/>
  <c r="H1772" i="1"/>
  <c r="H1771" i="1"/>
  <c r="H1770" i="1"/>
  <c r="H1769" i="1"/>
  <c r="H1768" i="1"/>
  <c r="H1766" i="1"/>
  <c r="H1765" i="1"/>
  <c r="H1764" i="1"/>
  <c r="H1763" i="1"/>
  <c r="H1762" i="1"/>
  <c r="H1761" i="1"/>
  <c r="H1760" i="1"/>
  <c r="H1759" i="1"/>
  <c r="H1758" i="1"/>
  <c r="H1757" i="1"/>
  <c r="H1755" i="1"/>
  <c r="H1754" i="1"/>
  <c r="H1753" i="1"/>
  <c r="H1752" i="1"/>
  <c r="H1751" i="1"/>
  <c r="H1750" i="1"/>
  <c r="H1749" i="1"/>
  <c r="H1748" i="1"/>
  <c r="H1747" i="1"/>
  <c r="H1746" i="1"/>
  <c r="AL1500" i="1"/>
  <c r="BE1415" i="1"/>
  <c r="BE1414" i="1"/>
  <c r="BE1323" i="1"/>
  <c r="BE1322" i="1"/>
  <c r="BE1317" i="1"/>
  <c r="BE1312" i="1"/>
  <c r="BE1297" i="1"/>
  <c r="BE1295" i="1"/>
  <c r="BE1288" i="1"/>
  <c r="BE1287" i="1"/>
  <c r="BE1271" i="1"/>
  <c r="BE1255" i="1"/>
  <c r="BE1239" i="1"/>
  <c r="BE1230" i="1"/>
  <c r="BE1229" i="1"/>
  <c r="BE1228" i="1"/>
  <c r="BE1227" i="1"/>
  <c r="BE1226" i="1"/>
  <c r="BE1225" i="1"/>
  <c r="BE1224" i="1"/>
  <c r="BE1223" i="1"/>
  <c r="BE1222" i="1"/>
  <c r="BE1221" i="1"/>
  <c r="BE1220" i="1"/>
  <c r="BE1219"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533" i="1" s="1"/>
  <c r="BE1134" i="1"/>
  <c r="BE532" i="1" s="1"/>
  <c r="BE1133" i="1"/>
  <c r="BE531" i="1" s="1"/>
  <c r="BE1132" i="1"/>
  <c r="BE530" i="1" s="1"/>
  <c r="BE1131" i="1"/>
  <c r="BE1130" i="1"/>
  <c r="BE1129" i="1"/>
  <c r="BE1128" i="1"/>
  <c r="BE1127" i="1"/>
  <c r="BE1126" i="1"/>
  <c r="BE1125" i="1"/>
  <c r="BE1124" i="1"/>
  <c r="BE1123" i="1"/>
  <c r="BE521" i="1" s="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1006" i="1"/>
  <c r="BE517" i="1" s="1"/>
  <c r="BE1005" i="1"/>
  <c r="BE516" i="1" s="1"/>
  <c r="BE1004" i="1"/>
  <c r="BE1003" i="1"/>
  <c r="BE1002" i="1"/>
  <c r="BE1001" i="1"/>
  <c r="BE1000" i="1"/>
  <c r="BE999" i="1"/>
  <c r="BE998" i="1"/>
  <c r="BE997" i="1"/>
  <c r="BE996" i="1"/>
  <c r="BE507" i="1" s="1"/>
  <c r="BE995" i="1"/>
  <c r="BE994" i="1"/>
  <c r="BE993" i="1"/>
  <c r="BE504" i="1" s="1"/>
  <c r="BE992" i="1"/>
  <c r="BE991" i="1"/>
  <c r="BE990" i="1"/>
  <c r="BE976" i="1"/>
  <c r="BE975" i="1"/>
  <c r="BE512" i="1" s="1"/>
  <c r="BE974" i="1"/>
  <c r="BE973" i="1"/>
  <c r="BE972" i="1"/>
  <c r="BE971" i="1"/>
  <c r="BE970" i="1"/>
  <c r="BE969" i="1"/>
  <c r="BE506" i="1" s="1"/>
  <c r="BE968" i="1"/>
  <c r="BE505" i="1" s="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BE496" i="1" s="1"/>
  <c r="H861" i="1"/>
  <c r="BE860" i="1"/>
  <c r="BE859" i="1"/>
  <c r="BE858" i="1"/>
  <c r="BE857" i="1"/>
  <c r="BE492" i="1" s="1"/>
  <c r="H857" i="1"/>
  <c r="BE856" i="1"/>
  <c r="BE491" i="1" s="1"/>
  <c r="H856" i="1"/>
  <c r="BE855" i="1"/>
  <c r="BE490" i="1" s="1"/>
  <c r="H855" i="1"/>
  <c r="H851" i="1"/>
  <c r="H850" i="1"/>
  <c r="H849" i="1"/>
  <c r="H838" i="1"/>
  <c r="H837" i="1"/>
  <c r="H836" i="1"/>
  <c r="BE835" i="1"/>
  <c r="BE489" i="1" s="1"/>
  <c r="BE834" i="1"/>
  <c r="BE488" i="1" s="1"/>
  <c r="BE833" i="1"/>
  <c r="BE487" i="1" s="1"/>
  <c r="BE832" i="1"/>
  <c r="H832" i="1"/>
  <c r="BE831" i="1"/>
  <c r="H831" i="1"/>
  <c r="BE830" i="1"/>
  <c r="H830" i="1"/>
  <c r="BE829" i="1"/>
  <c r="BE828" i="1"/>
  <c r="BE827" i="1"/>
  <c r="BE826" i="1"/>
  <c r="H826" i="1"/>
  <c r="BE825" i="1"/>
  <c r="BE485" i="1" s="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483" i="1" s="1"/>
  <c r="BE722" i="1"/>
  <c r="BE721" i="1"/>
  <c r="BE720" i="1"/>
  <c r="H720" i="1"/>
  <c r="BE719" i="1"/>
  <c r="H719" i="1"/>
  <c r="BE718" i="1"/>
  <c r="H718" i="1"/>
  <c r="BE717" i="1"/>
  <c r="BE716" i="1"/>
  <c r="BE715" i="1"/>
  <c r="BE714" i="1"/>
  <c r="BE480" i="1" s="1"/>
  <c r="H714" i="1"/>
  <c r="BE713" i="1"/>
  <c r="H713" i="1"/>
  <c r="BE712" i="1"/>
  <c r="H712" i="1"/>
  <c r="BE711" i="1"/>
  <c r="BE710" i="1"/>
  <c r="BE709" i="1"/>
  <c r="BE708" i="1"/>
  <c r="H708" i="1"/>
  <c r="BE707" i="1"/>
  <c r="H707" i="1"/>
  <c r="BE706" i="1"/>
  <c r="H706" i="1"/>
  <c r="BE705" i="1"/>
  <c r="BE704" i="1"/>
  <c r="BE703" i="1"/>
  <c r="BE475" i="1" s="1"/>
  <c r="BE702" i="1"/>
  <c r="H702" i="1"/>
  <c r="BE701" i="1"/>
  <c r="H701" i="1"/>
  <c r="BE700" i="1"/>
  <c r="H700" i="1"/>
  <c r="BE699" i="1"/>
  <c r="BE471" i="1" s="1"/>
  <c r="BE698" i="1"/>
  <c r="BE697" i="1"/>
  <c r="BE696" i="1"/>
  <c r="H696" i="1"/>
  <c r="BE695" i="1"/>
  <c r="H695" i="1"/>
  <c r="BE694" i="1"/>
  <c r="H694" i="1"/>
  <c r="BE693" i="1"/>
  <c r="BE692" i="1"/>
  <c r="BE691" i="1"/>
  <c r="BE690" i="1"/>
  <c r="BE468" i="1" s="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465" i="1" s="1"/>
  <c r="BE593" i="1"/>
  <c r="BE592" i="1"/>
  <c r="BE463" i="1" s="1"/>
  <c r="BE591" i="1"/>
  <c r="BE462" i="1" s="1"/>
  <c r="BE590" i="1"/>
  <c r="BE589" i="1"/>
  <c r="BE588" i="1"/>
  <c r="BE587" i="1"/>
  <c r="BE586" i="1"/>
  <c r="BE585" i="1"/>
  <c r="BE584" i="1"/>
  <c r="BE583" i="1"/>
  <c r="BE582" i="1"/>
  <c r="BE453" i="1" s="1"/>
  <c r="BE581" i="1"/>
  <c r="BE580" i="1"/>
  <c r="BE579" i="1"/>
  <c r="BE450" i="1" s="1"/>
  <c r="BE578" i="1"/>
  <c r="BE577" i="1"/>
  <c r="BE576" i="1"/>
  <c r="BE575" i="1"/>
  <c r="BE574" i="1"/>
  <c r="BE573" i="1"/>
  <c r="BE572" i="1"/>
  <c r="BE571" i="1"/>
  <c r="BE570" i="1"/>
  <c r="BE459" i="1" s="1"/>
  <c r="BE569" i="1"/>
  <c r="BE568" i="1"/>
  <c r="BE457" i="1" s="1"/>
  <c r="BE567" i="1"/>
  <c r="BE456" i="1" s="1"/>
  <c r="BE566" i="1"/>
  <c r="BE565" i="1"/>
  <c r="BE564" i="1"/>
  <c r="BE563" i="1"/>
  <c r="BE562" i="1"/>
  <c r="BE561" i="1"/>
  <c r="BE560" i="1"/>
  <c r="BE559" i="1"/>
  <c r="BE537" i="1"/>
  <c r="BE536" i="1"/>
  <c r="BE535" i="1"/>
  <c r="BE534" i="1"/>
  <c r="BE529" i="1"/>
  <c r="BE528" i="1"/>
  <c r="BE518" i="1"/>
  <c r="BE515" i="1"/>
  <c r="BE514" i="1"/>
  <c r="BE513" i="1"/>
  <c r="BE503" i="1"/>
  <c r="BE502" i="1"/>
  <c r="BE497" i="1"/>
  <c r="BE495" i="1"/>
  <c r="BE494" i="1"/>
  <c r="BE493" i="1"/>
  <c r="BE477" i="1"/>
  <c r="BE474" i="1"/>
  <c r="BE473" i="1"/>
  <c r="BE380" i="1"/>
  <c r="BE93" i="1"/>
  <c r="J93" i="1"/>
  <c r="H93" i="1"/>
  <c r="H84" i="1"/>
  <c r="BE511" i="1" l="1"/>
  <c r="BE523" i="1"/>
  <c r="BE522" i="1"/>
  <c r="BE498" i="1"/>
  <c r="BE499" i="1"/>
  <c r="BE527" i="1"/>
  <c r="BE466" i="1"/>
  <c r="BE476" i="1"/>
  <c r="BE467" i="1"/>
  <c r="BE479" i="1"/>
  <c r="BE484" i="1"/>
  <c r="BE458" i="1"/>
  <c r="BE452" i="1"/>
  <c r="BE464" i="1"/>
  <c r="BE526" i="1"/>
  <c r="BE469" i="1"/>
  <c r="BE481" i="1"/>
  <c r="BE478" i="1"/>
  <c r="BE524" i="1"/>
  <c r="BE508" i="1"/>
  <c r="BE448" i="1"/>
  <c r="BE460" i="1"/>
  <c r="BE454" i="1"/>
  <c r="BE455" i="1"/>
  <c r="BE461" i="1"/>
  <c r="BE449" i="1"/>
  <c r="BE510" i="1"/>
  <c r="BE509" i="1"/>
  <c r="BE525" i="1"/>
  <c r="BE482" i="1"/>
  <c r="BE470" i="1"/>
  <c r="BE486" i="1"/>
  <c r="BE472" i="1"/>
  <c r="BE501" i="1"/>
  <c r="BE451" i="1"/>
  <c r="BE5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<sst xmlns="http://schemas.openxmlformats.org/spreadsheetml/2006/main" count="18286" uniqueCount="5484">
  <si>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</si>
  <si>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</si>
  <si>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</si>
  <si>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</si>
  <si>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</si>
  <si>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</si>
  <si>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</si>
  <si>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</si>
  <si>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</si>
  <si>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</si>
  <si>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</si>
  <si>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</si>
  <si>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</si>
  <si>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</si>
  <si>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</si>
  <si>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</si>
  <si>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</si>
  <si>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</si>
  <si>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</si>
  <si>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</si>
  <si>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</si>
  <si>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</si>
  <si>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</si>
  <si>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</si>
  <si>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</si>
  <si>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</si>
  <si>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</si>
  <si>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</si>
  <si>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</si>
  <si>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</si>
  <si>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</si>
  <si>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</si>
  <si>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</si>
  <si>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</si>
  <si>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</si>
  <si>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</si>
  <si>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</si>
  <si>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</si>
  <si>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</si>
  <si>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</si>
  <si>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</si>
  <si>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</si>
  <si>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</si>
  <si>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</si>
  <si>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</si>
  <si>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</si>
  <si>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</si>
  <si>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</si>
  <si>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</si>
  <si>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</si>
  <si>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</si>
  <si>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</si>
  <si>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</si>
  <si>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</si>
  <si>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</si>
  <si>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</si>
  <si>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</si>
  <si>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</si>
  <si>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</si>
  <si>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</si>
  <si>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</si>
  <si>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</si>
  <si>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</si>
  <si>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</si>
  <si>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</si>
  <si>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</si>
  <si>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</si>
  <si>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</si>
  <si>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</si>
  <si>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</si>
  <si>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</si>
  <si>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</si>
  <si>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</si>
  <si>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</si>
  <si>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</si>
  <si>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</si>
  <si>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</si>
  <si>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</si>
  <si>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</si>
  <si>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</si>
  <si>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</si>
  <si>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</si>
  <si>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</si>
  <si>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</si>
  <si>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</si>
  <si>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</si>
  <si>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</si>
  <si>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</si>
  <si>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</si>
  <si>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</si>
  <si>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</si>
  <si>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</si>
  <si>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</si>
  <si>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</si>
  <si>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</si>
  <si>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</si>
  <si>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</si>
  <si>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</si>
  <si>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</si>
  <si>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</si>
  <si>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</si>
  <si>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</si>
  <si>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</si>
  <si>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</si>
  <si>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</si>
  <si>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</si>
  <si>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</si>
  <si>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</si>
  <si>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</si>
  <si>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</si>
  <si>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</si>
  <si>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</si>
  <si>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</si>
  <si>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</si>
  <si>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</si>
  <si>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</si>
  <si>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</si>
  <si>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</si>
  <si>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</si>
  <si>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</si>
  <si>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</si>
  <si>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</si>
  <si>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</si>
  <si>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</si>
  <si>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</si>
  <si>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</si>
  <si>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</si>
  <si>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</si>
  <si>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</si>
  <si>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</si>
  <si>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</si>
  <si>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</si>
  <si>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</si>
  <si>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</si>
  <si>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</si>
  <si>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</si>
  <si>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</si>
  <si>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</si>
  <si>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</si>
  <si>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</si>
  <si>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</si>
  <si>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</si>
  <si>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</si>
  <si>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</si>
  <si>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</si>
  <si>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</si>
  <si>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</si>
  <si>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</si>
  <si>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</si>
  <si>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</si>
  <si>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</si>
  <si>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</si>
  <si>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</si>
  <si>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</si>
  <si>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</si>
  <si>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</si>
  <si>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</si>
  <si>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</si>
  <si>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</si>
  <si>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</si>
  <si>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</si>
  <si>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</si>
  <si>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</si>
  <si>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</si>
  <si>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</si>
  <si>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</si>
  <si>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</si>
  <si>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</si>
  <si>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</si>
  <si>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</si>
  <si>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</si>
  <si>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</si>
  <si>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</si>
  <si>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</si>
  <si>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</si>
  <si>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</si>
  <si>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</si>
  <si>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</si>
  <si>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</si>
  <si>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</si>
  <si>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</si>
  <si>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</si>
  <si>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</si>
  <si>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</si>
  <si>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</si>
  <si>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</si>
  <si>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</si>
  <si>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</si>
  <si>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</si>
  <si>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</si>
  <si>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</si>
  <si>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</si>
  <si>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</si>
  <si>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</si>
  <si>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</si>
  <si>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</si>
  <si>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</si>
  <si>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</si>
  <si>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</si>
  <si>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</si>
  <si>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</si>
  <si>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</si>
  <si>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</si>
  <si>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</si>
  <si>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</si>
  <si>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</si>
  <si>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</si>
  <si>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</si>
  <si>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</si>
  <si>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</si>
  <si>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</si>
  <si>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</si>
  <si>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</si>
  <si>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</si>
  <si>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</si>
  <si>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</si>
  <si>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</si>
  <si>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</si>
  <si>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</si>
  <si>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</si>
  <si>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</si>
  <si>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</si>
  <si>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</si>
  <si>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</si>
  <si>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</si>
  <si>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</si>
  <si>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</si>
  <si>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</si>
  <si>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</si>
  <si>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</si>
  <si>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</si>
  <si>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</si>
  <si>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</si>
  <si>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</si>
  <si>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</si>
  <si>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</si>
  <si>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</si>
  <si>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</si>
  <si>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</si>
  <si>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</si>
  <si>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</si>
  <si>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</si>
  <si>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</si>
  <si>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</si>
  <si>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</si>
  <si>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</si>
  <si>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</si>
  <si>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</si>
  <si>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</si>
  <si>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</si>
  <si>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</si>
  <si>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</si>
  <si>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</si>
  <si>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</si>
  <si>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</si>
  <si>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</si>
  <si>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</si>
  <si>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</si>
  <si>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</si>
  <si>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</si>
  <si>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</si>
  <si>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</si>
  <si>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</si>
  <si>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</si>
  <si>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</si>
  <si>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</si>
  <si>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</si>
  <si>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</si>
  <si>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</si>
  <si>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</si>
  <si>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</si>
  <si>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</si>
  <si>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</si>
  <si>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</si>
  <si>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</si>
  <si>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</si>
  <si>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</si>
  <si>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</si>
  <si>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</si>
  <si>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</si>
  <si>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</si>
  <si>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</si>
  <si>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</si>
  <si>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</si>
  <si>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</si>
  <si>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</si>
  <si>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</si>
  <si>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</si>
  <si>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</si>
  <si>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</si>
  <si>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</si>
  <si>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</si>
  <si>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</si>
  <si>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</si>
  <si>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</si>
  <si>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</si>
  <si>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</si>
  <si>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</si>
  <si>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</si>
  <si>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</si>
  <si>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</si>
  <si>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</si>
  <si>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</si>
  <si>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</si>
  <si>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</si>
  <si>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</si>
  <si>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</si>
  <si>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</si>
  <si>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</si>
  <si>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</si>
  <si>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</si>
  <si>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</si>
  <si>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</si>
  <si>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</si>
  <si>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</si>
  <si>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</si>
  <si>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</si>
  <si>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</si>
  <si>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</si>
  <si>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</si>
  <si>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</si>
  <si>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</si>
  <si>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</si>
  <si>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</si>
  <si>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</si>
  <si>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</si>
  <si>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</si>
  <si>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</si>
  <si>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</si>
  <si>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</si>
  <si>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</si>
  <si>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</si>
  <si>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</si>
  <si>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</si>
  <si>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</si>
  <si>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</si>
  <si>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</si>
  <si>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</si>
  <si>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</si>
  <si>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</si>
  <si>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</si>
  <si>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</si>
  <si>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</si>
  <si>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</si>
  <si>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</si>
  <si>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</si>
  <si>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</si>
  <si>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</si>
  <si>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</si>
  <si>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</si>
  <si>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</si>
  <si>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</si>
  <si>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</si>
  <si>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</si>
  <si>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</si>
  <si>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</si>
  <si>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</si>
  <si>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</si>
  <si>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</si>
  <si>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</si>
  <si>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</si>
  <si>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</si>
  <si>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</si>
  <si>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</si>
  <si>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</si>
  <si>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</si>
  <si>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</si>
  <si>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</si>
  <si>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</si>
  <si>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</si>
  <si>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</si>
  <si>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</si>
  <si>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</si>
  <si>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</si>
  <si>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</si>
  <si>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</si>
  <si>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</si>
  <si>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</si>
  <si>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</si>
  <si>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</si>
  <si>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</si>
  <si>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</si>
  <si>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</si>
  <si>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</si>
  <si>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</si>
  <si>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</si>
  <si>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</si>
  <si>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</si>
  <si>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</si>
  <si>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</si>
  <si>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</si>
  <si>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</si>
  <si>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</si>
  <si>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</si>
  <si>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</si>
  <si>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</si>
  <si>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</si>
  <si>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</si>
  <si>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</si>
  <si>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</si>
  <si>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</si>
  <si>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</si>
  <si>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</si>
  <si>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</si>
  <si>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</si>
  <si>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</si>
  <si>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</si>
  <si>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</si>
  <si>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</si>
  <si>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</si>
  <si>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</si>
  <si>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</si>
  <si>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</si>
  <si>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</si>
  <si>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</si>
  <si>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</si>
  <si>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</si>
  <si>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</si>
  <si>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</si>
  <si>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</si>
  <si>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</si>
  <si>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</si>
  <si>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</si>
  <si>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</si>
  <si>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</si>
  <si>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</si>
  <si>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</si>
  <si>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</si>
  <si>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</si>
  <si>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</si>
  <si>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</si>
  <si>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</si>
  <si>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</si>
  <si>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</si>
  <si>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</si>
  <si>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</si>
  <si>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</si>
  <si>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</si>
  <si>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</si>
  <si>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</si>
  <si>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</si>
  <si>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</si>
  <si>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</si>
  <si>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</si>
  <si>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</si>
  <si>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</si>
  <si>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</si>
  <si>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</si>
  <si>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</si>
  <si>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</si>
  <si>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</si>
  <si>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</si>
  <si>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</si>
  <si>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</si>
  <si>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</si>
  <si>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</si>
  <si>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</si>
  <si>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</si>
  <si>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</si>
  <si>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</si>
  <si>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</si>
  <si>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</si>
  <si>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</si>
  <si>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</si>
  <si>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</si>
  <si>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</si>
  <si>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</si>
  <si>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</si>
  <si>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</si>
  <si>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</si>
  <si>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</si>
  <si>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</si>
  <si>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</si>
  <si>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</si>
  <si>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</si>
  <si>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</si>
  <si>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</si>
  <si>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</si>
  <si>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</si>
  <si>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</si>
  <si>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</si>
  <si>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</si>
  <si>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</si>
  <si>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</si>
  <si>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</si>
  <si>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</si>
  <si>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</si>
  <si>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</si>
  <si>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</si>
  <si>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</si>
  <si>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</si>
  <si>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</si>
  <si>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</si>
  <si>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</si>
  <si>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</si>
  <si>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</si>
  <si>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</si>
  <si>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</si>
  <si>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</si>
  <si>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</si>
  <si>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</si>
  <si>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</si>
  <si>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</si>
  <si>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</si>
  <si>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</si>
  <si>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</si>
  <si>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</si>
  <si>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</si>
  <si>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</si>
  <si>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</si>
  <si>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</si>
  <si>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</si>
  <si>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</si>
  <si>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</si>
  <si>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</si>
  <si>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</si>
  <si>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</si>
  <si>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</si>
  <si>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</si>
  <si>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</si>
  <si>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</si>
  <si>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</si>
  <si>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</si>
  <si>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</si>
  <si>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</si>
  <si>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</si>
  <si>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</si>
  <si>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</si>
  <si>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</si>
  <si>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</si>
  <si>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</si>
  <si>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</si>
  <si>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</si>
  <si>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</si>
  <si>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</si>
  <si>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</si>
  <si>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</si>
  <si>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</si>
  <si>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</si>
  <si>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</si>
  <si>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</si>
  <si>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</si>
  <si>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</si>
  <si>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</si>
  <si>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</si>
  <si>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</si>
  <si>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</si>
  <si>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</si>
  <si>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</si>
  <si>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</si>
  <si>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</si>
  <si>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</si>
  <si>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</si>
  <si>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</si>
  <si>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</si>
  <si>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</si>
  <si>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</si>
  <si>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</si>
  <si>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</si>
  <si>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</si>
  <si>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</si>
  <si>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</si>
  <si>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</si>
  <si>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</si>
  <si>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</si>
  <si>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</si>
  <si>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</si>
  <si>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</si>
  <si>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</si>
  <si>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</si>
  <si>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</si>
  <si>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</si>
  <si>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</si>
  <si>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</si>
  <si>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</si>
  <si>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</si>
  <si>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</si>
  <si>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</si>
  <si>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</si>
  <si>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</si>
  <si>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</si>
  <si>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</si>
  <si>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</si>
  <si>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</si>
  <si>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</si>
  <si>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</si>
  <si>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</si>
  <si>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</si>
  <si>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</si>
  <si>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</si>
  <si>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</si>
  <si>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</si>
  <si>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</si>
  <si>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</si>
  <si>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</si>
  <si>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</si>
  <si>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</si>
  <si>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</si>
  <si>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</si>
  <si>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</si>
  <si>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</si>
  <si>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</si>
  <si>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</si>
  <si>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</si>
  <si>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</si>
  <si>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</si>
  <si>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</si>
  <si>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</si>
  <si>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</si>
  <si>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</si>
  <si>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</si>
  <si>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</si>
  <si>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</si>
  <si>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</si>
  <si>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</si>
  <si>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</si>
  <si>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</si>
  <si>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</si>
  <si>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</si>
  <si>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</si>
  <si>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</si>
  <si>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</si>
  <si>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</si>
  <si>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</si>
  <si>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</si>
  <si>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</si>
  <si>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</si>
  <si>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</si>
  <si>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</si>
  <si>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</si>
  <si>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</si>
  <si>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</si>
  <si>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</si>
  <si>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</si>
  <si>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</si>
  <si>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</si>
  <si>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</si>
  <si>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</si>
  <si>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</si>
  <si>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</si>
  <si>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</si>
  <si>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</si>
  <si>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</si>
  <si>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</si>
  <si>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</si>
  <si>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</si>
  <si>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</si>
  <si>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</si>
  <si>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</si>
  <si>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</si>
  <si>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</si>
  <si>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</si>
  <si>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</si>
  <si>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</si>
  <si>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</si>
  <si>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</si>
  <si>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</si>
  <si>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</si>
  <si>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</si>
  <si>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</si>
  <si>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</si>
  <si>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</si>
  <si>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</si>
  <si>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</si>
  <si>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</si>
  <si>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</si>
  <si>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</si>
  <si>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</si>
  <si>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</si>
  <si>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</si>
  <si>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</si>
  <si>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</si>
  <si>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</si>
  <si>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</si>
  <si>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</si>
  <si>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</si>
  <si>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</si>
  <si>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</si>
  <si>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</si>
  <si>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</si>
  <si>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</si>
  <si>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</si>
  <si>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</si>
  <si>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</si>
  <si>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</si>
  <si>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</si>
  <si>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</si>
  <si>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</si>
  <si>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</si>
  <si>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</si>
  <si>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</si>
  <si>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</si>
  <si>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</si>
  <si>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</si>
  <si>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</si>
  <si>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</si>
  <si>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</si>
  <si>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</si>
  <si>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</si>
  <si>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</si>
  <si>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</si>
  <si>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</si>
  <si>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</si>
  <si>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</si>
  <si>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</si>
  <si>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</si>
  <si>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</si>
  <si>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</si>
  <si>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</si>
  <si>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</si>
  <si>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</si>
  <si>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</si>
  <si>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</si>
  <si>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</si>
  <si>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</si>
  <si>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</si>
  <si>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</si>
  <si>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</si>
  <si>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</si>
  <si>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</si>
  <si>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</si>
  <si>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</si>
  <si>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</si>
  <si>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</si>
  <si>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</si>
  <si>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</si>
  <si>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</si>
  <si>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</si>
  <si>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</si>
  <si>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</si>
  <si>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</si>
  <si>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</si>
  <si>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</si>
  <si>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</si>
  <si>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</si>
  <si>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</si>
  <si>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</si>
  <si>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</si>
  <si>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</si>
  <si>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</si>
  <si>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</si>
  <si>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</si>
  <si>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</si>
  <si>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</si>
  <si>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</si>
  <si>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</si>
  <si>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</si>
  <si>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</si>
  <si>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</si>
  <si>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</si>
  <si>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</si>
  <si>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</si>
  <si>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</si>
  <si>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</si>
  <si>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</si>
  <si>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</si>
  <si>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</si>
  <si>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</si>
  <si>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</si>
  <si>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</si>
  <si>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</si>
  <si>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</si>
  <si>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</si>
  <si>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</si>
  <si>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</si>
  <si>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</si>
  <si>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</si>
  <si>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</si>
  <si>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</si>
  <si>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</si>
  <si>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</si>
  <si>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</si>
  <si>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</si>
  <si>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</si>
  <si>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</si>
  <si>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</si>
  <si>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</si>
  <si>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</si>
  <si>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</si>
  <si>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</si>
  <si>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</si>
  <si>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</si>
  <si>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</si>
  <si>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</si>
  <si>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</si>
  <si>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</si>
  <si>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</si>
  <si>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</si>
  <si>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</si>
  <si>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</si>
  <si>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</si>
  <si>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</si>
  <si>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</si>
  <si>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</si>
  <si>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</si>
  <si>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</si>
  <si>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</si>
  <si>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</si>
  <si>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</si>
  <si>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</si>
  <si>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</si>
  <si>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</si>
  <si>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</si>
  <si>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</si>
  <si>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</si>
  <si>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</si>
  <si>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</si>
  <si>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</si>
  <si>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</si>
  <si>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</si>
  <si>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</si>
  <si>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</si>
  <si>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</si>
  <si>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</si>
  <si>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</si>
  <si>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</si>
  <si>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</si>
  <si>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</si>
  <si>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</si>
  <si>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</si>
  <si>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</si>
  <si>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</si>
  <si>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</si>
  <si>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</si>
  <si>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</si>
  <si>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</si>
  <si>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</si>
  <si>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</si>
  <si>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</si>
  <si>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</si>
  <si>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</si>
  <si>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</si>
  <si>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</si>
  <si>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</si>
  <si>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</si>
  <si>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</si>
  <si>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</si>
  <si>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</si>
  <si>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</si>
  <si>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</si>
  <si>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</si>
  <si>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</si>
  <si>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</si>
  <si>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</si>
  <si>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</si>
  <si>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</si>
  <si>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</si>
  <si>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</si>
  <si>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</si>
  <si>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</si>
  <si>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</si>
  <si>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</si>
  <si>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</si>
  <si>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</si>
  <si>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</si>
  <si>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</si>
  <si>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</si>
  <si>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</si>
  <si>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</si>
  <si>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</si>
  <si>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</si>
  <si>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</si>
  <si>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</si>
  <si>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</si>
  <si>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</si>
  <si>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</si>
  <si>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</si>
  <si>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</si>
  <si>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</si>
  <si>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</si>
  <si>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</si>
  <si>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</si>
  <si>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</si>
  <si>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</si>
  <si>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</si>
  <si>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</si>
  <si>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</si>
  <si>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</si>
  <si>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</si>
  <si>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</si>
  <si>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</si>
  <si>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</si>
  <si>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</si>
  <si>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</si>
  <si>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</si>
  <si>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</si>
  <si>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</si>
  <si>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</si>
  <si>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</si>
  <si>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</si>
  <si>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</si>
  <si>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</si>
  <si>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</si>
  <si>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</si>
  <si>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</si>
  <si>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</si>
  <si>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</si>
  <si>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</si>
  <si>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</si>
  <si>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</si>
  <si>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</si>
  <si>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</si>
  <si>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</si>
  <si>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</si>
  <si>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</si>
  <si>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</si>
  <si>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</si>
  <si>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</si>
  <si>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</si>
  <si>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</si>
  <si>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</si>
  <si>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</si>
  <si>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</si>
  <si>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</si>
  <si>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</si>
  <si>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</si>
  <si>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</si>
  <si>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</si>
  <si>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</si>
  <si>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</si>
  <si>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</si>
  <si>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</si>
  <si>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</si>
  <si>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</si>
  <si>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</si>
  <si>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</si>
  <si>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</si>
  <si>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</si>
  <si>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</si>
  <si>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</si>
  <si>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</si>
  <si>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</si>
  <si>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</si>
  <si>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</si>
  <si>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</si>
  <si>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</si>
  <si>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</si>
  <si>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</si>
  <si>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</si>
  <si>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</si>
  <si>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</si>
  <si>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</si>
  <si>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</si>
  <si>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</si>
  <si>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</si>
  <si>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</si>
  <si>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</si>
  <si>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</si>
  <si>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</si>
  <si>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</si>
  <si>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</si>
  <si>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</si>
  <si>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</si>
  <si>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</si>
  <si>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</si>
  <si>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</si>
  <si>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</si>
  <si>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</si>
  <si>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</si>
  <si>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</si>
  <si>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</si>
  <si>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</si>
  <si>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</si>
  <si>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</si>
  <si>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</si>
  <si>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</si>
  <si>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</si>
  <si>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</si>
  <si>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</si>
  <si>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</si>
  <si>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</si>
  <si>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</si>
  <si>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</si>
  <si>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</si>
  <si>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</si>
  <si>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</si>
  <si>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</si>
  <si>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</si>
  <si>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</si>
  <si>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</si>
  <si>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</si>
  <si>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</si>
  <si>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</si>
  <si>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</si>
  <si>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</si>
  <si>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</si>
  <si>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</si>
  <si>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</si>
  <si>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</si>
  <si>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</si>
  <si>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</si>
  <si>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</si>
  <si>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</si>
  <si>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</si>
  <si>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</si>
  <si>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</si>
  <si>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</si>
  <si>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</si>
  <si>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</si>
  <si>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</si>
  <si>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</si>
  <si>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</si>
  <si>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</si>
  <si>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</si>
  <si>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</si>
  <si>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</si>
  <si>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</si>
  <si>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</si>
  <si>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</si>
  <si>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</si>
  <si>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</si>
  <si>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</si>
  <si>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</si>
  <si>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</si>
  <si>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</si>
  <si>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</si>
  <si>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</si>
  <si>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</si>
  <si>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</si>
  <si>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</si>
  <si>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</si>
  <si>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</si>
  <si>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</si>
  <si>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</si>
  <si>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</si>
  <si>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</si>
  <si>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</si>
  <si>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</si>
  <si>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</si>
  <si>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</si>
  <si>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</si>
  <si>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</si>
  <si>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</si>
  <si>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</si>
  <si>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</si>
  <si>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</si>
  <si>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</si>
  <si>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</si>
  <si>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</si>
  <si>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</si>
  <si>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</si>
  <si>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</si>
  <si>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</si>
  <si>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</si>
  <si>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</si>
  <si>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</si>
  <si>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</si>
  <si>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</si>
  <si>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</si>
  <si>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</si>
  <si>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</si>
  <si>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</si>
  <si>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</si>
  <si>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</si>
  <si>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</si>
  <si>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</si>
  <si>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</si>
  <si>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</si>
  <si>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</si>
  <si>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</si>
  <si>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</si>
  <si>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</si>
  <si>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</si>
  <si>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</si>
  <si>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</si>
  <si>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</si>
  <si>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</si>
  <si>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</si>
  <si>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</si>
  <si>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</si>
  <si>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</si>
  <si>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</si>
  <si>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</si>
  <si>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</si>
  <si>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</si>
  <si>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</si>
  <si>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</si>
  <si>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</si>
  <si>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</si>
  <si>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</si>
  <si>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</si>
  <si>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</si>
  <si>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</si>
  <si>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</si>
  <si>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</si>
  <si>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</si>
  <si>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</si>
  <si>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</si>
  <si>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</si>
  <si>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</si>
  <si>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</si>
  <si>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</si>
  <si>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</si>
  <si>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</si>
  <si>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</si>
  <si>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</si>
  <si>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</si>
  <si>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</si>
  <si>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</si>
  <si>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</si>
  <si>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</si>
  <si>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</si>
  <si>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</si>
  <si>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</si>
  <si>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</si>
  <si>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</si>
  <si>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</si>
  <si>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</si>
  <si>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</si>
  <si>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</si>
  <si>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</si>
  <si>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</si>
  <si>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</si>
  <si>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</si>
  <si>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</si>
  <si>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</si>
  <si>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</si>
  <si>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</si>
  <si>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</si>
  <si>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</si>
  <si>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</si>
  <si>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</si>
  <si>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</si>
  <si>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</si>
  <si>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</si>
  <si>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</si>
  <si>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</si>
  <si>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</si>
  <si>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</si>
  <si>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</si>
  <si>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</si>
  <si>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</si>
  <si>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</si>
  <si>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</si>
  <si>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</si>
  <si>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</si>
  <si>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</si>
  <si>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</si>
  <si>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</si>
  <si>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</si>
  <si>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</si>
  <si>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</si>
  <si>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</si>
  <si>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</si>
  <si>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</si>
  <si>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</si>
  <si>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</si>
  <si>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</si>
  <si>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</si>
  <si>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</si>
  <si>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</si>
  <si>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</si>
  <si>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</si>
  <si>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</si>
  <si>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</si>
  <si>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</si>
  <si>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</si>
  <si>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</si>
  <si>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</si>
  <si>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</si>
  <si>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</si>
  <si>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</si>
  <si>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</si>
  <si>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</si>
  <si>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</si>
  <si>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</si>
  <si>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</si>
  <si>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</si>
  <si>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</si>
  <si>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</si>
  <si>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</si>
  <si>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</si>
  <si>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</si>
  <si>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</si>
  <si>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</si>
  <si>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</si>
  <si>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</si>
  <si>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</si>
  <si>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</si>
  <si>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</si>
  <si>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</si>
  <si>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</si>
  <si>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</si>
  <si>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</si>
  <si>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</si>
  <si>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</si>
  <si>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</si>
  <si>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</si>
  <si>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</si>
  <si>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</si>
  <si>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</si>
  <si>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</si>
  <si>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</si>
  <si>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</si>
  <si>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</si>
  <si>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</si>
  <si>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</si>
  <si>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</si>
  <si>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</si>
  <si>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</si>
  <si>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</si>
  <si>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</si>
  <si>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</si>
  <si>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</si>
  <si>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</si>
  <si>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</si>
  <si>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</si>
  <si>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</si>
  <si>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</si>
  <si>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</si>
  <si>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</si>
  <si>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</si>
  <si>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</si>
  <si>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</si>
  <si>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</si>
  <si>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</si>
  <si>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</si>
  <si>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</si>
  <si>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</si>
  <si>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</si>
  <si>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</si>
  <si>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</si>
  <si>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</si>
  <si>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</si>
  <si>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</si>
  <si>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</si>
  <si>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</si>
  <si>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</si>
  <si>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</si>
  <si>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</si>
  <si>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</si>
  <si>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</si>
  <si>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</si>
  <si>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</si>
  <si>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</si>
  <si>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</si>
  <si>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</si>
  <si>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</si>
  <si>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</si>
  <si>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</si>
  <si>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</si>
  <si>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</si>
  <si>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</si>
  <si>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</si>
  <si>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</si>
  <si>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</si>
  <si>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</si>
  <si>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</si>
  <si>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</si>
  <si>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</si>
  <si>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</si>
  <si>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</si>
  <si>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</si>
  <si>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</si>
  <si>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</si>
  <si>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</si>
  <si>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</si>
  <si>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</si>
  <si>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</si>
  <si>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</si>
  <si>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</si>
  <si>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</si>
  <si>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</si>
  <si>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</si>
  <si>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</si>
  <si>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</si>
  <si>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</si>
  <si>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</si>
  <si>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</si>
  <si>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</si>
  <si>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</si>
  <si>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</si>
  <si>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</si>
  <si>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</si>
  <si>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</si>
  <si>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</si>
  <si>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</si>
  <si>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</si>
  <si>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</si>
  <si>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</si>
  <si>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</si>
  <si>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</si>
  <si>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</si>
  <si>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</si>
  <si>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</si>
  <si>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</si>
  <si>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</si>
  <si>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</si>
  <si>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</si>
  <si>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</si>
  <si>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</si>
  <si>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</si>
  <si>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</si>
  <si>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</si>
  <si>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</si>
  <si>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</si>
  <si>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</si>
  <si>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</si>
  <si>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</si>
  <si>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</si>
  <si>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</si>
  <si>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</si>
  <si>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</si>
  <si>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</si>
  <si>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</si>
  <si>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</si>
  <si>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</si>
  <si>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</si>
  <si>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</si>
  <si>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</si>
  <si>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</si>
  <si>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</si>
  <si>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</si>
  <si>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</si>
  <si>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</si>
  <si>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</si>
  <si>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</si>
  <si>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</si>
  <si>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</si>
  <si>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</si>
  <si>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</si>
  <si>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</si>
  <si>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</si>
  <si>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</si>
  <si>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</si>
  <si>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</si>
  <si>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</si>
  <si>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</si>
  <si>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</si>
  <si>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</si>
  <si>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</si>
  <si>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</si>
  <si>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</si>
  <si>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</si>
  <si>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</si>
  <si>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</si>
  <si>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</si>
  <si>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</si>
  <si>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</si>
  <si>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</si>
  <si>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</si>
  <si>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</si>
  <si>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</si>
  <si>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</si>
  <si>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</si>
  <si>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</si>
  <si>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</si>
  <si>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</si>
  <si>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</si>
  <si>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</si>
  <si>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</si>
  <si>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</si>
  <si>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</si>
  <si>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</si>
  <si>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</si>
  <si>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</si>
  <si>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</si>
  <si>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</si>
  <si>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</si>
  <si>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</si>
  <si>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</si>
  <si>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</si>
  <si>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</si>
  <si>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</si>
  <si>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</si>
  <si>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</si>
  <si>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</si>
  <si>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</si>
  <si>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</si>
  <si>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</si>
  <si>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</si>
  <si>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</si>
  <si>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</si>
  <si>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</si>
  <si>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</si>
  <si>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</si>
  <si>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</si>
  <si>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</si>
  <si>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</si>
  <si>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</si>
  <si>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</si>
  <si>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</si>
  <si>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</si>
  <si>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</si>
  <si>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</si>
  <si>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</si>
  <si>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</si>
  <si>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</si>
  <si>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</si>
  <si>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</si>
  <si>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</si>
  <si>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</si>
  <si>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</si>
  <si>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</si>
  <si>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</si>
  <si>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</si>
  <si>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</si>
  <si>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</si>
  <si>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</si>
  <si>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</si>
  <si>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</si>
  <si>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</si>
  <si>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</si>
  <si>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</si>
  <si>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</si>
  <si>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</si>
  <si>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</si>
  <si>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</si>
  <si>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</si>
  <si>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</si>
  <si>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</si>
  <si>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</si>
  <si>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</si>
  <si>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</si>
  <si>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</si>
  <si>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</si>
  <si>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</si>
  <si>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</si>
  <si>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</si>
  <si>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</si>
  <si>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</si>
  <si>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</si>
  <si>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</si>
  <si>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</si>
  <si>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</si>
  <si>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</si>
  <si>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</si>
  <si>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</si>
  <si>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</si>
  <si>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</si>
  <si>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</si>
  <si>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</si>
  <si>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</si>
  <si>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</si>
  <si>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</si>
  <si>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</si>
  <si>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</si>
  <si>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</si>
  <si>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</si>
  <si>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</si>
  <si>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</si>
  <si>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</si>
  <si>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</si>
  <si>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</si>
  <si>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</si>
  <si>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</si>
  <si>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</si>
  <si>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</si>
  <si>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</si>
  <si>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</si>
  <si>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</si>
  <si>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</si>
  <si>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</si>
  <si>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</si>
  <si>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</si>
  <si>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</si>
  <si>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</si>
  <si>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</si>
  <si>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</si>
  <si>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</si>
  <si>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</si>
  <si>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</si>
  <si>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</si>
  <si>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</si>
  <si>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</si>
  <si>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</si>
  <si>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</si>
  <si>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</si>
  <si>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</si>
  <si>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</si>
  <si>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</si>
  <si>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</si>
  <si>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</si>
  <si>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</si>
  <si>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</si>
  <si>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</si>
  <si>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</si>
  <si>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</si>
  <si>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</si>
  <si>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</si>
  <si>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</si>
  <si>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</si>
  <si>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</si>
  <si>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</si>
  <si>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</si>
  <si>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</si>
  <si>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</si>
  <si>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</si>
  <si>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</si>
  <si>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</si>
  <si>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</si>
  <si>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</si>
  <si>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</si>
  <si>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</si>
  <si>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</si>
  <si>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</si>
  <si>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</si>
  <si>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</si>
  <si>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</si>
  <si>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</si>
  <si>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</si>
  <si>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</si>
  <si>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</si>
  <si>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</si>
  <si>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</si>
  <si>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</si>
  <si>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</si>
  <si>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</si>
  <si>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</si>
  <si>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</si>
  <si>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</si>
  <si>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</si>
  <si>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</si>
  <si>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</si>
  <si>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</si>
  <si>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</si>
  <si>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</si>
  <si>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</si>
  <si>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</si>
  <si>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</si>
  <si>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</si>
  <si>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</si>
  <si>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</si>
  <si>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</si>
  <si>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</si>
  <si>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</si>
  <si>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</si>
  <si>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</si>
  <si>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</si>
  <si>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</si>
  <si>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</si>
  <si>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</si>
  <si>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</si>
  <si>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</si>
  <si>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</si>
  <si>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</si>
  <si>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</si>
  <si>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</si>
  <si>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</si>
  <si>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</si>
  <si>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</si>
  <si>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</si>
  <si>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</si>
  <si>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</si>
  <si>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</si>
  <si>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</si>
  <si>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</si>
  <si>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</si>
  <si>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</si>
  <si>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</si>
  <si>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</si>
  <si>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</si>
  <si>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</si>
  <si>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</si>
  <si>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</si>
  <si>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</si>
  <si>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</si>
  <si>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</si>
  <si>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</si>
  <si>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</si>
  <si>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</si>
  <si>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</si>
  <si>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</si>
  <si>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</si>
  <si>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</si>
  <si>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</si>
  <si>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</si>
  <si>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</si>
  <si>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</si>
  <si>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</si>
  <si>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</si>
  <si>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</si>
  <si>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</si>
  <si>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</si>
  <si>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</si>
  <si>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</si>
  <si>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</si>
  <si>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</si>
  <si>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</si>
  <si>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</si>
  <si>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</si>
  <si>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</si>
  <si>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</si>
  <si>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</si>
  <si>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</si>
  <si>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</si>
  <si>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</si>
  <si>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</si>
  <si>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</si>
  <si>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</si>
  <si>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</si>
  <si>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</si>
  <si>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</si>
  <si>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</si>
  <si>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</si>
  <si>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</si>
  <si>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</si>
  <si>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</si>
  <si>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</si>
  <si>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</si>
  <si>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</si>
  <si>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</si>
  <si>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</si>
  <si>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</si>
  <si>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</si>
  <si>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</si>
  <si>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</si>
  <si>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</si>
  <si>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</si>
  <si>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</si>
  <si>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</si>
  <si>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</si>
  <si>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</si>
  <si>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</si>
  <si>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</si>
  <si>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</si>
  <si>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</si>
  <si>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</si>
  <si>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</si>
  <si>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</si>
  <si>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</si>
  <si>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</si>
  <si>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</si>
  <si>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</si>
  <si>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</si>
  <si>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</si>
  <si>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</si>
  <si>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</si>
  <si>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</si>
  <si>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</si>
  <si>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</si>
  <si>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</si>
  <si>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</si>
  <si>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</si>
  <si>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</si>
  <si>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</si>
  <si>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</si>
  <si>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</si>
  <si>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</si>
  <si>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</si>
  <si>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</si>
  <si>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</si>
  <si>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</si>
  <si>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</si>
  <si>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</si>
  <si>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</si>
  <si>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</si>
  <si>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</si>
  <si>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</si>
  <si>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</si>
  <si>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</si>
  <si>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</si>
  <si>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</si>
  <si>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</si>
  <si>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</si>
  <si>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</si>
  <si>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</si>
  <si>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</si>
  <si>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</si>
  <si>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</si>
  <si>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</si>
  <si>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</si>
  <si>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</si>
  <si>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</si>
  <si>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</si>
  <si>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</si>
  <si>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</si>
  <si>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</si>
  <si>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</si>
  <si>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</si>
  <si>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</si>
  <si>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</si>
  <si>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</si>
  <si>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</si>
  <si>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</si>
  <si>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</si>
  <si>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</si>
  <si>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</si>
  <si>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</si>
  <si>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</si>
  <si>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</si>
  <si>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</si>
  <si>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</si>
  <si>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</si>
  <si>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</si>
  <si>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</si>
  <si>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</si>
  <si>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</si>
  <si>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</si>
  <si>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</si>
  <si>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</si>
  <si>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</si>
  <si>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</si>
  <si>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</si>
  <si>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</si>
  <si>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</si>
  <si>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</si>
  <si>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</si>
  <si>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</si>
  <si>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</si>
  <si>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</si>
  <si>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</si>
  <si>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</si>
  <si>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</si>
  <si>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</si>
  <si>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</si>
  <si>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</si>
  <si>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</si>
  <si>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</si>
  <si>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</si>
  <si>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</si>
  <si>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</si>
  <si>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</si>
  <si>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</si>
  <si>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</si>
  <si>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</si>
  <si>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</si>
  <si>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</si>
  <si>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</si>
  <si>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</si>
  <si>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</si>
  <si>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</si>
  <si>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</si>
  <si>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</si>
  <si>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</si>
  <si>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</si>
  <si>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</si>
  <si>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</si>
  <si>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</si>
  <si>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</si>
  <si>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</si>
  <si>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</si>
  <si>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</si>
  <si>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</si>
  <si>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</si>
  <si>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</si>
  <si>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</si>
  <si>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</si>
  <si>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</si>
  <si>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</si>
  <si>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</si>
  <si>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</si>
  <si>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</si>
  <si>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</si>
  <si>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</si>
  <si>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</si>
  <si>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</si>
  <si>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</si>
  <si>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</si>
  <si>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</si>
  <si>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</si>
  <si>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</si>
  <si>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</si>
  <si>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</si>
  <si>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</si>
  <si>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</si>
  <si>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</si>
  <si>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</si>
  <si>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</si>
  <si>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</si>
  <si>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</si>
  <si>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</si>
  <si>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</si>
  <si>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</si>
  <si>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</si>
  <si>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</si>
  <si>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</si>
  <si>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</si>
  <si>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</si>
  <si>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</si>
  <si>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</si>
  <si>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</si>
  <si>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</si>
  <si>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</si>
  <si>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</si>
  <si>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</si>
  <si>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</si>
  <si>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</si>
  <si>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</si>
  <si>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</si>
  <si>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</si>
  <si>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</si>
  <si>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</si>
  <si>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</si>
  <si>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</si>
  <si>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</si>
  <si>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</si>
  <si>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</si>
  <si>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</si>
  <si>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</si>
  <si>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</si>
  <si>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</si>
  <si>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</si>
  <si>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</si>
  <si>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</si>
  <si>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</si>
  <si>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</si>
  <si>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</si>
  <si>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</si>
  <si>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</si>
  <si>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</si>
  <si>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</si>
  <si>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</si>
  <si>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</si>
  <si>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</si>
  <si>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</si>
  <si>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</si>
  <si>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</si>
  <si>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</si>
  <si>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</si>
  <si>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</si>
  <si>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</si>
  <si>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</si>
  <si>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</si>
  <si>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</si>
  <si>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</si>
  <si>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</si>
  <si>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</si>
  <si>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</si>
  <si>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</si>
  <si>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</si>
  <si>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</si>
  <si>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</si>
  <si>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</si>
  <si>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</si>
  <si>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</si>
  <si>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</si>
  <si>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</si>
  <si>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</si>
  <si>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</si>
  <si>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</si>
  <si>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</si>
  <si>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</si>
  <si>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</si>
  <si>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</si>
  <si>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</si>
  <si>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</si>
  <si>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</si>
  <si>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</si>
  <si>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</si>
  <si>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</si>
  <si>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</si>
  <si>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</si>
  <si>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</si>
  <si>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</si>
  <si>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</si>
  <si>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</si>
  <si>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</si>
  <si>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</si>
  <si>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</si>
  <si>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</si>
  <si>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</si>
  <si>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</si>
  <si>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</si>
  <si>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</si>
  <si>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</si>
  <si>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</si>
  <si>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</si>
  <si>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</si>
  <si>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</si>
  <si>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</si>
  <si>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</si>
  <si>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</si>
  <si>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</si>
  <si>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</si>
  <si>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</si>
  <si>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</si>
  <si>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</si>
  <si>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</si>
  <si>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</si>
  <si>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</si>
  <si>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</si>
  <si>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</si>
  <si>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</si>
  <si>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</si>
  <si>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</si>
  <si>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</si>
  <si>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</si>
  <si>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</si>
  <si>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</si>
  <si>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</si>
  <si>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</si>
  <si>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</si>
  <si>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</si>
  <si>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</si>
  <si>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</si>
  <si>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</si>
  <si>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</si>
  <si>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</si>
  <si>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</si>
  <si>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</si>
  <si>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</si>
  <si>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</si>
  <si>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</si>
  <si>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</si>
  <si>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</si>
  <si>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</si>
  <si>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</si>
  <si>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</si>
  <si>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</si>
  <si>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</si>
  <si>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</si>
  <si>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</si>
  <si>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</si>
  <si>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</si>
  <si>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</si>
  <si>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</si>
  <si>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</si>
  <si>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</si>
  <si>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</si>
  <si>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</si>
  <si>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</si>
  <si>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</si>
  <si>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</si>
  <si>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</si>
  <si>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</si>
  <si>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</si>
  <si>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</si>
  <si>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</si>
  <si>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</si>
  <si>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</si>
  <si>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</si>
  <si>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</si>
  <si>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</si>
  <si>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</si>
  <si>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</si>
  <si>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</si>
  <si>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</si>
  <si>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</si>
  <si>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</si>
  <si>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</si>
  <si>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</si>
  <si>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</si>
  <si>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</si>
  <si>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</si>
  <si>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</si>
  <si>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</si>
  <si>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</si>
  <si>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</si>
  <si>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</si>
  <si>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</si>
  <si>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</si>
  <si>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</si>
  <si>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</si>
  <si>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</si>
  <si>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</si>
  <si>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</si>
  <si>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</si>
  <si>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</si>
  <si>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</si>
  <si>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</si>
  <si>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</si>
  <si>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</si>
  <si>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</si>
  <si>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</si>
  <si>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</si>
  <si>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</si>
  <si>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</si>
  <si>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</si>
  <si>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</si>
  <si>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</si>
  <si>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</si>
  <si>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</si>
  <si>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</si>
  <si>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</si>
  <si>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</si>
  <si>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</si>
  <si>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</si>
  <si>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</si>
  <si>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</si>
  <si>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</si>
  <si>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</si>
  <si>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</si>
  <si>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</si>
  <si>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</si>
  <si>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</si>
  <si>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</si>
  <si>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</si>
  <si>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</si>
  <si>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</si>
  <si>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</si>
  <si>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</si>
  <si>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</si>
  <si>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</si>
  <si>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</si>
  <si>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</si>
  <si>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</si>
  <si>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</si>
  <si>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</si>
  <si>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</si>
  <si>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</si>
  <si>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</si>
  <si>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</si>
  <si>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</si>
  <si>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</si>
  <si>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</si>
  <si>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</si>
  <si>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</si>
  <si>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</si>
  <si>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</si>
  <si>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</si>
  <si>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</si>
  <si>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</si>
  <si>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</si>
  <si>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</si>
  <si>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</si>
  <si>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</si>
  <si>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</si>
  <si>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</si>
  <si>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</si>
  <si>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</si>
  <si>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</si>
  <si>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</si>
  <si>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</si>
  <si>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</si>
  <si>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</si>
  <si>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</si>
  <si>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</si>
  <si>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</si>
  <si>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</si>
  <si>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</si>
  <si>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</si>
  <si>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</si>
  <si>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</si>
  <si>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</si>
  <si>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</si>
  <si>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</si>
  <si>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</si>
  <si>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</si>
  <si>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</si>
  <si>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</si>
  <si>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</si>
  <si>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</si>
  <si>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</si>
  <si>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</si>
  <si>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</si>
  <si>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</si>
  <si>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</si>
  <si>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</si>
  <si>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</si>
  <si>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</si>
  <si>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</si>
  <si>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</si>
  <si>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</si>
  <si>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</si>
  <si>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</si>
  <si>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</si>
  <si>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</si>
  <si>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</si>
  <si>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</si>
  <si>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</si>
  <si>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</si>
  <si>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</si>
  <si>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</si>
  <si>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</si>
  <si>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</si>
  <si>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</si>
  <si>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</si>
  <si>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</si>
  <si>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</si>
  <si>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</si>
  <si>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</si>
  <si>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</si>
  <si>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</si>
  <si>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</si>
  <si>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</si>
  <si>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</si>
  <si>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</si>
  <si>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</si>
  <si>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</si>
  <si>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</si>
  <si>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</si>
  <si>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</si>
  <si>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</si>
  <si>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</si>
  <si>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</si>
  <si>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</si>
  <si>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</si>
  <si>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</si>
  <si>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</si>
  <si>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</si>
  <si>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</si>
  <si>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</si>
  <si>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</si>
  <si>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</si>
  <si>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</si>
  <si>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</si>
  <si>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</si>
  <si>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</si>
  <si>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</si>
  <si>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</si>
  <si>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</si>
  <si>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</si>
  <si>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</si>
  <si>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</si>
  <si>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</si>
  <si>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</si>
  <si>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</si>
  <si>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</si>
  <si>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</si>
  <si>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</si>
  <si>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</si>
  <si>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</si>
  <si>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</si>
  <si>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</si>
  <si>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</si>
  <si>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</si>
  <si>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</si>
  <si>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</si>
  <si>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</si>
  <si>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</si>
  <si>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</si>
  <si>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</si>
  <si>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</si>
  <si>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</si>
  <si>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</si>
  <si>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</si>
  <si>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</si>
  <si>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</si>
  <si>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</si>
  <si>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</si>
  <si>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</si>
  <si>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</si>
  <si>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</si>
  <si>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</si>
  <si>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</si>
  <si>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</si>
  <si>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</si>
  <si>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</si>
  <si>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</si>
  <si>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</si>
  <si>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</si>
  <si>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</si>
  <si>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</si>
  <si>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</si>
  <si>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</si>
  <si>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</si>
  <si>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</si>
  <si>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</si>
  <si>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</si>
  <si>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</si>
  <si>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</si>
  <si>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</si>
  <si>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</si>
  <si>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</si>
  <si>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</si>
  <si>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</si>
  <si>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</si>
  <si>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</si>
  <si>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</si>
  <si>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</si>
  <si>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</si>
  <si>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</si>
  <si>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</si>
  <si>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</si>
  <si>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</si>
  <si>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</si>
  <si>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</si>
  <si>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</si>
  <si>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</si>
  <si>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</si>
  <si>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</si>
  <si>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</si>
  <si>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</si>
  <si>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</si>
  <si>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</si>
  <si>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</si>
  <si>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</si>
  <si>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</si>
  <si>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</si>
  <si>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</si>
  <si>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</si>
  <si>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</si>
  <si>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</si>
  <si>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</si>
  <si>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</si>
  <si>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</si>
  <si>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</si>
  <si>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</si>
  <si>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</si>
  <si>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</si>
  <si>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</si>
  <si>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</si>
  <si>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</si>
  <si>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</si>
  <si>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</si>
  <si>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</si>
  <si>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</si>
  <si>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</si>
  <si>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</si>
  <si>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</si>
  <si>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</si>
  <si>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</si>
  <si>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</si>
  <si>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</si>
  <si>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</si>
  <si>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</si>
  <si>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</si>
  <si>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</si>
  <si>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</si>
  <si>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</si>
  <si>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</si>
  <si>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</si>
  <si>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</si>
  <si>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</si>
  <si>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</si>
  <si>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</si>
  <si>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</si>
  <si>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</si>
  <si>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</si>
  <si>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</si>
  <si>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</si>
  <si>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</si>
  <si>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</si>
  <si>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</si>
  <si>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</si>
  <si>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</si>
  <si>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</si>
  <si>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</si>
  <si>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</si>
  <si>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</si>
  <si>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</si>
  <si>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</si>
  <si>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</si>
  <si>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</si>
  <si>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</si>
  <si>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</si>
  <si>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</si>
  <si>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</si>
  <si>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</si>
  <si>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</si>
  <si>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</si>
  <si>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</si>
  <si>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</si>
  <si>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</si>
  <si>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</si>
  <si>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</si>
  <si>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</si>
  <si>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</si>
  <si>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</si>
  <si>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</si>
  <si>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</si>
  <si>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</si>
  <si>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</si>
  <si>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</si>
  <si>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</si>
  <si>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</si>
  <si>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</si>
  <si>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</si>
  <si>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</si>
  <si>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</si>
  <si>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</si>
  <si>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</si>
  <si>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</si>
  <si>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</si>
  <si>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</si>
  <si>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</si>
  <si>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</si>
  <si>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</si>
  <si>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</si>
  <si>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</si>
  <si>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</si>
  <si>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</si>
  <si>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</si>
  <si>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</si>
  <si>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</si>
  <si>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</si>
  <si>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</si>
  <si>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</si>
  <si>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</si>
  <si>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</si>
  <si>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</si>
  <si>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</si>
  <si>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</si>
  <si>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</si>
  <si>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</si>
  <si>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</si>
  <si>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</si>
  <si>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</si>
  <si>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</si>
  <si>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</si>
  <si>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</si>
  <si>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</si>
  <si>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</si>
  <si>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</si>
  <si>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</si>
  <si>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</si>
  <si>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</si>
  <si>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</si>
  <si>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</si>
  <si>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</si>
  <si>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</si>
  <si>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</si>
  <si>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</si>
  <si>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</si>
  <si>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</si>
  <si>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</si>
  <si>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</si>
  <si>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</si>
  <si>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</si>
  <si>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</si>
  <si>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</si>
  <si>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</si>
  <si>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</si>
  <si>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</si>
  <si>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</si>
  <si>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</si>
  <si>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</si>
  <si>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</si>
  <si>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</si>
  <si>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</si>
  <si>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</si>
  <si>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</si>
  <si>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</si>
  <si>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</si>
  <si>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</si>
  <si>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</si>
  <si>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</si>
  <si>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</si>
  <si>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</si>
  <si>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</si>
  <si>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</si>
  <si>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</si>
  <si>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</si>
  <si>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</si>
  <si>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</si>
  <si>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</si>
  <si>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</si>
  <si>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</si>
  <si>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</si>
  <si>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</si>
  <si>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</si>
  <si>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</si>
  <si>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</si>
  <si>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</si>
  <si>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</si>
  <si>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</si>
  <si>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</si>
  <si>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</si>
  <si>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</si>
  <si>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</si>
  <si>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</si>
  <si>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</si>
  <si>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</si>
  <si>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</si>
  <si>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</si>
  <si>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</si>
  <si>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</si>
  <si>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</si>
  <si>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</si>
  <si>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</si>
  <si>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</si>
  <si>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</si>
  <si>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</si>
  <si>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</si>
  <si>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</si>
  <si>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</si>
  <si>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</si>
  <si>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</si>
  <si>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</si>
  <si>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</si>
  <si>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</si>
  <si>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</si>
  <si>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</si>
  <si>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</si>
  <si>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</si>
  <si>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</si>
  <si>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</si>
  <si>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</si>
  <si>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</si>
  <si>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</si>
  <si>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</si>
  <si>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</si>
  <si>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</si>
  <si>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</si>
  <si>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</si>
  <si>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</si>
  <si>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</si>
  <si>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</si>
  <si>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</si>
  <si>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</si>
  <si>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</si>
  <si>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</si>
  <si>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</si>
  <si>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</si>
  <si>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</si>
  <si>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</si>
  <si>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</si>
  <si>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</si>
  <si>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</si>
  <si>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</si>
  <si>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</si>
  <si>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</si>
  <si>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</si>
  <si>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</si>
  <si>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</si>
  <si>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</si>
  <si>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</si>
  <si>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</si>
  <si>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</si>
  <si>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</si>
  <si>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</si>
  <si>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</si>
  <si>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</si>
  <si>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</si>
  <si>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</si>
  <si>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</si>
  <si>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</si>
  <si>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</si>
  <si>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</si>
  <si>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</si>
  <si>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</si>
  <si>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</si>
  <si>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</si>
  <si>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</si>
  <si>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</si>
  <si>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</si>
  <si>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</si>
  <si>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</si>
  <si>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</si>
  <si>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</si>
  <si>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</si>
  <si>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</si>
  <si>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</si>
  <si>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</si>
  <si>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</si>
  <si>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</si>
  <si>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</si>
  <si>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</si>
  <si>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</si>
  <si>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</si>
  <si>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</si>
  <si>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</si>
  <si>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</si>
  <si>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</si>
  <si>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</si>
  <si>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</si>
  <si>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</si>
  <si>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</si>
  <si>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</si>
  <si>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</si>
  <si>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</si>
  <si>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</si>
  <si>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</si>
  <si>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</si>
  <si>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</si>
  <si>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</si>
  <si>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</si>
  <si>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</si>
  <si>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</si>
  <si>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</si>
  <si>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</si>
  <si>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</si>
  <si>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</si>
  <si>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</si>
  <si>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</si>
  <si>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</si>
  <si>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</si>
  <si>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</si>
  <si>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</si>
  <si>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</si>
  <si>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</si>
  <si>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</si>
  <si>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</si>
  <si>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</si>
  <si>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</si>
  <si>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</si>
  <si>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</si>
  <si>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</si>
  <si>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</si>
  <si>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</si>
  <si>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</si>
  <si>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</si>
  <si>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</si>
  <si>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</si>
  <si>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</si>
  <si>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</si>
  <si>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</si>
  <si>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</si>
  <si>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</si>
  <si>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</si>
  <si>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</si>
  <si>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</si>
  <si>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</si>
  <si>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</si>
  <si>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</si>
  <si>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</si>
  <si>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</si>
  <si>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</si>
  <si>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</si>
  <si>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</si>
  <si>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</si>
  <si>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</si>
  <si>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</si>
  <si>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</si>
  <si>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</si>
  <si>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</si>
  <si>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</si>
  <si>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</si>
  <si>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</si>
  <si>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</si>
  <si>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</si>
  <si>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</si>
  <si>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</si>
  <si>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</si>
  <si>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</si>
  <si>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</si>
  <si>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</si>
  <si>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</si>
  <si>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</si>
  <si>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</si>
  <si>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</si>
  <si>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</si>
  <si>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</si>
  <si>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</si>
  <si>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</si>
  <si>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</si>
  <si>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</si>
  <si>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</si>
  <si>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</si>
  <si>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</si>
  <si>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</si>
  <si>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</si>
  <si>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</si>
  <si>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</si>
  <si>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</si>
  <si>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</si>
  <si>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</si>
  <si>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</si>
  <si>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</si>
  <si>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</si>
  <si>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</si>
  <si>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</si>
  <si>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</si>
  <si>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</si>
  <si>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</si>
  <si>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</si>
  <si>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</si>
  <si>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</si>
  <si>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</si>
  <si>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</si>
  <si>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</si>
  <si>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</si>
  <si>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</si>
  <si>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</si>
  <si>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</si>
  <si>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</si>
  <si>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</si>
  <si>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</si>
  <si>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</si>
  <si>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</si>
  <si>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</si>
  <si>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</si>
  <si>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</si>
  <si>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</si>
  <si>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</si>
  <si>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</si>
  <si>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</si>
  <si>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</si>
  <si>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</si>
  <si>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</si>
  <si>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</si>
  <si>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</si>
  <si>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</si>
  <si>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</si>
  <si>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</si>
  <si>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</si>
  <si>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</si>
  <si>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</si>
  <si>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</si>
  <si>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</si>
  <si>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</si>
  <si>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</si>
  <si>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</si>
  <si>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</si>
  <si>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</si>
  <si>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</si>
  <si>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</si>
  <si>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</si>
  <si>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</si>
  <si>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</si>
  <si>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</si>
  <si>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</si>
  <si>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</si>
  <si>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</si>
  <si>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</si>
  <si>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</si>
  <si>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</si>
  <si>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</si>
  <si>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</si>
  <si>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</si>
  <si>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</si>
  <si>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</si>
  <si>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</si>
  <si>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</si>
  <si>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</si>
  <si>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</si>
  <si>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</si>
  <si>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</si>
  <si>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</si>
  <si>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</si>
  <si>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</si>
  <si>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</si>
  <si>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</si>
  <si>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</si>
  <si>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</si>
  <si>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</si>
  <si>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</si>
  <si>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</si>
  <si>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</si>
  <si>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</si>
  <si>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</si>
  <si>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</si>
  <si>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</si>
  <si>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</si>
  <si>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</si>
  <si>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</si>
  <si>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</si>
  <si>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</si>
  <si>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</si>
  <si>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</si>
  <si>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</si>
  <si>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</si>
  <si>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</si>
  <si>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</si>
  <si>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</si>
  <si>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</si>
  <si>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</si>
  <si>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</si>
  <si>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</si>
  <si>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</si>
  <si>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</si>
  <si>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</si>
  <si>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</si>
  <si>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</si>
  <si>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</si>
  <si>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</si>
  <si>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</si>
  <si>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</si>
  <si>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</si>
  <si>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</si>
  <si>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</si>
  <si>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</si>
  <si>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</si>
  <si>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</si>
  <si>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</si>
  <si>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</si>
  <si>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</si>
  <si>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</si>
  <si>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</si>
  <si>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</si>
  <si>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</si>
  <si>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</si>
  <si>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</si>
  <si>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</si>
  <si>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</si>
  <si>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</si>
  <si>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</si>
  <si>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</si>
  <si>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</si>
  <si>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</si>
  <si>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</si>
  <si>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</si>
  <si>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</si>
  <si>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</si>
  <si>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</si>
  <si>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</si>
  <si>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</si>
  <si>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</si>
  <si>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</si>
  <si>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</si>
  <si>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</si>
  <si>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</si>
  <si>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</si>
  <si>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</si>
  <si>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</si>
  <si>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</si>
  <si>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</si>
  <si>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</si>
  <si>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</si>
  <si>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</si>
  <si>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</si>
  <si>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</si>
  <si>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</si>
  <si>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</si>
  <si>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</si>
  <si>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</si>
  <si>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</si>
  <si>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</si>
  <si>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</si>
  <si>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</si>
  <si>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</si>
  <si>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</si>
  <si>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</si>
  <si>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</si>
  <si>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</si>
  <si>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</si>
  <si>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</si>
  <si>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</si>
  <si>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</si>
  <si>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</si>
  <si>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</si>
  <si>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</si>
  <si>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</si>
  <si>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</si>
  <si>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</si>
  <si>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</si>
  <si>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</si>
  <si>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</si>
  <si>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</si>
  <si>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</si>
  <si>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</si>
  <si>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</si>
  <si>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</si>
  <si>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</si>
  <si>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</si>
  <si>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</si>
  <si>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</si>
  <si>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</si>
  <si>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</si>
  <si>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</si>
  <si>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</si>
  <si>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</si>
  <si>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</si>
  <si>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</si>
  <si>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</si>
  <si>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</si>
  <si>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</si>
  <si>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</si>
  <si>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</si>
  <si>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</si>
  <si>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</si>
  <si>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</si>
  <si>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</si>
  <si>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</si>
  <si>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</si>
  <si>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</si>
  <si>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</si>
  <si>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</si>
  <si>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</si>
  <si>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</si>
  <si>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</si>
  <si>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</si>
  <si>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</si>
  <si>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</si>
  <si>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</si>
  <si>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</si>
  <si>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</si>
  <si>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</si>
  <si>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</si>
  <si>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</si>
  <si>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</si>
  <si>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</si>
  <si>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</si>
  <si>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</si>
  <si>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</si>
  <si>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</si>
  <si>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</si>
  <si>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</si>
  <si>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</si>
  <si>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</si>
  <si>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</si>
  <si>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</si>
  <si>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</si>
  <si>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</si>
  <si>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</si>
  <si>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</si>
  <si>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</si>
  <si>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</si>
  <si>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</si>
  <si>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</si>
  <si>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</si>
  <si>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</si>
  <si>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</si>
  <si>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</si>
  <si>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</si>
  <si>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</si>
  <si>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</si>
  <si>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</si>
  <si>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</si>
  <si>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</si>
  <si>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</si>
  <si>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</si>
  <si>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</si>
  <si>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</si>
  <si>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</si>
  <si>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</si>
  <si>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</si>
  <si>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</si>
  <si>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</si>
  <si>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</si>
  <si>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</si>
  <si>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</si>
  <si>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</si>
  <si>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</si>
  <si>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</si>
  <si>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</si>
  <si>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</si>
  <si>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</si>
  <si>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</si>
  <si>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</si>
  <si>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</si>
  <si>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</si>
  <si>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</si>
  <si>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</si>
  <si>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</si>
  <si>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</si>
  <si>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</si>
  <si>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</si>
  <si>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</si>
  <si>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</si>
  <si>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</si>
  <si>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</si>
  <si>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</si>
  <si>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</si>
  <si>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</si>
  <si>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</si>
  <si>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</si>
  <si>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</si>
  <si>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</si>
  <si>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</si>
  <si>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</si>
  <si>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</si>
  <si>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</si>
  <si>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</si>
  <si>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</si>
  <si>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</si>
  <si>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</si>
  <si>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</si>
  <si>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</si>
  <si>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</si>
  <si>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</si>
  <si>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</si>
  <si>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</si>
  <si>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</si>
  <si>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</si>
  <si>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</si>
  <si>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</si>
  <si>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</si>
  <si>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</si>
  <si>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</si>
  <si>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</si>
  <si>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</si>
  <si>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</si>
  <si>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</si>
  <si>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</si>
  <si>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</si>
  <si>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</si>
  <si>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</si>
  <si>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</si>
  <si>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</si>
  <si>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</si>
  <si>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</si>
  <si>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</si>
  <si>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</si>
  <si>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</si>
  <si>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</si>
  <si>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</si>
  <si>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</si>
  <si>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</si>
  <si>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</si>
  <si>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</si>
  <si>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</si>
  <si>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</si>
  <si>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</si>
  <si>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</si>
  <si>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</si>
  <si>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</si>
  <si>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</si>
  <si>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</si>
  <si>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</si>
  <si>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</si>
  <si>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</si>
  <si>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</si>
  <si>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</si>
  <si>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</si>
  <si>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</si>
  <si>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</si>
  <si>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</si>
  <si>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</si>
  <si>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</si>
  <si>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</si>
  <si>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</si>
  <si>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</si>
  <si>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</si>
  <si>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</si>
  <si>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</si>
  <si>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</si>
  <si>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</si>
  <si>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</si>
  <si>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</si>
  <si>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</si>
  <si>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</si>
  <si>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</si>
  <si>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</si>
  <si>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</si>
  <si>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</si>
  <si>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</si>
  <si>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</si>
  <si>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</si>
  <si>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</si>
  <si>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</si>
  <si>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</si>
  <si>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</si>
  <si>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</si>
  <si>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</si>
  <si>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</si>
  <si>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</si>
  <si>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</si>
  <si>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</si>
  <si>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</si>
  <si>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</si>
  <si>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</si>
  <si>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</si>
  <si>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</si>
  <si>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</si>
  <si>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</si>
  <si>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</si>
  <si>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</si>
  <si>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</si>
  <si>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</si>
  <si>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</si>
  <si>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</si>
  <si>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</si>
  <si>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</si>
  <si>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</si>
  <si>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</si>
  <si>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</si>
  <si>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</si>
  <si>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</si>
  <si>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</si>
  <si>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</si>
  <si>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</si>
  <si>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</si>
  <si>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</si>
  <si>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</si>
  <si>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</si>
  <si>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</si>
  <si>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</si>
  <si>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</si>
  <si>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</si>
  <si>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</si>
  <si>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</si>
  <si>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</si>
  <si>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</si>
  <si>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</si>
  <si>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</si>
  <si>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</si>
  <si>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</si>
  <si>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</si>
  <si>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</si>
  <si>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</si>
  <si>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</si>
  <si>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</si>
  <si>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</si>
  <si>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</si>
  <si>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</si>
  <si>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</si>
  <si>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</si>
  <si>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</si>
  <si>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</si>
  <si>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</si>
  <si>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</si>
  <si>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</si>
  <si>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</si>
  <si>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</si>
  <si>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</si>
  <si>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</si>
  <si>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</si>
  <si>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</si>
  <si>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</si>
  <si>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</si>
  <si>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</si>
  <si>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</si>
  <si>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</si>
  <si>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</si>
  <si>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</si>
  <si>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</si>
  <si>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</si>
  <si>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</si>
  <si>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</si>
  <si>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</si>
  <si>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</si>
  <si>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</si>
  <si>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</si>
  <si>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</si>
  <si>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</si>
  <si>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</si>
  <si>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</si>
  <si>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</si>
  <si>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</si>
  <si>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</si>
  <si>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</si>
  <si>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</si>
  <si>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</si>
  <si>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</si>
  <si>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</si>
  <si>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</si>
  <si>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</si>
  <si>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</si>
  <si>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</si>
  <si>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</si>
  <si>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</si>
  <si>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</si>
  <si>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</si>
  <si>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</si>
  <si>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</si>
  <si>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</si>
  <si>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</si>
  <si>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</si>
  <si>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</si>
  <si>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</si>
  <si>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</si>
  <si>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</si>
  <si>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</si>
  <si>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</si>
  <si>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</si>
  <si>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</si>
  <si>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</si>
  <si>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</si>
  <si>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</si>
  <si>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</si>
  <si>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</si>
  <si>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</si>
  <si>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</si>
  <si>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</si>
  <si>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</si>
  <si>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</si>
  <si>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</si>
  <si>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</si>
  <si>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</si>
  <si>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</si>
  <si>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</si>
  <si>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</si>
  <si>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</si>
  <si>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</si>
  <si>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</si>
  <si>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</si>
  <si>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</si>
  <si>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</si>
  <si>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</si>
  <si>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</si>
  <si>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</si>
  <si>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</si>
  <si>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</si>
  <si>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</si>
  <si>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</si>
  <si>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</si>
  <si>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</si>
  <si>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</si>
  <si>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</si>
  <si>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</si>
  <si>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</si>
  <si>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</si>
  <si>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</si>
  <si>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</si>
  <si>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</si>
  <si>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</si>
  <si>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</si>
  <si>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</si>
  <si>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</si>
  <si>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</si>
  <si>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</si>
  <si>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</si>
  <si>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</si>
  <si>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</si>
  <si>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</si>
  <si>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</si>
  <si>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</si>
  <si>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</si>
  <si>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</si>
  <si>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</si>
  <si>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</si>
  <si>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</si>
  <si>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</si>
  <si>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</si>
  <si>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</si>
  <si>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</si>
  <si>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</si>
  <si>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</si>
  <si>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</si>
  <si>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</si>
  <si>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</si>
  <si>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</si>
  <si>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</si>
  <si>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</si>
  <si>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</si>
  <si>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</si>
  <si>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</si>
  <si>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</si>
  <si>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</si>
  <si>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</si>
  <si>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</si>
  <si>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</si>
  <si>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</si>
  <si>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</si>
  <si>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</si>
  <si>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</si>
  <si>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</si>
  <si>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</si>
  <si>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</si>
  <si>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</si>
  <si>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</si>
  <si>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</si>
  <si>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</si>
  <si>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</si>
  <si>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</si>
  <si>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</si>
  <si>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</si>
  <si>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</si>
  <si>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</si>
  <si>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</si>
  <si>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</si>
  <si>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</si>
  <si>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</si>
  <si>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</si>
  <si>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</si>
  <si>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</si>
  <si>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</si>
  <si>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</si>
  <si>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</si>
  <si>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</si>
  <si>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</si>
  <si>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</si>
  <si>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</si>
  <si>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</si>
  <si>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</si>
  <si>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</si>
  <si>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</si>
  <si>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</si>
  <si>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</si>
  <si>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</si>
  <si>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</si>
  <si>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</si>
  <si>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</si>
  <si>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</si>
  <si>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</si>
  <si>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</si>
  <si>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</si>
  <si>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</si>
  <si>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</si>
  <si>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</si>
  <si>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</si>
  <si>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</si>
  <si>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</si>
  <si>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</si>
  <si>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</si>
  <si>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</si>
  <si>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</si>
  <si>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</si>
  <si>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</si>
  <si>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</si>
  <si>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</si>
  <si>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</si>
  <si>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</si>
  <si>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</si>
  <si>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</si>
  <si>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</si>
  <si>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</si>
  <si>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</si>
  <si>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</si>
  <si>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</si>
  <si>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</si>
  <si>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</si>
  <si>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</si>
  <si>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</si>
  <si>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</si>
  <si>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</si>
  <si>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</si>
  <si>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</si>
  <si>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</si>
  <si>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</si>
  <si>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</si>
  <si>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</si>
  <si>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</si>
  <si>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</si>
  <si>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</si>
  <si>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</si>
  <si>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</si>
  <si>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</si>
  <si>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</si>
  <si>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</si>
  <si>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</si>
  <si>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</si>
  <si>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</si>
  <si>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</si>
  <si>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</si>
  <si>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</si>
  <si>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</si>
  <si>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</si>
  <si>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</si>
  <si>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</si>
  <si>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</si>
  <si>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</si>
  <si>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</si>
  <si>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</si>
  <si>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</si>
  <si>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</si>
  <si>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</si>
  <si>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</si>
  <si>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</si>
  <si>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</si>
  <si>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</si>
  <si>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</si>
  <si>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</si>
  <si>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</si>
  <si>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</si>
  <si>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</si>
  <si>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</si>
  <si>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</si>
  <si>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</si>
  <si>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</si>
  <si>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</si>
  <si>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</si>
  <si>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</si>
  <si>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</si>
  <si>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</si>
  <si>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</si>
  <si>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</si>
  <si>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</si>
  <si>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</si>
  <si>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</si>
  <si>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</si>
  <si>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</si>
  <si>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</si>
  <si>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</si>
  <si>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</si>
  <si>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</si>
  <si>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</si>
  <si>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</si>
  <si>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</si>
  <si>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</si>
  <si>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</si>
  <si>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</si>
  <si>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</si>
  <si>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</si>
  <si>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</si>
  <si>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</si>
  <si>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</si>
  <si>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</si>
  <si>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</si>
  <si>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</si>
  <si>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</si>
  <si>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</si>
  <si>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</si>
  <si>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</si>
  <si>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</si>
  <si>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</si>
  <si>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</si>
  <si>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</si>
  <si>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</si>
  <si>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</si>
  <si>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</si>
  <si>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</si>
  <si>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</si>
  <si>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</si>
  <si>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</si>
  <si>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</si>
  <si>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</si>
  <si>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</si>
  <si>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</si>
  <si>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</si>
  <si>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</si>
  <si>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</si>
  <si>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</si>
  <si>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</si>
  <si>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</si>
  <si>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</si>
  <si>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</si>
  <si>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</si>
  <si>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</si>
  <si>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</si>
  <si>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</si>
  <si>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</si>
  <si>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</si>
  <si>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</si>
  <si>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</si>
  <si>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</si>
  <si>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</si>
  <si>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</si>
  <si>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</si>
  <si>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</si>
  <si>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</si>
  <si>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</si>
  <si>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</si>
  <si>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</si>
  <si>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</si>
  <si>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</si>
  <si>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</si>
  <si>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</si>
  <si>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</si>
  <si>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</si>
  <si>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</si>
  <si>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</si>
  <si>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</si>
  <si>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</si>
  <si>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</si>
  <si>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</si>
  <si>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</si>
  <si>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</si>
  <si>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</si>
  <si>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</si>
  <si>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</si>
  <si>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</si>
  <si>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</si>
  <si>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</si>
  <si>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</si>
  <si>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</si>
  <si>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</si>
  <si>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</si>
  <si>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</si>
  <si>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</si>
  <si>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</si>
  <si>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</si>
  <si>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</si>
  <si>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</si>
  <si>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</si>
  <si>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</si>
  <si>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</si>
  <si>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</si>
  <si>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</si>
  <si>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</si>
  <si>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</si>
  <si>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</si>
  <si>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</si>
  <si>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</si>
  <si>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</si>
  <si>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</si>
  <si>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</si>
  <si>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</si>
  <si>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</si>
  <si>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</si>
  <si>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</si>
  <si>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</si>
  <si>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</si>
  <si>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</si>
  <si>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</si>
  <si>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</si>
  <si>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</si>
  <si>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</si>
  <si>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</si>
  <si>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</si>
  <si>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</si>
  <si>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</si>
  <si>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</si>
  <si>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</si>
  <si>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</si>
  <si>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</si>
  <si>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</si>
  <si>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</si>
  <si>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</si>
  <si>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</si>
  <si>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</si>
  <si>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</si>
  <si>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</si>
  <si>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</si>
  <si>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</si>
  <si>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</si>
  <si>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</si>
  <si>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</si>
  <si>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</si>
  <si>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</si>
  <si>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</si>
  <si>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</si>
  <si>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</si>
  <si>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</si>
  <si>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</si>
  <si>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</si>
  <si>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</si>
  <si>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</si>
  <si>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</si>
  <si>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</si>
  <si>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</si>
  <si>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</si>
  <si>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</si>
  <si>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</si>
  <si>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</si>
  <si>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</si>
  <si>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</si>
  <si>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</si>
  <si>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</si>
  <si>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</si>
  <si>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</si>
  <si>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</si>
  <si>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</si>
  <si>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</si>
  <si>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</si>
  <si>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</si>
  <si>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</si>
  <si>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</si>
  <si>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</si>
  <si>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</si>
  <si>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</si>
  <si>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</si>
  <si>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</si>
  <si>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</si>
  <si>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</si>
  <si>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</si>
  <si>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</si>
  <si>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</si>
  <si>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</si>
  <si>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</si>
  <si>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</si>
  <si>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</si>
  <si>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</si>
  <si>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</si>
  <si>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</si>
  <si>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</si>
  <si>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</si>
  <si>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</si>
  <si>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</si>
  <si>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</si>
  <si>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</si>
  <si>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</si>
  <si>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</si>
  <si>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</si>
  <si>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</si>
  <si>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</si>
  <si>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</si>
  <si>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</si>
  <si>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</si>
  <si>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</si>
  <si>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</si>
  <si>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</si>
  <si>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</si>
  <si>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</si>
  <si>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</si>
  <si>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</si>
  <si>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</si>
  <si>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</si>
  <si>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</si>
  <si>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</si>
  <si>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</si>
  <si>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</si>
  <si>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</si>
  <si>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</si>
  <si>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</si>
  <si>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</si>
  <si>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</si>
  <si>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</si>
  <si>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</si>
  <si>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</si>
  <si>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</si>
  <si>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</si>
  <si>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</si>
  <si>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</si>
  <si>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</si>
  <si>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</si>
  <si>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</si>
  <si>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</si>
  <si>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</si>
  <si>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</si>
  <si>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</si>
  <si>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</si>
  <si>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</si>
  <si>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</si>
  <si>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</si>
  <si>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</si>
  <si>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</si>
  <si>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</si>
  <si>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</si>
  <si>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</si>
  <si>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</si>
  <si>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</si>
  <si>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</si>
  <si>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</si>
  <si>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</si>
  <si>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</si>
  <si>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</si>
  <si>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</si>
  <si>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</si>
  <si>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</si>
  <si>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</si>
  <si>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</si>
  <si>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</si>
  <si>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</si>
  <si>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</si>
  <si>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</si>
  <si>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</si>
  <si>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</si>
  <si>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</si>
  <si>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</si>
  <si>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</si>
  <si>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</si>
  <si>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</si>
  <si>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</si>
  <si>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</si>
  <si>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</si>
  <si>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</si>
  <si>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</si>
  <si>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</si>
  <si>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</si>
  <si>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</si>
  <si>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</si>
  <si>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</si>
  <si>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</si>
  <si>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</si>
  <si>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</si>
  <si>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</si>
  <si>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</si>
  <si>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</si>
  <si>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</si>
  <si>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</si>
  <si>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</si>
  <si>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</si>
  <si>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</si>
  <si>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</si>
  <si>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</si>
  <si>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</si>
  <si>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</si>
  <si>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</si>
  <si>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</si>
  <si>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</si>
  <si>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</si>
  <si>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</si>
  <si>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</si>
  <si>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</si>
  <si>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</si>
  <si>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</si>
  <si>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</si>
  <si>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</si>
  <si>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</si>
  <si>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</si>
  <si>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</si>
  <si>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</si>
  <si>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</si>
  <si>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</si>
  <si>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</si>
  <si>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</si>
  <si>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</si>
  <si>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</si>
  <si>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</si>
  <si>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</si>
  <si>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</si>
  <si>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</si>
  <si>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</si>
  <si>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</si>
  <si>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</si>
  <si>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</si>
  <si>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</si>
  <si>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</si>
  <si>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</si>
  <si>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</si>
  <si>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</si>
  <si>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</si>
  <si>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</si>
  <si>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</si>
  <si>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</si>
  <si>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</si>
  <si>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</si>
  <si>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</si>
  <si>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</si>
  <si>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</si>
  <si>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</si>
  <si>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</si>
  <si>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</si>
  <si>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</si>
  <si>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</si>
  <si>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</si>
  <si>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</si>
  <si>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</si>
  <si>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</si>
  <si>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</si>
  <si>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</si>
  <si>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</si>
  <si>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</si>
  <si>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</si>
  <si>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</si>
  <si>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</si>
  <si>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</si>
  <si>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</si>
  <si>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</si>
  <si>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</si>
  <si>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</si>
  <si>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</si>
  <si>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</si>
  <si>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</si>
  <si>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</si>
  <si>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</si>
  <si>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</si>
  <si>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</si>
  <si>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</si>
  <si>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</si>
  <si>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</si>
  <si>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</si>
  <si>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</si>
  <si>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</si>
  <si>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</si>
  <si>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</si>
  <si>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</si>
  <si>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</si>
  <si>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</si>
  <si>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</si>
  <si>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</si>
  <si>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</si>
  <si>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</si>
  <si>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</si>
  <si>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</si>
  <si>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</si>
  <si>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</si>
  <si>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</si>
  <si>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</si>
  <si>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</si>
  <si>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</si>
  <si>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</si>
  <si>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</si>
  <si>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</si>
  <si>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</si>
  <si>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</si>
  <si>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</si>
  <si>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</si>
  <si>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</si>
  <si>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</si>
  <si>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</si>
  <si>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</si>
  <si>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</si>
  <si>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</si>
  <si>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</si>
  <si>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</si>
  <si>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</si>
  <si>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</si>
  <si>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</si>
  <si>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</si>
  <si>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</si>
  <si>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</si>
  <si>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</si>
  <si>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</si>
  <si>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</si>
  <si>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</si>
  <si>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</si>
  <si>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</si>
  <si>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</si>
  <si>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</si>
  <si>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</si>
  <si>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</si>
  <si>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</si>
  <si>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</si>
  <si>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</si>
  <si>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</si>
  <si>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</si>
  <si>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</si>
  <si>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</si>
  <si>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</si>
  <si>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</si>
  <si>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</si>
  <si>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</si>
  <si>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</si>
  <si>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</si>
  <si>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</si>
  <si>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</si>
  <si>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</si>
  <si>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</si>
  <si>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</si>
  <si>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</si>
  <si>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</si>
  <si>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</si>
  <si>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</si>
  <si>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</si>
  <si>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</si>
  <si>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</si>
  <si>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</si>
  <si>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</si>
  <si>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</si>
  <si>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</si>
  <si>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</si>
  <si>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</si>
  <si>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</si>
  <si>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</si>
  <si>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</si>
  <si>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</si>
  <si>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</si>
  <si>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</si>
  <si>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</si>
  <si>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</si>
  <si>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</si>
  <si>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</si>
  <si>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</si>
  <si>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</si>
  <si>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</si>
  <si>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</si>
  <si>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</si>
  <si>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</si>
  <si>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</si>
  <si>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</si>
  <si>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</si>
  <si>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</si>
  <si>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</si>
  <si>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</si>
  <si>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</si>
  <si>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</si>
  <si>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</si>
  <si>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</si>
  <si>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</si>
  <si>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</si>
  <si>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</si>
  <si>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</si>
  <si>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</si>
  <si>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</si>
  <si>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</si>
  <si>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</si>
  <si>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</si>
  <si>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</si>
  <si>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</si>
  <si>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</si>
  <si>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</si>
  <si>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</si>
  <si>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</si>
  <si>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</si>
  <si>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</si>
  <si>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</si>
  <si>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</si>
  <si>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</si>
  <si>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</si>
  <si>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</si>
  <si>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</si>
  <si>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</si>
  <si>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</si>
  <si>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</si>
  <si>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</si>
  <si>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</si>
  <si>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</si>
  <si>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</si>
  <si>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</si>
  <si>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</si>
  <si>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</si>
  <si>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</si>
  <si>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</si>
  <si>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</si>
  <si>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</si>
  <si>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</si>
  <si>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</si>
  <si>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</si>
  <si>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</si>
  <si>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</si>
  <si>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</si>
  <si>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</si>
  <si>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</si>
  <si>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</si>
  <si>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</si>
  <si>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</si>
  <si>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</si>
  <si>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</si>
  <si>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</si>
  <si>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</si>
  <si>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</si>
  <si>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</si>
  <si>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</si>
  <si>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</si>
  <si>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</si>
  <si>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</si>
  <si>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</si>
  <si>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</si>
  <si>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</si>
  <si>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</si>
  <si>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</si>
  <si>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</si>
  <si>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</si>
  <si>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</si>
  <si>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</si>
  <si>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</si>
  <si>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</si>
  <si>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</si>
  <si>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</si>
  <si>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</si>
  <si>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</si>
  <si>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</si>
  <si>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</si>
  <si>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</si>
  <si>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</si>
  <si>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</si>
  <si>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</si>
  <si>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</si>
  <si>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</si>
  <si>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</si>
  <si>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</si>
  <si>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</si>
  <si>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</si>
  <si>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</si>
  <si>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</si>
  <si>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</si>
  <si>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</si>
  <si>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</si>
  <si>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</si>
  <si>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</si>
  <si>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</si>
  <si>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</si>
  <si>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</si>
  <si>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</si>
  <si>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</si>
  <si>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</si>
  <si>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</si>
  <si>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</si>
  <si>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</si>
  <si>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</si>
  <si>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</si>
  <si>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</si>
  <si>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</si>
  <si>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</si>
  <si>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</si>
  <si>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</si>
  <si>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</si>
  <si>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</si>
  <si>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</si>
  <si>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</si>
  <si>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</si>
  <si>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</si>
  <si>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</si>
  <si>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</si>
  <si>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</si>
  <si>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</si>
  <si>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</si>
  <si>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</si>
  <si>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</si>
  <si>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</si>
  <si>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</si>
  <si>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</si>
  <si>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</si>
  <si>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</si>
  <si>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</si>
  <si>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</si>
  <si>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</si>
  <si>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</si>
  <si>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</si>
  <si>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</si>
  <si>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</si>
  <si>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</si>
  <si>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</si>
  <si>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</si>
  <si>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</si>
  <si>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</si>
  <si>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</si>
  <si>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</si>
  <si>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</si>
  <si>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</si>
  <si>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</si>
  <si>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</si>
  <si>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</si>
  <si>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</si>
  <si>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</si>
  <si>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</si>
  <si>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</si>
  <si>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</si>
  <si>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</si>
  <si>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</si>
  <si>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</si>
  <si>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</si>
  <si>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</si>
  <si>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</si>
  <si>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</si>
  <si>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</si>
  <si>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</si>
  <si>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</si>
  <si>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</si>
  <si>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</si>
  <si>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</si>
  <si>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</si>
  <si>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</si>
  <si>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</si>
  <si>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</si>
  <si>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</si>
  <si>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</si>
  <si>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</si>
  <si>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</si>
  <si>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</si>
  <si>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</si>
  <si>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</si>
  <si>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</si>
  <si>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</si>
  <si>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</si>
  <si>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</si>
  <si>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</si>
  <si>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</si>
  <si>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</si>
  <si>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</si>
  <si>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</si>
  <si>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</si>
  <si>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</si>
  <si>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</si>
  <si>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</si>
  <si>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</si>
  <si>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</si>
  <si>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</si>
  <si>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</si>
  <si>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</si>
  <si>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</si>
  <si>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</si>
  <si>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</si>
  <si>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</si>
  <si>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</si>
  <si>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</si>
  <si>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</si>
  <si>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</si>
  <si>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</si>
  <si>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</si>
  <si>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</si>
  <si>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</si>
  <si>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</si>
  <si>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</si>
  <si>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</si>
  <si>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</si>
  <si>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</si>
  <si>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</si>
  <si>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</si>
  <si>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</si>
  <si>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</si>
  <si>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</si>
  <si>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</si>
  <si>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</si>
  <si>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</si>
  <si>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</si>
  <si>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</si>
  <si>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</si>
  <si>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</si>
  <si>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</si>
  <si>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</si>
  <si>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</si>
  <si>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</si>
  <si>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</si>
  <si>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</si>
  <si>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</si>
  <si>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</si>
  <si>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</si>
  <si>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</si>
  <si>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</si>
  <si>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</si>
  <si>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</si>
  <si>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</si>
  <si>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</si>
  <si>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</si>
  <si>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</si>
  <si>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</si>
  <si>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</si>
  <si>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</si>
  <si>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</si>
  <si>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</si>
  <si>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</si>
  <si>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</si>
  <si>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</si>
  <si>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</si>
  <si>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</si>
  <si>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</si>
  <si>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</si>
  <si>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</si>
  <si>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</si>
  <si>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</si>
  <si>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</si>
  <si>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</si>
  <si>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</si>
  <si>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</si>
  <si>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</si>
  <si>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</si>
  <si>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</si>
  <si>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</si>
  <si>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</si>
  <si>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</si>
  <si>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</si>
  <si>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</si>
  <si>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</si>
  <si>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</si>
  <si>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</si>
  <si>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</si>
  <si>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</si>
  <si>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</si>
  <si>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</si>
  <si>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</si>
  <si>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</si>
  <si>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</si>
  <si>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</si>
  <si>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</si>
  <si>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</si>
  <si>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</si>
  <si>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</si>
  <si>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</si>
  <si>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</si>
  <si>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</si>
  <si>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</si>
  <si>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</si>
  <si>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</si>
  <si>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</si>
  <si>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</si>
  <si>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</si>
  <si>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</si>
  <si>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</si>
  <si>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</si>
  <si>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</si>
  <si>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</si>
  <si>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</si>
  <si>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</si>
  <si>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</si>
  <si>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</si>
  <si>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</si>
  <si>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</si>
  <si>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</si>
  <si>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</si>
  <si>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</si>
  <si>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</si>
  <si>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</si>
  <si>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</si>
  <si>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</si>
  <si>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</si>
  <si>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</si>
  <si>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</si>
  <si>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</si>
  <si>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</si>
  <si>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</si>
  <si>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</si>
  <si>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</si>
  <si>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</si>
  <si>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</si>
  <si>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</si>
  <si>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</si>
  <si>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</si>
  <si>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</si>
  <si>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</si>
  <si>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</si>
  <si>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</si>
  <si>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</si>
  <si>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</si>
  <si>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</si>
  <si>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</si>
  <si>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</si>
  <si>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</si>
  <si>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</si>
  <si>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</si>
  <si>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</si>
  <si>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</si>
  <si>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</si>
  <si>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</si>
  <si>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</si>
  <si>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</si>
  <si>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</si>
  <si>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</si>
  <si>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</si>
  <si>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</si>
  <si>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</si>
  <si>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</si>
  <si>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</si>
  <si>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</si>
  <si>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</si>
  <si>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</si>
  <si>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</si>
  <si>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</si>
  <si>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</si>
  <si>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</si>
  <si>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</si>
  <si>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</si>
  <si>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</si>
  <si>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</si>
  <si>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</si>
  <si>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</si>
  <si>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</si>
  <si>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</si>
  <si>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</si>
  <si>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</si>
  <si>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</si>
  <si>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</si>
  <si>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</si>
  <si>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</si>
  <si>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</si>
  <si>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</si>
  <si>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</si>
  <si>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</si>
  <si>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</si>
  <si>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</si>
  <si>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</si>
  <si>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</si>
  <si>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</si>
  <si>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</si>
  <si>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</si>
  <si>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</si>
  <si>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</si>
  <si>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</si>
  <si>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</si>
  <si>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</si>
  <si>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</si>
  <si>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</si>
  <si>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</si>
  <si>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</si>
  <si>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</si>
  <si>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</si>
  <si>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</si>
  <si>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</si>
  <si>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</si>
  <si>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</si>
  <si>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</si>
  <si>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</si>
  <si>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</si>
  <si>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</si>
  <si>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</si>
  <si>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</si>
  <si>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</si>
  <si>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</si>
  <si>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</si>
  <si>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</si>
  <si>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</si>
  <si>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</si>
  <si>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</si>
  <si>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</si>
  <si>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</si>
  <si>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</si>
  <si>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</si>
  <si>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</si>
  <si>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</si>
  <si>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</si>
  <si>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</si>
  <si>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</si>
  <si>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</si>
  <si>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</si>
  <si>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</si>
  <si>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</si>
  <si>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</si>
  <si>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</si>
  <si>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</si>
  <si>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</si>
  <si>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</si>
  <si>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</si>
  <si>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</si>
  <si>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</si>
  <si>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</si>
  <si>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</si>
  <si>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</si>
  <si>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</si>
  <si>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</si>
  <si>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</si>
  <si>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</si>
  <si>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</si>
  <si>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</si>
  <si>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</si>
  <si>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</si>
  <si>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</si>
  <si>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</si>
  <si>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</si>
  <si>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</si>
  <si>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</si>
  <si>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</si>
  <si>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</si>
  <si>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</si>
  <si>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</si>
  <si>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</si>
  <si>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</si>
  <si>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</si>
  <si>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</si>
  <si>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</si>
  <si>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</si>
  <si>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</si>
  <si>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</si>
  <si>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</si>
  <si>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</si>
  <si>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</si>
  <si>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</si>
  <si>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</si>
  <si>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</si>
  <si>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</si>
  <si>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</si>
  <si>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</si>
  <si>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</si>
  <si>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</si>
  <si>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</si>
  <si>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</si>
  <si>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</si>
  <si>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</si>
  <si>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</si>
  <si>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</si>
  <si>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</si>
  <si>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</si>
  <si>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</si>
  <si>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</si>
  <si>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</si>
  <si>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</si>
  <si>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</si>
  <si>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</si>
  <si>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</si>
  <si>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</si>
  <si>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</si>
  <si>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</si>
  <si>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</si>
  <si>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</si>
  <si>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</si>
  <si>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</si>
  <si>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</si>
  <si>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</si>
  <si>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</si>
  <si>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</si>
  <si>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</si>
  <si>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</si>
  <si>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</si>
  <si>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</si>
  <si>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</si>
  <si>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</si>
  <si>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</si>
  <si>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</si>
  <si>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</si>
  <si>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</si>
  <si>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</si>
  <si>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</si>
  <si>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</si>
  <si>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</si>
  <si>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</si>
  <si>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</si>
  <si>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</si>
  <si>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</si>
  <si>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</si>
  <si>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</si>
  <si>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</si>
  <si>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</si>
  <si>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</si>
  <si>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</si>
  <si>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</si>
  <si>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</si>
  <si>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</si>
  <si>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</si>
  <si>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</si>
  <si>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</si>
  <si>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</si>
  <si>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</si>
  <si>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</si>
  <si>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</si>
  <si>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</si>
  <si>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</si>
  <si>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</si>
  <si>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</si>
  <si>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</si>
  <si>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</si>
  <si>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</si>
  <si>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</si>
  <si>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</si>
  <si>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</si>
  <si>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</si>
  <si>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</si>
  <si>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</si>
  <si>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</si>
  <si>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</si>
  <si>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</si>
  <si>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</si>
  <si>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</si>
  <si>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</si>
  <si>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</si>
  <si>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</si>
  <si>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</si>
  <si>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</si>
  <si>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</si>
  <si>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</si>
  <si>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</si>
  <si>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</si>
  <si>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</si>
  <si>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</si>
  <si>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</si>
  <si>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</si>
  <si>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</si>
  <si>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</si>
  <si>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</si>
  <si>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</si>
  <si>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</si>
  <si>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</si>
  <si>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</si>
  <si>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</si>
  <si>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</si>
  <si>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</si>
  <si>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</si>
  <si>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</si>
  <si>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</si>
  <si>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</si>
  <si>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</si>
  <si>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</si>
  <si>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</si>
  <si>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</si>
  <si>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</si>
  <si>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</si>
  <si>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</si>
  <si>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</si>
  <si>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</si>
  <si>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</si>
  <si>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</si>
  <si>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</si>
  <si>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</si>
  <si>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</si>
  <si>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</si>
  <si>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</si>
  <si>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</si>
  <si>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</si>
  <si>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</si>
  <si>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</si>
  <si>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</si>
  <si>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</si>
  <si>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</si>
  <si>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</si>
  <si>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</si>
  <si>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</si>
  <si>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</si>
  <si>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</si>
  <si>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</si>
  <si>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</si>
  <si>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</si>
  <si>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</si>
  <si>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</si>
  <si>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</si>
  <si>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</si>
  <si>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</si>
  <si>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</si>
  <si>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</si>
  <si>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</si>
  <si>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</si>
  <si>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</si>
  <si>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</si>
  <si>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</si>
  <si>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</si>
  <si>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</si>
  <si>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</si>
  <si>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</si>
  <si>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</si>
  <si>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</si>
  <si>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</si>
  <si>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</si>
  <si>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</si>
  <si>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</si>
  <si>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</si>
  <si>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</si>
  <si>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</si>
  <si>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</si>
  <si>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</si>
  <si>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</si>
  <si>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</si>
  <si>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</si>
  <si>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</si>
  <si>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</si>
  <si>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</si>
  <si>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</si>
  <si>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</si>
  <si>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</si>
  <si>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</si>
  <si>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</si>
  <si>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</si>
  <si>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</si>
  <si>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</si>
  <si>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</si>
  <si>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</si>
  <si>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</si>
  <si>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</si>
  <si>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</si>
  <si>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</si>
  <si>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</si>
  <si>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</si>
  <si>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</si>
  <si>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</si>
  <si>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</si>
  <si>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</si>
  <si>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</si>
  <si>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</si>
  <si>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</si>
  <si>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</si>
  <si>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</si>
  <si>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</si>
  <si>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</si>
  <si>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</si>
  <si>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</si>
  <si>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</si>
  <si>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</si>
  <si>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</si>
  <si>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</si>
  <si>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</si>
  <si>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</si>
  <si>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</si>
  <si>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</si>
  <si>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</si>
  <si>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</si>
  <si>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</si>
  <si>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</si>
  <si>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</si>
  <si>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</si>
  <si>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</si>
  <si>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</si>
  <si>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</si>
  <si>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</si>
  <si>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</si>
  <si>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</si>
  <si>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</si>
  <si>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</si>
  <si>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</si>
  <si>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</si>
  <si>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</si>
  <si>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</si>
  <si>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</si>
  <si>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</si>
  <si>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</si>
  <si>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</si>
  <si>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</si>
  <si>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</si>
  <si>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</si>
  <si>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</si>
  <si>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</si>
  <si>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</si>
  <si>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</si>
  <si>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</si>
  <si>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</si>
  <si>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</si>
  <si>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</si>
  <si>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</si>
  <si>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</si>
  <si>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</si>
  <si>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</si>
  <si>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</si>
  <si>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</si>
  <si>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</si>
  <si>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</si>
  <si>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</si>
  <si>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</si>
  <si>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</si>
  <si>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</si>
  <si>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</si>
  <si>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</si>
  <si>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</si>
  <si>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</si>
  <si>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</si>
  <si>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</si>
  <si>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</si>
  <si>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</si>
  <si>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</si>
  <si>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</si>
  <si>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</si>
  <si>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</si>
  <si>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</si>
  <si>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</si>
  <si>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</si>
  <si>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</si>
  <si>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</si>
  <si>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</si>
  <si>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</si>
  <si>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</si>
  <si>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</si>
  <si>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</si>
  <si>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</si>
  <si>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</si>
  <si>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</si>
  <si>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</si>
  <si>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</si>
  <si>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</si>
  <si>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</si>
  <si>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</si>
  <si>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</si>
  <si>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</si>
  <si>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</si>
  <si>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</si>
  <si>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</si>
  <si>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</si>
  <si>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</si>
  <si>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</si>
  <si>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</si>
  <si>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</si>
  <si>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</si>
  <si>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</si>
  <si>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</si>
  <si>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</si>
  <si>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</si>
  <si>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</si>
  <si>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</si>
  <si>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</si>
  <si>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</si>
  <si>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</si>
  <si>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</si>
  <si>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</si>
  <si>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</si>
  <si>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</si>
  <si>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</si>
  <si>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</si>
  <si>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</si>
  <si>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</si>
  <si>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</si>
  <si>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</si>
  <si>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</si>
  <si>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</si>
  <si>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</si>
  <si>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</si>
  <si>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</si>
  <si>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</si>
  <si>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</si>
  <si>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</si>
  <si>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</si>
  <si>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</si>
  <si>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</si>
  <si>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</si>
  <si>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</si>
  <si>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</si>
  <si>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</si>
  <si>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</si>
  <si>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</si>
  <si>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</si>
  <si>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</si>
  <si>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</si>
  <si>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</si>
  <si>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</si>
  <si>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</si>
  <si>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</si>
  <si>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</si>
  <si>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</si>
  <si>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</si>
  <si>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</si>
  <si>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</si>
  <si>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</si>
  <si>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</si>
  <si>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</si>
  <si>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</si>
  <si>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</si>
  <si>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</si>
  <si>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</si>
  <si>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</si>
  <si>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</si>
  <si>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</si>
  <si>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</si>
  <si>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</si>
  <si>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</si>
  <si>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</si>
  <si>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</si>
  <si>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</si>
  <si>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</si>
  <si>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</si>
  <si>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</si>
  <si>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</si>
  <si>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</si>
  <si>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</si>
  <si>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</si>
  <si>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</si>
  <si>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</si>
  <si>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</si>
  <si>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</si>
  <si>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</si>
  <si>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</si>
  <si>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</si>
  <si>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</si>
  <si>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</si>
  <si>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</si>
  <si>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</si>
  <si>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</si>
  <si>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</si>
  <si>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</si>
  <si>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</si>
  <si>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</si>
  <si>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</si>
  <si>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</si>
  <si>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</si>
  <si>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</si>
  <si>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</si>
  <si>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</si>
  <si>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</si>
  <si>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</si>
  <si>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</si>
  <si>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</si>
  <si>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</si>
  <si>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</si>
  <si>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</si>
  <si>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</si>
  <si>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</si>
  <si>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</si>
  <si>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</si>
  <si>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</si>
  <si>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</si>
  <si>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</si>
  <si>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</si>
  <si>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</si>
  <si>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</si>
  <si>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</si>
  <si>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</si>
  <si>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</si>
  <si>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</si>
  <si>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</si>
  <si>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</si>
  <si>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</si>
  <si>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</si>
  <si>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</si>
  <si>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</si>
  <si>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</si>
  <si>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</si>
  <si>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</si>
  <si>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</si>
  <si>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</si>
  <si>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</si>
  <si>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</si>
  <si>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</si>
  <si>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</si>
  <si>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</si>
  <si>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</si>
  <si>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</si>
  <si>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</si>
  <si>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</si>
  <si>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</si>
  <si>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</si>
  <si>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</si>
  <si>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</si>
  <si>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</si>
  <si>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</si>
  <si>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</si>
  <si>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</si>
  <si>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</si>
  <si>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</si>
  <si>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</si>
  <si>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</si>
  <si>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</si>
  <si>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</si>
  <si>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</si>
  <si>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</si>
  <si>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</si>
  <si>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</si>
  <si>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</si>
  <si>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</si>
  <si>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</si>
  <si>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</si>
  <si>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</si>
  <si>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</si>
  <si>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</si>
  <si>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</si>
  <si>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</si>
  <si>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</si>
  <si>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</si>
  <si>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</si>
  <si>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</si>
  <si>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</si>
  <si>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</si>
  <si>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</si>
  <si>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</si>
  <si>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</si>
  <si>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</si>
  <si>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</si>
  <si>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</si>
  <si>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</si>
  <si>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</si>
  <si>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</si>
  <si>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</si>
  <si>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</si>
  <si>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</si>
  <si>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</si>
  <si>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</si>
  <si>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</si>
  <si>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</si>
  <si>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</si>
  <si>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</si>
  <si>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</si>
  <si>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</si>
  <si>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</si>
  <si>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</si>
  <si>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</si>
  <si>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</si>
  <si>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</si>
  <si>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</si>
  <si>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</si>
  <si>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</si>
  <si>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</si>
  <si>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</si>
  <si>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</si>
  <si>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</si>
  <si>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</si>
  <si>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</si>
  <si>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</si>
  <si>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</si>
  <si>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</si>
  <si>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</si>
  <si>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</si>
  <si>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</si>
  <si>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</si>
  <si>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</si>
  <si>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</si>
  <si>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</si>
  <si>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</si>
  <si>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</si>
  <si>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</si>
  <si>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</si>
  <si>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</si>
  <si>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</si>
  <si>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</si>
  <si>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</si>
  <si>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</si>
  <si>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</si>
  <si>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</si>
  <si>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</si>
  <si>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</si>
  <si>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</si>
  <si>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</si>
  <si>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</si>
  <si>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</si>
  <si>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</si>
  <si>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</si>
  <si>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</si>
  <si>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</si>
  <si>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</si>
  <si>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</si>
  <si>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</si>
  <si>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</si>
  <si>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</si>
  <si>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</si>
  <si>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</si>
  <si>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</si>
  <si>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</si>
  <si>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</si>
  <si>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</si>
  <si>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</si>
  <si>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</si>
  <si>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</si>
  <si>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</si>
  <si>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</si>
  <si>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</si>
  <si>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</si>
  <si>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</si>
  <si>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</si>
  <si>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</si>
  <si>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</si>
  <si>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</si>
  <si>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</si>
  <si>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</si>
  <si>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</si>
  <si>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</si>
  <si>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</si>
  <si>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</si>
  <si>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</si>
  <si>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</si>
  <si>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</si>
  <si>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</si>
  <si>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</si>
  <si>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</si>
  <si>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</si>
  <si>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</si>
  <si>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</si>
  <si>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</si>
  <si>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</si>
  <si>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</si>
  <si>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</si>
  <si>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</si>
  <si>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</si>
  <si>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</si>
  <si>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</si>
  <si>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</si>
  <si>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</si>
  <si>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</si>
  <si>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</si>
  <si>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</si>
  <si>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</si>
  <si>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</si>
  <si>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</si>
  <si>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</si>
  <si>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</si>
  <si>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</si>
  <si>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</si>
  <si>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</si>
  <si>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</si>
  <si>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</si>
  <si>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</si>
  <si>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</si>
  <si>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</si>
  <si>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</si>
  <si>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</si>
  <si>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</si>
  <si>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</si>
  <si>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</si>
  <si>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</si>
  <si>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</si>
  <si>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</si>
  <si>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</si>
  <si>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</si>
  <si>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</si>
  <si>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</si>
  <si>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</si>
  <si>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</si>
  <si>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</si>
  <si>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</si>
  <si>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</si>
  <si>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</si>
  <si>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</si>
  <si>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</si>
  <si>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</si>
  <si>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</si>
  <si>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</si>
  <si>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</si>
  <si>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</si>
  <si>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</si>
  <si>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</si>
  <si>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</si>
  <si>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</si>
  <si>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</si>
  <si>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</si>
  <si>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</si>
  <si>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</si>
  <si>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</si>
  <si>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</si>
  <si>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</si>
  <si>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</si>
  <si>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</si>
  <si>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</si>
  <si>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</si>
  <si>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</si>
  <si>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</si>
  <si>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</si>
  <si>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</si>
  <si>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</si>
  <si>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</si>
  <si>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</si>
  <si>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</si>
  <si>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</si>
  <si>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</si>
  <si>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</si>
  <si>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</si>
  <si>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</si>
  <si>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</si>
  <si>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</si>
  <si>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</si>
  <si>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</si>
  <si>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</si>
  <si>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</si>
  <si>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</si>
  <si>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</si>
  <si>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</si>
  <si>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</si>
  <si>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</si>
  <si>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</si>
  <si>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</si>
  <si>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</si>
  <si>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</si>
  <si>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</si>
  <si>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</si>
  <si>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</si>
  <si>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</si>
  <si>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</si>
  <si>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</si>
  <si>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</si>
  <si>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</si>
  <si>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</si>
  <si>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</si>
  <si>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</si>
  <si>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</si>
  <si>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</si>
  <si>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</si>
  <si>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</si>
  <si>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</si>
  <si>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</si>
  <si>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</si>
  <si>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</si>
  <si>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</si>
  <si>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</si>
  <si>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</si>
  <si>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</si>
  <si>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</si>
  <si>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</si>
  <si>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</si>
  <si>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</si>
  <si>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</si>
  <si>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</si>
  <si>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</si>
  <si>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</si>
  <si>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</si>
  <si>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</si>
  <si>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</si>
  <si>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</si>
  <si>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</si>
  <si>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</si>
  <si>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</si>
  <si>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</si>
  <si>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</si>
  <si>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</si>
  <si>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</si>
  <si>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</si>
  <si>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</si>
  <si>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</si>
  <si>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</si>
  <si>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</si>
  <si>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</si>
  <si>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</si>
  <si>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</si>
  <si>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</si>
  <si>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</si>
  <si>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</si>
  <si>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</si>
  <si>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</si>
  <si>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</si>
  <si>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</si>
  <si>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</si>
  <si>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</si>
  <si>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</si>
  <si>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</si>
  <si>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</si>
  <si>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</si>
  <si>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</si>
  <si>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</si>
  <si>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</si>
  <si>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</si>
  <si>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</si>
  <si>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</si>
  <si>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</si>
  <si>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</si>
  <si>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</si>
  <si>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</si>
  <si>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</si>
  <si>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</si>
  <si>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</si>
  <si>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</si>
  <si>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</si>
  <si>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</si>
  <si>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</si>
  <si>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</si>
  <si>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</si>
  <si>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</si>
  <si>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</si>
  <si>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</si>
  <si>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</si>
  <si>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</si>
  <si>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</si>
  <si>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</si>
  <si>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</si>
  <si>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</si>
  <si>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</si>
  <si>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</si>
  <si>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</si>
  <si>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</si>
  <si>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</si>
  <si>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</si>
  <si>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</si>
  <si>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</si>
  <si>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</si>
  <si>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</si>
  <si>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</si>
  <si>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</si>
  <si>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</si>
  <si>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</si>
  <si>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</si>
  <si>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</si>
  <si>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</si>
  <si>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</si>
  <si>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</si>
  <si>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</si>
  <si>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</si>
  <si>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</si>
  <si>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</si>
  <si>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</si>
  <si>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</si>
  <si>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</si>
  <si>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</si>
  <si>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</si>
  <si>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</si>
  <si>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</si>
  <si>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</si>
  <si>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</si>
  <si>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</si>
  <si>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</si>
  <si>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</si>
  <si>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</si>
  <si>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</si>
  <si>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</si>
  <si>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</si>
  <si>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</si>
  <si>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</si>
  <si>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</si>
  <si>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</si>
  <si>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</si>
  <si>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</si>
  <si>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</si>
  <si>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</si>
  <si>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</si>
  <si>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</si>
  <si>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</si>
  <si>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</si>
  <si>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</si>
  <si>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</si>
  <si>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</si>
  <si>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</si>
  <si>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</si>
  <si>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</si>
  <si>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</si>
  <si>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</si>
  <si>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</si>
  <si>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</si>
  <si>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</si>
  <si>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</si>
  <si>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</si>
  <si>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</si>
  <si>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</si>
  <si>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</si>
  <si>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</si>
  <si>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</si>
  <si>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</si>
  <si>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</si>
  <si>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</si>
  <si>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</si>
  <si>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</si>
  <si>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</si>
  <si>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</si>
  <si>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</si>
  <si>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</si>
  <si>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</si>
  <si>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</si>
  <si>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</si>
  <si>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</si>
  <si>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</si>
  <si>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</si>
  <si>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</si>
  <si>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</si>
  <si>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</si>
  <si>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</si>
  <si>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</si>
  <si>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</si>
  <si>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</si>
  <si>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</si>
  <si>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</si>
  <si>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</si>
  <si>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</si>
  <si>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</si>
  <si>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</si>
  <si>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</si>
  <si>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</si>
  <si>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</si>
  <si>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</si>
  <si>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</si>
  <si>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</si>
  <si>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</si>
  <si>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</si>
  <si>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</si>
  <si>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</si>
  <si>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</si>
  <si>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</si>
  <si>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</si>
  <si>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</si>
  <si>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</si>
  <si>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</si>
  <si>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</si>
  <si>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</si>
  <si>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</si>
  <si>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</si>
  <si>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</si>
  <si>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</si>
  <si>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</si>
  <si>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</si>
  <si>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</si>
  <si>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</si>
  <si>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</si>
  <si>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</si>
  <si>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</si>
  <si>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</si>
  <si>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</si>
  <si>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</si>
  <si>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</si>
  <si>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</si>
  <si>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</si>
  <si>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</si>
  <si>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</si>
  <si>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</si>
  <si>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</si>
  <si>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</si>
  <si>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</si>
  <si>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</si>
  <si>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</si>
  <si>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</si>
  <si>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</si>
  <si>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</si>
  <si>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</si>
  <si>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</si>
  <si>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</si>
  <si>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</si>
  <si>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</si>
  <si>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</si>
  <si>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</si>
  <si>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</si>
  <si>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</si>
  <si>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</si>
  <si>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</si>
  <si>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</si>
  <si>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</si>
  <si>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</si>
  <si>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</si>
  <si>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</si>
  <si>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</si>
  <si>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</si>
  <si>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</si>
  <si>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</si>
  <si>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</si>
  <si>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</si>
  <si>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</si>
  <si>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</si>
  <si>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</si>
  <si>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</si>
  <si>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</si>
  <si>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</si>
  <si>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</si>
  <si>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</si>
  <si>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</si>
  <si>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</si>
  <si>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</si>
  <si>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</si>
  <si>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</si>
  <si>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</si>
  <si>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</si>
  <si>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</si>
  <si>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</si>
  <si>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</si>
  <si>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</si>
  <si>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</si>
  <si>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</si>
  <si>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</si>
  <si>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</si>
  <si>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</si>
  <si>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</si>
  <si>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</si>
  <si>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</si>
  <si>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</si>
  <si>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</si>
  <si>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</si>
  <si>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</si>
  <si>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</si>
  <si>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</si>
  <si>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</si>
  <si>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</si>
  <si>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</si>
  <si>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</si>
  <si>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</si>
  <si>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</si>
  <si>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</si>
  <si>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</si>
  <si>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</si>
  <si>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</si>
  <si>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</si>
  <si>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</si>
  <si>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</si>
  <si>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</si>
  <si>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</si>
  <si>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</si>
  <si>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</si>
  <si>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</si>
  <si>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</si>
  <si>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</si>
  <si>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</si>
  <si>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</si>
  <si>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</si>
  <si>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</si>
  <si>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</si>
  <si>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</si>
  <si>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</si>
  <si>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</si>
  <si>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</si>
  <si>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</si>
  <si>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</si>
  <si>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</si>
  <si>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</si>
  <si>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</si>
  <si>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</si>
  <si>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</si>
  <si>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</si>
  <si>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</si>
  <si>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</si>
  <si>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</si>
  <si>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</si>
  <si>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</si>
  <si>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</si>
  <si>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</si>
  <si>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</si>
  <si>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</si>
  <si>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</si>
  <si>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</si>
  <si>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</si>
  <si>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</si>
  <si>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</si>
  <si>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</si>
  <si>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</si>
  <si>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</si>
  <si>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</si>
  <si>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</si>
  <si>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</si>
  <si>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</si>
  <si>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</si>
  <si>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</si>
  <si>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</si>
  <si>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</si>
  <si>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</si>
  <si>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</si>
  <si>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</si>
  <si>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</si>
  <si>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</si>
  <si>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</si>
  <si>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</si>
  <si>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</si>
  <si>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</si>
  <si>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</si>
  <si>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</si>
  <si>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</si>
  <si>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</si>
  <si>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</si>
  <si>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</si>
  <si>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</si>
  <si>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</si>
  <si>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</si>
  <si>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</si>
  <si>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</si>
  <si>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</si>
  <si>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</si>
  <si>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</si>
  <si>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</si>
  <si>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</si>
  <si>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</si>
  <si>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</si>
  <si>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</si>
  <si>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</si>
  <si>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</si>
  <si>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</si>
  <si>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</si>
  <si>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</si>
  <si>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</si>
  <si>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</si>
  <si>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</si>
  <si>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</si>
  <si>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</si>
  <si>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</si>
  <si>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</si>
  <si>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</si>
  <si>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</si>
  <si>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</si>
  <si>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</si>
  <si>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</si>
  <si>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</si>
  <si>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</si>
  <si>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</si>
  <si>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</si>
  <si>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</si>
  <si>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</si>
  <si>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</si>
  <si>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</si>
  <si>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</si>
  <si>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</si>
  <si>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</si>
  <si>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</si>
  <si>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</si>
  <si>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</si>
  <si>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</si>
  <si>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</si>
  <si>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</si>
  <si>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</si>
  <si>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</si>
  <si>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</si>
  <si>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</si>
  <si>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</si>
  <si>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</si>
  <si>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</si>
  <si>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</si>
  <si>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</si>
  <si>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</si>
  <si>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</si>
  <si>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</si>
  <si>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</si>
  <si>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</si>
  <si>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</si>
  <si>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</si>
  <si>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</si>
  <si>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</si>
  <si>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</si>
  <si>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</si>
  <si>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</si>
  <si>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</si>
  <si>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</si>
  <si>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</si>
  <si>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</si>
  <si>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</si>
  <si>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</si>
  <si>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</si>
  <si>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</si>
  <si>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</si>
  <si>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</si>
  <si>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</si>
  <si>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</si>
  <si>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</si>
  <si>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</si>
  <si>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</si>
  <si>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</si>
  <si>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</si>
  <si>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</si>
  <si>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</si>
  <si>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</si>
  <si>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</si>
  <si>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</si>
  <si>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</si>
  <si>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</si>
  <si>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</si>
  <si>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</si>
  <si>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</si>
  <si>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</si>
  <si>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</si>
  <si>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</si>
  <si>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</si>
  <si>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</si>
  <si>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</si>
  <si>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</si>
  <si>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</si>
  <si>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</si>
  <si>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</si>
  <si>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</si>
  <si>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</si>
  <si>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</si>
  <si>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</si>
  <si>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</si>
  <si>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</si>
  <si>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</si>
  <si>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</si>
  <si>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</si>
  <si>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</si>
  <si>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</si>
  <si>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</si>
  <si>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</si>
  <si>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</si>
  <si>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</si>
  <si>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</si>
  <si>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</si>
  <si>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</si>
  <si>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</si>
  <si>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</si>
  <si>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</si>
  <si>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</si>
  <si>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</si>
  <si>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</si>
  <si>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</si>
  <si>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</si>
  <si>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</si>
  <si>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</si>
  <si>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</si>
  <si>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</si>
  <si>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</si>
  <si>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</si>
  <si>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</si>
  <si>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</si>
  <si>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</si>
  <si>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</si>
  <si>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</si>
  <si>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</si>
  <si>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</si>
  <si>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</si>
  <si>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</si>
  <si>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</si>
  <si>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</si>
  <si>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</si>
  <si>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</si>
  <si>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</si>
  <si>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</si>
  <si>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</si>
  <si>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</si>
  <si>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</si>
  <si>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</si>
  <si>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</si>
  <si>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</si>
  <si>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</si>
  <si>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</si>
  <si>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</si>
  <si>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</si>
  <si>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</si>
  <si>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</si>
  <si>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</si>
  <si>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</si>
  <si>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</si>
  <si>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</si>
  <si>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</si>
  <si>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</si>
  <si>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</si>
  <si>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</si>
  <si>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</si>
  <si>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</si>
  <si>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</si>
  <si>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</si>
  <si>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</si>
  <si>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</si>
  <si>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</si>
  <si>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</si>
  <si>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</si>
  <si>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</si>
  <si>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</si>
  <si>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</si>
  <si>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</si>
  <si>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</si>
  <si>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</si>
  <si>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</si>
  <si>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</si>
  <si>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</si>
  <si>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</si>
  <si>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</si>
  <si>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</si>
  <si>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</si>
  <si>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</si>
  <si>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</si>
  <si>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</si>
  <si>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</si>
  <si>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</si>
  <si>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</si>
  <si>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</si>
  <si>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</si>
  <si>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</si>
  <si>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</si>
  <si>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</si>
  <si>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</si>
  <si>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</si>
  <si>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</si>
  <si>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</si>
  <si>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</si>
  <si>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</si>
  <si>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</si>
  <si>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</si>
  <si>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</si>
  <si>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</si>
  <si>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</si>
  <si>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</si>
  <si>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</si>
  <si>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</si>
  <si>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</si>
  <si>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</si>
  <si>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</si>
  <si>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</si>
  <si>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</si>
  <si>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</si>
  <si>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</si>
  <si>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</si>
  <si>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</si>
  <si>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</si>
  <si>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</si>
  <si>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</si>
  <si>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</si>
  <si>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</si>
  <si>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</si>
  <si>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</si>
  <si>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</si>
  <si>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</si>
  <si>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</si>
  <si>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</si>
  <si>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</si>
  <si>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</si>
  <si>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</si>
  <si>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</si>
  <si>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</si>
  <si>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</si>
  <si>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</si>
  <si>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</si>
  <si>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</si>
  <si>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</si>
  <si>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</si>
  <si>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</si>
  <si>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</si>
  <si>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</si>
  <si>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</si>
  <si>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</si>
  <si>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</si>
  <si>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</si>
  <si>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</si>
  <si>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</si>
  <si>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</si>
  <si>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</si>
  <si>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</si>
  <si>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</si>
  <si>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</si>
  <si>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</si>
  <si>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</si>
  <si>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</si>
  <si>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</si>
  <si>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</si>
  <si>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</si>
  <si>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</si>
  <si>
    <t>对一个区域释放契约风暴,风暴会把敌方的怪物不断牵引至目标区域,对范围内的怪物每秒造成150%伤害,持续8秒</t>
    <phoneticPr fontId="46" type="noConversion"/>
  </si>
  <si>
    <t>在目标区域释放一个光柱，光柱会跟随目标移动，每秒造成200%伤害,持续8秒</t>
    <phoneticPr fontId="46" type="noConversion"/>
  </si>
  <si>
    <t>随机对某个大区域释放魔法,落石3秒后下降,造成300%伤害,并眩晕1秒</t>
    <phoneticPr fontId="46" type="noConversion"/>
  </si>
  <si>
    <t>泰坦:暗魔之球</t>
    <phoneticPr fontId="46" type="noConversion"/>
  </si>
  <si>
    <t>破风:鬼魅召唤</t>
    <phoneticPr fontId="46" type="noConversion"/>
  </si>
  <si>
    <t>巨剑:决定领域</t>
    <phoneticPr fontId="46" type="noConversion"/>
  </si>
  <si>
    <t>召唤3个鬼魅，精灵会继承自身100%伤害,随机对附近敌方单位随机造成伤害,精灵自身为虚空状态,无法被攻击。</t>
    <phoneticPr fontId="46" type="noConversion"/>
  </si>
  <si>
    <t>90001093,90001094</t>
    <phoneticPr fontId="46" type="noConversion"/>
  </si>
  <si>
    <t>60031242</t>
    <phoneticPr fontId="46" type="noConversion"/>
  </si>
  <si>
    <t>60;3;0.5;1</t>
    <phoneticPr fontId="46" type="noConversion"/>
  </si>
  <si>
    <t>鬼魅光影</t>
    <phoneticPr fontId="46" type="noConversion"/>
  </si>
  <si>
    <t>Elemental: Source of Energy</t>
    <phoneticPr fontId="46" type="noConversion"/>
  </si>
  <si>
    <t>65011202,65011203;65011203,65011204;65011204,65011205;65011205,65011206;65012202,65012203;65012203,65012204;65012204,65012205;65012205,65012206</t>
  </si>
  <si>
    <t>65011302,65011303;65011303,65011304;65011304,65011305;65011305,65011306;65012302,65012303;65012303,65012304;65012304,65012305;65012305,65012306</t>
  </si>
  <si>
    <t>65013102,65013103;65013103,65013104;65013104,65013105;65013105,65013106</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</si>
  <si>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</si>
  <si>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</si>
  <si>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</si>
  <si>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</si>
  <si>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</si>
  <si>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</si>
  <si>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</si>
  <si>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</si>
  <si>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</si>
  <si>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</si>
  <si>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</si>
  <si>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技能:破界巨刃和裂空之击同时提升1级</t>
    <phoneticPr fontId="46" type="noConversion"/>
  </si>
  <si>
    <t>技能:咆哮之击和疾风标记同时提升1级</t>
    <phoneticPr fontId="46" type="noConversion"/>
  </si>
  <si>
    <t>技能:跃空击和急速射击同时提升1级</t>
    <phoneticPr fontId="46" type="noConversion"/>
  </si>
  <si>
    <t>65011102,65011103;65011103,65011104;65011104,65011105;65011105,65011106;65012102,65012103;65012103,65012104;65012104,65012105;65012105,65012106</t>
    <phoneticPr fontId="46" type="noConversion"/>
  </si>
  <si>
    <t>60031241</t>
    <phoneticPr fontId="46" type="noConversion"/>
  </si>
  <si>
    <t>60031251</t>
    <phoneticPr fontId="46" type="noConversion"/>
  </si>
  <si>
    <t>0</t>
    <phoneticPr fontId="46" type="noConversion"/>
  </si>
  <si>
    <t>90000104;0;3;3;1,1,1,1,1,1,1,1,1;5000,0,0,0,0</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</si>
</sst>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xf numFmtId="0" fontId="26" fillId="2" borderId="0" xfId="0" applyFont="1" applyFill="1" applyBorder="1" applyAlignment="1">
      <alignment horizontal="center" vertical="center"/>
    </xf>
    <xf numFmtId="0" fontId="11" fillId="2" borderId="0" xfId="0"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4"/>
  <sheetViews>
    <sheetView showGridLines="0" tabSelected="1" workbookViewId="0">
      <pane xSplit="4" ySplit="5" topLeftCell="BE1178" activePane="bottomRight" state="frozen"/>
      <selection pane="topRight"/>
      <selection pane="bottomLeft"/>
      <selection pane="bottomRight" activeCell="BE1191" sqref="BE119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599</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1357</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599</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1358</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599</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1359</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599</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1360</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599</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1361</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599</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1362</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255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1363</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255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1364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255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1365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255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1366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255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1367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255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1368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1370</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1372</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1370</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1372</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1370</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1373</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1370</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1374</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1370</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1375</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1370</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1376</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1555</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1557</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1555</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1557</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1555</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1558</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1555</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1559</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1555</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1560</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1555</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1561</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1620</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1531</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1622</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1620</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1531</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1622</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1620</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1531</v>
      </c>
      <c r="BB1130" s="19">
        <v>0</v>
      </c>
      <c r="BC1130" s="27">
        <v>0</v>
      </c>
      <c r="BD1130" s="27">
        <v>0</v>
      </c>
      <c r="BE1130" s="183" t="str">
        <f t="shared" si="129"/>
        <v>立即对附近敌方单位造成275%攻击伤害+1800点固定伤害,并使其造成伤害降低20%,持续3秒</v>
      </c>
      <c r="BF1130" s="183" t="s">
        <v>1623</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1620</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1531</v>
      </c>
      <c r="BB1131" s="19">
        <v>0</v>
      </c>
      <c r="BC1131" s="27">
        <v>0</v>
      </c>
      <c r="BD1131" s="27">
        <v>0</v>
      </c>
      <c r="BE1131" s="183" t="str">
        <f t="shared" si="129"/>
        <v>立即对附近敌方单位造成300%攻击伤害+2800点固定伤害,并使其造成伤害降低20%,持续3秒</v>
      </c>
      <c r="BF1131" s="183" t="s">
        <v>1624</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1620</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1531</v>
      </c>
      <c r="BB1132" s="19">
        <v>0</v>
      </c>
      <c r="BC1132" s="27">
        <v>0</v>
      </c>
      <c r="BD1132" s="27">
        <v>0</v>
      </c>
      <c r="BE1132" s="183" t="str">
        <f t="shared" si="129"/>
        <v>立即对附近敌方单位造成325%攻击伤害+4000点固定伤害,并使其造成伤害降低20%,持续3秒</v>
      </c>
      <c r="BF1132" s="183" t="s">
        <v>1625</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1620</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1531</v>
      </c>
      <c r="BB1133" s="19">
        <v>0</v>
      </c>
      <c r="BC1133" s="27">
        <v>0</v>
      </c>
      <c r="BD1133" s="27">
        <v>0</v>
      </c>
      <c r="BE1133" s="183" t="str">
        <f t="shared" si="129"/>
        <v>立即对附近敌方单位造成350%攻击伤害+5200点固定伤害,并使其造成伤害降低20%,持续3秒</v>
      </c>
      <c r="BF1133" s="183" t="s">
        <v>1626</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1470</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1472</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1470</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1472</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1470</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1473</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1470</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1474</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1470</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1475</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1470</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1476</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2053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2054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2053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2054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2053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2055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2053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2056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2053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2057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2053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2058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2104</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2105</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2104</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2105</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2104</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2106</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2104</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2107</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2104</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2108</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2104</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2109</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2381</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2384</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2381</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2384</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2381</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2384</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2381</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2384</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2381</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2384</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2381</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2384</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1546</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1549</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1546</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1549</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1546</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1550</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1546</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1551</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1546</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1552</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1546</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1553</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2388</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0</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2388</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0</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2388</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0</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2388</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0</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2388</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0</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2388</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0</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1571</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1663</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1571</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1663</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1571</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1665</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1571</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1667</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1571</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1669</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1571</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1671</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1620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7" t="s">
        <v>1531</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1622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1620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7" t="s">
        <v>1531</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1622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1620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7" t="s">
        <v>1531</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1623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1620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7" t="s">
        <v>1531</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1624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1620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7" t="s">
        <v>1531</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1625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1620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7" t="s">
        <v>1531</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1626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2400</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2402</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1571</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1574</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1571</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1574</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1571</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1577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1571</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1580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1571</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1583</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1571</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1586</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1437</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1437</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1437</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1437</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1437</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1437</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2266</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15</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2268</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2266</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15</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2268</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2266</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15</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2269</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2266</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15</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2270</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2266</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15</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2271</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2266</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15</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2272</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2020</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1" t="s">
        <v>2425</v>
      </c>
      <c r="BC1201" s="174">
        <v>0</v>
      </c>
      <c r="BD1201" s="174">
        <v>0</v>
      </c>
      <c r="BE1201" s="209" t="s">
        <v>2426</v>
      </c>
      <c r="BF1201" s="209" t="s">
        <v>2024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2020</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1" t="s">
        <v>2425</v>
      </c>
      <c r="BC1202" s="174">
        <v>0</v>
      </c>
      <c r="BD1202" s="174">
        <v>0</v>
      </c>
      <c r="BE1202" s="209" t="s">
        <v>2426</v>
      </c>
      <c r="BF1202" s="209" t="s">
        <v>2024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2020</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1" t="s">
        <v>2427</v>
      </c>
      <c r="BC1203" s="174">
        <v>0</v>
      </c>
      <c r="BD1203" s="174">
        <v>0</v>
      </c>
      <c r="BE1203" s="209" t="s">
        <v>2428</v>
      </c>
      <c r="BF1203" s="209" t="s">
        <v>2027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2020</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1" t="s">
        <v>2429</v>
      </c>
      <c r="BC1204" s="174">
        <v>0</v>
      </c>
      <c r="BD1204" s="174">
        <v>0</v>
      </c>
      <c r="BE1204" s="209" t="s">
        <v>2430</v>
      </c>
      <c r="BF1204" s="209" t="s">
        <v>2030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2020</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1" t="s">
        <v>2431</v>
      </c>
      <c r="BC1205" s="174">
        <v>0</v>
      </c>
      <c r="BD1205" s="174">
        <v>0</v>
      </c>
      <c r="BE1205" s="209" t="s">
        <v>2432</v>
      </c>
      <c r="BF1205" s="209" t="s">
        <v>2033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2020</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1" t="s">
        <v>2433</v>
      </c>
      <c r="BC1206" s="174">
        <v>0</v>
      </c>
      <c r="BD1206" s="174">
        <v>0</v>
      </c>
      <c r="BE1206" s="209" t="s">
        <v>2434</v>
      </c>
      <c r="BF1206" s="209" t="s">
        <v>2036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1745</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2436</v>
      </c>
      <c r="BC1207" s="27">
        <v>0</v>
      </c>
      <c r="BD1207" s="27">
        <v>0</v>
      </c>
      <c r="BE1207" s="44" t="s">
        <v>2437</v>
      </c>
      <c r="BF1207" s="44" t="s">
        <v>1748</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1745</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2436</v>
      </c>
      <c r="BC1208" s="27">
        <v>0</v>
      </c>
      <c r="BD1208" s="27">
        <v>0</v>
      </c>
      <c r="BE1208" s="44" t="s">
        <v>2437</v>
      </c>
      <c r="BF1208" s="44" t="s">
        <v>1748</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1745</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2438</v>
      </c>
      <c r="BC1209" s="27">
        <v>0</v>
      </c>
      <c r="BD1209" s="27">
        <v>0</v>
      </c>
      <c r="BE1209" s="44" t="s">
        <v>2439</v>
      </c>
      <c r="BF1209" s="44" t="s">
        <v>1751</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1745</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2440</v>
      </c>
      <c r="BC1210" s="27">
        <v>0</v>
      </c>
      <c r="BD1210" s="27">
        <v>0</v>
      </c>
      <c r="BE1210" s="44" t="s">
        <v>2441</v>
      </c>
      <c r="BF1210" s="44" t="s">
        <v>1754</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1745</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2442</v>
      </c>
      <c r="BC1211" s="27">
        <v>0</v>
      </c>
      <c r="BD1211" s="27">
        <v>0</v>
      </c>
      <c r="BE1211" s="44" t="s">
        <v>2443</v>
      </c>
      <c r="BF1211" s="44" t="s">
        <v>1757</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1745</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2444</v>
      </c>
      <c r="BC1212" s="27">
        <v>0</v>
      </c>
      <c r="BD1212" s="27">
        <v>0</v>
      </c>
      <c r="BE1212" s="44" t="s">
        <v>2445</v>
      </c>
      <c r="BF1212" s="44" t="s">
        <v>1760</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ht="20.100000000000001" customHeight="1">
      <c r="C1213" s="12">
        <v>65023201</v>
      </c>
      <c r="D1213" s="13" t="s">
        <v>2446</v>
      </c>
      <c r="E1213" s="13" t="s">
        <v>1571</v>
      </c>
      <c r="F1213" s="12">
        <v>0</v>
      </c>
      <c r="G1213" s="12">
        <v>65023201</v>
      </c>
      <c r="H1213" s="12">
        <v>65023202</v>
      </c>
      <c r="I1213" s="12">
        <v>0</v>
      </c>
      <c r="J1213" s="16">
        <v>25</v>
      </c>
      <c r="K1213" s="16">
        <v>5</v>
      </c>
      <c r="L1213" s="12">
        <v>0</v>
      </c>
      <c r="M1213" s="12">
        <v>0</v>
      </c>
      <c r="N1213" s="12">
        <v>0</v>
      </c>
      <c r="O1213" s="12">
        <v>1</v>
      </c>
      <c r="P1213" s="12">
        <v>0</v>
      </c>
      <c r="Q1213" s="12">
        <v>0</v>
      </c>
      <c r="R1213" s="12">
        <v>0</v>
      </c>
      <c r="S1213" s="12">
        <v>0</v>
      </c>
      <c r="T1213" s="12">
        <v>0</v>
      </c>
      <c r="U1213" s="12">
        <v>1</v>
      </c>
      <c r="V1213" s="12">
        <v>2</v>
      </c>
      <c r="W1213" s="12">
        <v>0</v>
      </c>
      <c r="X1213" s="12">
        <v>0</v>
      </c>
      <c r="Y1213" s="12">
        <v>0</v>
      </c>
      <c r="Z1213" s="12">
        <v>0</v>
      </c>
      <c r="AA1213" s="12">
        <v>0</v>
      </c>
      <c r="AB1213" s="12">
        <v>20</v>
      </c>
      <c r="AC1213" s="12">
        <v>0</v>
      </c>
      <c r="AD1213" s="12">
        <v>0</v>
      </c>
      <c r="AE1213" s="12">
        <v>0</v>
      </c>
      <c r="AF1213" s="12">
        <v>18</v>
      </c>
      <c r="AG1213" s="12">
        <v>1</v>
      </c>
      <c r="AH1213" s="12">
        <v>4</v>
      </c>
      <c r="AI1213" s="12">
        <v>0</v>
      </c>
      <c r="AJ1213" s="12">
        <v>0</v>
      </c>
      <c r="AK1213" s="12">
        <v>0</v>
      </c>
      <c r="AL1213" s="12">
        <v>0</v>
      </c>
      <c r="AM1213" s="12">
        <v>0</v>
      </c>
      <c r="AN1213" s="12">
        <v>0</v>
      </c>
      <c r="AO1213" s="12">
        <v>0</v>
      </c>
      <c r="AP1213" s="12">
        <v>0.2</v>
      </c>
      <c r="AQ1213" s="12">
        <v>3000</v>
      </c>
      <c r="AR1213" s="12">
        <v>0.5</v>
      </c>
      <c r="AS1213" s="12">
        <v>0</v>
      </c>
      <c r="AT1213" s="338" t="s">
        <v>2447</v>
      </c>
      <c r="AU1213" s="12" t="s">
        <v>198</v>
      </c>
      <c r="AV1213" s="12"/>
      <c r="AW1213" s="13" t="s">
        <v>199</v>
      </c>
      <c r="AX1213" s="12" t="s">
        <v>1408</v>
      </c>
      <c r="AY1213" s="12">
        <v>0</v>
      </c>
      <c r="AZ1213" s="18">
        <v>21403020</v>
      </c>
      <c r="BA1213" s="13" t="s">
        <v>200</v>
      </c>
      <c r="BB1213" s="13">
        <v>0</v>
      </c>
      <c r="BC1213" s="12">
        <v>0</v>
      </c>
      <c r="BD1213" s="12">
        <v>0</v>
      </c>
      <c r="BE1213" s="184" t="s">
        <v>2448</v>
      </c>
      <c r="BF1213" s="184" t="s">
        <v>1574</v>
      </c>
      <c r="BG1213" s="12">
        <v>0</v>
      </c>
      <c r="BH1213" s="12">
        <v>0</v>
      </c>
      <c r="BI1213" s="12">
        <v>0</v>
      </c>
      <c r="BJ1213" s="12">
        <v>0</v>
      </c>
      <c r="BK1213" s="12">
        <v>0</v>
      </c>
      <c r="BL1213" s="12">
        <v>0</v>
      </c>
      <c r="BM1213" s="185">
        <v>0</v>
      </c>
      <c r="BN1213" s="12">
        <v>1</v>
      </c>
      <c r="BO1213" s="12">
        <v>0</v>
      </c>
      <c r="BP1213" s="12">
        <v>0</v>
      </c>
      <c r="BQ1213" s="12">
        <v>0</v>
      </c>
      <c r="BR1213" s="12">
        <v>0</v>
      </c>
      <c r="BS1213" s="12">
        <v>0</v>
      </c>
      <c r="BT1213" s="12">
        <v>0</v>
      </c>
      <c r="BU1213" s="47">
        <v>0</v>
      </c>
      <c r="BV1213" s="47"/>
      <c r="BW1213" s="47"/>
    </row>
    <row r="1214" spans="3:75" ht="20.100000000000001" customHeight="1">
      <c r="C1214" s="12">
        <v>65023202</v>
      </c>
      <c r="D1214" s="13" t="s">
        <v>2446</v>
      </c>
      <c r="E1214" s="13" t="s">
        <v>1571</v>
      </c>
      <c r="F1214" s="12">
        <v>1</v>
      </c>
      <c r="G1214" s="12">
        <v>65023201</v>
      </c>
      <c r="H1214" s="12">
        <v>65023203</v>
      </c>
      <c r="I1214" s="12">
        <v>0</v>
      </c>
      <c r="J1214" s="16">
        <v>32</v>
      </c>
      <c r="K1214" s="16">
        <v>2</v>
      </c>
      <c r="L1214" s="12">
        <v>0</v>
      </c>
      <c r="M1214" s="12">
        <v>0</v>
      </c>
      <c r="N1214" s="12">
        <v>0</v>
      </c>
      <c r="O1214" s="12">
        <v>1</v>
      </c>
      <c r="P1214" s="12">
        <v>0</v>
      </c>
      <c r="Q1214" s="12">
        <v>0</v>
      </c>
      <c r="R1214" s="12">
        <v>0</v>
      </c>
      <c r="S1214" s="12">
        <v>0</v>
      </c>
      <c r="T1214" s="12">
        <v>0</v>
      </c>
      <c r="U1214" s="12">
        <v>1</v>
      </c>
      <c r="V1214" s="12">
        <v>2</v>
      </c>
      <c r="W1214" s="12">
        <v>0</v>
      </c>
      <c r="X1214" s="12">
        <v>0</v>
      </c>
      <c r="Y1214" s="12">
        <v>0</v>
      </c>
      <c r="Z1214" s="12">
        <v>0</v>
      </c>
      <c r="AA1214" s="12">
        <v>0</v>
      </c>
      <c r="AB1214" s="12">
        <v>20</v>
      </c>
      <c r="AC1214" s="12">
        <v>0</v>
      </c>
      <c r="AD1214" s="12">
        <v>0</v>
      </c>
      <c r="AE1214" s="12">
        <v>0</v>
      </c>
      <c r="AF1214" s="12">
        <v>18</v>
      </c>
      <c r="AG1214" s="12">
        <v>1</v>
      </c>
      <c r="AH1214" s="12">
        <v>4</v>
      </c>
      <c r="AI1214" s="12">
        <v>0</v>
      </c>
      <c r="AJ1214" s="12">
        <v>0</v>
      </c>
      <c r="AK1214" s="12">
        <v>0</v>
      </c>
      <c r="AL1214" s="12">
        <v>0</v>
      </c>
      <c r="AM1214" s="12">
        <v>0</v>
      </c>
      <c r="AN1214" s="12">
        <v>0</v>
      </c>
      <c r="AO1214" s="12">
        <v>0</v>
      </c>
      <c r="AP1214" s="12">
        <v>0.2</v>
      </c>
      <c r="AQ1214" s="12">
        <v>3000</v>
      </c>
      <c r="AR1214" s="12">
        <v>0.5</v>
      </c>
      <c r="AS1214" s="12">
        <v>0</v>
      </c>
      <c r="AT1214" s="338" t="s">
        <v>2447</v>
      </c>
      <c r="AU1214" s="12" t="s">
        <v>198</v>
      </c>
      <c r="AV1214" s="12"/>
      <c r="AW1214" s="13" t="s">
        <v>199</v>
      </c>
      <c r="AX1214" s="12" t="s">
        <v>1408</v>
      </c>
      <c r="AY1214" s="12">
        <v>0</v>
      </c>
      <c r="AZ1214" s="18">
        <v>21403020</v>
      </c>
      <c r="BA1214" s="13" t="s">
        <v>200</v>
      </c>
      <c r="BB1214" s="13">
        <v>0</v>
      </c>
      <c r="BC1214" s="12">
        <v>0</v>
      </c>
      <c r="BD1214" s="12">
        <v>0</v>
      </c>
      <c r="BE1214" s="184" t="s">
        <v>2448</v>
      </c>
      <c r="BF1214" s="184" t="s">
        <v>1574</v>
      </c>
      <c r="BG1214" s="12">
        <v>0</v>
      </c>
      <c r="BH1214" s="12">
        <v>0</v>
      </c>
      <c r="BI1214" s="12">
        <v>0</v>
      </c>
      <c r="BJ1214" s="12">
        <v>0</v>
      </c>
      <c r="BK1214" s="12">
        <v>0</v>
      </c>
      <c r="BL1214" s="12">
        <v>0</v>
      </c>
      <c r="BM1214" s="185">
        <v>0</v>
      </c>
      <c r="BN1214" s="12">
        <v>1</v>
      </c>
      <c r="BO1214" s="12">
        <v>0</v>
      </c>
      <c r="BP1214" s="12">
        <v>0</v>
      </c>
      <c r="BQ1214" s="12">
        <v>0</v>
      </c>
      <c r="BR1214" s="12">
        <v>0</v>
      </c>
      <c r="BS1214" s="12">
        <v>0</v>
      </c>
      <c r="BT1214" s="12">
        <v>0</v>
      </c>
      <c r="BU1214" s="47">
        <v>0</v>
      </c>
      <c r="BV1214" s="47"/>
      <c r="BW1214" s="47"/>
    </row>
    <row r="1215" spans="3:75" ht="20.100000000000001" customHeight="1">
      <c r="C1215" s="12">
        <v>65023203</v>
      </c>
      <c r="D1215" s="13" t="s">
        <v>2446</v>
      </c>
      <c r="E1215" s="13" t="s">
        <v>1571</v>
      </c>
      <c r="F1215" s="12">
        <v>2</v>
      </c>
      <c r="G1215" s="12">
        <v>65023201</v>
      </c>
      <c r="H1215" s="12">
        <v>65023204</v>
      </c>
      <c r="I1215" s="12">
        <v>0</v>
      </c>
      <c r="J1215" s="16">
        <v>37</v>
      </c>
      <c r="K1215" s="16">
        <v>2</v>
      </c>
      <c r="L1215" s="12">
        <v>0</v>
      </c>
      <c r="M1215" s="12">
        <v>0</v>
      </c>
      <c r="N1215" s="12">
        <v>0</v>
      </c>
      <c r="O1215" s="12">
        <v>1</v>
      </c>
      <c r="P1215" s="12">
        <v>0</v>
      </c>
      <c r="Q1215" s="12">
        <v>0</v>
      </c>
      <c r="R1215" s="12">
        <v>0</v>
      </c>
      <c r="S1215" s="12">
        <v>0</v>
      </c>
      <c r="T1215" s="12">
        <v>0</v>
      </c>
      <c r="U1215" s="12">
        <v>1</v>
      </c>
      <c r="V1215" s="12">
        <v>2</v>
      </c>
      <c r="W1215" s="12">
        <v>0</v>
      </c>
      <c r="X1215" s="12">
        <v>0</v>
      </c>
      <c r="Y1215" s="12">
        <v>0</v>
      </c>
      <c r="Z1215" s="12">
        <v>0</v>
      </c>
      <c r="AA1215" s="12">
        <v>0</v>
      </c>
      <c r="AB1215" s="12">
        <v>20</v>
      </c>
      <c r="AC1215" s="12">
        <v>0</v>
      </c>
      <c r="AD1215" s="12">
        <v>0</v>
      </c>
      <c r="AE1215" s="12">
        <v>0</v>
      </c>
      <c r="AF1215" s="12">
        <v>18</v>
      </c>
      <c r="AG1215" s="12">
        <v>1</v>
      </c>
      <c r="AH1215" s="12">
        <v>4</v>
      </c>
      <c r="AI1215" s="12">
        <v>0</v>
      </c>
      <c r="AJ1215" s="12">
        <v>0</v>
      </c>
      <c r="AK1215" s="12">
        <v>0</v>
      </c>
      <c r="AL1215" s="12">
        <v>0</v>
      </c>
      <c r="AM1215" s="12">
        <v>0</v>
      </c>
      <c r="AN1215" s="12">
        <v>0</v>
      </c>
      <c r="AO1215" s="12">
        <v>0</v>
      </c>
      <c r="AP1215" s="12">
        <v>0.2</v>
      </c>
      <c r="AQ1215" s="12">
        <v>3000</v>
      </c>
      <c r="AR1215" s="12">
        <v>0.5</v>
      </c>
      <c r="AS1215" s="12">
        <v>0</v>
      </c>
      <c r="AT1215" s="338" t="s">
        <v>2449</v>
      </c>
      <c r="AU1215" s="12" t="s">
        <v>198</v>
      </c>
      <c r="AV1215" s="12"/>
      <c r="AW1215" s="13" t="s">
        <v>199</v>
      </c>
      <c r="AX1215" s="12" t="s">
        <v>1408</v>
      </c>
      <c r="AY1215" s="12">
        <v>0</v>
      </c>
      <c r="AZ1215" s="18">
        <v>21403020</v>
      </c>
      <c r="BA1215" s="13" t="s">
        <v>200</v>
      </c>
      <c r="BB1215" s="13">
        <v>0</v>
      </c>
      <c r="BC1215" s="12">
        <v>0</v>
      </c>
      <c r="BD1215" s="12">
        <v>0</v>
      </c>
      <c r="BE1215" s="184" t="s">
        <v>2450</v>
      </c>
      <c r="BF1215" s="184" t="s">
        <v>1577</v>
      </c>
      <c r="BG1215" s="12">
        <v>0</v>
      </c>
      <c r="BH1215" s="12">
        <v>0</v>
      </c>
      <c r="BI1215" s="12">
        <v>0</v>
      </c>
      <c r="BJ1215" s="12">
        <v>0</v>
      </c>
      <c r="BK1215" s="12">
        <v>0</v>
      </c>
      <c r="BL1215" s="12">
        <v>0</v>
      </c>
      <c r="BM1215" s="185">
        <v>0</v>
      </c>
      <c r="BN1215" s="12">
        <v>1</v>
      </c>
      <c r="BO1215" s="12">
        <v>0</v>
      </c>
      <c r="BP1215" s="12">
        <v>0</v>
      </c>
      <c r="BQ1215" s="12">
        <v>0</v>
      </c>
      <c r="BR1215" s="12">
        <v>0</v>
      </c>
      <c r="BS1215" s="12">
        <v>0</v>
      </c>
      <c r="BT1215" s="12">
        <v>0</v>
      </c>
      <c r="BU1215" s="47">
        <v>0</v>
      </c>
      <c r="BV1215" s="47"/>
      <c r="BW1215" s="47"/>
    </row>
    <row r="1216" spans="3:75" ht="20.100000000000001" customHeight="1">
      <c r="C1216" s="12">
        <v>65023204</v>
      </c>
      <c r="D1216" s="13" t="s">
        <v>2446</v>
      </c>
      <c r="E1216" s="13" t="s">
        <v>1571</v>
      </c>
      <c r="F1216" s="12">
        <v>3</v>
      </c>
      <c r="G1216" s="12">
        <v>65023201</v>
      </c>
      <c r="H1216" s="12">
        <v>0</v>
      </c>
      <c r="I1216" s="12">
        <v>0</v>
      </c>
      <c r="J1216" s="16">
        <v>0</v>
      </c>
      <c r="K1216" s="16">
        <v>0</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2451</v>
      </c>
      <c r="AU1216" s="12" t="s">
        <v>198</v>
      </c>
      <c r="AV1216" s="12"/>
      <c r="AW1216" s="13" t="s">
        <v>199</v>
      </c>
      <c r="AX1216" s="12" t="s">
        <v>1408</v>
      </c>
      <c r="AY1216" s="12">
        <v>0</v>
      </c>
      <c r="AZ1216" s="18">
        <v>21403020</v>
      </c>
      <c r="BA1216" s="13" t="s">
        <v>200</v>
      </c>
      <c r="BB1216" s="13">
        <v>0</v>
      </c>
      <c r="BC1216" s="12">
        <v>0</v>
      </c>
      <c r="BD1216" s="12">
        <v>0</v>
      </c>
      <c r="BE1216" s="184" t="s">
        <v>2452</v>
      </c>
      <c r="BF1216" s="184" t="s">
        <v>1580</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65023205</v>
      </c>
      <c r="D1217" s="13" t="s">
        <v>2446</v>
      </c>
      <c r="E1217" s="13" t="s">
        <v>1571</v>
      </c>
      <c r="F1217" s="12">
        <v>4</v>
      </c>
      <c r="G1217" s="12">
        <v>65023201</v>
      </c>
      <c r="H1217" s="12">
        <v>0</v>
      </c>
      <c r="I1217" s="12">
        <v>0</v>
      </c>
      <c r="J1217" s="16">
        <v>0</v>
      </c>
      <c r="K1217" s="16">
        <v>0</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2453</v>
      </c>
      <c r="AU1217" s="12" t="s">
        <v>198</v>
      </c>
      <c r="AV1217" s="12"/>
      <c r="AW1217" s="13" t="s">
        <v>199</v>
      </c>
      <c r="AX1217" s="12" t="s">
        <v>1408</v>
      </c>
      <c r="AY1217" s="12">
        <v>0</v>
      </c>
      <c r="AZ1217" s="18">
        <v>21403020</v>
      </c>
      <c r="BA1217" s="13" t="s">
        <v>200</v>
      </c>
      <c r="BB1217" s="13">
        <v>0</v>
      </c>
      <c r="BC1217" s="12">
        <v>0</v>
      </c>
      <c r="BD1217" s="12">
        <v>0</v>
      </c>
      <c r="BE1217" s="184" t="s">
        <v>2454</v>
      </c>
      <c r="BF1217" s="184" t="s">
        <v>1583</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65023206</v>
      </c>
      <c r="D1218" s="13" t="s">
        <v>2446</v>
      </c>
      <c r="E1218" s="13" t="s">
        <v>1571</v>
      </c>
      <c r="F1218" s="12">
        <v>5</v>
      </c>
      <c r="G1218" s="12">
        <v>65023201</v>
      </c>
      <c r="H1218" s="12">
        <v>0</v>
      </c>
      <c r="I1218" s="12">
        <v>0</v>
      </c>
      <c r="J1218" s="16">
        <v>0</v>
      </c>
      <c r="K1218" s="16">
        <v>0</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2455</v>
      </c>
      <c r="AU1218" s="12" t="s">
        <v>198</v>
      </c>
      <c r="AV1218" s="12"/>
      <c r="AW1218" s="13" t="s">
        <v>199</v>
      </c>
      <c r="AX1218" s="12" t="s">
        <v>1408</v>
      </c>
      <c r="AY1218" s="12">
        <v>0</v>
      </c>
      <c r="AZ1218" s="18">
        <v>21403020</v>
      </c>
      <c r="BA1218" s="13" t="s">
        <v>200</v>
      </c>
      <c r="BB1218" s="13">
        <v>0</v>
      </c>
      <c r="BC1218" s="12">
        <v>0</v>
      </c>
      <c r="BD1218" s="12">
        <v>0</v>
      </c>
      <c r="BE1218" s="184" t="s">
        <v>2456</v>
      </c>
      <c r="BF1218" s="184" t="s">
        <v>1586</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19.5" customHeight="1">
      <c r="C1219" s="16">
        <v>65023301</v>
      </c>
      <c r="D1219" s="19" t="s">
        <v>2457</v>
      </c>
      <c r="E1219" s="19" t="s">
        <v>1711</v>
      </c>
      <c r="F1219" s="16">
        <v>0</v>
      </c>
      <c r="G1219" s="16">
        <v>65023301</v>
      </c>
      <c r="H1219" s="16">
        <v>65023302</v>
      </c>
      <c r="I1219" s="12">
        <v>0</v>
      </c>
      <c r="J1219" s="16">
        <v>30</v>
      </c>
      <c r="K1219" s="18">
        <v>5</v>
      </c>
      <c r="L1219" s="16">
        <v>0</v>
      </c>
      <c r="M1219" s="18">
        <v>0</v>
      </c>
      <c r="N1219" s="18">
        <v>0</v>
      </c>
      <c r="O1219" s="18">
        <v>1</v>
      </c>
      <c r="P1219" s="18">
        <v>0</v>
      </c>
      <c r="Q1219" s="18">
        <v>0</v>
      </c>
      <c r="R1219" s="18">
        <v>0</v>
      </c>
      <c r="S1219" s="12">
        <v>0</v>
      </c>
      <c r="T1219" s="27">
        <v>0</v>
      </c>
      <c r="U1219" s="16">
        <v>1</v>
      </c>
      <c r="V1219" s="18">
        <v>2</v>
      </c>
      <c r="W1219" s="18">
        <v>0</v>
      </c>
      <c r="X1219" s="18">
        <v>3.25</v>
      </c>
      <c r="Y1219" s="12">
        <v>0</v>
      </c>
      <c r="Z1219" s="18">
        <v>1350</v>
      </c>
      <c r="AA1219" s="18">
        <v>0</v>
      </c>
      <c r="AB1219" s="18">
        <v>25</v>
      </c>
      <c r="AC1219" s="18">
        <v>0</v>
      </c>
      <c r="AD1219" s="18">
        <v>0</v>
      </c>
      <c r="AE1219" s="18">
        <v>0</v>
      </c>
      <c r="AF1219" s="18">
        <v>12</v>
      </c>
      <c r="AG1219" s="12">
        <v>2</v>
      </c>
      <c r="AH1219" s="12" t="s">
        <v>627</v>
      </c>
      <c r="AI1219" s="12">
        <v>0</v>
      </c>
      <c r="AJ1219" s="12">
        <v>2</v>
      </c>
      <c r="AK1219" s="12">
        <v>0</v>
      </c>
      <c r="AL1219" s="12">
        <v>2</v>
      </c>
      <c r="AM1219" s="18">
        <v>0</v>
      </c>
      <c r="AN1219" s="18">
        <v>0</v>
      </c>
      <c r="AO1219" s="18">
        <v>0</v>
      </c>
      <c r="AP1219" s="18">
        <v>0.25</v>
      </c>
      <c r="AQ1219" s="18">
        <v>3000</v>
      </c>
      <c r="AR1219" s="18">
        <v>0</v>
      </c>
      <c r="AS1219" s="18">
        <v>10</v>
      </c>
      <c r="AT1219" s="12">
        <v>0</v>
      </c>
      <c r="AU1219" s="18">
        <v>92041060</v>
      </c>
      <c r="AV1219" s="18"/>
      <c r="AW1219" s="19" t="s">
        <v>199</v>
      </c>
      <c r="AX1219" s="18" t="s">
        <v>534</v>
      </c>
      <c r="AY1219" s="18">
        <v>10003002</v>
      </c>
      <c r="AZ1219" s="18">
        <v>21403030</v>
      </c>
      <c r="BA1219" s="19" t="s">
        <v>200</v>
      </c>
      <c r="BB1219" s="19">
        <v>0</v>
      </c>
      <c r="BC1219" s="27">
        <v>0</v>
      </c>
      <c r="BD1219" s="27">
        <v>0</v>
      </c>
      <c r="BE1219" s="183" t="str">
        <f>"对前方敌人造成"&amp;X1219*100&amp;"%攻击伤害+"&amp;Z1219&amp;"点固定伤害,并置空1秒,如果目标血量低于30%则额外提升50%伤害。"</f>
        <v>对前方敌人造成325%攻击伤害+1350点固定伤害,并置空1秒,如果目标血量低于30%则额外提升50%伤害。</v>
      </c>
      <c r="BF1219" s="183" t="s">
        <v>1712</v>
      </c>
      <c r="BG1219" s="18">
        <v>0</v>
      </c>
      <c r="BH1219" s="16">
        <v>0</v>
      </c>
      <c r="BI1219" s="18">
        <v>0</v>
      </c>
      <c r="BJ1219" s="18">
        <v>0</v>
      </c>
      <c r="BK1219" s="18">
        <v>0</v>
      </c>
      <c r="BL1219" s="18">
        <v>0</v>
      </c>
      <c r="BM1219" s="15">
        <v>0</v>
      </c>
      <c r="BN1219" s="12">
        <v>0</v>
      </c>
      <c r="BO1219" s="12">
        <v>0</v>
      </c>
      <c r="BP1219" s="12">
        <v>0</v>
      </c>
      <c r="BQ1219" s="12">
        <v>0</v>
      </c>
      <c r="BR1219" s="12">
        <v>0</v>
      </c>
      <c r="BS1219" s="12">
        <v>0</v>
      </c>
      <c r="BT1219" s="12">
        <v>0</v>
      </c>
      <c r="BU1219" s="47">
        <v>0</v>
      </c>
      <c r="BV1219" s="47" t="s">
        <v>2458</v>
      </c>
      <c r="BW1219" s="47"/>
    </row>
    <row r="1220" spans="3:75" ht="19.5" customHeight="1">
      <c r="C1220" s="16">
        <v>65023302</v>
      </c>
      <c r="D1220" s="19" t="s">
        <v>2457</v>
      </c>
      <c r="E1220" s="19" t="s">
        <v>1711</v>
      </c>
      <c r="F1220" s="16">
        <v>1</v>
      </c>
      <c r="G1220" s="16">
        <v>65023301</v>
      </c>
      <c r="H1220" s="16">
        <v>65023303</v>
      </c>
      <c r="I1220" s="12">
        <v>0</v>
      </c>
      <c r="J1220" s="16">
        <v>37</v>
      </c>
      <c r="K1220" s="18">
        <v>2</v>
      </c>
      <c r="L1220" s="16">
        <v>0</v>
      </c>
      <c r="M1220" s="18">
        <v>0</v>
      </c>
      <c r="N1220" s="18">
        <v>0</v>
      </c>
      <c r="O1220" s="18">
        <v>1</v>
      </c>
      <c r="P1220" s="18">
        <v>0</v>
      </c>
      <c r="Q1220" s="18">
        <v>0</v>
      </c>
      <c r="R1220" s="18">
        <v>0</v>
      </c>
      <c r="S1220" s="12">
        <v>0</v>
      </c>
      <c r="T1220" s="27">
        <v>0</v>
      </c>
      <c r="U1220" s="16">
        <v>1</v>
      </c>
      <c r="V1220" s="18">
        <v>2</v>
      </c>
      <c r="W1220" s="18">
        <v>0</v>
      </c>
      <c r="X1220" s="18">
        <v>3.25</v>
      </c>
      <c r="Y1220" s="12">
        <v>0</v>
      </c>
      <c r="Z1220" s="18">
        <v>1350</v>
      </c>
      <c r="AA1220" s="18">
        <v>0</v>
      </c>
      <c r="AB1220" s="18">
        <v>25</v>
      </c>
      <c r="AC1220" s="18">
        <v>0</v>
      </c>
      <c r="AD1220" s="18">
        <v>0</v>
      </c>
      <c r="AE1220" s="18">
        <v>0</v>
      </c>
      <c r="AF1220" s="18">
        <v>12</v>
      </c>
      <c r="AG1220" s="12">
        <v>2</v>
      </c>
      <c r="AH1220" s="12" t="s">
        <v>627</v>
      </c>
      <c r="AI1220" s="12">
        <v>0</v>
      </c>
      <c r="AJ1220" s="12">
        <v>2</v>
      </c>
      <c r="AK1220" s="12">
        <v>0</v>
      </c>
      <c r="AL1220" s="12">
        <v>2</v>
      </c>
      <c r="AM1220" s="18">
        <v>0</v>
      </c>
      <c r="AN1220" s="18">
        <v>0</v>
      </c>
      <c r="AO1220" s="18">
        <v>0</v>
      </c>
      <c r="AP1220" s="18">
        <v>0.25</v>
      </c>
      <c r="AQ1220" s="18">
        <v>3000</v>
      </c>
      <c r="AR1220" s="18">
        <v>0</v>
      </c>
      <c r="AS1220" s="18">
        <v>10</v>
      </c>
      <c r="AT1220" s="12">
        <v>0</v>
      </c>
      <c r="AU1220" s="18">
        <v>92041060</v>
      </c>
      <c r="AV1220" s="18"/>
      <c r="AW1220" s="19" t="s">
        <v>199</v>
      </c>
      <c r="AX1220" s="18" t="s">
        <v>534</v>
      </c>
      <c r="AY1220" s="18">
        <v>10003002</v>
      </c>
      <c r="AZ1220" s="18">
        <v>21403030</v>
      </c>
      <c r="BA1220" s="19" t="s">
        <v>200</v>
      </c>
      <c r="BB1220" s="19">
        <v>0</v>
      </c>
      <c r="BC1220" s="27">
        <v>0</v>
      </c>
      <c r="BD1220" s="27">
        <v>0</v>
      </c>
      <c r="BE1220" s="183"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3" t="s">
        <v>1712</v>
      </c>
      <c r="BG1220" s="18">
        <v>0</v>
      </c>
      <c r="BH1220" s="16">
        <v>0</v>
      </c>
      <c r="BI1220" s="18">
        <v>0</v>
      </c>
      <c r="BJ1220" s="18">
        <v>0</v>
      </c>
      <c r="BK1220" s="18">
        <v>0</v>
      </c>
      <c r="BL1220" s="18">
        <v>0</v>
      </c>
      <c r="BM1220" s="15">
        <v>0</v>
      </c>
      <c r="BN1220" s="12">
        <v>0</v>
      </c>
      <c r="BO1220" s="12">
        <v>0</v>
      </c>
      <c r="BP1220" s="12">
        <v>0</v>
      </c>
      <c r="BQ1220" s="12">
        <v>0</v>
      </c>
      <c r="BR1220" s="12">
        <v>0</v>
      </c>
      <c r="BS1220" s="12">
        <v>0</v>
      </c>
      <c r="BT1220" s="12">
        <v>0</v>
      </c>
      <c r="BU1220" s="47">
        <v>0</v>
      </c>
      <c r="BV1220" s="47" t="s">
        <v>2458</v>
      </c>
      <c r="BW1220" s="47"/>
    </row>
    <row r="1221" spans="3:75" ht="19.5" customHeight="1">
      <c r="C1221" s="16">
        <v>65023303</v>
      </c>
      <c r="D1221" s="19" t="s">
        <v>2457</v>
      </c>
      <c r="E1221" s="19" t="s">
        <v>1711</v>
      </c>
      <c r="F1221" s="16">
        <v>2</v>
      </c>
      <c r="G1221" s="16">
        <v>65023301</v>
      </c>
      <c r="H1221" s="16">
        <v>65023304</v>
      </c>
      <c r="I1221" s="12">
        <v>0</v>
      </c>
      <c r="J1221" s="16">
        <v>42</v>
      </c>
      <c r="K1221" s="18">
        <v>2</v>
      </c>
      <c r="L1221" s="16">
        <v>0</v>
      </c>
      <c r="M1221" s="18">
        <v>0</v>
      </c>
      <c r="N1221" s="18">
        <v>0</v>
      </c>
      <c r="O1221" s="18">
        <v>1</v>
      </c>
      <c r="P1221" s="18">
        <v>0</v>
      </c>
      <c r="Q1221" s="18">
        <v>0</v>
      </c>
      <c r="R1221" s="18">
        <v>0</v>
      </c>
      <c r="S1221" s="12">
        <v>0</v>
      </c>
      <c r="T1221" s="27">
        <v>0</v>
      </c>
      <c r="U1221" s="16">
        <v>1</v>
      </c>
      <c r="V1221" s="18">
        <v>2</v>
      </c>
      <c r="W1221" s="18">
        <v>0</v>
      </c>
      <c r="X1221" s="18">
        <v>3.5</v>
      </c>
      <c r="Y1221" s="12">
        <v>0</v>
      </c>
      <c r="Z1221" s="18">
        <v>2700</v>
      </c>
      <c r="AA1221" s="18">
        <v>0</v>
      </c>
      <c r="AB1221" s="18">
        <v>25</v>
      </c>
      <c r="AC1221" s="18">
        <v>0</v>
      </c>
      <c r="AD1221" s="18">
        <v>0</v>
      </c>
      <c r="AE1221" s="18">
        <v>0</v>
      </c>
      <c r="AF1221" s="18">
        <v>12</v>
      </c>
      <c r="AG1221" s="12">
        <v>2</v>
      </c>
      <c r="AH1221" s="12" t="s">
        <v>627</v>
      </c>
      <c r="AI1221" s="12">
        <v>0</v>
      </c>
      <c r="AJ1221" s="12">
        <v>2</v>
      </c>
      <c r="AK1221" s="12">
        <v>0</v>
      </c>
      <c r="AL1221" s="12">
        <v>2</v>
      </c>
      <c r="AM1221" s="18">
        <v>0</v>
      </c>
      <c r="AN1221" s="18">
        <v>0</v>
      </c>
      <c r="AO1221" s="18">
        <v>0</v>
      </c>
      <c r="AP1221" s="18">
        <v>0.25</v>
      </c>
      <c r="AQ1221" s="18">
        <v>3000</v>
      </c>
      <c r="AR1221" s="18">
        <v>0</v>
      </c>
      <c r="AS1221" s="18">
        <v>10</v>
      </c>
      <c r="AT1221" s="12">
        <v>0</v>
      </c>
      <c r="AU1221" s="18">
        <v>92041060</v>
      </c>
      <c r="AV1221" s="18"/>
      <c r="AW1221" s="19" t="s">
        <v>199</v>
      </c>
      <c r="AX1221" s="18" t="s">
        <v>534</v>
      </c>
      <c r="AY1221" s="18">
        <v>10003002</v>
      </c>
      <c r="AZ1221" s="18">
        <v>21403030</v>
      </c>
      <c r="BA1221" s="19" t="s">
        <v>200</v>
      </c>
      <c r="BB1221" s="19">
        <v>0</v>
      </c>
      <c r="BC1221" s="27">
        <v>0</v>
      </c>
      <c r="BD1221" s="27">
        <v>0</v>
      </c>
      <c r="BE1221" s="183" t="str">
        <f t="shared" si="139"/>
        <v>对前方敌人造成350%攻击伤害+2700点固定伤害,并置空1秒,如果目标血量低于30%则额外提升50%伤害。</v>
      </c>
      <c r="BF1221" s="183" t="s">
        <v>1713</v>
      </c>
      <c r="BG1221" s="18">
        <v>0</v>
      </c>
      <c r="BH1221" s="16">
        <v>0</v>
      </c>
      <c r="BI1221" s="18">
        <v>0</v>
      </c>
      <c r="BJ1221" s="18">
        <v>0</v>
      </c>
      <c r="BK1221" s="18">
        <v>0</v>
      </c>
      <c r="BL1221" s="18">
        <v>0</v>
      </c>
      <c r="BM1221" s="15">
        <v>0</v>
      </c>
      <c r="BN1221" s="12">
        <v>0</v>
      </c>
      <c r="BO1221" s="12">
        <v>0</v>
      </c>
      <c r="BP1221" s="12">
        <v>0</v>
      </c>
      <c r="BQ1221" s="12">
        <v>0</v>
      </c>
      <c r="BR1221" s="12">
        <v>0</v>
      </c>
      <c r="BS1221" s="12">
        <v>0</v>
      </c>
      <c r="BT1221" s="12">
        <v>0</v>
      </c>
      <c r="BU1221" s="47">
        <v>0</v>
      </c>
      <c r="BV1221" s="47" t="s">
        <v>2458</v>
      </c>
      <c r="BW1221" s="47"/>
    </row>
    <row r="1222" spans="3:75" ht="19.5" customHeight="1">
      <c r="C1222" s="16">
        <v>65023304</v>
      </c>
      <c r="D1222" s="19" t="s">
        <v>2457</v>
      </c>
      <c r="E1222" s="19" t="s">
        <v>1711</v>
      </c>
      <c r="F1222" s="16">
        <v>3</v>
      </c>
      <c r="G1222" s="16">
        <v>65023301</v>
      </c>
      <c r="H1222" s="18">
        <v>0</v>
      </c>
      <c r="I1222" s="12">
        <v>0</v>
      </c>
      <c r="J1222" s="18">
        <v>0</v>
      </c>
      <c r="K1222" s="18">
        <v>0</v>
      </c>
      <c r="L1222" s="16">
        <v>0</v>
      </c>
      <c r="M1222" s="18">
        <v>0</v>
      </c>
      <c r="N1222" s="18">
        <v>0</v>
      </c>
      <c r="O1222" s="18">
        <v>1</v>
      </c>
      <c r="P1222" s="18">
        <v>0</v>
      </c>
      <c r="Q1222" s="18">
        <v>0</v>
      </c>
      <c r="R1222" s="18">
        <v>0</v>
      </c>
      <c r="S1222" s="12">
        <v>0</v>
      </c>
      <c r="T1222" s="27">
        <v>0</v>
      </c>
      <c r="U1222" s="16">
        <v>1</v>
      </c>
      <c r="V1222" s="18">
        <v>2</v>
      </c>
      <c r="W1222" s="18">
        <v>0</v>
      </c>
      <c r="X1222" s="18">
        <v>3.75</v>
      </c>
      <c r="Y1222" s="12">
        <v>0</v>
      </c>
      <c r="Z1222" s="18">
        <v>4200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 t="shared" si="139"/>
        <v>对前方敌人造成375%攻击伤害+4200点固定伤害,并置空1秒,如果目标血量低于30%则额外提升50%伤害。</v>
      </c>
      <c r="BF1222" s="183" t="s">
        <v>1714</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2458</v>
      </c>
      <c r="BW1222" s="47"/>
    </row>
    <row r="1223" spans="3:75" ht="19.5" customHeight="1">
      <c r="C1223" s="16">
        <v>65023305</v>
      </c>
      <c r="D1223" s="19" t="s">
        <v>2457</v>
      </c>
      <c r="E1223" s="19" t="s">
        <v>1711</v>
      </c>
      <c r="F1223" s="16">
        <v>4</v>
      </c>
      <c r="G1223" s="16">
        <v>65023301</v>
      </c>
      <c r="H1223" s="18">
        <v>0</v>
      </c>
      <c r="I1223" s="12">
        <v>0</v>
      </c>
      <c r="J1223" s="18">
        <v>0</v>
      </c>
      <c r="K1223" s="18">
        <v>0</v>
      </c>
      <c r="L1223" s="16">
        <v>0</v>
      </c>
      <c r="M1223" s="18">
        <v>0</v>
      </c>
      <c r="N1223" s="18">
        <v>0</v>
      </c>
      <c r="O1223" s="18">
        <v>1</v>
      </c>
      <c r="P1223" s="18">
        <v>0</v>
      </c>
      <c r="Q1223" s="18">
        <v>0</v>
      </c>
      <c r="R1223" s="18">
        <v>0</v>
      </c>
      <c r="S1223" s="12">
        <v>0</v>
      </c>
      <c r="T1223" s="27">
        <v>0</v>
      </c>
      <c r="U1223" s="16">
        <v>1</v>
      </c>
      <c r="V1223" s="18">
        <v>2</v>
      </c>
      <c r="W1223" s="18">
        <v>0</v>
      </c>
      <c r="X1223" s="18">
        <v>4</v>
      </c>
      <c r="Y1223" s="12">
        <v>0</v>
      </c>
      <c r="Z1223" s="18">
        <v>6000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si="139"/>
        <v>对前方敌人造成400%攻击伤害+6000点固定伤害,并置空1秒,如果目标血量低于30%则额外提升50%伤害。</v>
      </c>
      <c r="BF1223" s="183" t="s">
        <v>1715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2458</v>
      </c>
      <c r="BW1223" s="47"/>
    </row>
    <row r="1224" spans="3:75" ht="19.5" customHeight="1">
      <c r="C1224" s="16">
        <v>65023306</v>
      </c>
      <c r="D1224" s="19" t="s">
        <v>2457</v>
      </c>
      <c r="E1224" s="19" t="s">
        <v>1711</v>
      </c>
      <c r="F1224" s="16">
        <v>5</v>
      </c>
      <c r="G1224" s="16">
        <v>65023301</v>
      </c>
      <c r="H1224" s="18">
        <v>0</v>
      </c>
      <c r="I1224" s="12">
        <v>0</v>
      </c>
      <c r="J1224" s="18">
        <v>0</v>
      </c>
      <c r="K1224" s="18">
        <v>0</v>
      </c>
      <c r="L1224" s="16">
        <v>0</v>
      </c>
      <c r="M1224" s="18">
        <v>0</v>
      </c>
      <c r="N1224" s="18">
        <v>0</v>
      </c>
      <c r="O1224" s="18">
        <v>1</v>
      </c>
      <c r="P1224" s="18">
        <v>0</v>
      </c>
      <c r="Q1224" s="18">
        <v>0</v>
      </c>
      <c r="R1224" s="18">
        <v>0</v>
      </c>
      <c r="S1224" s="12">
        <v>0</v>
      </c>
      <c r="T1224" s="27">
        <v>0</v>
      </c>
      <c r="U1224" s="16">
        <v>1</v>
      </c>
      <c r="V1224" s="18">
        <v>2</v>
      </c>
      <c r="W1224" s="18">
        <v>0</v>
      </c>
      <c r="X1224" s="18">
        <v>4.25</v>
      </c>
      <c r="Y1224" s="12">
        <v>0</v>
      </c>
      <c r="Z1224" s="18">
        <v>7800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对前方敌人造成425%攻击伤害+7800点固定伤害,并置空1秒,如果目标血量低于30%则额外提升50%伤害。</v>
      </c>
      <c r="BF1224" s="183" t="s">
        <v>1716</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2458</v>
      </c>
      <c r="BW1224" s="47"/>
    </row>
    <row r="1225" spans="3:75" ht="20.100000000000001" customHeight="1">
      <c r="C1225" s="18">
        <v>65023401</v>
      </c>
      <c r="D1225" s="19" t="s">
        <v>2459</v>
      </c>
      <c r="E1225" s="19" t="s">
        <v>1620</v>
      </c>
      <c r="F1225" s="16">
        <v>0</v>
      </c>
      <c r="G1225" s="18">
        <v>65023401</v>
      </c>
      <c r="H1225" s="18">
        <v>65023402</v>
      </c>
      <c r="I1225" s="27">
        <v>0</v>
      </c>
      <c r="J1225" s="16">
        <v>35</v>
      </c>
      <c r="K1225" s="18">
        <v>5</v>
      </c>
      <c r="L1225" s="16">
        <v>0</v>
      </c>
      <c r="M1225" s="18">
        <v>0</v>
      </c>
      <c r="N1225" s="18">
        <v>0</v>
      </c>
      <c r="O1225" s="18">
        <v>1</v>
      </c>
      <c r="P1225" s="18">
        <v>0</v>
      </c>
      <c r="Q1225" s="18">
        <v>0</v>
      </c>
      <c r="R1225" s="18">
        <v>0</v>
      </c>
      <c r="S1225" s="12">
        <v>0</v>
      </c>
      <c r="T1225" s="27">
        <v>0</v>
      </c>
      <c r="U1225" s="16">
        <v>1</v>
      </c>
      <c r="V1225" s="18">
        <v>2</v>
      </c>
      <c r="W1225" s="18">
        <v>0</v>
      </c>
      <c r="X1225" s="18">
        <v>2.5</v>
      </c>
      <c r="Y1225" s="12">
        <v>0</v>
      </c>
      <c r="Z1225" s="18">
        <v>900</v>
      </c>
      <c r="AA1225" s="18">
        <v>1</v>
      </c>
      <c r="AB1225" s="18">
        <v>30</v>
      </c>
      <c r="AC1225" s="18">
        <v>0</v>
      </c>
      <c r="AD1225" s="18">
        <v>0</v>
      </c>
      <c r="AE1225" s="18">
        <v>0</v>
      </c>
      <c r="AF1225" s="18">
        <v>18</v>
      </c>
      <c r="AG1225" s="18">
        <v>1</v>
      </c>
      <c r="AH1225" s="18">
        <v>5</v>
      </c>
      <c r="AI1225" s="12">
        <v>0</v>
      </c>
      <c r="AJ1225" s="12">
        <v>0</v>
      </c>
      <c r="AK1225" s="12">
        <v>0</v>
      </c>
      <c r="AL1225" s="12">
        <v>3</v>
      </c>
      <c r="AM1225" s="18">
        <v>0</v>
      </c>
      <c r="AN1225" s="18">
        <v>0</v>
      </c>
      <c r="AO1225" s="18">
        <v>0</v>
      </c>
      <c r="AP1225" s="18">
        <v>0.3</v>
      </c>
      <c r="AQ1225" s="18">
        <v>2000</v>
      </c>
      <c r="AR1225" s="18">
        <v>0.5</v>
      </c>
      <c r="AS1225" s="18">
        <v>0</v>
      </c>
      <c r="AT1225" s="12">
        <v>0</v>
      </c>
      <c r="AU1225" s="18">
        <v>92041070</v>
      </c>
      <c r="AV1225" s="18"/>
      <c r="AW1225" s="19" t="s">
        <v>1529</v>
      </c>
      <c r="AX1225" s="18" t="s">
        <v>534</v>
      </c>
      <c r="AY1225" s="18">
        <v>10000009</v>
      </c>
      <c r="AZ1225" s="18">
        <v>21403040</v>
      </c>
      <c r="BA1225" s="17" t="s">
        <v>1531</v>
      </c>
      <c r="BB1225" s="19">
        <v>0</v>
      </c>
      <c r="BC1225" s="27">
        <v>0</v>
      </c>
      <c r="BD1225" s="27">
        <v>0</v>
      </c>
      <c r="BE1225" s="183"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3" t="s">
        <v>1622</v>
      </c>
      <c r="BG1225" s="18">
        <v>0</v>
      </c>
      <c r="BH1225" s="16">
        <v>0</v>
      </c>
      <c r="BI1225" s="18">
        <v>0</v>
      </c>
      <c r="BJ1225" s="18">
        <v>0</v>
      </c>
      <c r="BK1225" s="18">
        <v>0</v>
      </c>
      <c r="BL1225" s="18">
        <v>0</v>
      </c>
      <c r="BM1225" s="15">
        <v>0</v>
      </c>
      <c r="BN1225" s="12">
        <v>1</v>
      </c>
      <c r="BO1225" s="12">
        <v>0</v>
      </c>
      <c r="BP1225" s="12">
        <v>0</v>
      </c>
      <c r="BQ1225" s="12">
        <v>0</v>
      </c>
      <c r="BR1225" s="12">
        <v>0</v>
      </c>
      <c r="BS1225" s="12">
        <v>0</v>
      </c>
      <c r="BT1225" s="12">
        <v>0</v>
      </c>
      <c r="BU1225" s="47">
        <v>0</v>
      </c>
      <c r="BV1225" s="47"/>
      <c r="BW1225" s="47"/>
    </row>
    <row r="1226" spans="3:75" ht="20.100000000000001" customHeight="1">
      <c r="C1226" s="18">
        <v>65023402</v>
      </c>
      <c r="D1226" s="19" t="s">
        <v>2459</v>
      </c>
      <c r="E1226" s="19" t="s">
        <v>1620</v>
      </c>
      <c r="F1226" s="16">
        <v>1</v>
      </c>
      <c r="G1226" s="18">
        <v>65023401</v>
      </c>
      <c r="H1226" s="18">
        <v>65023403</v>
      </c>
      <c r="I1226" s="27">
        <v>0</v>
      </c>
      <c r="J1226" s="16">
        <v>42</v>
      </c>
      <c r="K1226" s="18">
        <v>2</v>
      </c>
      <c r="L1226" s="16">
        <v>0</v>
      </c>
      <c r="M1226" s="18">
        <v>0</v>
      </c>
      <c r="N1226" s="18">
        <v>0</v>
      </c>
      <c r="O1226" s="18">
        <v>1</v>
      </c>
      <c r="P1226" s="18">
        <v>0</v>
      </c>
      <c r="Q1226" s="18">
        <v>0</v>
      </c>
      <c r="R1226" s="18">
        <v>0</v>
      </c>
      <c r="S1226" s="12">
        <v>0</v>
      </c>
      <c r="T1226" s="27">
        <v>0</v>
      </c>
      <c r="U1226" s="16">
        <v>1</v>
      </c>
      <c r="V1226" s="18">
        <v>2</v>
      </c>
      <c r="W1226" s="18">
        <v>0</v>
      </c>
      <c r="X1226" s="18">
        <v>2.5</v>
      </c>
      <c r="Y1226" s="12">
        <v>0</v>
      </c>
      <c r="Z1226" s="18">
        <v>900</v>
      </c>
      <c r="AA1226" s="18">
        <v>1</v>
      </c>
      <c r="AB1226" s="18">
        <v>30</v>
      </c>
      <c r="AC1226" s="18">
        <v>0</v>
      </c>
      <c r="AD1226" s="18">
        <v>0</v>
      </c>
      <c r="AE1226" s="18">
        <v>0</v>
      </c>
      <c r="AF1226" s="18">
        <v>18</v>
      </c>
      <c r="AG1226" s="18">
        <v>1</v>
      </c>
      <c r="AH1226" s="18">
        <v>5</v>
      </c>
      <c r="AI1226" s="12">
        <v>0</v>
      </c>
      <c r="AJ1226" s="12">
        <v>0</v>
      </c>
      <c r="AK1226" s="12">
        <v>0</v>
      </c>
      <c r="AL1226" s="12">
        <v>3</v>
      </c>
      <c r="AM1226" s="18">
        <v>0</v>
      </c>
      <c r="AN1226" s="18">
        <v>0</v>
      </c>
      <c r="AO1226" s="18">
        <v>0</v>
      </c>
      <c r="AP1226" s="18">
        <v>0.3</v>
      </c>
      <c r="AQ1226" s="18">
        <v>2000</v>
      </c>
      <c r="AR1226" s="18">
        <v>0.5</v>
      </c>
      <c r="AS1226" s="18">
        <v>0</v>
      </c>
      <c r="AT1226" s="12">
        <v>0</v>
      </c>
      <c r="AU1226" s="18">
        <v>92041070</v>
      </c>
      <c r="AV1226" s="18"/>
      <c r="AW1226" s="19" t="s">
        <v>1529</v>
      </c>
      <c r="AX1226" s="18" t="s">
        <v>534</v>
      </c>
      <c r="AY1226" s="18">
        <v>10000009</v>
      </c>
      <c r="AZ1226" s="18">
        <v>21403040</v>
      </c>
      <c r="BA1226" s="17" t="s">
        <v>1531</v>
      </c>
      <c r="BB1226" s="19">
        <v>0</v>
      </c>
      <c r="BC1226" s="27">
        <v>0</v>
      </c>
      <c r="BD1226" s="27">
        <v>0</v>
      </c>
      <c r="BE1226" s="183"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3" t="s">
        <v>1622</v>
      </c>
      <c r="BG1226" s="18">
        <v>0</v>
      </c>
      <c r="BH1226" s="16">
        <v>0</v>
      </c>
      <c r="BI1226" s="18">
        <v>0</v>
      </c>
      <c r="BJ1226" s="18">
        <v>0</v>
      </c>
      <c r="BK1226" s="18">
        <v>0</v>
      </c>
      <c r="BL1226" s="18">
        <v>0</v>
      </c>
      <c r="BM1226" s="15">
        <v>0</v>
      </c>
      <c r="BN1226" s="12">
        <v>1</v>
      </c>
      <c r="BO1226" s="12">
        <v>0</v>
      </c>
      <c r="BP1226" s="12">
        <v>0</v>
      </c>
      <c r="BQ1226" s="12">
        <v>0</v>
      </c>
      <c r="BR1226" s="12">
        <v>0</v>
      </c>
      <c r="BS1226" s="12">
        <v>0</v>
      </c>
      <c r="BT1226" s="12">
        <v>0</v>
      </c>
      <c r="BU1226" s="47">
        <v>0</v>
      </c>
      <c r="BV1226" s="47"/>
      <c r="BW1226" s="47"/>
    </row>
    <row r="1227" spans="3:75" ht="20.100000000000001" customHeight="1">
      <c r="C1227" s="18">
        <v>65023403</v>
      </c>
      <c r="D1227" s="19" t="s">
        <v>2459</v>
      </c>
      <c r="E1227" s="19" t="s">
        <v>1620</v>
      </c>
      <c r="F1227" s="16">
        <v>2</v>
      </c>
      <c r="G1227" s="18">
        <v>65023401</v>
      </c>
      <c r="H1227" s="18">
        <v>65023404</v>
      </c>
      <c r="I1227" s="27">
        <v>0</v>
      </c>
      <c r="J1227" s="16">
        <v>47</v>
      </c>
      <c r="K1227" s="18">
        <v>2</v>
      </c>
      <c r="L1227" s="16">
        <v>0</v>
      </c>
      <c r="M1227" s="18">
        <v>0</v>
      </c>
      <c r="N1227" s="18">
        <v>0</v>
      </c>
      <c r="O1227" s="18">
        <v>1</v>
      </c>
      <c r="P1227" s="18">
        <v>0</v>
      </c>
      <c r="Q1227" s="18">
        <v>0</v>
      </c>
      <c r="R1227" s="18">
        <v>0</v>
      </c>
      <c r="S1227" s="12">
        <v>0</v>
      </c>
      <c r="T1227" s="27">
        <v>0</v>
      </c>
      <c r="U1227" s="16">
        <v>1</v>
      </c>
      <c r="V1227" s="18">
        <v>2</v>
      </c>
      <c r="W1227" s="18">
        <v>0</v>
      </c>
      <c r="X1227" s="18">
        <v>2.75</v>
      </c>
      <c r="Y1227" s="12">
        <v>0</v>
      </c>
      <c r="Z1227" s="18">
        <v>1800</v>
      </c>
      <c r="AA1227" s="18">
        <v>1</v>
      </c>
      <c r="AB1227" s="18">
        <v>30</v>
      </c>
      <c r="AC1227" s="18">
        <v>0</v>
      </c>
      <c r="AD1227" s="18">
        <v>0</v>
      </c>
      <c r="AE1227" s="18">
        <v>0</v>
      </c>
      <c r="AF1227" s="18">
        <v>18</v>
      </c>
      <c r="AG1227" s="18">
        <v>1</v>
      </c>
      <c r="AH1227" s="18">
        <v>5</v>
      </c>
      <c r="AI1227" s="12">
        <v>0</v>
      </c>
      <c r="AJ1227" s="12">
        <v>0</v>
      </c>
      <c r="AK1227" s="12">
        <v>0</v>
      </c>
      <c r="AL1227" s="12">
        <v>3</v>
      </c>
      <c r="AM1227" s="18">
        <v>0</v>
      </c>
      <c r="AN1227" s="18">
        <v>0</v>
      </c>
      <c r="AO1227" s="18">
        <v>0</v>
      </c>
      <c r="AP1227" s="18">
        <v>0.3</v>
      </c>
      <c r="AQ1227" s="18">
        <v>2000</v>
      </c>
      <c r="AR1227" s="18">
        <v>0.5</v>
      </c>
      <c r="AS1227" s="18">
        <v>0</v>
      </c>
      <c r="AT1227" s="12">
        <v>0</v>
      </c>
      <c r="AU1227" s="18">
        <v>92041070</v>
      </c>
      <c r="AV1227" s="18"/>
      <c r="AW1227" s="19" t="s">
        <v>1529</v>
      </c>
      <c r="AX1227" s="18" t="s">
        <v>534</v>
      </c>
      <c r="AY1227" s="18">
        <v>10000009</v>
      </c>
      <c r="AZ1227" s="18">
        <v>21403040</v>
      </c>
      <c r="BA1227" s="17" t="s">
        <v>1531</v>
      </c>
      <c r="BB1227" s="19">
        <v>0</v>
      </c>
      <c r="BC1227" s="27">
        <v>0</v>
      </c>
      <c r="BD1227" s="27">
        <v>0</v>
      </c>
      <c r="BE1227" s="183" t="str">
        <f t="shared" si="140"/>
        <v>对自身大范围内的敌人目标造成275%攻击伤害+1800点固定伤害,，并将其快速拉回到自身前面，并造成1秒置空。</v>
      </c>
      <c r="BF1227" s="183" t="s">
        <v>1623</v>
      </c>
      <c r="BG1227" s="18">
        <v>0</v>
      </c>
      <c r="BH1227" s="16">
        <v>0</v>
      </c>
      <c r="BI1227" s="18">
        <v>0</v>
      </c>
      <c r="BJ1227" s="18">
        <v>0</v>
      </c>
      <c r="BK1227" s="18">
        <v>0</v>
      </c>
      <c r="BL1227" s="18">
        <v>0</v>
      </c>
      <c r="BM1227" s="15">
        <v>0</v>
      </c>
      <c r="BN1227" s="12">
        <v>1</v>
      </c>
      <c r="BO1227" s="12">
        <v>0</v>
      </c>
      <c r="BP1227" s="12">
        <v>0</v>
      </c>
      <c r="BQ1227" s="12">
        <v>0</v>
      </c>
      <c r="BR1227" s="12">
        <v>0</v>
      </c>
      <c r="BS1227" s="12">
        <v>0</v>
      </c>
      <c r="BT1227" s="12">
        <v>0</v>
      </c>
      <c r="BU1227" s="47">
        <v>0</v>
      </c>
      <c r="BV1227" s="47"/>
      <c r="BW1227" s="47"/>
    </row>
    <row r="1228" spans="3:75" ht="20.100000000000001" customHeight="1">
      <c r="C1228" s="18">
        <v>65023404</v>
      </c>
      <c r="D1228" s="19" t="s">
        <v>2459</v>
      </c>
      <c r="E1228" s="19" t="s">
        <v>1620</v>
      </c>
      <c r="F1228" s="16">
        <v>3</v>
      </c>
      <c r="G1228" s="18">
        <v>65023401</v>
      </c>
      <c r="H1228" s="16">
        <v>0</v>
      </c>
      <c r="I1228" s="27">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2800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 t="shared" si="140"/>
        <v>对自身大范围内的敌人目标造成300%攻击伤害+2800点固定伤害,，并将其快速拉回到自身前面，并造成1秒置空。</v>
      </c>
      <c r="BF1228" s="183" t="s">
        <v>1624</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65023405</v>
      </c>
      <c r="D1229" s="19" t="s">
        <v>2459</v>
      </c>
      <c r="E1229" s="19" t="s">
        <v>1620</v>
      </c>
      <c r="F1229" s="16">
        <v>4</v>
      </c>
      <c r="G1229" s="18">
        <v>65023401</v>
      </c>
      <c r="H1229" s="16">
        <v>0</v>
      </c>
      <c r="I1229" s="27">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3.25</v>
      </c>
      <c r="Y1229" s="12">
        <v>0</v>
      </c>
      <c r="Z1229" s="18">
        <v>4000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si="140"/>
        <v>对自身大范围内的敌人目标造成325%攻击伤害+4000点固定伤害,，并将其快速拉回到自身前面，并造成1秒置空。</v>
      </c>
      <c r="BF1229" s="183" t="s">
        <v>1625</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65023406</v>
      </c>
      <c r="D1230" s="19" t="s">
        <v>2459</v>
      </c>
      <c r="E1230" s="19" t="s">
        <v>1620</v>
      </c>
      <c r="F1230" s="16">
        <v>5</v>
      </c>
      <c r="G1230" s="18">
        <v>65023401</v>
      </c>
      <c r="H1230" s="16">
        <v>0</v>
      </c>
      <c r="I1230" s="27">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3.5</v>
      </c>
      <c r="Y1230" s="12">
        <v>0</v>
      </c>
      <c r="Z1230" s="18">
        <v>5200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对自身大范围内的敌人目标造成350%攻击伤害+5200点固定伤害,，并将其快速拉回到自身前面，并造成1秒置空。</v>
      </c>
      <c r="BF1230" s="183" t="s">
        <v>1626</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60031111</v>
      </c>
      <c r="D1231" s="13" t="s">
        <v>2460</v>
      </c>
      <c r="E1231" s="13" t="s">
        <v>5461</v>
      </c>
      <c r="F1231" s="18">
        <v>1</v>
      </c>
      <c r="G1231" s="18">
        <v>60031111</v>
      </c>
      <c r="H1231" s="18">
        <v>0</v>
      </c>
      <c r="I1231" s="27">
        <v>0</v>
      </c>
      <c r="J1231" s="18">
        <v>60</v>
      </c>
      <c r="K1231" s="18">
        <v>0</v>
      </c>
      <c r="L1231" s="18">
        <v>0</v>
      </c>
      <c r="M1231" s="16">
        <v>0</v>
      </c>
      <c r="N1231" s="16">
        <v>0</v>
      </c>
      <c r="O1231" s="18">
        <v>1</v>
      </c>
      <c r="P1231" s="16">
        <v>0</v>
      </c>
      <c r="Q1231" s="16">
        <v>1</v>
      </c>
      <c r="R1231" s="16">
        <v>0</v>
      </c>
      <c r="S1231" s="12">
        <v>0</v>
      </c>
      <c r="T1231" s="16">
        <v>0</v>
      </c>
      <c r="U1231" s="16">
        <v>1</v>
      </c>
      <c r="V1231" s="16">
        <v>2</v>
      </c>
      <c r="W1231" s="16">
        <v>0</v>
      </c>
      <c r="X1231" s="16">
        <v>3</v>
      </c>
      <c r="Y1231" s="12">
        <v>0</v>
      </c>
      <c r="Z1231" s="16">
        <v>0</v>
      </c>
      <c r="AA1231" s="16">
        <v>1</v>
      </c>
      <c r="AB1231" s="16">
        <v>0</v>
      </c>
      <c r="AC1231" s="16">
        <v>0</v>
      </c>
      <c r="AD1231" s="16">
        <v>0</v>
      </c>
      <c r="AE1231" s="16">
        <v>0</v>
      </c>
      <c r="AF1231" s="16">
        <v>20</v>
      </c>
      <c r="AG1231" s="16">
        <v>1</v>
      </c>
      <c r="AH1231" s="16">
        <v>3</v>
      </c>
      <c r="AI1231" s="12">
        <v>0</v>
      </c>
      <c r="AJ1231" s="12">
        <v>2</v>
      </c>
      <c r="AK1231" s="12">
        <v>0</v>
      </c>
      <c r="AL1231" s="12">
        <v>2</v>
      </c>
      <c r="AM1231" s="16">
        <v>0</v>
      </c>
      <c r="AN1231" s="16">
        <v>0</v>
      </c>
      <c r="AO1231" s="16">
        <v>0</v>
      </c>
      <c r="AP1231" s="16">
        <v>2</v>
      </c>
      <c r="AQ1231" s="16">
        <v>10000</v>
      </c>
      <c r="AR1231" s="16">
        <v>0.5</v>
      </c>
      <c r="AS1231" s="16">
        <v>10</v>
      </c>
      <c r="AT1231" s="12">
        <v>0</v>
      </c>
      <c r="AU1231" s="16" t="s">
        <v>198</v>
      </c>
      <c r="AV1231" s="16"/>
      <c r="AW1231" s="19" t="s">
        <v>2461</v>
      </c>
      <c r="AX1231" s="16" t="s">
        <v>534</v>
      </c>
      <c r="AY1231" s="18">
        <v>10000007</v>
      </c>
      <c r="AZ1231" s="18">
        <v>22001001</v>
      </c>
      <c r="BA1231" s="19" t="s">
        <v>586</v>
      </c>
      <c r="BB1231" s="27" t="s">
        <v>2462</v>
      </c>
      <c r="BC1231" s="27">
        <v>0</v>
      </c>
      <c r="BD1231" s="27">
        <v>1</v>
      </c>
      <c r="BE1231" s="44" t="s">
        <v>2463</v>
      </c>
      <c r="BF1231" s="44" t="s">
        <v>2464</v>
      </c>
      <c r="BG1231" s="16">
        <v>0</v>
      </c>
      <c r="BH1231" s="16">
        <v>0</v>
      </c>
      <c r="BI1231" s="16">
        <v>0</v>
      </c>
      <c r="BJ1231" s="16">
        <v>0</v>
      </c>
      <c r="BK1231" s="16">
        <v>0</v>
      </c>
      <c r="BL1231" s="16">
        <v>0</v>
      </c>
      <c r="BM1231" s="15">
        <v>0</v>
      </c>
      <c r="BN1231" s="12">
        <v>0</v>
      </c>
      <c r="BO1231" s="12">
        <v>0</v>
      </c>
      <c r="BP1231" s="12">
        <v>0</v>
      </c>
      <c r="BQ1231" s="12">
        <v>0</v>
      </c>
      <c r="BR1231" s="12">
        <v>0</v>
      </c>
      <c r="BS1231" s="12">
        <v>0</v>
      </c>
      <c r="BT1231" s="12">
        <v>0</v>
      </c>
      <c r="BU1231" s="47">
        <v>0</v>
      </c>
      <c r="BV1231" s="47"/>
      <c r="BW1231" s="47"/>
    </row>
    <row r="1232" spans="3:75" ht="20.100000000000001" customHeight="1">
      <c r="C1232" s="18">
        <v>60031121</v>
      </c>
      <c r="D1232" s="13" t="s">
        <v>2465</v>
      </c>
      <c r="E1232" s="13" t="s">
        <v>2466</v>
      </c>
      <c r="F1232" s="16">
        <v>1</v>
      </c>
      <c r="G1232" s="18">
        <v>60031121</v>
      </c>
      <c r="H1232" s="16">
        <v>0</v>
      </c>
      <c r="I1232" s="27">
        <v>0</v>
      </c>
      <c r="J1232" s="18">
        <v>60</v>
      </c>
      <c r="K1232" s="16">
        <v>0</v>
      </c>
      <c r="L1232" s="16">
        <v>0</v>
      </c>
      <c r="M1232" s="18">
        <v>0</v>
      </c>
      <c r="N1232" s="18">
        <v>0</v>
      </c>
      <c r="O1232" s="18">
        <v>1</v>
      </c>
      <c r="P1232" s="18">
        <v>0</v>
      </c>
      <c r="Q1232" s="18">
        <v>0</v>
      </c>
      <c r="R1232" s="18">
        <v>0</v>
      </c>
      <c r="S1232" s="12">
        <v>0</v>
      </c>
      <c r="T1232" s="27">
        <v>0</v>
      </c>
      <c r="U1232" s="16">
        <v>1</v>
      </c>
      <c r="V1232" s="18">
        <v>2</v>
      </c>
      <c r="W1232" s="18">
        <v>0</v>
      </c>
      <c r="X1232" s="18">
        <v>1.5</v>
      </c>
      <c r="Y1232" s="12">
        <v>0</v>
      </c>
      <c r="Z1232" s="18">
        <v>0</v>
      </c>
      <c r="AA1232" s="18">
        <v>0</v>
      </c>
      <c r="AB1232" s="18">
        <v>0</v>
      </c>
      <c r="AC1232" s="18">
        <v>0</v>
      </c>
      <c r="AD1232" s="18">
        <v>0</v>
      </c>
      <c r="AE1232" s="18">
        <v>0</v>
      </c>
      <c r="AF1232" s="16">
        <v>20</v>
      </c>
      <c r="AG1232" s="18">
        <v>1</v>
      </c>
      <c r="AH1232" s="18">
        <v>5</v>
      </c>
      <c r="AI1232" s="12">
        <v>2</v>
      </c>
      <c r="AJ1232" s="12">
        <v>1</v>
      </c>
      <c r="AK1232" s="12">
        <v>0</v>
      </c>
      <c r="AL1232" s="12">
        <v>6</v>
      </c>
      <c r="AM1232" s="18">
        <v>0</v>
      </c>
      <c r="AN1232" s="18">
        <v>0</v>
      </c>
      <c r="AO1232" s="18">
        <v>0</v>
      </c>
      <c r="AP1232" s="18">
        <v>0.25</v>
      </c>
      <c r="AQ1232" s="18">
        <v>8000</v>
      </c>
      <c r="AR1232" s="18">
        <v>0.25</v>
      </c>
      <c r="AS1232" s="18">
        <v>0</v>
      </c>
      <c r="AT1232" s="12">
        <v>0</v>
      </c>
      <c r="AU1232" s="18">
        <v>83000004</v>
      </c>
      <c r="AV1232" s="18"/>
      <c r="AW1232" s="19" t="s">
        <v>199</v>
      </c>
      <c r="AX1232" s="18" t="s">
        <v>1408</v>
      </c>
      <c r="AY1232" s="18">
        <v>10002001</v>
      </c>
      <c r="AZ1232" s="18">
        <v>22001002</v>
      </c>
      <c r="BA1232" s="19" t="s">
        <v>315</v>
      </c>
      <c r="BB1232" s="19" t="s">
        <v>1738</v>
      </c>
      <c r="BC1232" s="27">
        <v>0</v>
      </c>
      <c r="BD1232" s="27">
        <v>1</v>
      </c>
      <c r="BE1232" s="183" t="s">
        <v>2467</v>
      </c>
      <c r="BF1232" s="183" t="s">
        <v>2468</v>
      </c>
      <c r="BG1232" s="18">
        <v>0</v>
      </c>
      <c r="BH1232" s="16">
        <v>0</v>
      </c>
      <c r="BI1232" s="18">
        <v>0</v>
      </c>
      <c r="BJ1232" s="18">
        <v>0</v>
      </c>
      <c r="BK1232" s="18">
        <v>0</v>
      </c>
      <c r="BL1232" s="18">
        <v>0</v>
      </c>
      <c r="BM1232" s="15">
        <v>0</v>
      </c>
      <c r="BN1232" s="12">
        <v>0</v>
      </c>
      <c r="BO1232" s="12">
        <v>0</v>
      </c>
      <c r="BP1232" s="12">
        <v>0</v>
      </c>
      <c r="BQ1232" s="12">
        <v>0</v>
      </c>
      <c r="BR1232" s="12">
        <v>0</v>
      </c>
      <c r="BS1232" s="12">
        <v>0</v>
      </c>
      <c r="BT1232" s="12">
        <v>0</v>
      </c>
      <c r="BU1232" s="47">
        <v>0</v>
      </c>
      <c r="BV1232" s="47"/>
      <c r="BW1232" s="47"/>
    </row>
    <row r="1233" spans="1:75" ht="20.100000000000001" customHeight="1">
      <c r="C1233" s="18">
        <v>60031131</v>
      </c>
      <c r="D1233" s="13" t="s">
        <v>2469</v>
      </c>
      <c r="E1233" s="13" t="s">
        <v>2470</v>
      </c>
      <c r="F1233" s="16">
        <v>1</v>
      </c>
      <c r="G1233" s="18">
        <v>60031131</v>
      </c>
      <c r="H1233" s="18">
        <v>0</v>
      </c>
      <c r="I1233" s="12">
        <v>0</v>
      </c>
      <c r="J1233" s="18">
        <v>60</v>
      </c>
      <c r="K1233" s="18">
        <v>0</v>
      </c>
      <c r="L1233" s="16">
        <v>0</v>
      </c>
      <c r="M1233" s="12">
        <v>0</v>
      </c>
      <c r="N1233" s="12">
        <v>0</v>
      </c>
      <c r="O1233" s="12">
        <v>1</v>
      </c>
      <c r="P1233" s="12">
        <v>0</v>
      </c>
      <c r="Q1233" s="12">
        <v>0</v>
      </c>
      <c r="R1233" s="12">
        <v>0</v>
      </c>
      <c r="S1233" s="12">
        <v>0</v>
      </c>
      <c r="T1233" s="12">
        <v>0</v>
      </c>
      <c r="U1233" s="16">
        <v>1</v>
      </c>
      <c r="V1233" s="12">
        <v>2</v>
      </c>
      <c r="W1233" s="12">
        <v>0</v>
      </c>
      <c r="X1233" s="18">
        <v>2</v>
      </c>
      <c r="Y1233" s="12">
        <v>0</v>
      </c>
      <c r="Z1233" s="18">
        <v>0</v>
      </c>
      <c r="AA1233" s="12">
        <v>0</v>
      </c>
      <c r="AB1233" s="12">
        <v>0</v>
      </c>
      <c r="AC1233" s="12">
        <v>0</v>
      </c>
      <c r="AD1233" s="12">
        <v>0</v>
      </c>
      <c r="AE1233" s="12">
        <v>0</v>
      </c>
      <c r="AF1233" s="16">
        <v>20</v>
      </c>
      <c r="AG1233" s="12">
        <v>0</v>
      </c>
      <c r="AH1233" s="12">
        <v>0</v>
      </c>
      <c r="AI1233" s="12">
        <v>0</v>
      </c>
      <c r="AJ1233" s="12">
        <v>0</v>
      </c>
      <c r="AK1233" s="12">
        <v>0</v>
      </c>
      <c r="AL1233" s="12">
        <v>3</v>
      </c>
      <c r="AM1233" s="12">
        <v>0</v>
      </c>
      <c r="AN1233" s="12">
        <v>0</v>
      </c>
      <c r="AO1233" s="12">
        <v>0</v>
      </c>
      <c r="AP1233" s="12">
        <v>0.25</v>
      </c>
      <c r="AQ1233" s="12">
        <v>1000</v>
      </c>
      <c r="AR1233" s="12">
        <v>0</v>
      </c>
      <c r="AS1233" s="12">
        <v>0</v>
      </c>
      <c r="AT1233" s="12">
        <v>0</v>
      </c>
      <c r="AU1233" s="346" t="s">
        <v>2471</v>
      </c>
      <c r="AV1233" s="18"/>
      <c r="AW1233" s="13" t="s">
        <v>199</v>
      </c>
      <c r="AX1233" s="18" t="s">
        <v>1408</v>
      </c>
      <c r="AY1233" s="12" t="s">
        <v>198</v>
      </c>
      <c r="AZ1233" s="346" t="s">
        <v>2472</v>
      </c>
      <c r="BA1233" s="13" t="s">
        <v>200</v>
      </c>
      <c r="BB1233" s="12">
        <v>0</v>
      </c>
      <c r="BC1233" s="27">
        <v>0</v>
      </c>
      <c r="BD1233" s="27">
        <v>1</v>
      </c>
      <c r="BE1233" s="183" t="s">
        <v>2473</v>
      </c>
      <c r="BF1233" s="183" t="s">
        <v>2474</v>
      </c>
      <c r="BG1233" s="12">
        <v>0</v>
      </c>
      <c r="BH1233" s="16">
        <v>0</v>
      </c>
      <c r="BI1233" s="12">
        <v>0</v>
      </c>
      <c r="BJ1233" s="12">
        <v>0</v>
      </c>
      <c r="BK1233" s="12">
        <v>0</v>
      </c>
      <c r="BL1233" s="12">
        <v>0</v>
      </c>
      <c r="BM1233" s="15">
        <v>0</v>
      </c>
      <c r="BN1233" s="12">
        <v>0</v>
      </c>
      <c r="BO1233" s="12">
        <v>0</v>
      </c>
      <c r="BP1233" s="12">
        <v>0</v>
      </c>
      <c r="BQ1233" s="12">
        <v>0</v>
      </c>
      <c r="BR1233" s="12">
        <v>0</v>
      </c>
      <c r="BS1233" s="12">
        <v>0</v>
      </c>
      <c r="BT1233" s="12">
        <v>0</v>
      </c>
      <c r="BU1233" s="47">
        <v>0</v>
      </c>
      <c r="BV1233" s="47"/>
      <c r="BW1233" s="47"/>
    </row>
    <row r="1234" spans="1:75" ht="19.5" customHeight="1">
      <c r="C1234" s="18">
        <v>60031132</v>
      </c>
      <c r="D1234" s="13" t="s">
        <v>2475</v>
      </c>
      <c r="E1234" s="13" t="s">
        <v>2476</v>
      </c>
      <c r="F1234" s="16">
        <v>1</v>
      </c>
      <c r="G1234" s="18">
        <v>60031131</v>
      </c>
      <c r="H1234" s="18">
        <v>0</v>
      </c>
      <c r="I1234" s="27">
        <v>0</v>
      </c>
      <c r="J1234" s="18">
        <v>60</v>
      </c>
      <c r="K1234" s="18">
        <v>0</v>
      </c>
      <c r="L1234" s="16">
        <v>0</v>
      </c>
      <c r="M1234" s="18">
        <v>0</v>
      </c>
      <c r="N1234" s="18">
        <v>0</v>
      </c>
      <c r="O1234" s="18">
        <v>2</v>
      </c>
      <c r="P1234" s="18">
        <v>1</v>
      </c>
      <c r="Q1234" s="18">
        <v>1</v>
      </c>
      <c r="R1234" s="18">
        <v>0</v>
      </c>
      <c r="S1234" s="12">
        <v>0</v>
      </c>
      <c r="T1234" s="27">
        <v>0</v>
      </c>
      <c r="U1234" s="16">
        <v>1</v>
      </c>
      <c r="V1234" s="18">
        <v>2</v>
      </c>
      <c r="W1234" s="18">
        <v>0</v>
      </c>
      <c r="X1234" s="18">
        <v>2</v>
      </c>
      <c r="Y1234" s="12">
        <v>0</v>
      </c>
      <c r="Z1234" s="18">
        <v>0</v>
      </c>
      <c r="AA1234" s="18">
        <v>0</v>
      </c>
      <c r="AB1234" s="18">
        <v>0</v>
      </c>
      <c r="AC1234" s="18">
        <v>0</v>
      </c>
      <c r="AD1234" s="18">
        <v>1</v>
      </c>
      <c r="AE1234" s="18">
        <v>0</v>
      </c>
      <c r="AF1234" s="16">
        <v>0</v>
      </c>
      <c r="AG1234" s="18">
        <v>1</v>
      </c>
      <c r="AH1234" s="18">
        <v>3</v>
      </c>
      <c r="AI1234" s="12">
        <v>1</v>
      </c>
      <c r="AJ1234" s="12">
        <v>1</v>
      </c>
      <c r="AK1234" s="12">
        <v>0</v>
      </c>
      <c r="AL1234" s="12">
        <v>6</v>
      </c>
      <c r="AM1234" s="18">
        <v>0</v>
      </c>
      <c r="AN1234" s="18">
        <v>0</v>
      </c>
      <c r="AO1234" s="18">
        <v>0</v>
      </c>
      <c r="AP1234" s="18">
        <v>0</v>
      </c>
      <c r="AQ1234" s="18">
        <v>1000</v>
      </c>
      <c r="AR1234" s="18">
        <v>0</v>
      </c>
      <c r="AS1234" s="18">
        <v>0</v>
      </c>
      <c r="AT1234" s="12">
        <v>0</v>
      </c>
      <c r="AU1234" s="18">
        <v>0</v>
      </c>
      <c r="AV1234" s="18"/>
      <c r="AW1234" s="19" t="s">
        <v>198</v>
      </c>
      <c r="AX1234" s="18" t="s">
        <v>1808</v>
      </c>
      <c r="AY1234" s="18">
        <v>10003002</v>
      </c>
      <c r="AZ1234" s="12">
        <v>22001003</v>
      </c>
      <c r="BA1234" s="19" t="s">
        <v>200</v>
      </c>
      <c r="BB1234" s="19">
        <v>0</v>
      </c>
      <c r="BC1234" s="27">
        <v>0</v>
      </c>
      <c r="BD1234" s="27">
        <v>1</v>
      </c>
      <c r="BE1234" s="183"/>
      <c r="BF1234" s="183"/>
      <c r="BG1234" s="18">
        <v>0</v>
      </c>
      <c r="BH1234" s="16">
        <v>0</v>
      </c>
      <c r="BI1234" s="18">
        <v>0</v>
      </c>
      <c r="BJ1234" s="18">
        <v>0</v>
      </c>
      <c r="BK1234" s="18">
        <v>0</v>
      </c>
      <c r="BL1234" s="18">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60031141</v>
      </c>
      <c r="D1235" s="13" t="s">
        <v>2477</v>
      </c>
      <c r="E1235" s="13" t="s">
        <v>2478</v>
      </c>
      <c r="F1235" s="16">
        <v>1</v>
      </c>
      <c r="G1235" s="18">
        <v>60031141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1.8</v>
      </c>
      <c r="Y1235" s="12">
        <v>0</v>
      </c>
      <c r="Z1235" s="18">
        <v>0</v>
      </c>
      <c r="AA1235" s="18">
        <v>0</v>
      </c>
      <c r="AB1235" s="18">
        <v>0</v>
      </c>
      <c r="AC1235" s="18">
        <v>0</v>
      </c>
      <c r="AD1235" s="18">
        <v>0</v>
      </c>
      <c r="AE1235" s="18">
        <v>0</v>
      </c>
      <c r="AF1235" s="16">
        <v>20</v>
      </c>
      <c r="AG1235" s="18">
        <v>1</v>
      </c>
      <c r="AH1235" s="18">
        <v>3</v>
      </c>
      <c r="AI1235" s="12">
        <v>2</v>
      </c>
      <c r="AJ1235" s="12">
        <v>1</v>
      </c>
      <c r="AK1235" s="12">
        <v>0</v>
      </c>
      <c r="AL1235" s="12">
        <v>6</v>
      </c>
      <c r="AM1235" s="18">
        <v>0</v>
      </c>
      <c r="AN1235" s="18">
        <v>0</v>
      </c>
      <c r="AO1235" s="18">
        <v>0</v>
      </c>
      <c r="AP1235" s="18">
        <v>0.25</v>
      </c>
      <c r="AQ1235" s="18">
        <v>20000</v>
      </c>
      <c r="AR1235" s="18">
        <v>0.25</v>
      </c>
      <c r="AS1235" s="18">
        <v>2</v>
      </c>
      <c r="AT1235" s="12">
        <v>0</v>
      </c>
      <c r="AU1235" s="18">
        <v>0</v>
      </c>
      <c r="AV1235" s="18"/>
      <c r="AW1235" s="19" t="s">
        <v>199</v>
      </c>
      <c r="AX1235" s="18" t="s">
        <v>1408</v>
      </c>
      <c r="AY1235" s="18">
        <v>10002001</v>
      </c>
      <c r="AZ1235" s="18">
        <v>22001004</v>
      </c>
      <c r="BA1235" s="19" t="s">
        <v>2479</v>
      </c>
      <c r="BB1235" s="19" t="s">
        <v>371</v>
      </c>
      <c r="BC1235" s="27">
        <v>0</v>
      </c>
      <c r="BD1235" s="27">
        <v>1</v>
      </c>
      <c r="BE1235" s="183" t="s">
        <v>5451</v>
      </c>
      <c r="BF1235" s="183" t="s">
        <v>2481</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60031151</v>
      </c>
      <c r="D1236" s="13" t="s">
        <v>2482</v>
      </c>
      <c r="E1236" s="13" t="s">
        <v>2483</v>
      </c>
      <c r="F1236" s="16">
        <v>1</v>
      </c>
      <c r="G1236" s="18">
        <v>60031151</v>
      </c>
      <c r="H1236" s="16">
        <v>0</v>
      </c>
      <c r="I1236" s="27">
        <v>0</v>
      </c>
      <c r="J1236" s="18">
        <v>60</v>
      </c>
      <c r="K1236" s="16">
        <v>0</v>
      </c>
      <c r="L1236" s="16">
        <v>0</v>
      </c>
      <c r="M1236" s="16">
        <v>0</v>
      </c>
      <c r="N1236" s="16">
        <v>0</v>
      </c>
      <c r="O1236" s="16">
        <v>1</v>
      </c>
      <c r="P1236" s="16">
        <v>0</v>
      </c>
      <c r="Q1236" s="16">
        <v>0</v>
      </c>
      <c r="R1236" s="16">
        <v>0</v>
      </c>
      <c r="S1236" s="12">
        <v>0</v>
      </c>
      <c r="T1236" s="16">
        <v>0</v>
      </c>
      <c r="U1236" s="16">
        <v>1</v>
      </c>
      <c r="V1236" s="16">
        <v>2</v>
      </c>
      <c r="W1236" s="16">
        <v>0</v>
      </c>
      <c r="X1236" s="16">
        <v>1.5</v>
      </c>
      <c r="Y1236" s="12">
        <v>0</v>
      </c>
      <c r="Z1236" s="18">
        <v>0</v>
      </c>
      <c r="AA1236" s="16">
        <v>1</v>
      </c>
      <c r="AB1236" s="16">
        <v>0</v>
      </c>
      <c r="AC1236" s="16">
        <v>0</v>
      </c>
      <c r="AD1236" s="16">
        <v>0</v>
      </c>
      <c r="AE1236" s="16">
        <v>0</v>
      </c>
      <c r="AF1236" s="16">
        <v>20</v>
      </c>
      <c r="AG1236" s="16">
        <v>1</v>
      </c>
      <c r="AH1236" s="60">
        <v>4</v>
      </c>
      <c r="AI1236" s="12">
        <v>2</v>
      </c>
      <c r="AJ1236" s="12">
        <v>1</v>
      </c>
      <c r="AK1236" s="12">
        <v>0</v>
      </c>
      <c r="AL1236" s="12">
        <v>6</v>
      </c>
      <c r="AM1236" s="16">
        <v>0</v>
      </c>
      <c r="AN1236" s="16">
        <v>0</v>
      </c>
      <c r="AO1236" s="16">
        <v>0</v>
      </c>
      <c r="AP1236" s="16">
        <v>0.5</v>
      </c>
      <c r="AQ1236" s="16">
        <v>8000</v>
      </c>
      <c r="AR1236" s="16">
        <v>0.2</v>
      </c>
      <c r="AS1236" s="16">
        <v>0</v>
      </c>
      <c r="AT1236" s="12">
        <v>0</v>
      </c>
      <c r="AU1236" s="18">
        <v>90001025</v>
      </c>
      <c r="AV1236" s="18"/>
      <c r="AW1236" s="17" t="s">
        <v>617</v>
      </c>
      <c r="AX1236" s="18" t="s">
        <v>1041</v>
      </c>
      <c r="AY1236" s="18">
        <v>10000007</v>
      </c>
      <c r="AZ1236" s="18">
        <v>22001005</v>
      </c>
      <c r="BA1236" s="17" t="s">
        <v>1556</v>
      </c>
      <c r="BB1236" s="16">
        <v>0</v>
      </c>
      <c r="BC1236" s="27">
        <v>0</v>
      </c>
      <c r="BD1236" s="27">
        <v>1</v>
      </c>
      <c r="BE1236" s="183" t="s">
        <v>5450</v>
      </c>
      <c r="BF1236" s="183" t="s">
        <v>2485</v>
      </c>
      <c r="BG1236" s="16">
        <v>0</v>
      </c>
      <c r="BH1236" s="16">
        <v>0</v>
      </c>
      <c r="BI1236" s="16">
        <v>0</v>
      </c>
      <c r="BJ1236" s="16">
        <v>0</v>
      </c>
      <c r="BK1236" s="16">
        <v>0</v>
      </c>
      <c r="BL1236" s="16">
        <v>0</v>
      </c>
      <c r="BM1236" s="15">
        <v>0</v>
      </c>
      <c r="BN1236" s="12">
        <v>0</v>
      </c>
      <c r="BO1236" s="12">
        <v>0</v>
      </c>
      <c r="BP1236" s="12">
        <v>1000</v>
      </c>
      <c r="BQ1236" s="12">
        <v>1</v>
      </c>
      <c r="BR1236" s="12">
        <v>600</v>
      </c>
      <c r="BS1236" s="12">
        <v>600</v>
      </c>
      <c r="BT1236" s="12">
        <v>0</v>
      </c>
      <c r="BU1236" s="47">
        <v>0</v>
      </c>
      <c r="BV1236" s="47"/>
      <c r="BW1236" s="47"/>
    </row>
    <row r="1237" spans="1:75" ht="20.100000000000001" customHeight="1">
      <c r="C1237" s="18">
        <v>60031161</v>
      </c>
      <c r="D1237" s="13" t="s">
        <v>2486</v>
      </c>
      <c r="E1237" s="13" t="s">
        <v>2487</v>
      </c>
      <c r="F1237" s="16">
        <v>1</v>
      </c>
      <c r="G1237" s="18">
        <v>60031161</v>
      </c>
      <c r="H1237" s="18">
        <v>0</v>
      </c>
      <c r="I1237" s="27">
        <v>0</v>
      </c>
      <c r="J1237" s="18">
        <v>60</v>
      </c>
      <c r="K1237" s="16">
        <v>0</v>
      </c>
      <c r="L1237" s="16">
        <v>0</v>
      </c>
      <c r="M1237" s="18">
        <v>0</v>
      </c>
      <c r="N1237" s="18">
        <v>0</v>
      </c>
      <c r="O1237" s="18">
        <v>1</v>
      </c>
      <c r="P1237" s="18">
        <v>0</v>
      </c>
      <c r="Q1237" s="18">
        <v>0</v>
      </c>
      <c r="R1237" s="18">
        <v>0</v>
      </c>
      <c r="S1237" s="12">
        <v>0</v>
      </c>
      <c r="T1237" s="27">
        <v>0</v>
      </c>
      <c r="U1237" s="16">
        <v>1</v>
      </c>
      <c r="V1237" s="18">
        <v>2</v>
      </c>
      <c r="W1237" s="18">
        <v>0</v>
      </c>
      <c r="X1237" s="18">
        <v>3</v>
      </c>
      <c r="Y1237" s="12">
        <v>0</v>
      </c>
      <c r="Z1237" s="18">
        <v>0</v>
      </c>
      <c r="AA1237" s="18">
        <v>0</v>
      </c>
      <c r="AB1237" s="18">
        <v>0</v>
      </c>
      <c r="AC1237" s="18">
        <v>0</v>
      </c>
      <c r="AD1237" s="18">
        <v>0</v>
      </c>
      <c r="AE1237" s="18">
        <v>0</v>
      </c>
      <c r="AF1237" s="16">
        <v>20</v>
      </c>
      <c r="AG1237" s="18">
        <v>1</v>
      </c>
      <c r="AH1237" s="18">
        <v>8</v>
      </c>
      <c r="AI1237" s="12">
        <v>2</v>
      </c>
      <c r="AJ1237" s="12">
        <v>0</v>
      </c>
      <c r="AK1237" s="12">
        <v>1</v>
      </c>
      <c r="AL1237" s="12">
        <v>0</v>
      </c>
      <c r="AM1237" s="18">
        <v>0</v>
      </c>
      <c r="AN1237" s="18">
        <v>0</v>
      </c>
      <c r="AO1237" s="18">
        <v>0</v>
      </c>
      <c r="AP1237" s="18">
        <v>0.5</v>
      </c>
      <c r="AQ1237" s="18">
        <v>12000</v>
      </c>
      <c r="AR1237" s="18">
        <v>0</v>
      </c>
      <c r="AS1237" s="18">
        <v>0</v>
      </c>
      <c r="AT1237" s="12">
        <v>0</v>
      </c>
      <c r="AU1237" s="346" t="s">
        <v>2488</v>
      </c>
      <c r="AV1237" s="18"/>
      <c r="AW1237" s="19" t="s">
        <v>1539</v>
      </c>
      <c r="AX1237" s="18" t="s">
        <v>1408</v>
      </c>
      <c r="AY1237" s="18">
        <v>10002001</v>
      </c>
      <c r="AZ1237" s="18">
        <v>22001006</v>
      </c>
      <c r="BA1237" s="19" t="s">
        <v>2489</v>
      </c>
      <c r="BB1237" s="27" t="s">
        <v>2490</v>
      </c>
      <c r="BC1237" s="27">
        <v>0</v>
      </c>
      <c r="BD1237" s="27">
        <v>1</v>
      </c>
      <c r="BE1237" s="183" t="s">
        <v>2491</v>
      </c>
      <c r="BF1237" s="183" t="s">
        <v>2492</v>
      </c>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19.5" customHeight="1">
      <c r="C1238" s="18">
        <v>60031162</v>
      </c>
      <c r="D1238" s="149" t="s">
        <v>2493</v>
      </c>
      <c r="E1238" s="149" t="s">
        <v>2494</v>
      </c>
      <c r="F1238" s="148">
        <v>1</v>
      </c>
      <c r="G1238" s="150">
        <v>60010100</v>
      </c>
      <c r="H1238" s="148">
        <v>0</v>
      </c>
      <c r="I1238" s="154">
        <v>0</v>
      </c>
      <c r="J1238" s="148">
        <v>60</v>
      </c>
      <c r="K1238" s="148">
        <v>0</v>
      </c>
      <c r="L1238" s="148">
        <v>0</v>
      </c>
      <c r="M1238" s="150">
        <v>0</v>
      </c>
      <c r="N1238" s="150">
        <v>0</v>
      </c>
      <c r="O1238" s="150">
        <v>1</v>
      </c>
      <c r="P1238" s="150">
        <v>0</v>
      </c>
      <c r="Q1238" s="150">
        <v>1</v>
      </c>
      <c r="R1238" s="150">
        <v>0</v>
      </c>
      <c r="S1238" s="156">
        <v>0</v>
      </c>
      <c r="T1238" s="150">
        <v>0</v>
      </c>
      <c r="U1238" s="150">
        <v>1</v>
      </c>
      <c r="V1238" s="150">
        <v>2</v>
      </c>
      <c r="W1238" s="150">
        <v>0</v>
      </c>
      <c r="X1238" s="150">
        <v>3</v>
      </c>
      <c r="Y1238" s="12">
        <v>0</v>
      </c>
      <c r="Z1238" s="150">
        <v>0</v>
      </c>
      <c r="AA1238" s="150">
        <v>1</v>
      </c>
      <c r="AB1238" s="150">
        <v>0</v>
      </c>
      <c r="AC1238" s="150">
        <v>0</v>
      </c>
      <c r="AD1238" s="150">
        <v>0</v>
      </c>
      <c r="AE1238" s="150">
        <v>0</v>
      </c>
      <c r="AF1238" s="16">
        <v>0</v>
      </c>
      <c r="AG1238" s="150">
        <v>1</v>
      </c>
      <c r="AH1238" s="150">
        <v>3</v>
      </c>
      <c r="AI1238" s="156">
        <v>7</v>
      </c>
      <c r="AJ1238" s="156">
        <v>1</v>
      </c>
      <c r="AK1238" s="156">
        <v>0</v>
      </c>
      <c r="AL1238" s="156">
        <v>6</v>
      </c>
      <c r="AM1238" s="150">
        <v>0</v>
      </c>
      <c r="AN1238" s="150">
        <v>0</v>
      </c>
      <c r="AO1238" s="150">
        <v>0</v>
      </c>
      <c r="AP1238" s="150">
        <v>0</v>
      </c>
      <c r="AQ1238" s="150">
        <v>5000</v>
      </c>
      <c r="AR1238" s="150">
        <v>2.5</v>
      </c>
      <c r="AS1238" s="150">
        <v>0</v>
      </c>
      <c r="AT1238" s="156">
        <v>0</v>
      </c>
      <c r="AU1238" s="150">
        <v>80001030</v>
      </c>
      <c r="AV1238" s="150"/>
      <c r="AW1238" s="151"/>
      <c r="AX1238" s="150" t="s">
        <v>534</v>
      </c>
      <c r="AY1238" s="148">
        <v>10000007</v>
      </c>
      <c r="AZ1238" s="148">
        <v>70204001</v>
      </c>
      <c r="BA1238" s="149" t="s">
        <v>200</v>
      </c>
      <c r="BB1238" s="150">
        <v>0</v>
      </c>
      <c r="BC1238" s="154">
        <v>0</v>
      </c>
      <c r="BD1238" s="27">
        <v>1</v>
      </c>
      <c r="BE1238" s="168" t="s">
        <v>5452</v>
      </c>
      <c r="BF1238" s="168" t="s">
        <v>2495</v>
      </c>
      <c r="BG1238" s="150">
        <v>0</v>
      </c>
      <c r="BH1238" s="150">
        <v>0</v>
      </c>
      <c r="BI1238" s="150">
        <v>0</v>
      </c>
      <c r="BJ1238" s="150">
        <v>0</v>
      </c>
      <c r="BK1238" s="150">
        <v>0</v>
      </c>
      <c r="BL1238" s="150">
        <v>0</v>
      </c>
      <c r="BM1238" s="171">
        <v>0</v>
      </c>
      <c r="BN1238" s="156">
        <v>1</v>
      </c>
      <c r="BO1238" s="156">
        <v>0</v>
      </c>
      <c r="BP1238" s="156">
        <v>0</v>
      </c>
      <c r="BQ1238" s="156">
        <v>0</v>
      </c>
      <c r="BR1238" s="156">
        <v>0</v>
      </c>
      <c r="BS1238" s="156">
        <v>0</v>
      </c>
      <c r="BT1238" s="12">
        <v>0</v>
      </c>
      <c r="BU1238" s="47">
        <v>0</v>
      </c>
      <c r="BV1238" s="47"/>
      <c r="BW1238" s="47"/>
    </row>
    <row r="1239" spans="1:75" ht="20.100000000000001" customHeight="1">
      <c r="C1239" s="176">
        <v>60031171</v>
      </c>
      <c r="D1239" s="201" t="s">
        <v>2496</v>
      </c>
      <c r="E1239" s="201" t="s">
        <v>2497</v>
      </c>
      <c r="F1239" s="172">
        <v>1</v>
      </c>
      <c r="G1239" s="176">
        <v>60031171</v>
      </c>
      <c r="H1239" s="176">
        <v>0</v>
      </c>
      <c r="I1239" s="174">
        <v>0</v>
      </c>
      <c r="J1239" s="172">
        <v>60</v>
      </c>
      <c r="K1239" s="172">
        <v>0</v>
      </c>
      <c r="L1239" s="172">
        <v>0</v>
      </c>
      <c r="M1239" s="176">
        <v>0</v>
      </c>
      <c r="N1239" s="176">
        <v>0</v>
      </c>
      <c r="O1239" s="176">
        <v>1</v>
      </c>
      <c r="P1239" s="176">
        <v>0</v>
      </c>
      <c r="Q1239" s="176">
        <v>0</v>
      </c>
      <c r="R1239" s="176">
        <v>0</v>
      </c>
      <c r="S1239" s="175">
        <v>0</v>
      </c>
      <c r="T1239" s="174">
        <v>0</v>
      </c>
      <c r="U1239" s="172">
        <v>1</v>
      </c>
      <c r="V1239" s="176">
        <v>2</v>
      </c>
      <c r="W1239" s="176">
        <v>0</v>
      </c>
      <c r="X1239" s="176">
        <v>1.5</v>
      </c>
      <c r="Y1239" s="12">
        <v>0</v>
      </c>
      <c r="Z1239" s="176">
        <v>5000</v>
      </c>
      <c r="AA1239" s="176">
        <v>0</v>
      </c>
      <c r="AB1239" s="176">
        <v>0</v>
      </c>
      <c r="AC1239" s="176">
        <v>0</v>
      </c>
      <c r="AD1239" s="176">
        <v>0</v>
      </c>
      <c r="AE1239" s="176">
        <v>0</v>
      </c>
      <c r="AF1239" s="176">
        <v>30</v>
      </c>
      <c r="AG1239" s="176">
        <v>1</v>
      </c>
      <c r="AH1239" s="176">
        <v>3</v>
      </c>
      <c r="AI1239" s="175">
        <v>2</v>
      </c>
      <c r="AJ1239" s="175">
        <v>1</v>
      </c>
      <c r="AK1239" s="175">
        <v>0</v>
      </c>
      <c r="AL1239" s="175">
        <v>6</v>
      </c>
      <c r="AM1239" s="176">
        <v>0</v>
      </c>
      <c r="AN1239" s="176">
        <v>0</v>
      </c>
      <c r="AO1239" s="176">
        <v>0</v>
      </c>
      <c r="AP1239" s="176">
        <v>0.5</v>
      </c>
      <c r="AQ1239" s="176">
        <v>10000</v>
      </c>
      <c r="AR1239" s="176">
        <v>0.5</v>
      </c>
      <c r="AS1239" s="176">
        <v>0</v>
      </c>
      <c r="AT1239" s="175">
        <v>0</v>
      </c>
      <c r="AU1239" s="176">
        <v>0</v>
      </c>
      <c r="AV1239" s="176"/>
      <c r="AW1239" s="201" t="s">
        <v>617</v>
      </c>
      <c r="AX1239" s="176" t="s">
        <v>1408</v>
      </c>
      <c r="AY1239" s="176">
        <v>10002001</v>
      </c>
      <c r="AZ1239" s="176">
        <v>21201090</v>
      </c>
      <c r="BA1239" s="201" t="s">
        <v>315</v>
      </c>
      <c r="BB1239" s="201" t="s">
        <v>371</v>
      </c>
      <c r="BC1239" s="174">
        <v>0</v>
      </c>
      <c r="BD1239" s="174">
        <v>0</v>
      </c>
      <c r="BE1239" s="208" t="str">
        <f>"在目标区域立即释放法术,在此范围内的目标每秒造成"&amp;X1239*100&amp;"%攻击伤害+"&amp;Z1239&amp;"点固定伤害,持续10秒"</f>
        <v>在目标区域立即释放法术,在此范围内的目标每秒造成150%攻击伤害+5000点固定伤害,持续10秒</v>
      </c>
      <c r="BF1239" s="208" t="s">
        <v>2498</v>
      </c>
      <c r="BG1239" s="176">
        <v>0</v>
      </c>
      <c r="BH1239" s="172">
        <v>0</v>
      </c>
      <c r="BI1239" s="176">
        <v>0</v>
      </c>
      <c r="BJ1239" s="176">
        <v>0</v>
      </c>
      <c r="BK1239" s="176">
        <v>0</v>
      </c>
      <c r="BL1239" s="176">
        <v>0</v>
      </c>
      <c r="BM1239" s="178">
        <v>0</v>
      </c>
      <c r="BN1239" s="175">
        <v>0</v>
      </c>
      <c r="BO1239" s="175">
        <v>0</v>
      </c>
      <c r="BP1239" s="175">
        <v>0</v>
      </c>
      <c r="BQ1239" s="175">
        <v>0</v>
      </c>
      <c r="BR1239" s="175">
        <v>0</v>
      </c>
      <c r="BS1239" s="175">
        <v>0</v>
      </c>
      <c r="BT1239" s="12">
        <v>0</v>
      </c>
      <c r="BU1239" s="47">
        <v>0</v>
      </c>
      <c r="BV1239" s="47"/>
      <c r="BW1239" s="47"/>
    </row>
    <row r="1240" spans="1:75" ht="19.5" customHeight="1">
      <c r="C1240" s="176">
        <v>60031181</v>
      </c>
      <c r="D1240" s="200" t="s">
        <v>2499</v>
      </c>
      <c r="E1240" s="200" t="s">
        <v>2500</v>
      </c>
      <c r="F1240" s="176">
        <v>1</v>
      </c>
      <c r="G1240" s="176">
        <v>60031181</v>
      </c>
      <c r="H1240" s="176">
        <v>0</v>
      </c>
      <c r="I1240" s="174">
        <v>0</v>
      </c>
      <c r="J1240" s="172">
        <v>60</v>
      </c>
      <c r="K1240" s="176">
        <v>0</v>
      </c>
      <c r="L1240" s="176">
        <v>0</v>
      </c>
      <c r="M1240" s="172">
        <v>0</v>
      </c>
      <c r="N1240" s="172">
        <v>0</v>
      </c>
      <c r="O1240" s="172">
        <v>1</v>
      </c>
      <c r="P1240" s="172">
        <v>0</v>
      </c>
      <c r="Q1240" s="172">
        <v>1</v>
      </c>
      <c r="R1240" s="172">
        <v>0</v>
      </c>
      <c r="S1240" s="175">
        <v>0</v>
      </c>
      <c r="T1240" s="172">
        <v>0</v>
      </c>
      <c r="U1240" s="172">
        <v>1</v>
      </c>
      <c r="V1240" s="172">
        <v>2</v>
      </c>
      <c r="W1240" s="172">
        <v>0</v>
      </c>
      <c r="X1240" s="172">
        <v>3</v>
      </c>
      <c r="Y1240" s="12">
        <v>0</v>
      </c>
      <c r="Z1240" s="172">
        <v>5000</v>
      </c>
      <c r="AA1240" s="172">
        <v>1</v>
      </c>
      <c r="AB1240" s="172">
        <v>0</v>
      </c>
      <c r="AC1240" s="172">
        <v>0</v>
      </c>
      <c r="AD1240" s="172">
        <v>0</v>
      </c>
      <c r="AE1240" s="172">
        <v>0</v>
      </c>
      <c r="AF1240" s="172">
        <v>30</v>
      </c>
      <c r="AG1240" s="172">
        <v>1</v>
      </c>
      <c r="AH1240" s="172">
        <v>3</v>
      </c>
      <c r="AI1240" s="175">
        <v>0</v>
      </c>
      <c r="AJ1240" s="175">
        <v>2</v>
      </c>
      <c r="AK1240" s="175">
        <v>0</v>
      </c>
      <c r="AL1240" s="175">
        <v>2</v>
      </c>
      <c r="AM1240" s="172">
        <v>0</v>
      </c>
      <c r="AN1240" s="172">
        <v>0</v>
      </c>
      <c r="AO1240" s="172">
        <v>0</v>
      </c>
      <c r="AP1240" s="172">
        <v>2</v>
      </c>
      <c r="AQ1240" s="172">
        <v>10000</v>
      </c>
      <c r="AR1240" s="172">
        <v>0.5</v>
      </c>
      <c r="AS1240" s="172">
        <v>10</v>
      </c>
      <c r="AT1240" s="175">
        <v>0</v>
      </c>
      <c r="AU1240" s="172" t="s">
        <v>198</v>
      </c>
      <c r="AV1240" s="172"/>
      <c r="AW1240" s="201" t="s">
        <v>617</v>
      </c>
      <c r="AX1240" s="172" t="s">
        <v>534</v>
      </c>
      <c r="AY1240" s="176">
        <v>10000007</v>
      </c>
      <c r="AZ1240" s="176">
        <v>21202090</v>
      </c>
      <c r="BA1240" s="201" t="s">
        <v>586</v>
      </c>
      <c r="BB1240" s="175" t="s">
        <v>2501</v>
      </c>
      <c r="BC1240" s="174">
        <v>0</v>
      </c>
      <c r="BD1240" s="174" t="s">
        <v>2502</v>
      </c>
      <c r="BE1240" s="206" t="s">
        <v>2503</v>
      </c>
      <c r="BF1240" s="206" t="s">
        <v>2504</v>
      </c>
      <c r="BG1240" s="172">
        <v>0</v>
      </c>
      <c r="BH1240" s="172">
        <v>0</v>
      </c>
      <c r="BI1240" s="172">
        <v>0</v>
      </c>
      <c r="BJ1240" s="172">
        <v>0</v>
      </c>
      <c r="BK1240" s="172">
        <v>0</v>
      </c>
      <c r="BL1240" s="172">
        <v>0</v>
      </c>
      <c r="BM1240" s="178">
        <v>0</v>
      </c>
      <c r="BN1240" s="175">
        <v>0</v>
      </c>
      <c r="BO1240" s="175">
        <v>0</v>
      </c>
      <c r="BP1240" s="175">
        <v>0</v>
      </c>
      <c r="BQ1240" s="175">
        <v>0</v>
      </c>
      <c r="BR1240" s="175">
        <v>0</v>
      </c>
      <c r="BS1240" s="175">
        <v>0</v>
      </c>
      <c r="BT1240" s="12">
        <v>0</v>
      </c>
      <c r="BU1240" s="47">
        <v>0</v>
      </c>
      <c r="BV1240" s="47"/>
      <c r="BW1240" s="47"/>
    </row>
    <row r="1241" spans="1:75" ht="20.100000000000001" customHeight="1">
      <c r="C1241" s="176">
        <v>60031191</v>
      </c>
      <c r="D1241" s="173" t="s">
        <v>2505</v>
      </c>
      <c r="E1241" s="173" t="s">
        <v>2506</v>
      </c>
      <c r="F1241" s="176">
        <v>1</v>
      </c>
      <c r="G1241" s="176">
        <v>60031191</v>
      </c>
      <c r="H1241" s="176">
        <v>0</v>
      </c>
      <c r="I1241" s="174">
        <v>0</v>
      </c>
      <c r="J1241" s="172">
        <v>60</v>
      </c>
      <c r="K1241" s="176">
        <v>0</v>
      </c>
      <c r="L1241" s="176">
        <v>0</v>
      </c>
      <c r="M1241" s="172">
        <v>0</v>
      </c>
      <c r="N1241" s="172">
        <v>0</v>
      </c>
      <c r="O1241" s="172">
        <v>1</v>
      </c>
      <c r="P1241" s="172">
        <v>0</v>
      </c>
      <c r="Q1241" s="172">
        <v>1</v>
      </c>
      <c r="R1241" s="172">
        <v>0</v>
      </c>
      <c r="S1241" s="175">
        <v>0</v>
      </c>
      <c r="T1241" s="172">
        <v>0</v>
      </c>
      <c r="U1241" s="172">
        <v>1</v>
      </c>
      <c r="V1241" s="172">
        <v>2</v>
      </c>
      <c r="W1241" s="172">
        <v>0</v>
      </c>
      <c r="X1241" s="172">
        <v>0</v>
      </c>
      <c r="Y1241" s="12">
        <v>0</v>
      </c>
      <c r="Z1241" s="172">
        <v>0</v>
      </c>
      <c r="AA1241" s="172">
        <v>0</v>
      </c>
      <c r="AB1241" s="172">
        <v>0</v>
      </c>
      <c r="AC1241" s="172">
        <v>0</v>
      </c>
      <c r="AD1241" s="172">
        <v>0</v>
      </c>
      <c r="AE1241" s="172">
        <v>0</v>
      </c>
      <c r="AF1241" s="172">
        <v>30</v>
      </c>
      <c r="AG1241" s="172">
        <v>0</v>
      </c>
      <c r="AH1241" s="172">
        <v>0</v>
      </c>
      <c r="AI1241" s="175">
        <v>2</v>
      </c>
      <c r="AJ1241" s="175">
        <v>2</v>
      </c>
      <c r="AK1241" s="175">
        <v>0</v>
      </c>
      <c r="AL1241" s="175">
        <v>1.5</v>
      </c>
      <c r="AM1241" s="172">
        <v>0</v>
      </c>
      <c r="AN1241" s="172">
        <v>0</v>
      </c>
      <c r="AO1241" s="172">
        <v>0</v>
      </c>
      <c r="AP1241" s="172">
        <v>1</v>
      </c>
      <c r="AQ1241" s="172">
        <v>3000</v>
      </c>
      <c r="AR1241" s="172">
        <v>0.5</v>
      </c>
      <c r="AS1241" s="172">
        <v>0</v>
      </c>
      <c r="AT1241" s="175">
        <v>0</v>
      </c>
      <c r="AU1241" s="172" t="s">
        <v>198</v>
      </c>
      <c r="AV1241" s="172"/>
      <c r="AW1241" s="173" t="s">
        <v>1630</v>
      </c>
      <c r="AX1241" s="172" t="s">
        <v>545</v>
      </c>
      <c r="AY1241" s="176">
        <v>0</v>
      </c>
      <c r="AZ1241" s="176">
        <v>21203090</v>
      </c>
      <c r="BA1241" s="173" t="s">
        <v>1174</v>
      </c>
      <c r="BB1241" s="201" t="s">
        <v>2507</v>
      </c>
      <c r="BC1241" s="174">
        <v>0</v>
      </c>
      <c r="BD1241" s="174">
        <v>0</v>
      </c>
      <c r="BE1241" s="206" t="s">
        <v>2508</v>
      </c>
      <c r="BF1241" s="206" t="s">
        <v>2509</v>
      </c>
      <c r="BG1241" s="172">
        <v>0</v>
      </c>
      <c r="BH1241" s="172">
        <v>0</v>
      </c>
      <c r="BI1241" s="172">
        <v>0</v>
      </c>
      <c r="BJ1241" s="172">
        <v>0</v>
      </c>
      <c r="BK1241" s="172">
        <v>0</v>
      </c>
      <c r="BL1241" s="172">
        <v>0</v>
      </c>
      <c r="BM1241" s="178">
        <v>0</v>
      </c>
      <c r="BN1241" s="175">
        <v>0</v>
      </c>
      <c r="BO1241" s="175">
        <v>0</v>
      </c>
      <c r="BP1241" s="175">
        <v>0</v>
      </c>
      <c r="BQ1241" s="175">
        <v>0</v>
      </c>
      <c r="BR1241" s="175">
        <v>0</v>
      </c>
      <c r="BS1241" s="175">
        <v>0</v>
      </c>
      <c r="BT1241" s="12">
        <v>0</v>
      </c>
      <c r="BU1241" s="47">
        <v>0</v>
      </c>
      <c r="BV1241" s="47"/>
      <c r="BW1241" s="47"/>
    </row>
    <row r="1242" spans="1:75" s="1" customFormat="1" ht="19.5" customHeight="1">
      <c r="A1242" s="216"/>
      <c r="B1242" s="216"/>
      <c r="C1242" s="176">
        <v>60031201</v>
      </c>
      <c r="D1242" s="59" t="s">
        <v>2510</v>
      </c>
      <c r="E1242" s="59" t="s">
        <v>2511</v>
      </c>
      <c r="F1242" s="172">
        <v>1</v>
      </c>
      <c r="G1242" s="176">
        <v>60031201</v>
      </c>
      <c r="H1242" s="64">
        <v>0</v>
      </c>
      <c r="I1242" s="66">
        <v>0</v>
      </c>
      <c r="J1242" s="16">
        <v>60</v>
      </c>
      <c r="K1242" s="16">
        <v>0</v>
      </c>
      <c r="L1242" s="64">
        <v>0</v>
      </c>
      <c r="M1242" s="60">
        <v>0</v>
      </c>
      <c r="N1242" s="60">
        <v>0</v>
      </c>
      <c r="O1242" s="60">
        <v>1</v>
      </c>
      <c r="P1242" s="60">
        <v>0</v>
      </c>
      <c r="Q1242" s="60">
        <v>0</v>
      </c>
      <c r="R1242" s="60">
        <v>0</v>
      </c>
      <c r="S1242" s="68">
        <v>0</v>
      </c>
      <c r="T1242" s="60">
        <v>0</v>
      </c>
      <c r="U1242" s="60">
        <v>1</v>
      </c>
      <c r="V1242" s="60">
        <v>1</v>
      </c>
      <c r="W1242" s="60">
        <v>0</v>
      </c>
      <c r="X1242" s="60">
        <v>0</v>
      </c>
      <c r="Y1242" s="12">
        <v>0</v>
      </c>
      <c r="Z1242" s="60">
        <v>0</v>
      </c>
      <c r="AA1242" s="60">
        <v>0</v>
      </c>
      <c r="AB1242" s="60">
        <v>0</v>
      </c>
      <c r="AC1242" s="60">
        <v>0</v>
      </c>
      <c r="AD1242" s="60">
        <v>0</v>
      </c>
      <c r="AE1242" s="60">
        <v>0</v>
      </c>
      <c r="AF1242" s="60">
        <v>24</v>
      </c>
      <c r="AG1242" s="60">
        <v>0</v>
      </c>
      <c r="AH1242" s="60">
        <v>0</v>
      </c>
      <c r="AI1242" s="68">
        <v>0</v>
      </c>
      <c r="AJ1242" s="68">
        <v>0</v>
      </c>
      <c r="AK1242" s="68">
        <v>0</v>
      </c>
      <c r="AL1242" s="68">
        <v>1.5</v>
      </c>
      <c r="AM1242" s="60">
        <v>0</v>
      </c>
      <c r="AN1242" s="60">
        <v>0</v>
      </c>
      <c r="AO1242" s="60">
        <v>0</v>
      </c>
      <c r="AP1242" s="64">
        <v>0.2</v>
      </c>
      <c r="AQ1242" s="60">
        <v>3000</v>
      </c>
      <c r="AR1242" s="60">
        <v>0.2</v>
      </c>
      <c r="AS1242" s="60">
        <v>0</v>
      </c>
      <c r="AT1242" s="68">
        <v>0</v>
      </c>
      <c r="AU1242" s="60" t="s">
        <v>198</v>
      </c>
      <c r="AV1242" s="60"/>
      <c r="AW1242" s="19" t="s">
        <v>199</v>
      </c>
      <c r="AX1242" s="60" t="s">
        <v>545</v>
      </c>
      <c r="AY1242" s="64">
        <v>0</v>
      </c>
      <c r="AZ1242" s="64">
        <v>21300030</v>
      </c>
      <c r="BA1242" s="59" t="s">
        <v>1174</v>
      </c>
      <c r="BB1242" s="352" t="s">
        <v>2512</v>
      </c>
      <c r="BC1242" s="66">
        <v>0</v>
      </c>
      <c r="BD1242" s="66">
        <v>0</v>
      </c>
      <c r="BE1242" s="90" t="s">
        <v>2513</v>
      </c>
      <c r="BF1242" s="90" t="s">
        <v>2514</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row>
    <row r="1243" spans="1:75" ht="19.5" customHeight="1">
      <c r="C1243" s="176">
        <v>60031211</v>
      </c>
      <c r="D1243" s="200" t="s">
        <v>2515</v>
      </c>
      <c r="E1243" s="200" t="s">
        <v>2516</v>
      </c>
      <c r="F1243" s="176">
        <v>1</v>
      </c>
      <c r="G1243" s="176">
        <v>60031211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21204030</v>
      </c>
      <c r="BA1243" s="201" t="s">
        <v>586</v>
      </c>
      <c r="BB1243" s="175" t="s">
        <v>2501</v>
      </c>
      <c r="BC1243" s="174">
        <v>0</v>
      </c>
      <c r="BD1243" s="174" t="s">
        <v>2502</v>
      </c>
      <c r="BE1243" s="206" t="s">
        <v>2503</v>
      </c>
      <c r="BF1243" s="206" t="s">
        <v>2504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3">
        <v>60031221</v>
      </c>
      <c r="D1244" s="13" t="s">
        <v>2517</v>
      </c>
      <c r="E1244" s="13" t="s">
        <v>2518</v>
      </c>
      <c r="F1244" s="16">
        <v>1</v>
      </c>
      <c r="G1244" s="176">
        <v>60031221</v>
      </c>
      <c r="H1244" s="16">
        <v>0</v>
      </c>
      <c r="I1244" s="27">
        <v>0</v>
      </c>
      <c r="J1244" s="18">
        <v>60</v>
      </c>
      <c r="K1244" s="16">
        <v>0</v>
      </c>
      <c r="L1244" s="16">
        <v>0</v>
      </c>
      <c r="M1244" s="16">
        <v>0</v>
      </c>
      <c r="N1244" s="16">
        <v>0</v>
      </c>
      <c r="O1244" s="16">
        <v>1</v>
      </c>
      <c r="P1244" s="16">
        <v>0</v>
      </c>
      <c r="Q1244" s="16">
        <v>0</v>
      </c>
      <c r="R1244" s="16">
        <v>0</v>
      </c>
      <c r="S1244" s="12">
        <v>0</v>
      </c>
      <c r="T1244" s="16">
        <v>0</v>
      </c>
      <c r="U1244" s="16">
        <v>1</v>
      </c>
      <c r="V1244" s="16">
        <v>2</v>
      </c>
      <c r="W1244" s="16">
        <v>0</v>
      </c>
      <c r="X1244" s="16">
        <v>1.5</v>
      </c>
      <c r="Y1244" s="12">
        <v>0</v>
      </c>
      <c r="Z1244" s="18">
        <v>0</v>
      </c>
      <c r="AA1244" s="16">
        <v>1</v>
      </c>
      <c r="AB1244" s="16">
        <v>0</v>
      </c>
      <c r="AC1244" s="16">
        <v>0</v>
      </c>
      <c r="AD1244" s="16">
        <v>0</v>
      </c>
      <c r="AE1244" s="16">
        <v>0</v>
      </c>
      <c r="AF1244" s="16">
        <v>20</v>
      </c>
      <c r="AG1244" s="16">
        <v>1</v>
      </c>
      <c r="AH1244" s="16">
        <v>4</v>
      </c>
      <c r="AI1244" s="12">
        <v>2</v>
      </c>
      <c r="AJ1244" s="12">
        <v>1</v>
      </c>
      <c r="AK1244" s="12">
        <v>0</v>
      </c>
      <c r="AL1244" s="12">
        <v>6</v>
      </c>
      <c r="AM1244" s="16">
        <v>0</v>
      </c>
      <c r="AN1244" s="16">
        <v>0</v>
      </c>
      <c r="AO1244" s="16">
        <v>0</v>
      </c>
      <c r="AP1244" s="16">
        <v>0.5</v>
      </c>
      <c r="AQ1244" s="16">
        <v>8000</v>
      </c>
      <c r="AR1244" s="16">
        <v>0.2</v>
      </c>
      <c r="AS1244" s="16">
        <v>0</v>
      </c>
      <c r="AT1244" s="12">
        <v>0</v>
      </c>
      <c r="AU1244" s="18">
        <v>90001025</v>
      </c>
      <c r="AV1244" s="18"/>
      <c r="AW1244" s="17" t="s">
        <v>617</v>
      </c>
      <c r="AX1244" s="18" t="s">
        <v>1041</v>
      </c>
      <c r="AY1244" s="18">
        <v>10000007</v>
      </c>
      <c r="AZ1244" s="18">
        <v>22001009</v>
      </c>
      <c r="BA1244" s="17" t="s">
        <v>1556</v>
      </c>
      <c r="BB1244" s="16">
        <v>0</v>
      </c>
      <c r="BC1244" s="27">
        <v>0</v>
      </c>
      <c r="BD1244" s="27">
        <v>1</v>
      </c>
      <c r="BE1244" s="183" t="s">
        <v>2484</v>
      </c>
      <c r="BF1244" s="183" t="s">
        <v>2485</v>
      </c>
      <c r="BG1244" s="16">
        <v>0</v>
      </c>
      <c r="BH1244" s="16">
        <v>0</v>
      </c>
      <c r="BI1244" s="16">
        <v>0</v>
      </c>
      <c r="BJ1244" s="16">
        <v>0</v>
      </c>
      <c r="BK1244" s="16">
        <v>0</v>
      </c>
      <c r="BL1244" s="16">
        <v>0</v>
      </c>
      <c r="BM1244" s="15">
        <v>0</v>
      </c>
      <c r="BN1244" s="12">
        <v>0</v>
      </c>
      <c r="BO1244" s="12">
        <v>0</v>
      </c>
      <c r="BP1244" s="12">
        <v>1000</v>
      </c>
      <c r="BQ1244" s="12">
        <v>1</v>
      </c>
      <c r="BR1244" s="12">
        <v>600</v>
      </c>
      <c r="BS1244" s="12">
        <v>600</v>
      </c>
      <c r="BT1244" s="12">
        <v>0</v>
      </c>
      <c r="BU1244" s="47">
        <v>0</v>
      </c>
      <c r="BV1244" s="47"/>
      <c r="BW1244" s="47"/>
    </row>
    <row r="1245" spans="1:75" ht="20.100000000000001" customHeight="1">
      <c r="C1245" s="176">
        <v>60031231</v>
      </c>
      <c r="D1245" s="201" t="s">
        <v>5455</v>
      </c>
      <c r="E1245" s="201" t="s">
        <v>2497</v>
      </c>
      <c r="F1245" s="172">
        <v>1</v>
      </c>
      <c r="G1245" s="176">
        <v>60031171</v>
      </c>
      <c r="H1245" s="176">
        <v>0</v>
      </c>
      <c r="I1245" s="174">
        <v>0</v>
      </c>
      <c r="J1245" s="172">
        <v>60</v>
      </c>
      <c r="K1245" s="172">
        <v>0</v>
      </c>
      <c r="L1245" s="172">
        <v>0</v>
      </c>
      <c r="M1245" s="176">
        <v>0</v>
      </c>
      <c r="N1245" s="176">
        <v>0</v>
      </c>
      <c r="O1245" s="176">
        <v>1</v>
      </c>
      <c r="P1245" s="176">
        <v>0</v>
      </c>
      <c r="Q1245" s="176">
        <v>0</v>
      </c>
      <c r="R1245" s="176">
        <v>0</v>
      </c>
      <c r="S1245" s="175">
        <v>0</v>
      </c>
      <c r="T1245" s="174">
        <v>0</v>
      </c>
      <c r="U1245" s="172">
        <v>1</v>
      </c>
      <c r="V1245" s="176">
        <v>2</v>
      </c>
      <c r="W1245" s="176">
        <v>0</v>
      </c>
      <c r="X1245" s="176">
        <v>1.2</v>
      </c>
      <c r="Y1245" s="12">
        <v>0</v>
      </c>
      <c r="Z1245" s="176">
        <v>2000</v>
      </c>
      <c r="AA1245" s="176">
        <v>1</v>
      </c>
      <c r="AB1245" s="176">
        <v>0</v>
      </c>
      <c r="AC1245" s="176">
        <v>0</v>
      </c>
      <c r="AD1245" s="176">
        <v>0</v>
      </c>
      <c r="AE1245" s="176">
        <v>0</v>
      </c>
      <c r="AF1245" s="176">
        <v>30</v>
      </c>
      <c r="AG1245" s="176">
        <v>1</v>
      </c>
      <c r="AH1245" s="176">
        <v>4</v>
      </c>
      <c r="AI1245" s="175">
        <v>2</v>
      </c>
      <c r="AJ1245" s="175">
        <v>1</v>
      </c>
      <c r="AK1245" s="175">
        <v>0</v>
      </c>
      <c r="AL1245" s="175">
        <v>8</v>
      </c>
      <c r="AM1245" s="176">
        <v>0</v>
      </c>
      <c r="AN1245" s="176">
        <v>0</v>
      </c>
      <c r="AO1245" s="176">
        <v>0</v>
      </c>
      <c r="AP1245" s="176">
        <v>0.5</v>
      </c>
      <c r="AQ1245" s="176">
        <v>10000</v>
      </c>
      <c r="AR1245" s="176">
        <v>0.5</v>
      </c>
      <c r="AS1245" s="176">
        <v>0</v>
      </c>
      <c r="AT1245" s="175">
        <v>0</v>
      </c>
      <c r="AU1245" s="176">
        <v>90001092</v>
      </c>
      <c r="AV1245" s="176"/>
      <c r="AW1245" s="201" t="s">
        <v>617</v>
      </c>
      <c r="AX1245" s="176" t="s">
        <v>1408</v>
      </c>
      <c r="AY1245" s="176">
        <v>10002001</v>
      </c>
      <c r="AZ1245" s="176">
        <v>21205010</v>
      </c>
      <c r="BA1245" s="201" t="s">
        <v>315</v>
      </c>
      <c r="BB1245" s="201" t="s">
        <v>371</v>
      </c>
      <c r="BC1245" s="174">
        <v>0</v>
      </c>
      <c r="BD1245" s="174">
        <v>0</v>
      </c>
      <c r="BE1245" s="208" t="str">
        <f>"在目标区域立即释放法术,在此范围内的目标每秒造成"&amp;X1245*100&amp;"%攻击伤害+"&amp;Z1245&amp;"点固定伤害,并使其移动速度降低70%,持续10秒"</f>
        <v>在目标区域立即释放法术,在此范围内的目标每秒造成120%攻击伤害+2000点固定伤害,并使其移动速度降低70%,持续10秒</v>
      </c>
      <c r="BF1245" s="208" t="s">
        <v>2498</v>
      </c>
      <c r="BG1245" s="176">
        <v>0</v>
      </c>
      <c r="BH1245" s="172">
        <v>0</v>
      </c>
      <c r="BI1245" s="176">
        <v>0</v>
      </c>
      <c r="BJ1245" s="176">
        <v>0</v>
      </c>
      <c r="BK1245" s="176">
        <v>0</v>
      </c>
      <c r="BL1245" s="176">
        <v>0</v>
      </c>
      <c r="BM1245" s="178">
        <v>0</v>
      </c>
      <c r="BN1245" s="175">
        <v>0</v>
      </c>
      <c r="BO1245" s="175">
        <v>0</v>
      </c>
      <c r="BP1245" s="175">
        <v>0</v>
      </c>
      <c r="BQ1245" s="175">
        <v>0</v>
      </c>
      <c r="BR1245" s="175">
        <v>0</v>
      </c>
      <c r="BS1245" s="175">
        <v>0</v>
      </c>
      <c r="BT1245" s="12">
        <v>0</v>
      </c>
      <c r="BU1245" s="47">
        <v>0</v>
      </c>
      <c r="BV1245" s="47"/>
      <c r="BW1245" s="47"/>
    </row>
    <row r="1246" spans="1:75" ht="20.100000000000001" customHeight="1">
      <c r="C1246" s="19" t="s">
        <v>5480</v>
      </c>
      <c r="D1246" s="19" t="s">
        <v>5454</v>
      </c>
      <c r="E1246" s="19" t="s">
        <v>1437</v>
      </c>
      <c r="F1246" s="16">
        <v>1</v>
      </c>
      <c r="G1246" s="19">
        <v>60031241</v>
      </c>
      <c r="H1246" s="16">
        <v>0</v>
      </c>
      <c r="I1246" s="27">
        <v>0</v>
      </c>
      <c r="J1246" s="172">
        <v>60</v>
      </c>
      <c r="K1246" s="18">
        <v>0</v>
      </c>
      <c r="L1246" s="16">
        <v>0</v>
      </c>
      <c r="M1246" s="18">
        <v>0</v>
      </c>
      <c r="N1246" s="18">
        <v>0</v>
      </c>
      <c r="O1246" s="18">
        <v>1</v>
      </c>
      <c r="P1246" s="18">
        <v>0</v>
      </c>
      <c r="Q1246" s="18">
        <v>0</v>
      </c>
      <c r="R1246" s="18">
        <v>0</v>
      </c>
      <c r="S1246" s="12">
        <v>0</v>
      </c>
      <c r="T1246" s="27">
        <v>0</v>
      </c>
      <c r="U1246" s="16">
        <v>1</v>
      </c>
      <c r="V1246" s="18">
        <v>2</v>
      </c>
      <c r="W1246" s="18">
        <v>0</v>
      </c>
      <c r="X1246" s="18">
        <v>3</v>
      </c>
      <c r="Y1246" s="12">
        <v>0</v>
      </c>
      <c r="Z1246" s="18">
        <v>0</v>
      </c>
      <c r="AA1246" s="18">
        <v>1</v>
      </c>
      <c r="AB1246" s="18">
        <v>0</v>
      </c>
      <c r="AC1246" s="18">
        <v>0</v>
      </c>
      <c r="AD1246" s="18">
        <v>0</v>
      </c>
      <c r="AE1246" s="18">
        <v>0</v>
      </c>
      <c r="AF1246" s="18">
        <v>30</v>
      </c>
      <c r="AG1246" s="18">
        <v>1</v>
      </c>
      <c r="AH1246" s="18">
        <v>0</v>
      </c>
      <c r="AI1246" s="12">
        <v>0</v>
      </c>
      <c r="AJ1246" s="12">
        <v>101</v>
      </c>
      <c r="AK1246" s="12">
        <v>0</v>
      </c>
      <c r="AL1246" s="12">
        <v>10</v>
      </c>
      <c r="AM1246" s="18">
        <v>0</v>
      </c>
      <c r="AN1246" s="18">
        <v>0</v>
      </c>
      <c r="AO1246" s="18">
        <v>0</v>
      </c>
      <c r="AP1246" s="18">
        <v>1</v>
      </c>
      <c r="AQ1246" s="18">
        <v>1000</v>
      </c>
      <c r="AR1246" s="18">
        <v>0.4</v>
      </c>
      <c r="AS1246" s="18">
        <v>0</v>
      </c>
      <c r="AT1246" s="12">
        <v>0</v>
      </c>
      <c r="AU1246" s="346" t="s">
        <v>198</v>
      </c>
      <c r="AV1246" s="18"/>
      <c r="AW1246" s="19" t="s">
        <v>762</v>
      </c>
      <c r="AX1246" s="18" t="s">
        <v>215</v>
      </c>
      <c r="AY1246" s="18">
        <v>0</v>
      </c>
      <c r="AZ1246" s="18">
        <v>21205020</v>
      </c>
      <c r="BA1246" s="19" t="s">
        <v>2411</v>
      </c>
      <c r="BB1246" s="19" t="s">
        <v>5483</v>
      </c>
      <c r="BC1246" s="27">
        <v>0</v>
      </c>
      <c r="BD1246" s="27">
        <v>0</v>
      </c>
      <c r="BE1246" s="183" t="s">
        <v>5456</v>
      </c>
      <c r="BF1246" s="183"/>
      <c r="BG1246" s="18">
        <v>0</v>
      </c>
      <c r="BH1246" s="16">
        <v>0</v>
      </c>
      <c r="BI1246" s="18">
        <v>0</v>
      </c>
      <c r="BJ1246" s="18">
        <v>0</v>
      </c>
      <c r="BK1246" s="18">
        <v>0</v>
      </c>
      <c r="BL1246" s="18">
        <v>0</v>
      </c>
      <c r="BM1246" s="185">
        <v>0</v>
      </c>
      <c r="BN1246" s="12">
        <v>0</v>
      </c>
      <c r="BO1246" s="12">
        <v>0</v>
      </c>
      <c r="BP1246" s="12">
        <v>0</v>
      </c>
      <c r="BQ1246" s="12">
        <v>0</v>
      </c>
      <c r="BR1246" s="12">
        <v>0</v>
      </c>
      <c r="BS1246" s="12">
        <v>0</v>
      </c>
      <c r="BT1246" s="12">
        <v>0</v>
      </c>
      <c r="BU1246" s="47">
        <v>0</v>
      </c>
      <c r="BV1246" s="47"/>
      <c r="BW1246" s="47"/>
    </row>
    <row r="1247" spans="1:75" ht="20.100000000000001" customHeight="1">
      <c r="C1247" s="19" t="s">
        <v>5458</v>
      </c>
      <c r="D1247" s="19" t="s">
        <v>5460</v>
      </c>
      <c r="E1247" s="19" t="s">
        <v>2200</v>
      </c>
      <c r="F1247" s="16">
        <v>1</v>
      </c>
      <c r="G1247" s="19" t="s">
        <v>5482</v>
      </c>
      <c r="H1247" s="16">
        <v>0</v>
      </c>
      <c r="I1247" s="27">
        <v>0</v>
      </c>
      <c r="J1247" s="172">
        <v>0</v>
      </c>
      <c r="K1247" s="18">
        <v>0</v>
      </c>
      <c r="L1247" s="16">
        <v>0</v>
      </c>
      <c r="M1247" s="18">
        <v>0</v>
      </c>
      <c r="N1247" s="18">
        <v>0</v>
      </c>
      <c r="O1247" s="18">
        <v>2</v>
      </c>
      <c r="P1247" s="18">
        <v>1</v>
      </c>
      <c r="Q1247" s="18">
        <v>0.3</v>
      </c>
      <c r="R1247" s="18">
        <v>0</v>
      </c>
      <c r="S1247" s="12">
        <v>0</v>
      </c>
      <c r="T1247" s="27">
        <v>0</v>
      </c>
      <c r="U1247" s="16">
        <v>1</v>
      </c>
      <c r="V1247" s="18">
        <v>1</v>
      </c>
      <c r="W1247" s="18">
        <v>0</v>
      </c>
      <c r="X1247" s="18">
        <v>2</v>
      </c>
      <c r="Y1247" s="12">
        <v>0</v>
      </c>
      <c r="Z1247" s="18">
        <v>750</v>
      </c>
      <c r="AA1247" s="18">
        <v>0</v>
      </c>
      <c r="AB1247" s="18">
        <v>0</v>
      </c>
      <c r="AC1247" s="18">
        <v>0</v>
      </c>
      <c r="AD1247" s="18">
        <v>0</v>
      </c>
      <c r="AE1247" s="18">
        <v>0</v>
      </c>
      <c r="AF1247" s="18">
        <v>30</v>
      </c>
      <c r="AG1247" s="18">
        <v>2</v>
      </c>
      <c r="AH1247" s="18" t="s">
        <v>1950</v>
      </c>
      <c r="AI1247" s="12">
        <v>0</v>
      </c>
      <c r="AJ1247" s="12">
        <v>3</v>
      </c>
      <c r="AK1247" s="12">
        <v>0</v>
      </c>
      <c r="AL1247" s="12">
        <v>2</v>
      </c>
      <c r="AM1247" s="18">
        <v>0</v>
      </c>
      <c r="AN1247" s="18">
        <v>0</v>
      </c>
      <c r="AO1247" s="18">
        <v>0</v>
      </c>
      <c r="AP1247" s="18">
        <v>0.2</v>
      </c>
      <c r="AQ1247" s="18">
        <v>1000</v>
      </c>
      <c r="AR1247" s="18">
        <v>0.2</v>
      </c>
      <c r="AS1247" s="18">
        <v>15</v>
      </c>
      <c r="AT1247" s="12">
        <v>0</v>
      </c>
      <c r="AU1247" s="346">
        <v>95100001</v>
      </c>
      <c r="AV1247" s="18"/>
      <c r="AW1247" s="19" t="s">
        <v>199</v>
      </c>
      <c r="AX1247" s="18" t="s">
        <v>534</v>
      </c>
      <c r="AY1247" s="18">
        <v>10000001</v>
      </c>
      <c r="AZ1247" s="18">
        <v>21205021</v>
      </c>
      <c r="BA1247" s="19" t="s">
        <v>586</v>
      </c>
      <c r="BB1247" s="19" t="s">
        <v>5459</v>
      </c>
      <c r="BC1247" s="27">
        <v>0</v>
      </c>
      <c r="BD1247" s="27">
        <v>0</v>
      </c>
      <c r="BE1247" s="183" t="str">
        <f t="shared" ref="BE1247" si="141">"将手中的武器幻化成魔法,对指定前方区域内的目标造成"&amp;X1247*100&amp;"%攻击伤害+"&amp;Z1247&amp;"点固定伤害,并附带魔法印记,其状态每秒会对目标造成30%伤害,持续6秒.此印记可以叠加"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47" s="183" t="s">
        <v>2160</v>
      </c>
      <c r="BG1247" s="18">
        <v>0</v>
      </c>
      <c r="BH1247" s="16">
        <v>0</v>
      </c>
      <c r="BI1247" s="18">
        <v>0</v>
      </c>
      <c r="BJ1247" s="18">
        <v>0</v>
      </c>
      <c r="BK1247" s="18">
        <v>0</v>
      </c>
      <c r="BL1247" s="18">
        <v>0</v>
      </c>
      <c r="BM1247" s="185">
        <v>0</v>
      </c>
      <c r="BN1247" s="12">
        <v>0</v>
      </c>
      <c r="BO1247" s="12">
        <v>0</v>
      </c>
      <c r="BP1247" s="12">
        <v>0</v>
      </c>
      <c r="BQ1247" s="12">
        <v>0</v>
      </c>
      <c r="BR1247" s="12">
        <v>0</v>
      </c>
      <c r="BS1247" s="12">
        <v>0</v>
      </c>
      <c r="BT1247" s="12">
        <v>0</v>
      </c>
      <c r="BU1247" s="47">
        <v>0</v>
      </c>
      <c r="BV1247" s="47"/>
      <c r="BW1247" s="47"/>
    </row>
    <row r="1248" spans="1:75" ht="20.100000000000001" customHeight="1">
      <c r="C1248" s="19" t="s">
        <v>5481</v>
      </c>
      <c r="D1248" s="19" t="s">
        <v>5453</v>
      </c>
      <c r="E1248" s="19" t="s">
        <v>1649</v>
      </c>
      <c r="F1248" s="16">
        <v>1</v>
      </c>
      <c r="G1248" s="19">
        <v>60031251</v>
      </c>
      <c r="H1248" s="16">
        <v>0</v>
      </c>
      <c r="I1248" s="27">
        <v>0</v>
      </c>
      <c r="J1248" s="172">
        <v>60</v>
      </c>
      <c r="K1248" s="18">
        <v>0</v>
      </c>
      <c r="L1248" s="16">
        <v>0</v>
      </c>
      <c r="M1248" s="18">
        <v>0</v>
      </c>
      <c r="N1248" s="18">
        <v>0</v>
      </c>
      <c r="O1248" s="18">
        <v>1</v>
      </c>
      <c r="P1248" s="18">
        <v>0</v>
      </c>
      <c r="Q1248" s="18">
        <v>0</v>
      </c>
      <c r="R1248" s="18">
        <v>0</v>
      </c>
      <c r="S1248" s="12">
        <v>0</v>
      </c>
      <c r="T1248" s="27">
        <v>0</v>
      </c>
      <c r="U1248" s="16">
        <v>1</v>
      </c>
      <c r="V1248" s="18">
        <v>2</v>
      </c>
      <c r="W1248" s="18">
        <v>0</v>
      </c>
      <c r="X1248" s="18">
        <v>2.5</v>
      </c>
      <c r="Y1248" s="12">
        <v>0</v>
      </c>
      <c r="Z1248" s="18">
        <v>2800</v>
      </c>
      <c r="AA1248" s="18">
        <v>1</v>
      </c>
      <c r="AB1248" s="18">
        <v>0</v>
      </c>
      <c r="AC1248" s="18">
        <v>0</v>
      </c>
      <c r="AD1248" s="18">
        <v>0</v>
      </c>
      <c r="AE1248" s="18">
        <v>0</v>
      </c>
      <c r="AF1248" s="18">
        <v>30</v>
      </c>
      <c r="AG1248" s="18">
        <v>1</v>
      </c>
      <c r="AH1248" s="18">
        <v>2</v>
      </c>
      <c r="AI1248" s="12">
        <v>2</v>
      </c>
      <c r="AJ1248" s="12">
        <v>0</v>
      </c>
      <c r="AK1248" s="12">
        <v>0</v>
      </c>
      <c r="AL1248" s="12">
        <v>2</v>
      </c>
      <c r="AM1248" s="18">
        <v>0</v>
      </c>
      <c r="AN1248" s="18">
        <v>0</v>
      </c>
      <c r="AO1248" s="18">
        <v>0</v>
      </c>
      <c r="AP1248" s="18">
        <v>0.5</v>
      </c>
      <c r="AQ1248" s="18">
        <v>10000</v>
      </c>
      <c r="AR1248" s="18">
        <v>0.5</v>
      </c>
      <c r="AS1248" s="18">
        <v>100</v>
      </c>
      <c r="AT1248" s="12">
        <v>0</v>
      </c>
      <c r="AU1248" s="346" t="s">
        <v>5457</v>
      </c>
      <c r="AV1248" s="18"/>
      <c r="AW1248" s="19" t="s">
        <v>199</v>
      </c>
      <c r="AX1248" s="18" t="s">
        <v>1041</v>
      </c>
      <c r="AY1248" s="18">
        <v>10004004</v>
      </c>
      <c r="AZ1248" s="18">
        <v>21205030</v>
      </c>
      <c r="BA1248" s="19" t="s">
        <v>1651</v>
      </c>
      <c r="BB1248" s="19" t="s">
        <v>861</v>
      </c>
      <c r="BC1248" s="27">
        <v>0</v>
      </c>
      <c r="BD1248" s="27">
        <v>0</v>
      </c>
      <c r="BE1248" s="183" t="str">
        <f>"释放出3个暗魔之球,释放时对附近单位造成1秒眩晕,并持续对周围造成每秒造成"&amp;X1248*100&amp;"%攻击伤害+"&amp;Z1248&amp;"点固定伤害,并降低目标30%闪避和使其受到的伤害提升30%,持续6秒"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48" s="183" t="s">
        <v>1654</v>
      </c>
      <c r="BG1248" s="18">
        <v>0</v>
      </c>
      <c r="BH1248" s="16">
        <v>0</v>
      </c>
      <c r="BI1248" s="18">
        <v>0</v>
      </c>
      <c r="BJ1248" s="18">
        <v>0</v>
      </c>
      <c r="BK1248" s="18">
        <v>0</v>
      </c>
      <c r="BL1248" s="18">
        <v>0</v>
      </c>
      <c r="BM1248" s="185">
        <v>0</v>
      </c>
      <c r="BN1248" s="12">
        <v>0</v>
      </c>
      <c r="BO1248" s="12">
        <v>0</v>
      </c>
      <c r="BP1248" s="12">
        <v>0</v>
      </c>
      <c r="BQ1248" s="12">
        <v>0</v>
      </c>
      <c r="BR1248" s="12">
        <v>0</v>
      </c>
      <c r="BS1248" s="12">
        <v>0</v>
      </c>
      <c r="BT1248" s="12">
        <v>0</v>
      </c>
      <c r="BU1248" s="47">
        <v>0</v>
      </c>
      <c r="BV1248" s="47"/>
      <c r="BW1248" s="47"/>
    </row>
    <row r="1249" spans="3:75" ht="19.5" customHeight="1">
      <c r="C1249" s="18">
        <v>61031111</v>
      </c>
      <c r="D1249" s="13" t="s">
        <v>2519</v>
      </c>
      <c r="E1249" s="13" t="s">
        <v>2520</v>
      </c>
      <c r="F1249" s="18">
        <v>1</v>
      </c>
      <c r="G1249" s="18">
        <v>60031111</v>
      </c>
      <c r="H1249" s="18">
        <v>0</v>
      </c>
      <c r="I1249" s="27">
        <v>0</v>
      </c>
      <c r="J1249" s="18">
        <v>60</v>
      </c>
      <c r="K1249" s="18">
        <v>0</v>
      </c>
      <c r="L1249" s="18">
        <v>0</v>
      </c>
      <c r="M1249" s="16">
        <v>0</v>
      </c>
      <c r="N1249" s="16">
        <v>0</v>
      </c>
      <c r="O1249" s="60">
        <v>1</v>
      </c>
      <c r="P1249" s="16">
        <v>0</v>
      </c>
      <c r="Q1249" s="16">
        <v>1</v>
      </c>
      <c r="R1249" s="16">
        <v>0</v>
      </c>
      <c r="S1249" s="12">
        <v>0</v>
      </c>
      <c r="T1249" s="16">
        <v>0</v>
      </c>
      <c r="U1249" s="16">
        <v>1</v>
      </c>
      <c r="V1249" s="16">
        <v>2</v>
      </c>
      <c r="W1249" s="16">
        <v>0</v>
      </c>
      <c r="X1249" s="16">
        <v>3</v>
      </c>
      <c r="Y1249" s="12">
        <v>0</v>
      </c>
      <c r="Z1249" s="16">
        <v>0</v>
      </c>
      <c r="AA1249" s="16">
        <v>1</v>
      </c>
      <c r="AB1249" s="16">
        <v>0</v>
      </c>
      <c r="AC1249" s="16">
        <v>0</v>
      </c>
      <c r="AD1249" s="16">
        <v>0</v>
      </c>
      <c r="AE1249" s="16">
        <v>0</v>
      </c>
      <c r="AF1249" s="16">
        <v>30</v>
      </c>
      <c r="AG1249" s="16">
        <v>1</v>
      </c>
      <c r="AH1249" s="16">
        <v>3</v>
      </c>
      <c r="AI1249" s="12">
        <v>0</v>
      </c>
      <c r="AJ1249" s="12">
        <v>2</v>
      </c>
      <c r="AK1249" s="12">
        <v>0</v>
      </c>
      <c r="AL1249" s="12">
        <v>2</v>
      </c>
      <c r="AM1249" s="16">
        <v>0</v>
      </c>
      <c r="AN1249" s="16">
        <v>0</v>
      </c>
      <c r="AO1249" s="16">
        <v>0</v>
      </c>
      <c r="AP1249" s="16">
        <v>2</v>
      </c>
      <c r="AQ1249" s="16">
        <v>10000</v>
      </c>
      <c r="AR1249" s="16">
        <v>0.5</v>
      </c>
      <c r="AS1249" s="16">
        <v>10</v>
      </c>
      <c r="AT1249" s="12">
        <v>0</v>
      </c>
      <c r="AU1249" s="16" t="s">
        <v>198</v>
      </c>
      <c r="AV1249" s="16"/>
      <c r="AW1249" s="19" t="s">
        <v>2461</v>
      </c>
      <c r="AX1249" s="16" t="s">
        <v>534</v>
      </c>
      <c r="AY1249" s="18">
        <v>10000007</v>
      </c>
      <c r="AZ1249" s="18">
        <v>22001001</v>
      </c>
      <c r="BA1249" s="19" t="s">
        <v>586</v>
      </c>
      <c r="BB1249" s="27" t="s">
        <v>2501</v>
      </c>
      <c r="BC1249" s="27">
        <v>0</v>
      </c>
      <c r="BD1249" s="27">
        <v>1</v>
      </c>
      <c r="BE1249" s="44" t="s">
        <v>2521</v>
      </c>
      <c r="BF1249" s="44" t="s">
        <v>2522</v>
      </c>
      <c r="BG1249" s="16">
        <v>0</v>
      </c>
      <c r="BH1249" s="16">
        <v>0</v>
      </c>
      <c r="BI1249" s="16">
        <v>0</v>
      </c>
      <c r="BJ1249" s="16">
        <v>0</v>
      </c>
      <c r="BK1249" s="16">
        <v>0</v>
      </c>
      <c r="BL1249" s="16">
        <v>0</v>
      </c>
      <c r="BM1249" s="15">
        <v>0</v>
      </c>
      <c r="BN1249" s="12">
        <v>0</v>
      </c>
      <c r="BO1249" s="12">
        <v>0</v>
      </c>
      <c r="BP1249" s="12">
        <v>0</v>
      </c>
      <c r="BQ1249" s="12">
        <v>0</v>
      </c>
      <c r="BR1249" s="12">
        <v>0</v>
      </c>
      <c r="BS1249" s="12">
        <v>0</v>
      </c>
      <c r="BT1249" s="12">
        <v>0</v>
      </c>
      <c r="BU1249" s="47">
        <v>0</v>
      </c>
      <c r="BV1249" s="47"/>
      <c r="BW1249" s="47"/>
    </row>
    <row r="1250" spans="3:75" ht="20.100000000000001" customHeight="1">
      <c r="C1250" s="18">
        <v>61031121</v>
      </c>
      <c r="D1250" s="13" t="s">
        <v>2523</v>
      </c>
      <c r="E1250" s="13" t="s">
        <v>2524</v>
      </c>
      <c r="F1250" s="16">
        <v>1</v>
      </c>
      <c r="G1250" s="18">
        <v>60031121</v>
      </c>
      <c r="H1250" s="16">
        <v>0</v>
      </c>
      <c r="I1250" s="27">
        <v>0</v>
      </c>
      <c r="J1250" s="18">
        <v>60</v>
      </c>
      <c r="K1250" s="16">
        <v>0</v>
      </c>
      <c r="L1250" s="16">
        <v>0</v>
      </c>
      <c r="M1250" s="18">
        <v>0</v>
      </c>
      <c r="N1250" s="18">
        <v>0</v>
      </c>
      <c r="O1250" s="18">
        <v>1</v>
      </c>
      <c r="P1250" s="18">
        <v>0</v>
      </c>
      <c r="Q1250" s="18">
        <v>0</v>
      </c>
      <c r="R1250" s="18">
        <v>0</v>
      </c>
      <c r="S1250" s="12">
        <v>0</v>
      </c>
      <c r="T1250" s="27">
        <v>0</v>
      </c>
      <c r="U1250" s="16">
        <v>1</v>
      </c>
      <c r="V1250" s="18">
        <v>2</v>
      </c>
      <c r="W1250" s="18">
        <v>0</v>
      </c>
      <c r="X1250" s="18">
        <v>1.5</v>
      </c>
      <c r="Y1250" s="12">
        <v>0</v>
      </c>
      <c r="Z1250" s="18">
        <v>0</v>
      </c>
      <c r="AA1250" s="18">
        <v>0</v>
      </c>
      <c r="AB1250" s="18">
        <v>0</v>
      </c>
      <c r="AC1250" s="18">
        <v>0</v>
      </c>
      <c r="AD1250" s="18">
        <v>0</v>
      </c>
      <c r="AE1250" s="18">
        <v>0</v>
      </c>
      <c r="AF1250" s="16">
        <v>30</v>
      </c>
      <c r="AG1250" s="18">
        <v>1</v>
      </c>
      <c r="AH1250" s="18">
        <v>5</v>
      </c>
      <c r="AI1250" s="12">
        <v>2</v>
      </c>
      <c r="AJ1250" s="12">
        <v>1</v>
      </c>
      <c r="AK1250" s="12">
        <v>0</v>
      </c>
      <c r="AL1250" s="12">
        <v>6</v>
      </c>
      <c r="AM1250" s="18">
        <v>0</v>
      </c>
      <c r="AN1250" s="18">
        <v>0</v>
      </c>
      <c r="AO1250" s="18">
        <v>0</v>
      </c>
      <c r="AP1250" s="18">
        <v>0.25</v>
      </c>
      <c r="AQ1250" s="18">
        <v>5000</v>
      </c>
      <c r="AR1250" s="18">
        <v>0.25</v>
      </c>
      <c r="AS1250" s="18">
        <v>0</v>
      </c>
      <c r="AT1250" s="12">
        <v>0</v>
      </c>
      <c r="AU1250" s="18">
        <v>0</v>
      </c>
      <c r="AV1250" s="18"/>
      <c r="AW1250" s="19" t="s">
        <v>199</v>
      </c>
      <c r="AX1250" s="18" t="s">
        <v>1408</v>
      </c>
      <c r="AY1250" s="18">
        <v>10002001</v>
      </c>
      <c r="AZ1250" s="18">
        <v>22001002</v>
      </c>
      <c r="BA1250" s="19" t="s">
        <v>315</v>
      </c>
      <c r="BB1250" s="19" t="s">
        <v>1738</v>
      </c>
      <c r="BC1250" s="27">
        <v>0</v>
      </c>
      <c r="BD1250" s="27">
        <v>1</v>
      </c>
      <c r="BE1250" s="183">
        <v>11</v>
      </c>
      <c r="BF1250" s="183">
        <v>11</v>
      </c>
      <c r="BG1250" s="18">
        <v>0</v>
      </c>
      <c r="BH1250" s="16">
        <v>0</v>
      </c>
      <c r="BI1250" s="18">
        <v>0</v>
      </c>
      <c r="BJ1250" s="18">
        <v>0</v>
      </c>
      <c r="BK1250" s="18">
        <v>0</v>
      </c>
      <c r="BL1250" s="18">
        <v>0</v>
      </c>
      <c r="BM1250" s="15">
        <v>0</v>
      </c>
      <c r="BN1250" s="12">
        <v>0</v>
      </c>
      <c r="BO1250" s="12">
        <v>0</v>
      </c>
      <c r="BP1250" s="12">
        <v>0</v>
      </c>
      <c r="BQ1250" s="12">
        <v>0</v>
      </c>
      <c r="BR1250" s="12">
        <v>0</v>
      </c>
      <c r="BS1250" s="12">
        <v>0</v>
      </c>
      <c r="BT1250" s="12">
        <v>0</v>
      </c>
      <c r="BU1250" s="47">
        <v>0</v>
      </c>
      <c r="BV1250" s="47"/>
      <c r="BW1250" s="47"/>
    </row>
    <row r="1251" spans="3:75" ht="20.100000000000001" customHeight="1">
      <c r="C1251" s="18">
        <v>61031131</v>
      </c>
      <c r="D1251" s="13" t="s">
        <v>2525</v>
      </c>
      <c r="E1251" s="13" t="s">
        <v>2526</v>
      </c>
      <c r="F1251" s="16">
        <v>1</v>
      </c>
      <c r="G1251" s="18">
        <v>60031131</v>
      </c>
      <c r="H1251" s="18">
        <v>0</v>
      </c>
      <c r="I1251" s="12">
        <v>0</v>
      </c>
      <c r="J1251" s="18">
        <v>60</v>
      </c>
      <c r="K1251" s="18">
        <v>0</v>
      </c>
      <c r="L1251" s="16">
        <v>0</v>
      </c>
      <c r="M1251" s="12">
        <v>0</v>
      </c>
      <c r="N1251" s="12">
        <v>0</v>
      </c>
      <c r="O1251" s="12">
        <v>1</v>
      </c>
      <c r="P1251" s="12">
        <v>0</v>
      </c>
      <c r="Q1251" s="12">
        <v>0</v>
      </c>
      <c r="R1251" s="12">
        <v>0</v>
      </c>
      <c r="S1251" s="12">
        <v>0</v>
      </c>
      <c r="T1251" s="12">
        <v>0</v>
      </c>
      <c r="U1251" s="16">
        <v>1</v>
      </c>
      <c r="V1251" s="12">
        <v>2</v>
      </c>
      <c r="W1251" s="12">
        <v>0</v>
      </c>
      <c r="X1251" s="18">
        <v>2</v>
      </c>
      <c r="Y1251" s="12">
        <v>0</v>
      </c>
      <c r="Z1251" s="18">
        <v>0</v>
      </c>
      <c r="AA1251" s="12">
        <v>0</v>
      </c>
      <c r="AB1251" s="12">
        <v>0</v>
      </c>
      <c r="AC1251" s="12">
        <v>0</v>
      </c>
      <c r="AD1251" s="12">
        <v>0</v>
      </c>
      <c r="AE1251" s="12">
        <v>0</v>
      </c>
      <c r="AF1251" s="16">
        <v>30</v>
      </c>
      <c r="AG1251" s="12">
        <v>0</v>
      </c>
      <c r="AH1251" s="12">
        <v>0</v>
      </c>
      <c r="AI1251" s="12">
        <v>0</v>
      </c>
      <c r="AJ1251" s="12">
        <v>0</v>
      </c>
      <c r="AK1251" s="12">
        <v>0</v>
      </c>
      <c r="AL1251" s="12">
        <v>3</v>
      </c>
      <c r="AM1251" s="12">
        <v>0</v>
      </c>
      <c r="AN1251" s="12">
        <v>0</v>
      </c>
      <c r="AO1251" s="12">
        <v>0</v>
      </c>
      <c r="AP1251" s="12">
        <v>0.25</v>
      </c>
      <c r="AQ1251" s="12">
        <v>1000</v>
      </c>
      <c r="AR1251" s="12">
        <v>0</v>
      </c>
      <c r="AS1251" s="12">
        <v>0</v>
      </c>
      <c r="AT1251" s="12">
        <v>0</v>
      </c>
      <c r="AU1251" s="346" t="s">
        <v>2471</v>
      </c>
      <c r="AV1251" s="18"/>
      <c r="AW1251" s="13" t="s">
        <v>199</v>
      </c>
      <c r="AX1251" s="18" t="s">
        <v>1408</v>
      </c>
      <c r="AY1251" s="12" t="s">
        <v>198</v>
      </c>
      <c r="AZ1251" s="346" t="s">
        <v>2472</v>
      </c>
      <c r="BA1251" s="13" t="s">
        <v>200</v>
      </c>
      <c r="BB1251" s="12">
        <v>0</v>
      </c>
      <c r="BC1251" s="27">
        <v>0</v>
      </c>
      <c r="BD1251" s="27">
        <v>1</v>
      </c>
      <c r="BE1251" s="183" t="s">
        <v>2473</v>
      </c>
      <c r="BF1251" s="183" t="s">
        <v>2474</v>
      </c>
      <c r="BG1251" s="12">
        <v>0</v>
      </c>
      <c r="BH1251" s="16">
        <v>0</v>
      </c>
      <c r="BI1251" s="12">
        <v>0</v>
      </c>
      <c r="BJ1251" s="12">
        <v>0</v>
      </c>
      <c r="BK1251" s="12">
        <v>0</v>
      </c>
      <c r="BL1251" s="12">
        <v>0</v>
      </c>
      <c r="BM1251" s="15">
        <v>0</v>
      </c>
      <c r="BN1251" s="12">
        <v>0</v>
      </c>
      <c r="BO1251" s="12">
        <v>0</v>
      </c>
      <c r="BP1251" s="12">
        <v>0</v>
      </c>
      <c r="BQ1251" s="12">
        <v>0</v>
      </c>
      <c r="BR1251" s="12">
        <v>0</v>
      </c>
      <c r="BS1251" s="12">
        <v>0</v>
      </c>
      <c r="BT1251" s="12">
        <v>0</v>
      </c>
      <c r="BU1251" s="47">
        <v>0</v>
      </c>
      <c r="BV1251" s="47"/>
      <c r="BW1251" s="47"/>
    </row>
    <row r="1252" spans="3:75" ht="20.100000000000001" customHeight="1">
      <c r="C1252" s="18">
        <v>61031141</v>
      </c>
      <c r="D1252" s="13" t="s">
        <v>2527</v>
      </c>
      <c r="E1252" s="13" t="s">
        <v>2528</v>
      </c>
      <c r="F1252" s="16">
        <v>1</v>
      </c>
      <c r="G1252" s="18">
        <v>60031141</v>
      </c>
      <c r="H1252" s="16">
        <v>0</v>
      </c>
      <c r="I1252" s="27">
        <v>0</v>
      </c>
      <c r="J1252" s="18">
        <v>60</v>
      </c>
      <c r="K1252" s="16">
        <v>0</v>
      </c>
      <c r="L1252" s="16">
        <v>0</v>
      </c>
      <c r="M1252" s="18">
        <v>0</v>
      </c>
      <c r="N1252" s="18">
        <v>0</v>
      </c>
      <c r="O1252" s="18">
        <v>1</v>
      </c>
      <c r="P1252" s="18">
        <v>0</v>
      </c>
      <c r="Q1252" s="18">
        <v>0</v>
      </c>
      <c r="R1252" s="18">
        <v>0</v>
      </c>
      <c r="S1252" s="12">
        <v>0</v>
      </c>
      <c r="T1252" s="27">
        <v>0</v>
      </c>
      <c r="U1252" s="16">
        <v>1</v>
      </c>
      <c r="V1252" s="18">
        <v>2</v>
      </c>
      <c r="W1252" s="18">
        <v>0</v>
      </c>
      <c r="X1252" s="18">
        <v>1.8</v>
      </c>
      <c r="Y1252" s="12">
        <v>0</v>
      </c>
      <c r="Z1252" s="18">
        <v>0</v>
      </c>
      <c r="AA1252" s="18">
        <v>0</v>
      </c>
      <c r="AB1252" s="18">
        <v>0</v>
      </c>
      <c r="AC1252" s="18">
        <v>0</v>
      </c>
      <c r="AD1252" s="18">
        <v>0</v>
      </c>
      <c r="AE1252" s="18">
        <v>0</v>
      </c>
      <c r="AF1252" s="16">
        <v>30</v>
      </c>
      <c r="AG1252" s="18">
        <v>1</v>
      </c>
      <c r="AH1252" s="18">
        <v>3</v>
      </c>
      <c r="AI1252" s="12">
        <v>2</v>
      </c>
      <c r="AJ1252" s="12">
        <v>1</v>
      </c>
      <c r="AK1252" s="12">
        <v>0</v>
      </c>
      <c r="AL1252" s="12">
        <v>6</v>
      </c>
      <c r="AM1252" s="18">
        <v>0</v>
      </c>
      <c r="AN1252" s="18">
        <v>0</v>
      </c>
      <c r="AO1252" s="18">
        <v>0</v>
      </c>
      <c r="AP1252" s="18">
        <v>0.25</v>
      </c>
      <c r="AQ1252" s="18">
        <v>20000</v>
      </c>
      <c r="AR1252" s="18">
        <v>0.25</v>
      </c>
      <c r="AS1252" s="18">
        <v>2</v>
      </c>
      <c r="AT1252" s="12">
        <v>0</v>
      </c>
      <c r="AU1252" s="18">
        <v>0</v>
      </c>
      <c r="AV1252" s="18"/>
      <c r="AW1252" s="19" t="s">
        <v>199</v>
      </c>
      <c r="AX1252" s="18" t="s">
        <v>1408</v>
      </c>
      <c r="AY1252" s="18">
        <v>10002001</v>
      </c>
      <c r="AZ1252" s="18">
        <v>22001004</v>
      </c>
      <c r="BA1252" s="19" t="s">
        <v>2479</v>
      </c>
      <c r="BB1252" s="19" t="s">
        <v>371</v>
      </c>
      <c r="BC1252" s="27">
        <v>0</v>
      </c>
      <c r="BD1252" s="27">
        <v>1</v>
      </c>
      <c r="BE1252" s="183" t="s">
        <v>2480</v>
      </c>
      <c r="BF1252" s="183" t="s">
        <v>2481</v>
      </c>
      <c r="BG1252" s="18">
        <v>0</v>
      </c>
      <c r="BH1252" s="16">
        <v>0</v>
      </c>
      <c r="BI1252" s="18">
        <v>0</v>
      </c>
      <c r="BJ1252" s="18">
        <v>0</v>
      </c>
      <c r="BK1252" s="18">
        <v>0</v>
      </c>
      <c r="BL1252" s="18">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18">
        <v>61031151</v>
      </c>
      <c r="D1253" s="13" t="s">
        <v>2529</v>
      </c>
      <c r="E1253" s="13" t="s">
        <v>2530</v>
      </c>
      <c r="F1253" s="16">
        <v>1</v>
      </c>
      <c r="G1253" s="18">
        <v>60031151</v>
      </c>
      <c r="H1253" s="16">
        <v>0</v>
      </c>
      <c r="I1253" s="27">
        <v>0</v>
      </c>
      <c r="J1253" s="18">
        <v>60</v>
      </c>
      <c r="K1253" s="16">
        <v>0</v>
      </c>
      <c r="L1253" s="16">
        <v>0</v>
      </c>
      <c r="M1253" s="16">
        <v>0</v>
      </c>
      <c r="N1253" s="16">
        <v>0</v>
      </c>
      <c r="O1253" s="16">
        <v>1</v>
      </c>
      <c r="P1253" s="16">
        <v>0</v>
      </c>
      <c r="Q1253" s="16">
        <v>0</v>
      </c>
      <c r="R1253" s="16">
        <v>0</v>
      </c>
      <c r="S1253" s="12">
        <v>0</v>
      </c>
      <c r="T1253" s="16">
        <v>0</v>
      </c>
      <c r="U1253" s="16">
        <v>1</v>
      </c>
      <c r="V1253" s="16">
        <v>2</v>
      </c>
      <c r="W1253" s="16">
        <v>0</v>
      </c>
      <c r="X1253" s="16">
        <v>1.5</v>
      </c>
      <c r="Y1253" s="12">
        <v>0</v>
      </c>
      <c r="Z1253" s="18">
        <v>0</v>
      </c>
      <c r="AA1253" s="16">
        <v>1</v>
      </c>
      <c r="AB1253" s="16">
        <v>0</v>
      </c>
      <c r="AC1253" s="16">
        <v>0</v>
      </c>
      <c r="AD1253" s="16">
        <v>0</v>
      </c>
      <c r="AE1253" s="16">
        <v>0</v>
      </c>
      <c r="AF1253" s="16">
        <v>30</v>
      </c>
      <c r="AG1253" s="16">
        <v>1</v>
      </c>
      <c r="AH1253" s="16">
        <v>4</v>
      </c>
      <c r="AI1253" s="12">
        <v>2</v>
      </c>
      <c r="AJ1253" s="12">
        <v>1</v>
      </c>
      <c r="AK1253" s="12">
        <v>0</v>
      </c>
      <c r="AL1253" s="12">
        <v>6</v>
      </c>
      <c r="AM1253" s="16">
        <v>0</v>
      </c>
      <c r="AN1253" s="16">
        <v>0</v>
      </c>
      <c r="AO1253" s="16">
        <v>0</v>
      </c>
      <c r="AP1253" s="16">
        <v>0.5</v>
      </c>
      <c r="AQ1253" s="16">
        <v>8000</v>
      </c>
      <c r="AR1253" s="16">
        <v>0.2</v>
      </c>
      <c r="AS1253" s="16">
        <v>0</v>
      </c>
      <c r="AT1253" s="12">
        <v>0</v>
      </c>
      <c r="AU1253" s="18">
        <v>90001025</v>
      </c>
      <c r="AV1253" s="18"/>
      <c r="AW1253" s="17" t="s">
        <v>617</v>
      </c>
      <c r="AX1253" s="18" t="s">
        <v>1041</v>
      </c>
      <c r="AY1253" s="18">
        <v>10000007</v>
      </c>
      <c r="AZ1253" s="18">
        <v>22001005</v>
      </c>
      <c r="BA1253" s="17" t="s">
        <v>1556</v>
      </c>
      <c r="BB1253" s="16">
        <v>0</v>
      </c>
      <c r="BC1253" s="27">
        <v>0</v>
      </c>
      <c r="BD1253" s="27">
        <v>1</v>
      </c>
      <c r="BE1253" s="183" t="s">
        <v>2484</v>
      </c>
      <c r="BF1253" s="183" t="s">
        <v>2485</v>
      </c>
      <c r="BG1253" s="16">
        <v>0</v>
      </c>
      <c r="BH1253" s="16">
        <v>0</v>
      </c>
      <c r="BI1253" s="16">
        <v>0</v>
      </c>
      <c r="BJ1253" s="16">
        <v>0</v>
      </c>
      <c r="BK1253" s="16">
        <v>0</v>
      </c>
      <c r="BL1253" s="16">
        <v>0</v>
      </c>
      <c r="BM1253" s="15">
        <v>0</v>
      </c>
      <c r="BN1253" s="12">
        <v>0</v>
      </c>
      <c r="BO1253" s="12">
        <v>0</v>
      </c>
      <c r="BP1253" s="12">
        <v>1000</v>
      </c>
      <c r="BQ1253" s="12">
        <v>1</v>
      </c>
      <c r="BR1253" s="12">
        <v>600</v>
      </c>
      <c r="BS1253" s="12">
        <v>600</v>
      </c>
      <c r="BT1253" s="12">
        <v>0</v>
      </c>
      <c r="BU1253" s="47">
        <v>0</v>
      </c>
      <c r="BV1253" s="47"/>
      <c r="BW1253" s="47"/>
    </row>
    <row r="1254" spans="3:75" ht="20.100000000000001" customHeight="1">
      <c r="C1254" s="18">
        <v>61031161</v>
      </c>
      <c r="D1254" s="13" t="s">
        <v>2531</v>
      </c>
      <c r="E1254" s="13" t="s">
        <v>2532</v>
      </c>
      <c r="F1254" s="16"/>
      <c r="G1254" s="18">
        <v>60031161</v>
      </c>
      <c r="H1254" s="18">
        <v>0</v>
      </c>
      <c r="I1254" s="27">
        <v>0</v>
      </c>
      <c r="J1254" s="18">
        <v>60</v>
      </c>
      <c r="K1254" s="16">
        <v>0</v>
      </c>
      <c r="L1254" s="16">
        <v>0</v>
      </c>
      <c r="M1254" s="18">
        <v>0</v>
      </c>
      <c r="N1254" s="18">
        <v>0</v>
      </c>
      <c r="O1254" s="18">
        <v>1</v>
      </c>
      <c r="P1254" s="18">
        <v>0</v>
      </c>
      <c r="Q1254" s="18">
        <v>0</v>
      </c>
      <c r="R1254" s="18">
        <v>0</v>
      </c>
      <c r="S1254" s="12">
        <v>0</v>
      </c>
      <c r="T1254" s="27">
        <v>0</v>
      </c>
      <c r="U1254" s="16">
        <v>1</v>
      </c>
      <c r="V1254" s="18">
        <v>2</v>
      </c>
      <c r="W1254" s="18">
        <v>0</v>
      </c>
      <c r="X1254" s="18">
        <v>3</v>
      </c>
      <c r="Y1254" s="12">
        <v>0</v>
      </c>
      <c r="Z1254" s="18">
        <v>0</v>
      </c>
      <c r="AA1254" s="18">
        <v>0</v>
      </c>
      <c r="AB1254" s="18">
        <v>0</v>
      </c>
      <c r="AC1254" s="18">
        <v>0</v>
      </c>
      <c r="AD1254" s="18">
        <v>0</v>
      </c>
      <c r="AE1254" s="18">
        <v>0</v>
      </c>
      <c r="AF1254" s="16">
        <v>30</v>
      </c>
      <c r="AG1254" s="18">
        <v>1</v>
      </c>
      <c r="AH1254" s="18">
        <v>8</v>
      </c>
      <c r="AI1254" s="12">
        <v>2</v>
      </c>
      <c r="AJ1254" s="12">
        <v>0</v>
      </c>
      <c r="AK1254" s="12">
        <v>1</v>
      </c>
      <c r="AL1254" s="12">
        <v>0</v>
      </c>
      <c r="AM1254" s="18">
        <v>0</v>
      </c>
      <c r="AN1254" s="18">
        <v>0</v>
      </c>
      <c r="AO1254" s="18">
        <v>0</v>
      </c>
      <c r="AP1254" s="18">
        <v>0.5</v>
      </c>
      <c r="AQ1254" s="18">
        <v>12000</v>
      </c>
      <c r="AR1254" s="18">
        <v>0</v>
      </c>
      <c r="AS1254" s="18">
        <v>0</v>
      </c>
      <c r="AT1254" s="12">
        <v>0</v>
      </c>
      <c r="AU1254" s="346" t="s">
        <v>2488</v>
      </c>
      <c r="AV1254" s="18"/>
      <c r="AW1254" s="19" t="s">
        <v>1539</v>
      </c>
      <c r="AX1254" s="18" t="s">
        <v>1408</v>
      </c>
      <c r="AY1254" s="18">
        <v>10002001</v>
      </c>
      <c r="AZ1254" s="18">
        <v>22001006</v>
      </c>
      <c r="BA1254" s="19" t="s">
        <v>2489</v>
      </c>
      <c r="BB1254" s="27" t="s">
        <v>2490</v>
      </c>
      <c r="BC1254" s="27">
        <v>0</v>
      </c>
      <c r="BD1254" s="27">
        <v>1</v>
      </c>
      <c r="BE1254" s="183" t="s">
        <v>2491</v>
      </c>
      <c r="BF1254" s="183" t="s">
        <v>2492</v>
      </c>
      <c r="BG1254" s="18">
        <v>0</v>
      </c>
      <c r="BH1254" s="16">
        <v>0</v>
      </c>
      <c r="BI1254" s="18">
        <v>0</v>
      </c>
      <c r="BJ1254" s="18">
        <v>0</v>
      </c>
      <c r="BK1254" s="18">
        <v>0</v>
      </c>
      <c r="BL1254" s="18">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76">
        <v>61031171</v>
      </c>
      <c r="D1255" s="201" t="s">
        <v>2533</v>
      </c>
      <c r="E1255" s="201" t="s">
        <v>2534</v>
      </c>
      <c r="F1255" s="172">
        <v>1</v>
      </c>
      <c r="G1255" s="176">
        <v>60031171</v>
      </c>
      <c r="H1255" s="176">
        <v>0</v>
      </c>
      <c r="I1255" s="174">
        <v>0</v>
      </c>
      <c r="J1255" s="172">
        <v>42</v>
      </c>
      <c r="K1255" s="172">
        <v>2</v>
      </c>
      <c r="L1255" s="172">
        <v>0</v>
      </c>
      <c r="M1255" s="176">
        <v>0</v>
      </c>
      <c r="N1255" s="176">
        <v>0</v>
      </c>
      <c r="O1255" s="176">
        <v>1</v>
      </c>
      <c r="P1255" s="176">
        <v>0</v>
      </c>
      <c r="Q1255" s="176">
        <v>0</v>
      </c>
      <c r="R1255" s="176">
        <v>0</v>
      </c>
      <c r="S1255" s="175">
        <v>0</v>
      </c>
      <c r="T1255" s="174">
        <v>0</v>
      </c>
      <c r="U1255" s="172">
        <v>1</v>
      </c>
      <c r="V1255" s="176">
        <v>2</v>
      </c>
      <c r="W1255" s="176">
        <v>0</v>
      </c>
      <c r="X1255" s="176">
        <v>1</v>
      </c>
      <c r="Y1255" s="12">
        <v>0</v>
      </c>
      <c r="Z1255" s="176">
        <v>500</v>
      </c>
      <c r="AA1255" s="176">
        <v>0</v>
      </c>
      <c r="AB1255" s="176">
        <v>0</v>
      </c>
      <c r="AC1255" s="176">
        <v>0</v>
      </c>
      <c r="AD1255" s="176">
        <v>0</v>
      </c>
      <c r="AE1255" s="176">
        <v>0</v>
      </c>
      <c r="AF1255" s="176">
        <v>30</v>
      </c>
      <c r="AG1255" s="176">
        <v>1</v>
      </c>
      <c r="AH1255" s="176">
        <v>3</v>
      </c>
      <c r="AI1255" s="175">
        <v>2</v>
      </c>
      <c r="AJ1255" s="175">
        <v>0</v>
      </c>
      <c r="AK1255" s="175">
        <v>0</v>
      </c>
      <c r="AL1255" s="175">
        <v>1.5</v>
      </c>
      <c r="AM1255" s="176">
        <v>0</v>
      </c>
      <c r="AN1255" s="176">
        <v>0</v>
      </c>
      <c r="AO1255" s="176">
        <v>0</v>
      </c>
      <c r="AP1255" s="176">
        <v>0.5</v>
      </c>
      <c r="AQ1255" s="176">
        <v>20000</v>
      </c>
      <c r="AR1255" s="176">
        <v>0.5</v>
      </c>
      <c r="AS1255" s="176">
        <v>0</v>
      </c>
      <c r="AT1255" s="175">
        <v>0</v>
      </c>
      <c r="AU1255" s="356" t="s">
        <v>2488</v>
      </c>
      <c r="AV1255" s="176"/>
      <c r="AW1255" s="201" t="s">
        <v>1539</v>
      </c>
      <c r="AX1255" s="176" t="s">
        <v>1408</v>
      </c>
      <c r="AY1255" s="176">
        <v>10002001</v>
      </c>
      <c r="AZ1255" s="176">
        <v>21201090</v>
      </c>
      <c r="BA1255" s="201" t="s">
        <v>315</v>
      </c>
      <c r="BB1255" s="201" t="s">
        <v>371</v>
      </c>
      <c r="BC1255" s="174">
        <v>0</v>
      </c>
      <c r="BD1255" s="174">
        <v>0</v>
      </c>
      <c r="BE1255" s="208" t="str">
        <f>"在脚底下立即释放法术,在此范围内的目标每秒造成"&amp;X1255*100&amp;"%攻击伤害+"&amp;Z1255&amp;"点固定伤害,己方伤害提升20%,目标移动速度降低20%,持续20秒"</f>
        <v>在脚底下立即释放法术,在此范围内的目标每秒造成100%攻击伤害+500点固定伤害,己方伤害提升20%,目标移动速度降低20%,持续20秒</v>
      </c>
      <c r="BF1255" s="208" t="s">
        <v>2535</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row>
    <row r="1256" spans="3:75" ht="19.5" customHeight="1">
      <c r="C1256" s="176">
        <v>61031181</v>
      </c>
      <c r="D1256" s="200" t="s">
        <v>2536</v>
      </c>
      <c r="E1256" s="200" t="s">
        <v>2537</v>
      </c>
      <c r="F1256" s="176">
        <v>1</v>
      </c>
      <c r="G1256" s="176">
        <v>60031181</v>
      </c>
      <c r="H1256" s="176">
        <v>0</v>
      </c>
      <c r="I1256" s="174">
        <v>0</v>
      </c>
      <c r="J1256" s="176">
        <v>60</v>
      </c>
      <c r="K1256" s="176">
        <v>0</v>
      </c>
      <c r="L1256" s="176">
        <v>0</v>
      </c>
      <c r="M1256" s="172">
        <v>0</v>
      </c>
      <c r="N1256" s="172">
        <v>0</v>
      </c>
      <c r="O1256" s="172">
        <v>1</v>
      </c>
      <c r="P1256" s="172">
        <v>0</v>
      </c>
      <c r="Q1256" s="172">
        <v>1</v>
      </c>
      <c r="R1256" s="172">
        <v>0</v>
      </c>
      <c r="S1256" s="175">
        <v>0</v>
      </c>
      <c r="T1256" s="172">
        <v>0</v>
      </c>
      <c r="U1256" s="172">
        <v>1</v>
      </c>
      <c r="V1256" s="172">
        <v>2</v>
      </c>
      <c r="W1256" s="172">
        <v>0</v>
      </c>
      <c r="X1256" s="172">
        <v>3</v>
      </c>
      <c r="Y1256" s="12">
        <v>0</v>
      </c>
      <c r="Z1256" s="172">
        <v>0</v>
      </c>
      <c r="AA1256" s="172">
        <v>1</v>
      </c>
      <c r="AB1256" s="172">
        <v>0</v>
      </c>
      <c r="AC1256" s="172">
        <v>0</v>
      </c>
      <c r="AD1256" s="172">
        <v>0</v>
      </c>
      <c r="AE1256" s="172">
        <v>0</v>
      </c>
      <c r="AF1256" s="172">
        <v>30</v>
      </c>
      <c r="AG1256" s="172">
        <v>1</v>
      </c>
      <c r="AH1256" s="172">
        <v>3</v>
      </c>
      <c r="AI1256" s="175">
        <v>0</v>
      </c>
      <c r="AJ1256" s="175">
        <v>2</v>
      </c>
      <c r="AK1256" s="175">
        <v>0</v>
      </c>
      <c r="AL1256" s="175">
        <v>2</v>
      </c>
      <c r="AM1256" s="172">
        <v>0</v>
      </c>
      <c r="AN1256" s="172">
        <v>0</v>
      </c>
      <c r="AO1256" s="172">
        <v>0</v>
      </c>
      <c r="AP1256" s="172">
        <v>2</v>
      </c>
      <c r="AQ1256" s="172">
        <v>10000</v>
      </c>
      <c r="AR1256" s="172">
        <v>0.5</v>
      </c>
      <c r="AS1256" s="172">
        <v>20</v>
      </c>
      <c r="AT1256" s="175">
        <v>0</v>
      </c>
      <c r="AU1256" s="172" t="s">
        <v>198</v>
      </c>
      <c r="AV1256" s="172"/>
      <c r="AW1256" s="201" t="s">
        <v>2461</v>
      </c>
      <c r="AX1256" s="172" t="s">
        <v>534</v>
      </c>
      <c r="AY1256" s="176">
        <v>10000007</v>
      </c>
      <c r="AZ1256" s="176">
        <v>21202090</v>
      </c>
      <c r="BA1256" s="201" t="s">
        <v>586</v>
      </c>
      <c r="BB1256" s="174" t="s">
        <v>2501</v>
      </c>
      <c r="BC1256" s="174">
        <v>0</v>
      </c>
      <c r="BD1256" s="174">
        <v>1</v>
      </c>
      <c r="BE1256" s="206" t="s">
        <v>2521</v>
      </c>
      <c r="BF1256" s="206" t="s">
        <v>2522</v>
      </c>
      <c r="BG1256" s="172">
        <v>0</v>
      </c>
      <c r="BH1256" s="172">
        <v>0</v>
      </c>
      <c r="BI1256" s="172">
        <v>0</v>
      </c>
      <c r="BJ1256" s="172">
        <v>0</v>
      </c>
      <c r="BK1256" s="172">
        <v>0</v>
      </c>
      <c r="BL1256" s="172">
        <v>0</v>
      </c>
      <c r="BM1256" s="178">
        <v>0</v>
      </c>
      <c r="BN1256" s="175">
        <v>0</v>
      </c>
      <c r="BO1256" s="175">
        <v>0</v>
      </c>
      <c r="BP1256" s="175">
        <v>0</v>
      </c>
      <c r="BQ1256" s="175">
        <v>0</v>
      </c>
      <c r="BR1256" s="175">
        <v>0</v>
      </c>
      <c r="BS1256" s="175">
        <v>0</v>
      </c>
      <c r="BT1256" s="12">
        <v>0</v>
      </c>
      <c r="BU1256" s="47">
        <v>0</v>
      </c>
      <c r="BV1256" s="47"/>
      <c r="BW1256" s="47"/>
    </row>
    <row r="1257" spans="3:75" ht="20.100000000000001" customHeight="1">
      <c r="C1257" s="176">
        <v>61031191</v>
      </c>
      <c r="D1257" s="173" t="s">
        <v>2538</v>
      </c>
      <c r="E1257" s="173" t="s">
        <v>2539</v>
      </c>
      <c r="F1257" s="176">
        <v>1</v>
      </c>
      <c r="G1257" s="176">
        <v>60031191</v>
      </c>
      <c r="H1257" s="176">
        <v>0</v>
      </c>
      <c r="I1257" s="174">
        <v>0</v>
      </c>
      <c r="J1257" s="176">
        <v>1</v>
      </c>
      <c r="K1257" s="176">
        <v>0</v>
      </c>
      <c r="L1257" s="176">
        <v>0</v>
      </c>
      <c r="M1257" s="172">
        <v>0</v>
      </c>
      <c r="N1257" s="172">
        <v>0</v>
      </c>
      <c r="O1257" s="172">
        <v>2</v>
      </c>
      <c r="P1257" s="172">
        <v>1</v>
      </c>
      <c r="Q1257" s="172">
        <v>0.6</v>
      </c>
      <c r="R1257" s="172">
        <v>0</v>
      </c>
      <c r="S1257" s="175">
        <v>0</v>
      </c>
      <c r="T1257" s="172">
        <v>0</v>
      </c>
      <c r="U1257" s="172">
        <v>1</v>
      </c>
      <c r="V1257" s="172">
        <v>2</v>
      </c>
      <c r="W1257" s="172">
        <v>0</v>
      </c>
      <c r="X1257" s="172">
        <v>0</v>
      </c>
      <c r="Y1257" s="12">
        <v>0</v>
      </c>
      <c r="Z1257" s="172">
        <v>0</v>
      </c>
      <c r="AA1257" s="172">
        <v>0</v>
      </c>
      <c r="AB1257" s="172">
        <v>0</v>
      </c>
      <c r="AC1257" s="172">
        <v>0</v>
      </c>
      <c r="AD1257" s="172">
        <v>0</v>
      </c>
      <c r="AE1257" s="172">
        <v>0</v>
      </c>
      <c r="AF1257" s="172">
        <v>20</v>
      </c>
      <c r="AG1257" s="172">
        <v>0</v>
      </c>
      <c r="AH1257" s="172">
        <v>0</v>
      </c>
      <c r="AI1257" s="175">
        <v>2</v>
      </c>
      <c r="AJ1257" s="175">
        <v>2</v>
      </c>
      <c r="AK1257" s="175">
        <v>0</v>
      </c>
      <c r="AL1257" s="175">
        <v>1.5</v>
      </c>
      <c r="AM1257" s="172">
        <v>0</v>
      </c>
      <c r="AN1257" s="172">
        <v>0</v>
      </c>
      <c r="AO1257" s="172">
        <v>0</v>
      </c>
      <c r="AP1257" s="172">
        <v>1</v>
      </c>
      <c r="AQ1257" s="172">
        <v>3000</v>
      </c>
      <c r="AR1257" s="172">
        <v>0.5</v>
      </c>
      <c r="AS1257" s="172">
        <v>0</v>
      </c>
      <c r="AT1257" s="175">
        <v>0</v>
      </c>
      <c r="AU1257" s="172" t="s">
        <v>198</v>
      </c>
      <c r="AV1257" s="172"/>
      <c r="AW1257" s="201" t="s">
        <v>199</v>
      </c>
      <c r="AX1257" s="172" t="s">
        <v>545</v>
      </c>
      <c r="AY1257" s="176">
        <v>0</v>
      </c>
      <c r="AZ1257" s="176">
        <v>21203090</v>
      </c>
      <c r="BA1257" s="173" t="s">
        <v>1174</v>
      </c>
      <c r="BB1257" s="201" t="s">
        <v>2540</v>
      </c>
      <c r="BC1257" s="174">
        <v>0</v>
      </c>
      <c r="BD1257" s="174">
        <v>0</v>
      </c>
      <c r="BE1257" s="206" t="s">
        <v>592</v>
      </c>
      <c r="BF1257" s="206" t="s">
        <v>593</v>
      </c>
      <c r="BG1257" s="172">
        <v>0</v>
      </c>
      <c r="BH1257" s="172">
        <v>0</v>
      </c>
      <c r="BI1257" s="172">
        <v>0</v>
      </c>
      <c r="BJ1257" s="172">
        <v>0</v>
      </c>
      <c r="BK1257" s="172">
        <v>0</v>
      </c>
      <c r="BL1257" s="172">
        <v>0</v>
      </c>
      <c r="BM1257" s="178">
        <v>0</v>
      </c>
      <c r="BN1257" s="175">
        <v>0</v>
      </c>
      <c r="BO1257" s="175">
        <v>0</v>
      </c>
      <c r="BP1257" s="175">
        <v>0</v>
      </c>
      <c r="BQ1257" s="175">
        <v>0</v>
      </c>
      <c r="BR1257" s="175">
        <v>0</v>
      </c>
      <c r="BS1257" s="175">
        <v>0</v>
      </c>
      <c r="BT1257" s="12">
        <v>0</v>
      </c>
      <c r="BU1257" s="47">
        <v>0</v>
      </c>
      <c r="BV1257" s="47"/>
      <c r="BW1257" s="47"/>
    </row>
    <row r="1258" spans="3:75" ht="20.100000000000001" customHeight="1">
      <c r="C1258" s="12">
        <v>62000000</v>
      </c>
      <c r="D1258" s="13" t="s">
        <v>2541</v>
      </c>
      <c r="E1258" s="13" t="s">
        <v>2542</v>
      </c>
      <c r="F1258" s="12">
        <v>1</v>
      </c>
      <c r="G1258" s="12">
        <v>10001</v>
      </c>
      <c r="H1258" s="12">
        <v>0</v>
      </c>
      <c r="I1258" s="12">
        <v>0</v>
      </c>
      <c r="J1258" s="12">
        <v>1</v>
      </c>
      <c r="K1258" s="12">
        <v>0</v>
      </c>
      <c r="L1258" s="16">
        <v>0</v>
      </c>
      <c r="M1258" s="12">
        <v>0</v>
      </c>
      <c r="N1258" s="12">
        <v>0</v>
      </c>
      <c r="O1258" s="12">
        <v>1</v>
      </c>
      <c r="P1258" s="12">
        <v>0</v>
      </c>
      <c r="Q1258" s="12">
        <v>0</v>
      </c>
      <c r="R1258" s="12">
        <v>0</v>
      </c>
      <c r="S1258" s="12">
        <v>0</v>
      </c>
      <c r="T1258" s="12">
        <v>0</v>
      </c>
      <c r="U1258" s="12">
        <v>1</v>
      </c>
      <c r="V1258" s="12">
        <v>2</v>
      </c>
      <c r="W1258" s="12">
        <v>0</v>
      </c>
      <c r="X1258" s="12">
        <v>0</v>
      </c>
      <c r="Y1258" s="12">
        <v>0</v>
      </c>
      <c r="Z1258" s="12">
        <v>0</v>
      </c>
      <c r="AA1258" s="12">
        <v>0</v>
      </c>
      <c r="AB1258" s="12">
        <v>0</v>
      </c>
      <c r="AC1258" s="12">
        <v>0</v>
      </c>
      <c r="AD1258" s="12">
        <v>1</v>
      </c>
      <c r="AE1258" s="12">
        <v>0</v>
      </c>
      <c r="AF1258" s="12">
        <v>30</v>
      </c>
      <c r="AG1258" s="12">
        <v>0</v>
      </c>
      <c r="AH1258" s="12">
        <v>0</v>
      </c>
      <c r="AI1258" s="12">
        <v>2</v>
      </c>
      <c r="AJ1258" s="12">
        <v>1</v>
      </c>
      <c r="AK1258" s="12">
        <v>0</v>
      </c>
      <c r="AL1258" s="12">
        <v>0</v>
      </c>
      <c r="AM1258" s="12">
        <v>0</v>
      </c>
      <c r="AN1258" s="12">
        <v>0</v>
      </c>
      <c r="AO1258" s="12">
        <v>0</v>
      </c>
      <c r="AP1258" s="12">
        <v>0</v>
      </c>
      <c r="AQ1258" s="12">
        <v>1000</v>
      </c>
      <c r="AR1258" s="12">
        <v>0</v>
      </c>
      <c r="AS1258" s="12">
        <v>0</v>
      </c>
      <c r="AT1258" s="12">
        <v>92000003</v>
      </c>
      <c r="AU1258" s="12" t="s">
        <v>198</v>
      </c>
      <c r="AV1258" s="12"/>
      <c r="AW1258" s="13" t="s">
        <v>199</v>
      </c>
      <c r="AX1258" s="12" t="s">
        <v>1819</v>
      </c>
      <c r="AY1258" s="12">
        <v>0</v>
      </c>
      <c r="AZ1258" s="12">
        <v>40000003</v>
      </c>
      <c r="BA1258" s="13" t="s">
        <v>200</v>
      </c>
      <c r="BB1258" s="13" t="s">
        <v>198</v>
      </c>
      <c r="BC1258" s="12">
        <v>0</v>
      </c>
      <c r="BD1258" s="12">
        <v>0</v>
      </c>
      <c r="BE1258" s="42" t="s">
        <v>2543</v>
      </c>
      <c r="BF1258" s="42" t="s">
        <v>2544</v>
      </c>
      <c r="BG1258" s="12">
        <v>0</v>
      </c>
      <c r="BH1258" s="12">
        <v>0</v>
      </c>
      <c r="BI1258" s="12">
        <v>0</v>
      </c>
      <c r="BJ1258" s="12">
        <v>0</v>
      </c>
      <c r="BK1258" s="12">
        <v>0</v>
      </c>
      <c r="BL1258" s="12">
        <v>0</v>
      </c>
      <c r="BM1258" s="185">
        <v>0</v>
      </c>
      <c r="BN1258" s="12">
        <v>1</v>
      </c>
      <c r="BO1258" s="12">
        <v>0</v>
      </c>
      <c r="BP1258" s="12">
        <v>0</v>
      </c>
      <c r="BQ1258" s="12">
        <v>0</v>
      </c>
      <c r="BR1258" s="12">
        <v>0</v>
      </c>
      <c r="BS1258" s="12">
        <v>0</v>
      </c>
      <c r="BT1258" s="12">
        <v>0</v>
      </c>
      <c r="BU1258" s="47">
        <v>0</v>
      </c>
      <c r="BV1258" s="47"/>
      <c r="BW1258" s="47"/>
    </row>
    <row r="1259" spans="3:75" ht="20.100000000000001" customHeight="1">
      <c r="C1259" s="12">
        <v>62000001</v>
      </c>
      <c r="D1259" s="237" t="s">
        <v>381</v>
      </c>
      <c r="E1259" s="237" t="s">
        <v>382</v>
      </c>
      <c r="F1259" s="238">
        <v>1</v>
      </c>
      <c r="G1259" s="12">
        <v>10001</v>
      </c>
      <c r="H1259" s="238">
        <v>0</v>
      </c>
      <c r="I1259" s="238">
        <v>0</v>
      </c>
      <c r="J1259" s="238">
        <v>1</v>
      </c>
      <c r="K1259" s="238">
        <v>0</v>
      </c>
      <c r="L1259" s="238">
        <v>0</v>
      </c>
      <c r="M1259" s="238">
        <v>0</v>
      </c>
      <c r="N1259" s="238">
        <v>0</v>
      </c>
      <c r="O1259" s="238">
        <v>2</v>
      </c>
      <c r="P1259" s="238">
        <v>3</v>
      </c>
      <c r="Q1259" s="238">
        <v>0.2</v>
      </c>
      <c r="R1259" s="238">
        <v>0</v>
      </c>
      <c r="S1259" s="238">
        <v>0</v>
      </c>
      <c r="T1259" s="238">
        <v>0</v>
      </c>
      <c r="U1259" s="238">
        <v>1</v>
      </c>
      <c r="V1259" s="238">
        <v>2</v>
      </c>
      <c r="W1259" s="238">
        <v>0</v>
      </c>
      <c r="X1259" s="238">
        <v>0</v>
      </c>
      <c r="Y1259" s="12">
        <v>0</v>
      </c>
      <c r="Z1259" s="238">
        <v>0</v>
      </c>
      <c r="AA1259" s="238">
        <v>0</v>
      </c>
      <c r="AB1259" s="238">
        <v>0</v>
      </c>
      <c r="AC1259" s="238">
        <v>0</v>
      </c>
      <c r="AD1259" s="238">
        <v>1</v>
      </c>
      <c r="AE1259" s="238">
        <v>0</v>
      </c>
      <c r="AF1259" s="238">
        <v>10</v>
      </c>
      <c r="AG1259" s="238">
        <v>0</v>
      </c>
      <c r="AH1259" s="238">
        <v>0</v>
      </c>
      <c r="AI1259" s="238">
        <v>2</v>
      </c>
      <c r="AJ1259" s="238">
        <v>0</v>
      </c>
      <c r="AK1259" s="238">
        <v>0</v>
      </c>
      <c r="AL1259" s="238">
        <v>0</v>
      </c>
      <c r="AM1259" s="238">
        <v>0</v>
      </c>
      <c r="AN1259" s="238">
        <v>0</v>
      </c>
      <c r="AO1259" s="238">
        <v>0</v>
      </c>
      <c r="AP1259" s="238">
        <v>0</v>
      </c>
      <c r="AQ1259" s="238">
        <v>1000</v>
      </c>
      <c r="AR1259" s="238">
        <v>0</v>
      </c>
      <c r="AS1259" s="238">
        <v>0</v>
      </c>
      <c r="AT1259" s="238">
        <v>92000037</v>
      </c>
      <c r="AU1259" s="238" t="s">
        <v>198</v>
      </c>
      <c r="AV1259" s="238"/>
      <c r="AW1259" s="237" t="s">
        <v>199</v>
      </c>
      <c r="AX1259" s="238" t="s">
        <v>1819</v>
      </c>
      <c r="AY1259" s="238">
        <v>0</v>
      </c>
      <c r="AZ1259" s="238">
        <v>40000003</v>
      </c>
      <c r="BA1259" s="237" t="s">
        <v>200</v>
      </c>
      <c r="BB1259" s="238" t="s">
        <v>198</v>
      </c>
      <c r="BC1259" s="238">
        <v>0</v>
      </c>
      <c r="BD1259" s="238">
        <v>0</v>
      </c>
      <c r="BE1259" s="239" t="s">
        <v>2545</v>
      </c>
      <c r="BF1259" s="239" t="s">
        <v>2546</v>
      </c>
      <c r="BG1259" s="238">
        <v>0</v>
      </c>
      <c r="BH1259" s="238">
        <v>0</v>
      </c>
      <c r="BI1259" s="238">
        <v>0</v>
      </c>
      <c r="BJ1259" s="238">
        <v>0</v>
      </c>
      <c r="BK1259" s="238">
        <v>0</v>
      </c>
      <c r="BL1259" s="238">
        <v>0</v>
      </c>
      <c r="BM1259" s="242">
        <v>0</v>
      </c>
      <c r="BN1259" s="238">
        <v>1</v>
      </c>
      <c r="BO1259" s="12">
        <v>0</v>
      </c>
      <c r="BP1259" s="12">
        <v>0</v>
      </c>
      <c r="BQ1259" s="12">
        <v>0</v>
      </c>
      <c r="BR1259" s="12">
        <v>0</v>
      </c>
      <c r="BS1259" s="12">
        <v>0</v>
      </c>
      <c r="BT1259" s="12">
        <v>0</v>
      </c>
      <c r="BU1259" s="47">
        <v>0</v>
      </c>
      <c r="BV1259" s="47"/>
      <c r="BW1259" s="47"/>
    </row>
    <row r="1260" spans="3:75" ht="20.100000000000001" customHeight="1">
      <c r="C1260" s="12">
        <v>62000002</v>
      </c>
      <c r="D1260" s="13" t="s">
        <v>2547</v>
      </c>
      <c r="E1260" s="13" t="s">
        <v>2548</v>
      </c>
      <c r="F1260" s="12">
        <v>1</v>
      </c>
      <c r="G1260" s="12">
        <v>10002</v>
      </c>
      <c r="H1260" s="12">
        <v>0</v>
      </c>
      <c r="I1260" s="12">
        <v>0</v>
      </c>
      <c r="J1260" s="12">
        <v>1</v>
      </c>
      <c r="K1260" s="12">
        <v>0</v>
      </c>
      <c r="L1260" s="16">
        <v>0</v>
      </c>
      <c r="M1260" s="12">
        <v>0</v>
      </c>
      <c r="N1260" s="12">
        <v>0</v>
      </c>
      <c r="O1260" s="12">
        <v>1</v>
      </c>
      <c r="P1260" s="12">
        <v>0</v>
      </c>
      <c r="Q1260" s="12">
        <v>0</v>
      </c>
      <c r="R1260" s="12">
        <v>0</v>
      </c>
      <c r="S1260" s="12">
        <v>0</v>
      </c>
      <c r="T1260" s="12">
        <v>0</v>
      </c>
      <c r="U1260" s="12">
        <v>1</v>
      </c>
      <c r="V1260" s="12">
        <v>2</v>
      </c>
      <c r="W1260" s="12">
        <v>0</v>
      </c>
      <c r="X1260" s="12">
        <v>4</v>
      </c>
      <c r="Y1260" s="12">
        <v>0</v>
      </c>
      <c r="Z1260" s="12">
        <v>1000</v>
      </c>
      <c r="AA1260" s="12">
        <v>0</v>
      </c>
      <c r="AB1260" s="12">
        <v>0</v>
      </c>
      <c r="AC1260" s="12">
        <v>0</v>
      </c>
      <c r="AD1260" s="12">
        <v>0</v>
      </c>
      <c r="AE1260" s="12">
        <v>0</v>
      </c>
      <c r="AF1260" s="12">
        <v>7</v>
      </c>
      <c r="AG1260" s="12">
        <v>0</v>
      </c>
      <c r="AH1260" s="12">
        <v>0</v>
      </c>
      <c r="AI1260" s="12">
        <v>7</v>
      </c>
      <c r="AJ1260" s="12">
        <v>0</v>
      </c>
      <c r="AK1260" s="12">
        <v>0</v>
      </c>
      <c r="AL1260" s="12">
        <v>6</v>
      </c>
      <c r="AM1260" s="12">
        <v>0</v>
      </c>
      <c r="AN1260" s="12">
        <v>0</v>
      </c>
      <c r="AO1260" s="12">
        <v>0</v>
      </c>
      <c r="AP1260" s="12">
        <v>0.5</v>
      </c>
      <c r="AQ1260" s="12">
        <v>1000</v>
      </c>
      <c r="AR1260" s="12">
        <v>0</v>
      </c>
      <c r="AS1260" s="12">
        <v>0</v>
      </c>
      <c r="AT1260" s="12">
        <v>0</v>
      </c>
      <c r="AU1260" s="12">
        <v>0</v>
      </c>
      <c r="AV1260" s="12"/>
      <c r="AW1260" s="13" t="s">
        <v>256</v>
      </c>
      <c r="AX1260" s="12" t="s">
        <v>1677</v>
      </c>
      <c r="AY1260" s="12" t="s">
        <v>198</v>
      </c>
      <c r="AZ1260" s="12" t="s">
        <v>2549</v>
      </c>
      <c r="BA1260" s="13" t="s">
        <v>200</v>
      </c>
      <c r="BB1260" s="12">
        <v>0</v>
      </c>
      <c r="BC1260" s="12">
        <v>0</v>
      </c>
      <c r="BD1260" s="12">
        <v>0</v>
      </c>
      <c r="BE1260" s="42" t="s">
        <v>2550</v>
      </c>
      <c r="BF1260" s="42" t="s">
        <v>2551</v>
      </c>
      <c r="BG1260" s="12">
        <v>0</v>
      </c>
      <c r="BH1260" s="12">
        <v>0</v>
      </c>
      <c r="BI1260" s="12">
        <v>0</v>
      </c>
      <c r="BJ1260" s="12">
        <v>0</v>
      </c>
      <c r="BK1260" s="12">
        <v>0</v>
      </c>
      <c r="BL1260" s="12">
        <v>0</v>
      </c>
      <c r="BM1260" s="185">
        <v>0</v>
      </c>
      <c r="BN1260" s="12">
        <v>0</v>
      </c>
      <c r="BO1260" s="12">
        <v>0</v>
      </c>
      <c r="BP1260" s="12">
        <v>0</v>
      </c>
      <c r="BQ1260" s="12">
        <v>0</v>
      </c>
      <c r="BR1260" s="12">
        <v>0</v>
      </c>
      <c r="BS1260" s="12">
        <v>0</v>
      </c>
      <c r="BT1260" s="12">
        <v>0</v>
      </c>
      <c r="BU1260" s="47">
        <v>0</v>
      </c>
      <c r="BV1260" s="47"/>
      <c r="BW1260" s="47"/>
    </row>
    <row r="1261" spans="3:75" ht="20.100000000000001" customHeight="1">
      <c r="C1261" s="68">
        <v>62000003</v>
      </c>
      <c r="D1261" s="124" t="s">
        <v>598</v>
      </c>
      <c r="E1261" s="124" t="s">
        <v>1162</v>
      </c>
      <c r="F1261" s="68">
        <v>1</v>
      </c>
      <c r="G1261" s="68">
        <v>10011</v>
      </c>
      <c r="H1261" s="68">
        <v>0</v>
      </c>
      <c r="I1261" s="68">
        <v>0</v>
      </c>
      <c r="J1261" s="68">
        <v>1</v>
      </c>
      <c r="K1261" s="68">
        <v>0</v>
      </c>
      <c r="L1261" s="60">
        <v>0</v>
      </c>
      <c r="M1261" s="68">
        <v>0</v>
      </c>
      <c r="N1261" s="68">
        <v>0</v>
      </c>
      <c r="O1261" s="68">
        <v>2</v>
      </c>
      <c r="P1261" s="68">
        <v>1</v>
      </c>
      <c r="Q1261" s="68">
        <v>0.15</v>
      </c>
      <c r="R1261" s="68">
        <v>0</v>
      </c>
      <c r="S1261" s="68">
        <v>0</v>
      </c>
      <c r="T1261" s="68">
        <v>0</v>
      </c>
      <c r="U1261" s="68">
        <v>1</v>
      </c>
      <c r="V1261" s="68">
        <v>2</v>
      </c>
      <c r="W1261" s="68">
        <v>0</v>
      </c>
      <c r="X1261" s="68">
        <v>2.5</v>
      </c>
      <c r="Y1261" s="12">
        <v>0</v>
      </c>
      <c r="Z1261" s="68">
        <v>0</v>
      </c>
      <c r="AA1261" s="68">
        <v>0</v>
      </c>
      <c r="AB1261" s="68">
        <v>0</v>
      </c>
      <c r="AC1261" s="68">
        <v>0</v>
      </c>
      <c r="AD1261" s="68">
        <v>1</v>
      </c>
      <c r="AE1261" s="68">
        <v>0</v>
      </c>
      <c r="AF1261" s="68">
        <v>9</v>
      </c>
      <c r="AG1261" s="68">
        <v>2</v>
      </c>
      <c r="AH1261" s="68" t="s">
        <v>213</v>
      </c>
      <c r="AI1261" s="68">
        <v>2</v>
      </c>
      <c r="AJ1261" s="68">
        <v>2</v>
      </c>
      <c r="AK1261" s="12">
        <v>0</v>
      </c>
      <c r="AL1261" s="68">
        <v>1.5</v>
      </c>
      <c r="AM1261" s="68">
        <v>0</v>
      </c>
      <c r="AN1261" s="68">
        <v>0</v>
      </c>
      <c r="AO1261" s="68">
        <v>0</v>
      </c>
      <c r="AP1261" s="68">
        <v>1</v>
      </c>
      <c r="AQ1261" s="68">
        <v>3000</v>
      </c>
      <c r="AR1261" s="68">
        <v>0.5</v>
      </c>
      <c r="AS1261" s="68">
        <v>0</v>
      </c>
      <c r="AT1261" s="68">
        <v>0</v>
      </c>
      <c r="AU1261" s="68" t="s">
        <v>198</v>
      </c>
      <c r="AV1261" s="68"/>
      <c r="AW1261" s="124" t="s">
        <v>287</v>
      </c>
      <c r="AX1261" s="68" t="s">
        <v>545</v>
      </c>
      <c r="AY1261" s="68">
        <v>10000007</v>
      </c>
      <c r="AZ1261" s="68">
        <v>21000110</v>
      </c>
      <c r="BA1261" s="124" t="s">
        <v>200</v>
      </c>
      <c r="BB1261" s="68">
        <v>0</v>
      </c>
      <c r="BC1261" s="68">
        <v>0</v>
      </c>
      <c r="BD1261" s="68">
        <v>0</v>
      </c>
      <c r="BE1261" s="240" t="s">
        <v>2552</v>
      </c>
      <c r="BF1261" s="240" t="s">
        <v>2553</v>
      </c>
      <c r="BG1261" s="68">
        <v>0</v>
      </c>
      <c r="BH1261" s="68">
        <v>0</v>
      </c>
      <c r="BI1261" s="68">
        <v>0</v>
      </c>
      <c r="BJ1261" s="68">
        <v>0</v>
      </c>
      <c r="BK1261" s="68">
        <v>0</v>
      </c>
      <c r="BL1261" s="68">
        <v>0</v>
      </c>
      <c r="BM1261" s="134">
        <v>0</v>
      </c>
      <c r="BN1261" s="12">
        <v>0</v>
      </c>
      <c r="BO1261" s="12">
        <v>0</v>
      </c>
      <c r="BP1261" s="12">
        <v>0</v>
      </c>
      <c r="BQ1261" s="12">
        <v>0</v>
      </c>
      <c r="BR1261" s="12">
        <v>0</v>
      </c>
      <c r="BS1261" s="12">
        <v>0</v>
      </c>
      <c r="BT1261" s="12">
        <v>0</v>
      </c>
      <c r="BU1261" s="47">
        <v>0</v>
      </c>
      <c r="BV1261" s="47"/>
      <c r="BW1261" s="47"/>
    </row>
    <row r="1262" spans="3:75" ht="20.100000000000001" customHeight="1">
      <c r="C1262" s="12">
        <v>62000004</v>
      </c>
      <c r="D1262" s="13" t="s">
        <v>2554</v>
      </c>
      <c r="E1262" s="13" t="s">
        <v>2555</v>
      </c>
      <c r="F1262" s="12">
        <v>1</v>
      </c>
      <c r="G1262" s="12">
        <v>10013</v>
      </c>
      <c r="H1262" s="12">
        <v>0</v>
      </c>
      <c r="I1262" s="12">
        <v>0</v>
      </c>
      <c r="J1262" s="12">
        <v>1</v>
      </c>
      <c r="K1262" s="12">
        <v>0</v>
      </c>
      <c r="L1262" s="16">
        <v>0</v>
      </c>
      <c r="M1262" s="12">
        <v>0</v>
      </c>
      <c r="N1262" s="12">
        <v>0</v>
      </c>
      <c r="O1262" s="12">
        <v>1</v>
      </c>
      <c r="P1262" s="12">
        <v>0</v>
      </c>
      <c r="Q1262" s="12">
        <v>0</v>
      </c>
      <c r="R1262" s="12">
        <v>0</v>
      </c>
      <c r="S1262" s="12">
        <v>0</v>
      </c>
      <c r="T1262" s="12">
        <v>0</v>
      </c>
      <c r="U1262" s="12">
        <v>1</v>
      </c>
      <c r="V1262" s="12">
        <v>2</v>
      </c>
      <c r="W1262" s="12">
        <v>0</v>
      </c>
      <c r="X1262" s="12">
        <v>0</v>
      </c>
      <c r="Y1262" s="12">
        <v>0</v>
      </c>
      <c r="Z1262" s="12">
        <v>0</v>
      </c>
      <c r="AA1262" s="12">
        <v>0</v>
      </c>
      <c r="AB1262" s="12">
        <v>0</v>
      </c>
      <c r="AC1262" s="12">
        <v>0</v>
      </c>
      <c r="AD1262" s="12">
        <v>1</v>
      </c>
      <c r="AE1262" s="12">
        <v>0</v>
      </c>
      <c r="AF1262" s="12">
        <v>18</v>
      </c>
      <c r="AG1262" s="12">
        <v>0</v>
      </c>
      <c r="AH1262" s="12">
        <v>0</v>
      </c>
      <c r="AI1262" s="12">
        <v>2</v>
      </c>
      <c r="AJ1262" s="12">
        <v>0</v>
      </c>
      <c r="AK1262" s="12">
        <v>0</v>
      </c>
      <c r="AL1262" s="12">
        <v>0</v>
      </c>
      <c r="AM1262" s="12">
        <v>0</v>
      </c>
      <c r="AN1262" s="12">
        <v>0</v>
      </c>
      <c r="AO1262" s="12">
        <v>0</v>
      </c>
      <c r="AP1262" s="12">
        <v>0.5</v>
      </c>
      <c r="AQ1262" s="12">
        <v>1000</v>
      </c>
      <c r="AR1262" s="12">
        <v>0.5</v>
      </c>
      <c r="AS1262" s="12">
        <v>0</v>
      </c>
      <c r="AT1262" s="338" t="s">
        <v>2556</v>
      </c>
      <c r="AU1262" s="12" t="s">
        <v>198</v>
      </c>
      <c r="AV1262" s="12"/>
      <c r="AW1262" s="13" t="s">
        <v>199</v>
      </c>
      <c r="AX1262" s="12" t="s">
        <v>2084</v>
      </c>
      <c r="AY1262" s="12">
        <v>0</v>
      </c>
      <c r="AZ1262" s="12">
        <v>0</v>
      </c>
      <c r="BA1262" s="13" t="s">
        <v>200</v>
      </c>
      <c r="BB1262" s="13" t="s">
        <v>198</v>
      </c>
      <c r="BC1262" s="12">
        <v>0</v>
      </c>
      <c r="BD1262" s="12">
        <v>0</v>
      </c>
      <c r="BE1262" s="42" t="s">
        <v>2557</v>
      </c>
      <c r="BF1262" s="42" t="s">
        <v>2558</v>
      </c>
      <c r="BG1262" s="12">
        <v>0</v>
      </c>
      <c r="BH1262" s="12">
        <v>0</v>
      </c>
      <c r="BI1262" s="12">
        <v>0</v>
      </c>
      <c r="BJ1262" s="12">
        <v>0</v>
      </c>
      <c r="BK1262" s="12">
        <v>0</v>
      </c>
      <c r="BL1262" s="12">
        <v>0</v>
      </c>
      <c r="BM1262" s="185">
        <v>0</v>
      </c>
      <c r="BN1262" s="12">
        <v>1</v>
      </c>
      <c r="BO1262" s="12">
        <v>0</v>
      </c>
      <c r="BP1262" s="12">
        <v>0</v>
      </c>
      <c r="BQ1262" s="12">
        <v>0</v>
      </c>
      <c r="BR1262" s="12">
        <v>0</v>
      </c>
      <c r="BS1262" s="12">
        <v>0</v>
      </c>
      <c r="BT1262" s="12">
        <v>0</v>
      </c>
      <c r="BU1262" s="47">
        <v>0</v>
      </c>
      <c r="BV1262" s="47"/>
      <c r="BW1262" s="47"/>
    </row>
    <row r="1263" spans="3:75" ht="20.100000000000001" customHeight="1">
      <c r="C1263" s="68">
        <v>62000005</v>
      </c>
      <c r="D1263" s="124" t="s">
        <v>2559</v>
      </c>
      <c r="E1263" s="124" t="s">
        <v>2560</v>
      </c>
      <c r="F1263" s="68">
        <v>1</v>
      </c>
      <c r="G1263" s="68">
        <v>10031</v>
      </c>
      <c r="H1263" s="68">
        <v>0</v>
      </c>
      <c r="I1263" s="68">
        <v>0</v>
      </c>
      <c r="J1263" s="68">
        <v>1</v>
      </c>
      <c r="K1263" s="68">
        <v>0</v>
      </c>
      <c r="L1263" s="60">
        <v>0</v>
      </c>
      <c r="M1263" s="68">
        <v>0</v>
      </c>
      <c r="N1263" s="68">
        <v>0</v>
      </c>
      <c r="O1263" s="68">
        <v>2</v>
      </c>
      <c r="P1263" s="68">
        <v>3</v>
      </c>
      <c r="Q1263" s="68">
        <v>0.15</v>
      </c>
      <c r="R1263" s="68">
        <v>0</v>
      </c>
      <c r="S1263" s="68">
        <v>0</v>
      </c>
      <c r="T1263" s="68">
        <v>0</v>
      </c>
      <c r="U1263" s="68">
        <v>1</v>
      </c>
      <c r="V1263" s="68">
        <v>2</v>
      </c>
      <c r="W1263" s="68">
        <v>0</v>
      </c>
      <c r="X1263" s="68">
        <v>0</v>
      </c>
      <c r="Y1263" s="12">
        <v>0</v>
      </c>
      <c r="Z1263" s="68">
        <v>0</v>
      </c>
      <c r="AA1263" s="68">
        <v>0</v>
      </c>
      <c r="AB1263" s="68">
        <v>0</v>
      </c>
      <c r="AC1263" s="68">
        <v>0</v>
      </c>
      <c r="AD1263" s="68">
        <v>1</v>
      </c>
      <c r="AE1263" s="68">
        <v>0</v>
      </c>
      <c r="AF1263" s="68">
        <v>40</v>
      </c>
      <c r="AG1263" s="68">
        <v>0</v>
      </c>
      <c r="AH1263" s="68">
        <v>0</v>
      </c>
      <c r="AI1263" s="68">
        <v>2</v>
      </c>
      <c r="AJ1263" s="68">
        <v>0</v>
      </c>
      <c r="AK1263" s="12">
        <v>0</v>
      </c>
      <c r="AL1263" s="68">
        <v>0</v>
      </c>
      <c r="AM1263" s="68">
        <v>0</v>
      </c>
      <c r="AN1263" s="68">
        <v>0</v>
      </c>
      <c r="AO1263" s="68">
        <v>0</v>
      </c>
      <c r="AP1263" s="68">
        <v>0</v>
      </c>
      <c r="AQ1263" s="68">
        <v>1000</v>
      </c>
      <c r="AR1263" s="68">
        <v>0.5</v>
      </c>
      <c r="AS1263" s="68">
        <v>0</v>
      </c>
      <c r="AT1263" s="68">
        <v>80001064</v>
      </c>
      <c r="AU1263" s="68" t="s">
        <v>198</v>
      </c>
      <c r="AV1263" s="68"/>
      <c r="AW1263" s="124"/>
      <c r="AX1263" s="68" t="s">
        <v>348</v>
      </c>
      <c r="AY1263" s="68">
        <v>0</v>
      </c>
      <c r="AZ1263" s="68">
        <v>0</v>
      </c>
      <c r="BA1263" s="124" t="s">
        <v>200</v>
      </c>
      <c r="BB1263" s="124" t="s">
        <v>198</v>
      </c>
      <c r="BC1263" s="68">
        <v>0</v>
      </c>
      <c r="BD1263" s="68">
        <v>0</v>
      </c>
      <c r="BE1263" s="240" t="s">
        <v>2561</v>
      </c>
      <c r="BF1263" s="240" t="s">
        <v>2562</v>
      </c>
      <c r="BG1263" s="68">
        <v>0</v>
      </c>
      <c r="BH1263" s="68">
        <v>0</v>
      </c>
      <c r="BI1263" s="68">
        <v>0</v>
      </c>
      <c r="BJ1263" s="68">
        <v>0</v>
      </c>
      <c r="BK1263" s="68">
        <v>0</v>
      </c>
      <c r="BL1263" s="68">
        <v>0</v>
      </c>
      <c r="BM1263" s="134">
        <v>0</v>
      </c>
      <c r="BN1263" s="12">
        <v>1</v>
      </c>
      <c r="BO1263" s="12">
        <v>0</v>
      </c>
      <c r="BP1263" s="12">
        <v>0</v>
      </c>
      <c r="BQ1263" s="12">
        <v>0</v>
      </c>
      <c r="BR1263" s="12">
        <v>0</v>
      </c>
      <c r="BS1263" s="12">
        <v>0</v>
      </c>
      <c r="BT1263" s="12">
        <v>0</v>
      </c>
      <c r="BU1263" s="47">
        <v>0</v>
      </c>
      <c r="BV1263" s="47"/>
      <c r="BW1263" s="47"/>
    </row>
    <row r="1264" spans="3:75" ht="20.100000000000001" customHeight="1">
      <c r="C1264" s="12">
        <v>62000006</v>
      </c>
      <c r="D1264" s="13" t="s">
        <v>744</v>
      </c>
      <c r="E1264" s="13" t="s">
        <v>745</v>
      </c>
      <c r="F1264" s="12">
        <v>1</v>
      </c>
      <c r="G1264" s="12">
        <v>10032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3.5</v>
      </c>
      <c r="Y1264" s="12">
        <v>0</v>
      </c>
      <c r="Z1264" s="12">
        <v>1500</v>
      </c>
      <c r="AA1264" s="12">
        <v>0</v>
      </c>
      <c r="AB1264" s="12">
        <v>0</v>
      </c>
      <c r="AC1264" s="12">
        <v>0</v>
      </c>
      <c r="AD1264" s="12">
        <v>0</v>
      </c>
      <c r="AE1264" s="12">
        <v>0</v>
      </c>
      <c r="AF1264" s="12">
        <v>7</v>
      </c>
      <c r="AG1264" s="12">
        <v>0</v>
      </c>
      <c r="AH1264" s="12">
        <v>0</v>
      </c>
      <c r="AI1264" s="12">
        <v>7</v>
      </c>
      <c r="AJ1264" s="12">
        <v>0</v>
      </c>
      <c r="AK1264" s="12">
        <v>0</v>
      </c>
      <c r="AL1264" s="12">
        <v>6</v>
      </c>
      <c r="AM1264" s="12">
        <v>0</v>
      </c>
      <c r="AN1264" s="12">
        <v>0</v>
      </c>
      <c r="AO1264" s="12">
        <v>0</v>
      </c>
      <c r="AP1264" s="12">
        <v>0.5</v>
      </c>
      <c r="AQ1264" s="12">
        <v>1000</v>
      </c>
      <c r="AR1264" s="12">
        <v>0</v>
      </c>
      <c r="AS1264" s="12">
        <v>0</v>
      </c>
      <c r="AT1264" s="12">
        <v>0</v>
      </c>
      <c r="AU1264" s="12" t="s">
        <v>198</v>
      </c>
      <c r="AV1264" s="12"/>
      <c r="AW1264" s="13" t="s">
        <v>256</v>
      </c>
      <c r="AX1264" s="12" t="s">
        <v>1677</v>
      </c>
      <c r="AY1264" s="12" t="s">
        <v>198</v>
      </c>
      <c r="AZ1264" s="12" t="s">
        <v>2549</v>
      </c>
      <c r="BA1264" s="13" t="s">
        <v>200</v>
      </c>
      <c r="BB1264" s="12">
        <v>0</v>
      </c>
      <c r="BC1264" s="12" t="s">
        <v>2563</v>
      </c>
      <c r="BD1264" s="12">
        <v>0</v>
      </c>
      <c r="BE1264" s="42" t="s">
        <v>2564</v>
      </c>
      <c r="BF1264" s="42" t="s">
        <v>2565</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238">
        <v>62000007</v>
      </c>
      <c r="D1265" s="237" t="s">
        <v>381</v>
      </c>
      <c r="E1265" s="237" t="s">
        <v>382</v>
      </c>
      <c r="F1265" s="238">
        <v>1</v>
      </c>
      <c r="G1265" s="238">
        <v>10041</v>
      </c>
      <c r="H1265" s="238">
        <v>0</v>
      </c>
      <c r="I1265" s="238">
        <v>0</v>
      </c>
      <c r="J1265" s="238">
        <v>1</v>
      </c>
      <c r="K1265" s="238">
        <v>0</v>
      </c>
      <c r="L1265" s="238">
        <v>0</v>
      </c>
      <c r="M1265" s="238">
        <v>0</v>
      </c>
      <c r="N1265" s="238">
        <v>0</v>
      </c>
      <c r="O1265" s="238">
        <v>2</v>
      </c>
      <c r="P1265" s="238">
        <v>1</v>
      </c>
      <c r="Q1265" s="238">
        <v>0.2</v>
      </c>
      <c r="R1265" s="238">
        <v>0</v>
      </c>
      <c r="S1265" s="238">
        <v>0</v>
      </c>
      <c r="T1265" s="238">
        <v>0</v>
      </c>
      <c r="U1265" s="238">
        <v>1</v>
      </c>
      <c r="V1265" s="238">
        <v>2</v>
      </c>
      <c r="W1265" s="238">
        <v>0</v>
      </c>
      <c r="X1265" s="238">
        <v>0</v>
      </c>
      <c r="Y1265" s="12">
        <v>0</v>
      </c>
      <c r="Z1265" s="238">
        <v>0</v>
      </c>
      <c r="AA1265" s="238">
        <v>0</v>
      </c>
      <c r="AB1265" s="238">
        <v>0</v>
      </c>
      <c r="AC1265" s="238">
        <v>0</v>
      </c>
      <c r="AD1265" s="238">
        <v>1</v>
      </c>
      <c r="AE1265" s="238">
        <v>0</v>
      </c>
      <c r="AF1265" s="238">
        <v>1</v>
      </c>
      <c r="AG1265" s="238">
        <v>0</v>
      </c>
      <c r="AH1265" s="238">
        <v>0</v>
      </c>
      <c r="AI1265" s="238">
        <v>2</v>
      </c>
      <c r="AJ1265" s="238">
        <v>0</v>
      </c>
      <c r="AK1265" s="238">
        <v>0</v>
      </c>
      <c r="AL1265" s="238">
        <v>0</v>
      </c>
      <c r="AM1265" s="238">
        <v>0</v>
      </c>
      <c r="AN1265" s="238">
        <v>0</v>
      </c>
      <c r="AO1265" s="238">
        <v>0</v>
      </c>
      <c r="AP1265" s="238">
        <v>0</v>
      </c>
      <c r="AQ1265" s="238">
        <v>1000</v>
      </c>
      <c r="AR1265" s="238">
        <v>0</v>
      </c>
      <c r="AS1265" s="238">
        <v>0</v>
      </c>
      <c r="AT1265" s="238">
        <v>92000005</v>
      </c>
      <c r="AU1265" s="238" t="s">
        <v>198</v>
      </c>
      <c r="AV1265" s="238"/>
      <c r="AW1265" s="237" t="s">
        <v>199</v>
      </c>
      <c r="AX1265" s="238" t="s">
        <v>1819</v>
      </c>
      <c r="AY1265" s="238">
        <v>0</v>
      </c>
      <c r="AZ1265" s="238">
        <v>40000003</v>
      </c>
      <c r="BA1265" s="237" t="s">
        <v>200</v>
      </c>
      <c r="BB1265" s="238" t="s">
        <v>198</v>
      </c>
      <c r="BC1265" s="238">
        <v>0</v>
      </c>
      <c r="BD1265" s="238">
        <v>0</v>
      </c>
      <c r="BE1265" s="239" t="s">
        <v>2566</v>
      </c>
      <c r="BF1265" s="239" t="s">
        <v>2567</v>
      </c>
      <c r="BG1265" s="238">
        <v>0</v>
      </c>
      <c r="BH1265" s="238">
        <v>0</v>
      </c>
      <c r="BI1265" s="238">
        <v>0</v>
      </c>
      <c r="BJ1265" s="238">
        <v>0</v>
      </c>
      <c r="BK1265" s="238">
        <v>0</v>
      </c>
      <c r="BL1265" s="238">
        <v>0</v>
      </c>
      <c r="BM1265" s="242">
        <v>0</v>
      </c>
      <c r="BN1265" s="238">
        <v>1</v>
      </c>
      <c r="BO1265" s="12">
        <v>0</v>
      </c>
      <c r="BP1265" s="12">
        <v>0</v>
      </c>
      <c r="BQ1265" s="12">
        <v>0</v>
      </c>
      <c r="BR1265" s="12">
        <v>0</v>
      </c>
      <c r="BS1265" s="12">
        <v>0</v>
      </c>
      <c r="BT1265" s="12">
        <v>0</v>
      </c>
      <c r="BU1265" s="47">
        <v>0</v>
      </c>
      <c r="BV1265" s="47"/>
      <c r="BW1265" s="47"/>
    </row>
    <row r="1266" spans="3:75" ht="20.100000000000001" customHeight="1">
      <c r="C1266" s="68">
        <v>62000008</v>
      </c>
      <c r="D1266" s="124" t="s">
        <v>2568</v>
      </c>
      <c r="E1266" s="124" t="s">
        <v>2569</v>
      </c>
      <c r="F1266" s="68">
        <v>1</v>
      </c>
      <c r="G1266" s="68">
        <v>10042</v>
      </c>
      <c r="H1266" s="68">
        <v>0</v>
      </c>
      <c r="I1266" s="68">
        <v>0</v>
      </c>
      <c r="J1266" s="68">
        <v>1</v>
      </c>
      <c r="K1266" s="68">
        <v>0</v>
      </c>
      <c r="L1266" s="60">
        <v>0</v>
      </c>
      <c r="M1266" s="68">
        <v>0</v>
      </c>
      <c r="N1266" s="68">
        <v>0</v>
      </c>
      <c r="O1266" s="68">
        <v>2</v>
      </c>
      <c r="P1266" s="68">
        <v>2</v>
      </c>
      <c r="Q1266" s="68">
        <v>0.3</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120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339" t="s">
        <v>2570</v>
      </c>
      <c r="AU1266" s="68" t="s">
        <v>198</v>
      </c>
      <c r="AV1266" s="68"/>
      <c r="AW1266" s="124" t="s">
        <v>199</v>
      </c>
      <c r="AX1266" s="68" t="s">
        <v>1819</v>
      </c>
      <c r="AY1266" s="68">
        <v>0</v>
      </c>
      <c r="AZ1266" s="64">
        <v>21030020</v>
      </c>
      <c r="BA1266" s="124" t="s">
        <v>200</v>
      </c>
      <c r="BB1266" s="124" t="s">
        <v>198</v>
      </c>
      <c r="BC1266" s="68">
        <v>0</v>
      </c>
      <c r="BD1266" s="68">
        <v>0</v>
      </c>
      <c r="BE1266" s="240" t="s">
        <v>2571</v>
      </c>
      <c r="BF1266" s="240" t="s">
        <v>2572</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spans="3:75" ht="20.100000000000001" customHeight="1">
      <c r="C1267" s="12">
        <v>62000009</v>
      </c>
      <c r="D1267" s="13" t="s">
        <v>2573</v>
      </c>
      <c r="E1267" s="13" t="s">
        <v>2574</v>
      </c>
      <c r="F1267" s="12">
        <v>1</v>
      </c>
      <c r="G1267" s="12">
        <v>10051</v>
      </c>
      <c r="H1267" s="12">
        <v>0</v>
      </c>
      <c r="I1267" s="12">
        <v>0</v>
      </c>
      <c r="J1267" s="12">
        <v>1</v>
      </c>
      <c r="K1267" s="12">
        <v>0</v>
      </c>
      <c r="L1267" s="16">
        <v>0</v>
      </c>
      <c r="M1267" s="12">
        <v>0</v>
      </c>
      <c r="N1267" s="12">
        <v>0</v>
      </c>
      <c r="O1267" s="12">
        <v>2</v>
      </c>
      <c r="P1267" s="12">
        <v>2</v>
      </c>
      <c r="Q1267" s="12">
        <v>0.1</v>
      </c>
      <c r="R1267" s="12">
        <v>0</v>
      </c>
      <c r="S1267" s="12">
        <v>0</v>
      </c>
      <c r="T1267" s="12">
        <v>0</v>
      </c>
      <c r="U1267" s="12">
        <v>1</v>
      </c>
      <c r="V1267" s="12">
        <v>2</v>
      </c>
      <c r="W1267" s="12">
        <v>0</v>
      </c>
      <c r="X1267" s="12">
        <v>0</v>
      </c>
      <c r="Y1267" s="12">
        <v>0</v>
      </c>
      <c r="Z1267" s="12">
        <v>0</v>
      </c>
      <c r="AA1267" s="12">
        <v>0</v>
      </c>
      <c r="AB1267" s="12">
        <v>0</v>
      </c>
      <c r="AC1267" s="12">
        <v>0</v>
      </c>
      <c r="AD1267" s="12">
        <v>0</v>
      </c>
      <c r="AE1267" s="12">
        <v>0</v>
      </c>
      <c r="AF1267" s="12">
        <v>120</v>
      </c>
      <c r="AG1267" s="12">
        <v>0</v>
      </c>
      <c r="AH1267" s="12">
        <v>0</v>
      </c>
      <c r="AI1267" s="12">
        <v>2</v>
      </c>
      <c r="AJ1267" s="12">
        <v>0</v>
      </c>
      <c r="AK1267" s="12">
        <v>0</v>
      </c>
      <c r="AL1267" s="12">
        <v>0</v>
      </c>
      <c r="AM1267" s="12">
        <v>0</v>
      </c>
      <c r="AN1267" s="12">
        <v>0</v>
      </c>
      <c r="AO1267" s="12">
        <v>0</v>
      </c>
      <c r="AP1267" s="12">
        <v>0</v>
      </c>
      <c r="AQ1267" s="12">
        <v>1000</v>
      </c>
      <c r="AR1267" s="12">
        <v>0</v>
      </c>
      <c r="AS1267" s="12">
        <v>0</v>
      </c>
      <c r="AT1267" s="338" t="s">
        <v>2575</v>
      </c>
      <c r="AU1267" s="12" t="s">
        <v>198</v>
      </c>
      <c r="AV1267" s="12"/>
      <c r="AW1267" s="13" t="s">
        <v>199</v>
      </c>
      <c r="AX1267" s="12" t="s">
        <v>348</v>
      </c>
      <c r="AY1267" s="12">
        <v>0</v>
      </c>
      <c r="AZ1267" s="12">
        <v>22000040</v>
      </c>
      <c r="BA1267" s="13" t="s">
        <v>200</v>
      </c>
      <c r="BB1267" s="13" t="s">
        <v>198</v>
      </c>
      <c r="BC1267" s="12">
        <v>0</v>
      </c>
      <c r="BD1267" s="12">
        <v>0</v>
      </c>
      <c r="BE1267" s="42" t="s">
        <v>2576</v>
      </c>
      <c r="BF1267" s="42" t="s">
        <v>2577</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12">
        <v>62000010</v>
      </c>
      <c r="D1268" s="13" t="s">
        <v>2578</v>
      </c>
      <c r="E1268" s="13" t="s">
        <v>2579</v>
      </c>
      <c r="F1268" s="12">
        <v>1</v>
      </c>
      <c r="G1268" s="12">
        <v>10052</v>
      </c>
      <c r="H1268" s="12">
        <v>0</v>
      </c>
      <c r="I1268" s="12">
        <v>0</v>
      </c>
      <c r="J1268" s="12">
        <v>1</v>
      </c>
      <c r="K1268" s="12">
        <v>0</v>
      </c>
      <c r="L1268" s="16">
        <v>0</v>
      </c>
      <c r="M1268" s="12">
        <v>0</v>
      </c>
      <c r="N1268" s="12">
        <v>0</v>
      </c>
      <c r="O1268" s="12">
        <v>1</v>
      </c>
      <c r="P1268" s="12">
        <v>0</v>
      </c>
      <c r="Q1268" s="12">
        <v>0</v>
      </c>
      <c r="R1268" s="12">
        <v>0</v>
      </c>
      <c r="S1268" s="12">
        <v>0</v>
      </c>
      <c r="T1268" s="12">
        <v>0</v>
      </c>
      <c r="U1268" s="12">
        <v>1</v>
      </c>
      <c r="V1268" s="12">
        <v>2</v>
      </c>
      <c r="W1268" s="12">
        <v>0</v>
      </c>
      <c r="X1268" s="12">
        <v>1.5</v>
      </c>
      <c r="Y1268" s="12">
        <v>0</v>
      </c>
      <c r="Z1268" s="12">
        <v>0</v>
      </c>
      <c r="AA1268" s="12">
        <v>0</v>
      </c>
      <c r="AB1268" s="12">
        <v>0</v>
      </c>
      <c r="AC1268" s="12">
        <v>0</v>
      </c>
      <c r="AD1268" s="12">
        <v>0</v>
      </c>
      <c r="AE1268" s="12">
        <v>0</v>
      </c>
      <c r="AF1268" s="12">
        <v>18</v>
      </c>
      <c r="AG1268" s="12">
        <v>1</v>
      </c>
      <c r="AH1268" s="12">
        <v>3</v>
      </c>
      <c r="AI1268" s="12">
        <v>2</v>
      </c>
      <c r="AJ1268" s="12">
        <v>1</v>
      </c>
      <c r="AK1268" s="12">
        <v>0</v>
      </c>
      <c r="AL1268" s="12">
        <v>4</v>
      </c>
      <c r="AM1268" s="12">
        <v>0</v>
      </c>
      <c r="AN1268" s="12">
        <v>0</v>
      </c>
      <c r="AO1268" s="12">
        <v>0</v>
      </c>
      <c r="AP1268" s="12">
        <v>0.5</v>
      </c>
      <c r="AQ1268" s="12">
        <v>6000</v>
      </c>
      <c r="AR1268" s="12">
        <v>0.5</v>
      </c>
      <c r="AS1268" s="12">
        <v>0</v>
      </c>
      <c r="AT1268" s="12">
        <v>0</v>
      </c>
      <c r="AU1268" s="12" t="s">
        <v>198</v>
      </c>
      <c r="AV1268" s="12"/>
      <c r="AW1268" s="13" t="s">
        <v>1595</v>
      </c>
      <c r="AX1268" s="12" t="s">
        <v>545</v>
      </c>
      <c r="AY1268" s="12">
        <v>10001006</v>
      </c>
      <c r="AZ1268" s="12">
        <v>22000020</v>
      </c>
      <c r="BA1268" s="13" t="s">
        <v>315</v>
      </c>
      <c r="BB1268" s="13" t="s">
        <v>371</v>
      </c>
      <c r="BC1268" s="12">
        <v>0</v>
      </c>
      <c r="BD1268" s="12">
        <v>0</v>
      </c>
      <c r="BE1268" s="42" t="s">
        <v>2580</v>
      </c>
      <c r="BF1268" s="42" t="s">
        <v>2581</v>
      </c>
      <c r="BG1268" s="12">
        <v>0</v>
      </c>
      <c r="BH1268" s="12">
        <v>0</v>
      </c>
      <c r="BI1268" s="12">
        <v>0</v>
      </c>
      <c r="BJ1268" s="12">
        <v>0</v>
      </c>
      <c r="BK1268" s="12">
        <v>0</v>
      </c>
      <c r="BL1268" s="12">
        <v>0</v>
      </c>
      <c r="BM1268" s="185">
        <v>0</v>
      </c>
      <c r="BN1268" s="12">
        <v>0</v>
      </c>
      <c r="BO1268" s="12">
        <v>0</v>
      </c>
      <c r="BP1268" s="12">
        <v>0</v>
      </c>
      <c r="BQ1268" s="12">
        <v>0</v>
      </c>
      <c r="BR1268" s="12">
        <v>0</v>
      </c>
      <c r="BS1268" s="12">
        <v>0</v>
      </c>
      <c r="BT1268" s="12">
        <v>0</v>
      </c>
      <c r="BU1268" s="47">
        <v>0</v>
      </c>
      <c r="BV1268" s="47"/>
      <c r="BW1268" s="47"/>
    </row>
    <row r="1269" spans="3:75" ht="20.100000000000001" customHeight="1">
      <c r="C1269" s="12">
        <v>62000011</v>
      </c>
      <c r="D1269" s="13" t="s">
        <v>2582</v>
      </c>
      <c r="E1269" s="13" t="s">
        <v>2583</v>
      </c>
      <c r="F1269" s="12">
        <v>1</v>
      </c>
      <c r="G1269" s="12">
        <v>10061</v>
      </c>
      <c r="H1269" s="12">
        <v>0</v>
      </c>
      <c r="I1269" s="12">
        <v>0</v>
      </c>
      <c r="J1269" s="12">
        <v>1</v>
      </c>
      <c r="K1269" s="12">
        <v>0</v>
      </c>
      <c r="L1269" s="16">
        <v>0</v>
      </c>
      <c r="M1269" s="12">
        <v>0</v>
      </c>
      <c r="N1269" s="12">
        <v>0</v>
      </c>
      <c r="O1269" s="12">
        <v>2</v>
      </c>
      <c r="P1269" s="12">
        <v>5</v>
      </c>
      <c r="Q1269" s="12">
        <v>1</v>
      </c>
      <c r="R1269" s="12">
        <v>0</v>
      </c>
      <c r="S1269" s="12">
        <v>0</v>
      </c>
      <c r="T1269" s="12">
        <v>0</v>
      </c>
      <c r="U1269" s="12">
        <v>1</v>
      </c>
      <c r="V1269" s="12">
        <v>2</v>
      </c>
      <c r="W1269" s="12">
        <v>0</v>
      </c>
      <c r="X1269" s="12">
        <v>1</v>
      </c>
      <c r="Y1269" s="12">
        <v>0</v>
      </c>
      <c r="Z1269" s="12">
        <v>0</v>
      </c>
      <c r="AA1269" s="12">
        <v>0</v>
      </c>
      <c r="AB1269" s="12">
        <v>0</v>
      </c>
      <c r="AC1269" s="12">
        <v>0</v>
      </c>
      <c r="AD1269" s="12">
        <v>1</v>
      </c>
      <c r="AE1269" s="12">
        <v>0</v>
      </c>
      <c r="AF1269" s="12">
        <v>1</v>
      </c>
      <c r="AG1269" s="12">
        <v>0</v>
      </c>
      <c r="AH1269" s="12">
        <v>0</v>
      </c>
      <c r="AI1269" s="12">
        <v>7</v>
      </c>
      <c r="AJ1269" s="12">
        <v>0</v>
      </c>
      <c r="AK1269" s="12">
        <v>0</v>
      </c>
      <c r="AL1269" s="12">
        <v>3</v>
      </c>
      <c r="AM1269" s="12">
        <v>0</v>
      </c>
      <c r="AN1269" s="12">
        <v>0</v>
      </c>
      <c r="AO1269" s="12">
        <v>0</v>
      </c>
      <c r="AP1269" s="12">
        <v>0</v>
      </c>
      <c r="AQ1269" s="12">
        <v>3000</v>
      </c>
      <c r="AR1269" s="12">
        <v>0.5</v>
      </c>
      <c r="AS1269" s="12">
        <v>0</v>
      </c>
      <c r="AT1269" s="12">
        <v>0</v>
      </c>
      <c r="AU1269" s="12">
        <v>0</v>
      </c>
      <c r="AV1269" s="12"/>
      <c r="AW1269" s="13" t="s">
        <v>199</v>
      </c>
      <c r="AX1269" s="12">
        <v>0</v>
      </c>
      <c r="AY1269" s="12">
        <v>0</v>
      </c>
      <c r="AZ1269" s="12">
        <v>0</v>
      </c>
      <c r="BA1269" s="13" t="s">
        <v>200</v>
      </c>
      <c r="BB1269" s="13">
        <v>0</v>
      </c>
      <c r="BC1269" s="12">
        <v>0</v>
      </c>
      <c r="BD1269" s="12">
        <v>0</v>
      </c>
      <c r="BE1269" s="42" t="s">
        <v>2584</v>
      </c>
      <c r="BF1269" s="42" t="s">
        <v>2585</v>
      </c>
      <c r="BG1269" s="12">
        <v>0</v>
      </c>
      <c r="BH1269" s="12">
        <v>0</v>
      </c>
      <c r="BI1269" s="12">
        <v>0</v>
      </c>
      <c r="BJ1269" s="12">
        <v>0</v>
      </c>
      <c r="BK1269" s="12">
        <v>0</v>
      </c>
      <c r="BL1269" s="12">
        <v>0</v>
      </c>
      <c r="BM1269" s="185">
        <v>0</v>
      </c>
      <c r="BN1269" s="12">
        <v>0</v>
      </c>
      <c r="BO1269" s="12">
        <v>0</v>
      </c>
      <c r="BP1269" s="12">
        <v>0</v>
      </c>
      <c r="BQ1269" s="12">
        <v>0</v>
      </c>
      <c r="BR1269" s="12">
        <v>0</v>
      </c>
      <c r="BS1269" s="12">
        <v>0</v>
      </c>
      <c r="BT1269" s="12">
        <v>0</v>
      </c>
      <c r="BU1269" s="47">
        <v>0</v>
      </c>
      <c r="BV1269" s="47"/>
      <c r="BW1269" s="47"/>
    </row>
    <row r="1270" spans="3:75" ht="20.100000000000001" customHeight="1">
      <c r="C1270" s="12">
        <v>62000012</v>
      </c>
      <c r="D1270" s="13" t="s">
        <v>2586</v>
      </c>
      <c r="E1270" s="13" t="s">
        <v>2587</v>
      </c>
      <c r="F1270" s="12">
        <v>1</v>
      </c>
      <c r="G1270" s="12">
        <v>20063</v>
      </c>
      <c r="H1270" s="12">
        <v>0</v>
      </c>
      <c r="I1270" s="12">
        <v>0</v>
      </c>
      <c r="J1270" s="12">
        <v>1</v>
      </c>
      <c r="K1270" s="12">
        <v>0</v>
      </c>
      <c r="L1270" s="16">
        <v>0</v>
      </c>
      <c r="M1270" s="12">
        <v>0</v>
      </c>
      <c r="N1270" s="12">
        <v>0</v>
      </c>
      <c r="O1270" s="12">
        <v>2</v>
      </c>
      <c r="P1270" s="12">
        <v>3</v>
      </c>
      <c r="Q1270" s="12">
        <v>0.2</v>
      </c>
      <c r="R1270" s="12">
        <v>0</v>
      </c>
      <c r="S1270" s="12">
        <v>0</v>
      </c>
      <c r="T1270" s="12">
        <v>0</v>
      </c>
      <c r="U1270" s="12">
        <v>1</v>
      </c>
      <c r="V1270" s="12">
        <v>2</v>
      </c>
      <c r="W1270" s="12">
        <v>0</v>
      </c>
      <c r="X1270" s="12">
        <v>0</v>
      </c>
      <c r="Y1270" s="12">
        <v>0</v>
      </c>
      <c r="Z1270" s="12">
        <v>0</v>
      </c>
      <c r="AA1270" s="12">
        <v>0</v>
      </c>
      <c r="AB1270" s="12">
        <v>0</v>
      </c>
      <c r="AC1270" s="12">
        <v>0</v>
      </c>
      <c r="AD1270" s="12">
        <v>1</v>
      </c>
      <c r="AE1270" s="12">
        <v>0</v>
      </c>
      <c r="AF1270" s="12">
        <v>10</v>
      </c>
      <c r="AG1270" s="12">
        <v>0</v>
      </c>
      <c r="AH1270" s="12">
        <v>0</v>
      </c>
      <c r="AI1270" s="12">
        <v>7</v>
      </c>
      <c r="AJ1270" s="12">
        <v>0</v>
      </c>
      <c r="AK1270" s="12">
        <v>0</v>
      </c>
      <c r="AL1270" s="12">
        <v>3</v>
      </c>
      <c r="AM1270" s="12">
        <v>0</v>
      </c>
      <c r="AN1270" s="12">
        <v>0</v>
      </c>
      <c r="AO1270" s="12">
        <v>0</v>
      </c>
      <c r="AP1270" s="12">
        <v>0</v>
      </c>
      <c r="AQ1270" s="12">
        <v>3000</v>
      </c>
      <c r="AR1270" s="12">
        <v>0.5</v>
      </c>
      <c r="AS1270" s="12">
        <v>0</v>
      </c>
      <c r="AT1270" s="12">
        <v>0</v>
      </c>
      <c r="AU1270" s="12">
        <v>90000008</v>
      </c>
      <c r="AV1270" s="12"/>
      <c r="AW1270" s="13" t="s">
        <v>199</v>
      </c>
      <c r="AX1270" s="12">
        <v>0</v>
      </c>
      <c r="AY1270" s="12">
        <v>0</v>
      </c>
      <c r="AZ1270" s="12">
        <v>0</v>
      </c>
      <c r="BA1270" s="13" t="s">
        <v>200</v>
      </c>
      <c r="BB1270" s="13">
        <v>0</v>
      </c>
      <c r="BC1270" s="12">
        <v>0</v>
      </c>
      <c r="BD1270" s="12">
        <v>0</v>
      </c>
      <c r="BE1270" s="42" t="s">
        <v>2588</v>
      </c>
      <c r="BF1270" s="42" t="s">
        <v>2589</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spans="3:75" ht="19.5" customHeight="1">
      <c r="C1271" s="12">
        <v>62000013</v>
      </c>
      <c r="D1271" s="19" t="s">
        <v>2385</v>
      </c>
      <c r="E1271" s="19" t="s">
        <v>1546</v>
      </c>
      <c r="F1271" s="16">
        <v>1</v>
      </c>
      <c r="G1271" s="12">
        <v>65021101</v>
      </c>
      <c r="H1271" s="172">
        <v>0</v>
      </c>
      <c r="I1271" s="27">
        <v>0</v>
      </c>
      <c r="J1271" s="16">
        <v>1</v>
      </c>
      <c r="K1271" s="16">
        <v>0</v>
      </c>
      <c r="L1271" s="16">
        <v>0</v>
      </c>
      <c r="M1271" s="18">
        <v>0</v>
      </c>
      <c r="N1271" s="18">
        <v>0</v>
      </c>
      <c r="O1271" s="18">
        <v>2</v>
      </c>
      <c r="P1271" s="18">
        <v>1</v>
      </c>
      <c r="Q1271" s="18">
        <v>0.15</v>
      </c>
      <c r="R1271" s="18">
        <v>0</v>
      </c>
      <c r="S1271" s="12">
        <v>0</v>
      </c>
      <c r="T1271" s="27">
        <v>0</v>
      </c>
      <c r="U1271" s="16">
        <v>1</v>
      </c>
      <c r="V1271" s="18">
        <v>2</v>
      </c>
      <c r="W1271" s="18">
        <v>0</v>
      </c>
      <c r="X1271" s="18">
        <v>3</v>
      </c>
      <c r="Y1271" s="12">
        <v>0</v>
      </c>
      <c r="Z1271" s="18">
        <v>1500</v>
      </c>
      <c r="AA1271" s="18">
        <v>0</v>
      </c>
      <c r="AB1271" s="18">
        <v>0</v>
      </c>
      <c r="AC1271" s="18">
        <v>0</v>
      </c>
      <c r="AD1271" s="18">
        <v>0</v>
      </c>
      <c r="AE1271" s="18">
        <v>0</v>
      </c>
      <c r="AF1271" s="18">
        <v>10</v>
      </c>
      <c r="AG1271" s="18">
        <v>2</v>
      </c>
      <c r="AH1271" s="18" t="s">
        <v>801</v>
      </c>
      <c r="AI1271" s="12">
        <v>2</v>
      </c>
      <c r="AJ1271" s="12">
        <v>3</v>
      </c>
      <c r="AK1271" s="12">
        <v>0</v>
      </c>
      <c r="AL1271" s="12">
        <v>2</v>
      </c>
      <c r="AM1271" s="18">
        <v>0</v>
      </c>
      <c r="AN1271" s="18">
        <v>0</v>
      </c>
      <c r="AO1271" s="18">
        <v>0</v>
      </c>
      <c r="AP1271" s="18">
        <v>0.25</v>
      </c>
      <c r="AQ1271" s="18">
        <v>3000</v>
      </c>
      <c r="AR1271" s="18">
        <v>0.1</v>
      </c>
      <c r="AS1271" s="18">
        <v>0</v>
      </c>
      <c r="AT1271" s="12">
        <v>0</v>
      </c>
      <c r="AU1271" s="346" t="s">
        <v>2386</v>
      </c>
      <c r="AV1271" s="18"/>
      <c r="AW1271" s="19" t="s">
        <v>256</v>
      </c>
      <c r="AX1271" s="18" t="s">
        <v>545</v>
      </c>
      <c r="AY1271" s="18">
        <v>10001007</v>
      </c>
      <c r="AZ1271" s="18">
        <v>21401010</v>
      </c>
      <c r="BA1271" s="19" t="s">
        <v>200</v>
      </c>
      <c r="BB1271" s="19">
        <v>0</v>
      </c>
      <c r="BC1271" s="27">
        <v>0</v>
      </c>
      <c r="BD1271" s="27">
        <v>0</v>
      </c>
      <c r="BE1271" s="183" t="str">
        <f t="shared" ref="BE1271" si="142">"立即对前方范围内的敌人造成"&amp;X1271*100&amp;"%攻击伤害+"&amp;Z1271&amp;"点固定伤害,并将其置空1秒"</f>
        <v>立即对前方范围内的敌人造成300%攻击伤害+1500点固定伤害,并将其置空1秒</v>
      </c>
      <c r="BF1271" s="183" t="s">
        <v>1550</v>
      </c>
      <c r="BG1271" s="18">
        <v>0</v>
      </c>
      <c r="BH1271" s="16">
        <v>0</v>
      </c>
      <c r="BI1271" s="18">
        <v>0</v>
      </c>
      <c r="BJ1271" s="18">
        <v>0</v>
      </c>
      <c r="BK1271" s="18">
        <v>0</v>
      </c>
      <c r="BL1271" s="18">
        <v>0</v>
      </c>
      <c r="BM1271" s="15">
        <v>0</v>
      </c>
      <c r="BN1271" s="12">
        <v>0</v>
      </c>
      <c r="BO1271" s="12">
        <v>0</v>
      </c>
      <c r="BP1271" s="12">
        <v>0</v>
      </c>
      <c r="BQ1271" s="12">
        <v>0</v>
      </c>
      <c r="BR1271" s="12">
        <v>0</v>
      </c>
      <c r="BS1271" s="12">
        <v>0</v>
      </c>
      <c r="BT1271" s="12">
        <v>0</v>
      </c>
      <c r="BU1271" s="47">
        <v>0</v>
      </c>
      <c r="BV1271" s="47"/>
      <c r="BW1271" s="47"/>
    </row>
    <row r="1272" spans="3:75" ht="20.100000000000001" customHeight="1">
      <c r="C1272" s="12">
        <v>62000031</v>
      </c>
      <c r="D1272" s="13" t="s">
        <v>2590</v>
      </c>
      <c r="E1272" s="13" t="s">
        <v>2591</v>
      </c>
      <c r="F1272" s="12">
        <v>1</v>
      </c>
      <c r="G1272" s="12">
        <v>30001</v>
      </c>
      <c r="H1272" s="12">
        <v>0</v>
      </c>
      <c r="I1272" s="12">
        <v>0</v>
      </c>
      <c r="J1272" s="12">
        <v>1</v>
      </c>
      <c r="K1272" s="12">
        <v>0</v>
      </c>
      <c r="L1272" s="16">
        <v>0</v>
      </c>
      <c r="M1272" s="12">
        <v>0</v>
      </c>
      <c r="N1272" s="12">
        <v>0</v>
      </c>
      <c r="O1272" s="12">
        <v>2</v>
      </c>
      <c r="P1272" s="12">
        <v>10</v>
      </c>
      <c r="Q1272" s="12">
        <v>0.05</v>
      </c>
      <c r="R1272" s="12">
        <v>0</v>
      </c>
      <c r="S1272" s="12">
        <v>0</v>
      </c>
      <c r="T1272" s="12">
        <v>0</v>
      </c>
      <c r="U1272" s="12">
        <v>1</v>
      </c>
      <c r="V1272" s="12">
        <v>2</v>
      </c>
      <c r="W1272" s="12">
        <v>0</v>
      </c>
      <c r="X1272" s="12">
        <v>0</v>
      </c>
      <c r="Y1272" s="12">
        <v>0</v>
      </c>
      <c r="Z1272" s="12">
        <v>0</v>
      </c>
      <c r="AA1272" s="12">
        <v>0</v>
      </c>
      <c r="AB1272" s="12">
        <v>0</v>
      </c>
      <c r="AC1272" s="12">
        <v>0</v>
      </c>
      <c r="AD1272" s="12">
        <v>1</v>
      </c>
      <c r="AE1272" s="12">
        <v>0</v>
      </c>
      <c r="AF1272" s="12">
        <v>3</v>
      </c>
      <c r="AG1272" s="12">
        <v>0</v>
      </c>
      <c r="AH1272" s="12">
        <v>0</v>
      </c>
      <c r="AI1272" s="12">
        <v>2</v>
      </c>
      <c r="AJ1272" s="12">
        <v>0</v>
      </c>
      <c r="AK1272" s="12">
        <v>0</v>
      </c>
      <c r="AL1272" s="12">
        <v>0</v>
      </c>
      <c r="AM1272" s="12">
        <v>0</v>
      </c>
      <c r="AN1272" s="12">
        <v>0</v>
      </c>
      <c r="AO1272" s="12">
        <v>0</v>
      </c>
      <c r="AP1272" s="12">
        <v>0</v>
      </c>
      <c r="AQ1272" s="12">
        <v>1000</v>
      </c>
      <c r="AR1272" s="12">
        <v>0</v>
      </c>
      <c r="AS1272" s="12">
        <v>0</v>
      </c>
      <c r="AT1272" s="12">
        <v>92000021</v>
      </c>
      <c r="AU1272" s="12" t="s">
        <v>198</v>
      </c>
      <c r="AV1272" s="12"/>
      <c r="AW1272" s="13" t="s">
        <v>199</v>
      </c>
      <c r="AX1272" s="12" t="s">
        <v>1819</v>
      </c>
      <c r="AY1272" s="12">
        <v>0</v>
      </c>
      <c r="AZ1272" s="12">
        <v>40000003</v>
      </c>
      <c r="BA1272" s="13" t="s">
        <v>200</v>
      </c>
      <c r="BB1272" s="13" t="s">
        <v>198</v>
      </c>
      <c r="BC1272" s="12">
        <v>0</v>
      </c>
      <c r="BD1272" s="12">
        <v>0</v>
      </c>
      <c r="BE1272" s="42" t="s">
        <v>2592</v>
      </c>
      <c r="BF1272" s="42" t="s">
        <v>2593</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row>
    <row r="1273" spans="3:75" ht="20.100000000000001" customHeight="1">
      <c r="C1273" s="12">
        <v>62000032</v>
      </c>
      <c r="D1273" s="13" t="s">
        <v>2594</v>
      </c>
      <c r="E1273" s="13" t="s">
        <v>2595</v>
      </c>
      <c r="F1273" s="12">
        <v>1</v>
      </c>
      <c r="G1273" s="12">
        <v>30002</v>
      </c>
      <c r="H1273" s="12">
        <v>0</v>
      </c>
      <c r="I1273" s="12">
        <v>0</v>
      </c>
      <c r="J1273" s="12">
        <v>1</v>
      </c>
      <c r="K1273" s="12">
        <v>0</v>
      </c>
      <c r="L1273" s="16">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20</v>
      </c>
      <c r="AG1273" s="12">
        <v>0</v>
      </c>
      <c r="AH1273" s="12">
        <v>20</v>
      </c>
      <c r="AI1273" s="12">
        <v>2</v>
      </c>
      <c r="AJ1273" s="12">
        <v>0</v>
      </c>
      <c r="AK1273" s="12">
        <v>0</v>
      </c>
      <c r="AL1273" s="12">
        <v>0</v>
      </c>
      <c r="AM1273" s="12">
        <v>0</v>
      </c>
      <c r="AN1273" s="12">
        <v>0</v>
      </c>
      <c r="AO1273" s="12">
        <v>0</v>
      </c>
      <c r="AP1273" s="12">
        <v>0</v>
      </c>
      <c r="AQ1273" s="12">
        <v>1000</v>
      </c>
      <c r="AR1273" s="12">
        <v>0</v>
      </c>
      <c r="AS1273" s="12">
        <v>0</v>
      </c>
      <c r="AT1273" s="12">
        <v>92000022</v>
      </c>
      <c r="AU1273" s="12">
        <v>92000032</v>
      </c>
      <c r="AV1273" s="12"/>
      <c r="AW1273" s="13" t="s">
        <v>199</v>
      </c>
      <c r="AX1273" s="12" t="s">
        <v>1819</v>
      </c>
      <c r="AY1273" s="12">
        <v>0</v>
      </c>
      <c r="AZ1273" s="12">
        <v>40000003</v>
      </c>
      <c r="BA1273" s="13" t="s">
        <v>200</v>
      </c>
      <c r="BB1273" s="13" t="s">
        <v>198</v>
      </c>
      <c r="BC1273" s="12">
        <v>0</v>
      </c>
      <c r="BD1273" s="12">
        <v>0</v>
      </c>
      <c r="BE1273" s="42" t="s">
        <v>2596</v>
      </c>
      <c r="BF1273" s="42" t="s">
        <v>2597</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row>
    <row r="1274" spans="3:75" ht="20.100000000000001" customHeight="1">
      <c r="C1274" s="180">
        <v>62000033</v>
      </c>
      <c r="D1274" s="236" t="s">
        <v>2598</v>
      </c>
      <c r="E1274" s="236" t="s">
        <v>2599</v>
      </c>
      <c r="F1274" s="180">
        <v>1</v>
      </c>
      <c r="G1274" s="180">
        <v>30011</v>
      </c>
      <c r="H1274" s="180">
        <v>0</v>
      </c>
      <c r="I1274" s="180">
        <v>0</v>
      </c>
      <c r="J1274" s="180">
        <v>1</v>
      </c>
      <c r="K1274" s="180">
        <v>0</v>
      </c>
      <c r="L1274" s="180">
        <v>0</v>
      </c>
      <c r="M1274" s="180">
        <v>0</v>
      </c>
      <c r="N1274" s="180">
        <v>0</v>
      </c>
      <c r="O1274" s="180">
        <v>2</v>
      </c>
      <c r="P1274" s="180">
        <v>1</v>
      </c>
      <c r="Q1274" s="180">
        <v>0.05</v>
      </c>
      <c r="R1274" s="180">
        <v>0</v>
      </c>
      <c r="S1274" s="180">
        <v>0</v>
      </c>
      <c r="T1274" s="180">
        <v>0</v>
      </c>
      <c r="U1274" s="180">
        <v>1</v>
      </c>
      <c r="V1274" s="180">
        <v>2</v>
      </c>
      <c r="W1274" s="180">
        <v>0</v>
      </c>
      <c r="X1274" s="180">
        <v>0</v>
      </c>
      <c r="Y1274" s="12">
        <v>0</v>
      </c>
      <c r="Z1274" s="180">
        <v>0</v>
      </c>
      <c r="AA1274" s="180">
        <v>0</v>
      </c>
      <c r="AB1274" s="180">
        <v>0</v>
      </c>
      <c r="AC1274" s="180">
        <v>0</v>
      </c>
      <c r="AD1274" s="180">
        <v>1</v>
      </c>
      <c r="AE1274" s="180">
        <v>0</v>
      </c>
      <c r="AF1274" s="180">
        <v>1</v>
      </c>
      <c r="AG1274" s="180">
        <v>0</v>
      </c>
      <c r="AH1274" s="180">
        <v>0</v>
      </c>
      <c r="AI1274" s="180">
        <v>7</v>
      </c>
      <c r="AJ1274" s="180">
        <v>0</v>
      </c>
      <c r="AK1274" s="180">
        <v>0</v>
      </c>
      <c r="AL1274" s="180">
        <v>0</v>
      </c>
      <c r="AM1274" s="180">
        <v>0</v>
      </c>
      <c r="AN1274" s="180">
        <v>0</v>
      </c>
      <c r="AO1274" s="180">
        <v>0</v>
      </c>
      <c r="AP1274" s="180">
        <v>0</v>
      </c>
      <c r="AQ1274" s="180">
        <v>1000</v>
      </c>
      <c r="AR1274" s="180">
        <v>0</v>
      </c>
      <c r="AS1274" s="180">
        <v>0</v>
      </c>
      <c r="AT1274" s="180">
        <v>0</v>
      </c>
      <c r="AU1274" s="180">
        <v>92000033</v>
      </c>
      <c r="AV1274" s="180"/>
      <c r="AW1274" s="236" t="s">
        <v>199</v>
      </c>
      <c r="AX1274" s="180" t="s">
        <v>1819</v>
      </c>
      <c r="AY1274" s="180">
        <v>0</v>
      </c>
      <c r="AZ1274" s="180">
        <v>40000003</v>
      </c>
      <c r="BA1274" s="236" t="s">
        <v>200</v>
      </c>
      <c r="BB1274" s="236" t="s">
        <v>198</v>
      </c>
      <c r="BC1274" s="180">
        <v>0</v>
      </c>
      <c r="BD1274" s="180">
        <v>0</v>
      </c>
      <c r="BE1274" s="241" t="s">
        <v>2600</v>
      </c>
      <c r="BF1274" s="241" t="s">
        <v>2601</v>
      </c>
      <c r="BG1274" s="180">
        <v>0</v>
      </c>
      <c r="BH1274" s="180">
        <v>0</v>
      </c>
      <c r="BI1274" s="180">
        <v>0</v>
      </c>
      <c r="BJ1274" s="180">
        <v>0</v>
      </c>
      <c r="BK1274" s="180">
        <v>0</v>
      </c>
      <c r="BL1274" s="180">
        <v>0</v>
      </c>
      <c r="BM1274" s="243">
        <v>0</v>
      </c>
      <c r="BN1274" s="180">
        <v>1</v>
      </c>
      <c r="BO1274" s="180">
        <v>0</v>
      </c>
      <c r="BP1274" s="180">
        <v>0</v>
      </c>
      <c r="BQ1274" s="180">
        <v>0</v>
      </c>
      <c r="BR1274" s="180">
        <v>0</v>
      </c>
      <c r="BS1274" s="180">
        <v>0</v>
      </c>
      <c r="BT1274" s="12">
        <v>0</v>
      </c>
      <c r="BU1274" s="47">
        <v>0</v>
      </c>
      <c r="BV1274" s="47"/>
      <c r="BW1274" s="47"/>
    </row>
    <row r="1275" spans="3:75" ht="19.5" customHeight="1">
      <c r="C1275" s="180">
        <v>62000034</v>
      </c>
      <c r="D1275" s="236" t="s">
        <v>2602</v>
      </c>
      <c r="E1275" s="236" t="s">
        <v>2400</v>
      </c>
      <c r="F1275" s="18">
        <v>1</v>
      </c>
      <c r="G1275" s="16">
        <v>60010100</v>
      </c>
      <c r="H1275" s="18">
        <v>0</v>
      </c>
      <c r="I1275" s="27">
        <v>0</v>
      </c>
      <c r="J1275" s="18">
        <v>1</v>
      </c>
      <c r="K1275" s="18">
        <v>0</v>
      </c>
      <c r="L1275" s="18">
        <v>0</v>
      </c>
      <c r="M1275" s="16">
        <v>0</v>
      </c>
      <c r="N1275" s="16">
        <v>0</v>
      </c>
      <c r="O1275" s="16">
        <v>2</v>
      </c>
      <c r="P1275" s="16">
        <v>1</v>
      </c>
      <c r="Q1275" s="16">
        <v>1</v>
      </c>
      <c r="R1275" s="16">
        <v>0</v>
      </c>
      <c r="S1275" s="12">
        <v>0</v>
      </c>
      <c r="T1275" s="16">
        <v>0</v>
      </c>
      <c r="U1275" s="16">
        <v>1</v>
      </c>
      <c r="V1275" s="16">
        <v>2</v>
      </c>
      <c r="W1275" s="16">
        <v>0</v>
      </c>
      <c r="X1275" s="16">
        <v>3</v>
      </c>
      <c r="Y1275" s="12">
        <v>0</v>
      </c>
      <c r="Z1275" s="16">
        <v>1000</v>
      </c>
      <c r="AA1275" s="16">
        <v>0</v>
      </c>
      <c r="AB1275" s="16">
        <v>0</v>
      </c>
      <c r="AC1275" s="16">
        <v>0</v>
      </c>
      <c r="AD1275" s="16">
        <v>0</v>
      </c>
      <c r="AE1275" s="16">
        <v>0</v>
      </c>
      <c r="AF1275" s="16">
        <v>1</v>
      </c>
      <c r="AG1275" s="16">
        <v>1</v>
      </c>
      <c r="AH1275" s="16">
        <v>3</v>
      </c>
      <c r="AI1275" s="12">
        <v>1</v>
      </c>
      <c r="AJ1275" s="12">
        <v>0</v>
      </c>
      <c r="AK1275" s="12">
        <v>0</v>
      </c>
      <c r="AL1275" s="12">
        <v>0</v>
      </c>
      <c r="AM1275" s="16">
        <v>0</v>
      </c>
      <c r="AN1275" s="16">
        <v>0</v>
      </c>
      <c r="AO1275" s="16">
        <v>0</v>
      </c>
      <c r="AP1275" s="16">
        <v>0</v>
      </c>
      <c r="AQ1275" s="16">
        <v>5000</v>
      </c>
      <c r="AR1275" s="16">
        <v>0</v>
      </c>
      <c r="AS1275" s="16">
        <v>0</v>
      </c>
      <c r="AT1275" s="12">
        <v>0</v>
      </c>
      <c r="AU1275" s="16">
        <v>0</v>
      </c>
      <c r="AV1275" s="16"/>
      <c r="AW1275" s="19" t="s">
        <v>256</v>
      </c>
      <c r="AX1275" s="16" t="s">
        <v>534</v>
      </c>
      <c r="AY1275" s="18">
        <v>10000007</v>
      </c>
      <c r="AZ1275" s="18">
        <v>70403005</v>
      </c>
      <c r="BA1275" s="17" t="s">
        <v>200</v>
      </c>
      <c r="BB1275" s="16">
        <v>0</v>
      </c>
      <c r="BC1275" s="27">
        <v>0</v>
      </c>
      <c r="BD1275" s="27">
        <v>0</v>
      </c>
      <c r="BE1275" s="44" t="s">
        <v>2603</v>
      </c>
      <c r="BF1275" s="44" t="s">
        <v>2402</v>
      </c>
      <c r="BG1275" s="16">
        <v>0</v>
      </c>
      <c r="BH1275" s="16">
        <v>0</v>
      </c>
      <c r="BI1275" s="16">
        <v>0</v>
      </c>
      <c r="BJ1275" s="16">
        <v>0</v>
      </c>
      <c r="BK1275" s="16">
        <v>0</v>
      </c>
      <c r="BL1275" s="16">
        <v>0</v>
      </c>
      <c r="BM1275" s="15">
        <v>0</v>
      </c>
      <c r="BN1275" s="12">
        <v>0</v>
      </c>
      <c r="BO1275" s="12">
        <v>0</v>
      </c>
      <c r="BP1275" s="12">
        <v>0</v>
      </c>
      <c r="BQ1275" s="12">
        <v>0</v>
      </c>
      <c r="BR1275" s="12">
        <v>0</v>
      </c>
      <c r="BS1275" s="12">
        <v>0</v>
      </c>
      <c r="BT1275" s="12">
        <v>0</v>
      </c>
      <c r="BU1275" s="47">
        <v>0</v>
      </c>
      <c r="BV1275" s="47"/>
      <c r="BW1275" s="47"/>
    </row>
    <row r="1276" spans="3:75" ht="20.100000000000001" customHeight="1">
      <c r="C1276" s="12">
        <v>62000035</v>
      </c>
      <c r="D1276" s="13" t="s">
        <v>2604</v>
      </c>
      <c r="E1276" s="13" t="s">
        <v>2605</v>
      </c>
      <c r="F1276" s="12">
        <v>1</v>
      </c>
      <c r="G1276" s="12">
        <v>30022</v>
      </c>
      <c r="H1276" s="12">
        <v>0</v>
      </c>
      <c r="I1276" s="12">
        <v>0</v>
      </c>
      <c r="J1276" s="12">
        <v>1</v>
      </c>
      <c r="K1276" s="12">
        <v>0</v>
      </c>
      <c r="L1276" s="16">
        <v>0</v>
      </c>
      <c r="M1276" s="12">
        <v>0</v>
      </c>
      <c r="N1276" s="12">
        <v>0</v>
      </c>
      <c r="O1276" s="12">
        <v>2</v>
      </c>
      <c r="P1276" s="12">
        <v>1</v>
      </c>
      <c r="Q1276" s="12">
        <v>1</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1</v>
      </c>
      <c r="AG1276" s="12">
        <v>1</v>
      </c>
      <c r="AH1276" s="12">
        <v>2</v>
      </c>
      <c r="AI1276" s="12">
        <v>7</v>
      </c>
      <c r="AJ1276" s="12">
        <v>0</v>
      </c>
      <c r="AK1276" s="12">
        <v>0</v>
      </c>
      <c r="AL1276" s="12">
        <v>0</v>
      </c>
      <c r="AM1276" s="12">
        <v>0</v>
      </c>
      <c r="AN1276" s="12">
        <v>0</v>
      </c>
      <c r="AO1276" s="12">
        <v>0</v>
      </c>
      <c r="AP1276" s="12">
        <v>0</v>
      </c>
      <c r="AQ1276" s="12">
        <v>1000</v>
      </c>
      <c r="AR1276" s="12">
        <v>0</v>
      </c>
      <c r="AS1276" s="12">
        <v>0</v>
      </c>
      <c r="AT1276" s="12">
        <v>0</v>
      </c>
      <c r="AU1276" s="12">
        <v>92000023</v>
      </c>
      <c r="AV1276" s="12"/>
      <c r="AW1276" s="13" t="s">
        <v>199</v>
      </c>
      <c r="AX1276" s="12" t="s">
        <v>1819</v>
      </c>
      <c r="AY1276" s="12">
        <v>0</v>
      </c>
      <c r="AZ1276" s="12">
        <v>0</v>
      </c>
      <c r="BA1276" s="13" t="s">
        <v>200</v>
      </c>
      <c r="BB1276" s="13" t="s">
        <v>198</v>
      </c>
      <c r="BC1276" s="12">
        <v>0</v>
      </c>
      <c r="BD1276" s="12">
        <v>0</v>
      </c>
      <c r="BE1276" s="42" t="s">
        <v>2606</v>
      </c>
      <c r="BF1276" s="42" t="s">
        <v>2607</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2">
        <v>62000036</v>
      </c>
      <c r="D1277" s="13" t="s">
        <v>2608</v>
      </c>
      <c r="E1277" s="13" t="s">
        <v>2609</v>
      </c>
      <c r="F1277" s="12">
        <v>1</v>
      </c>
      <c r="G1277" s="12">
        <v>30031</v>
      </c>
      <c r="H1277" s="12">
        <v>0</v>
      </c>
      <c r="I1277" s="12">
        <v>0</v>
      </c>
      <c r="J1277" s="12">
        <v>1</v>
      </c>
      <c r="K1277" s="12">
        <v>0</v>
      </c>
      <c r="L1277" s="16">
        <v>0</v>
      </c>
      <c r="M1277" s="12">
        <v>0</v>
      </c>
      <c r="N1277" s="12">
        <v>0</v>
      </c>
      <c r="O1277" s="12">
        <v>2</v>
      </c>
      <c r="P1277" s="12">
        <v>19</v>
      </c>
      <c r="Q1277" s="12">
        <v>1</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v>
      </c>
      <c r="AG1277" s="12">
        <v>0</v>
      </c>
      <c r="AH1277" s="12">
        <v>0</v>
      </c>
      <c r="AI1277" s="12">
        <v>2</v>
      </c>
      <c r="AJ1277" s="12">
        <v>0</v>
      </c>
      <c r="AK1277" s="12">
        <v>0</v>
      </c>
      <c r="AL1277" s="12">
        <v>0</v>
      </c>
      <c r="AM1277" s="12">
        <v>0</v>
      </c>
      <c r="AN1277" s="12">
        <v>0</v>
      </c>
      <c r="AO1277" s="12">
        <v>0</v>
      </c>
      <c r="AP1277" s="12">
        <v>0</v>
      </c>
      <c r="AQ1277" s="12">
        <v>1000</v>
      </c>
      <c r="AR1277" s="12">
        <v>0</v>
      </c>
      <c r="AS1277" s="12">
        <v>0</v>
      </c>
      <c r="AT1277" s="12">
        <v>92000024</v>
      </c>
      <c r="AU1277" s="12" t="s">
        <v>198</v>
      </c>
      <c r="AV1277" s="12"/>
      <c r="AW1277" s="13" t="s">
        <v>199</v>
      </c>
      <c r="AX1277" s="12" t="s">
        <v>1819</v>
      </c>
      <c r="AY1277" s="12">
        <v>0</v>
      </c>
      <c r="AZ1277" s="12">
        <v>40000003</v>
      </c>
      <c r="BA1277" s="13" t="s">
        <v>200</v>
      </c>
      <c r="BB1277" s="13" t="s">
        <v>198</v>
      </c>
      <c r="BC1277" s="12">
        <v>0</v>
      </c>
      <c r="BD1277" s="12">
        <v>0</v>
      </c>
      <c r="BE1277" s="42" t="s">
        <v>2610</v>
      </c>
      <c r="BF1277" s="42" t="s">
        <v>2611</v>
      </c>
      <c r="BG1277" s="12">
        <v>0</v>
      </c>
      <c r="BH1277" s="12">
        <v>0</v>
      </c>
      <c r="BI1277" s="12">
        <v>0</v>
      </c>
      <c r="BJ1277" s="12">
        <v>0</v>
      </c>
      <c r="BK1277" s="12">
        <v>0</v>
      </c>
      <c r="BL1277" s="12">
        <v>0</v>
      </c>
      <c r="BM1277" s="185">
        <v>0</v>
      </c>
      <c r="BN1277" s="12">
        <v>1</v>
      </c>
      <c r="BO1277" s="12">
        <v>0</v>
      </c>
      <c r="BP1277" s="12">
        <v>0</v>
      </c>
      <c r="BQ1277" s="12">
        <v>0</v>
      </c>
      <c r="BR1277" s="12">
        <v>0</v>
      </c>
      <c r="BS1277" s="12">
        <v>0</v>
      </c>
      <c r="BT1277" s="12">
        <v>0</v>
      </c>
      <c r="BU1277" s="47">
        <v>0</v>
      </c>
      <c r="BV1277" s="47"/>
      <c r="BW1277" s="47"/>
    </row>
    <row r="1278" spans="3:75" ht="20.100000000000001" customHeight="1">
      <c r="C1278" s="180">
        <v>62000037</v>
      </c>
      <c r="D1278" s="236" t="s">
        <v>2612</v>
      </c>
      <c r="E1278" s="236" t="s">
        <v>2613</v>
      </c>
      <c r="F1278" s="180">
        <v>1</v>
      </c>
      <c r="G1278" s="180">
        <v>30052</v>
      </c>
      <c r="H1278" s="180">
        <v>0</v>
      </c>
      <c r="I1278" s="180">
        <v>0</v>
      </c>
      <c r="J1278" s="180">
        <v>1</v>
      </c>
      <c r="K1278" s="180">
        <v>0</v>
      </c>
      <c r="L1278" s="180">
        <v>0</v>
      </c>
      <c r="M1278" s="180">
        <v>0</v>
      </c>
      <c r="N1278" s="180">
        <v>0</v>
      </c>
      <c r="O1278" s="180">
        <v>2</v>
      </c>
      <c r="P1278" s="180">
        <v>1</v>
      </c>
      <c r="Q1278" s="180">
        <v>0.1</v>
      </c>
      <c r="R1278" s="180">
        <v>0</v>
      </c>
      <c r="S1278" s="180">
        <v>0</v>
      </c>
      <c r="T1278" s="180">
        <v>0</v>
      </c>
      <c r="U1278" s="180">
        <v>1</v>
      </c>
      <c r="V1278" s="180">
        <v>2</v>
      </c>
      <c r="W1278" s="180">
        <v>0</v>
      </c>
      <c r="X1278" s="180">
        <v>0</v>
      </c>
      <c r="Y1278" s="12">
        <v>0</v>
      </c>
      <c r="Z1278" s="180">
        <v>0</v>
      </c>
      <c r="AA1278" s="180">
        <v>0</v>
      </c>
      <c r="AB1278" s="180">
        <v>0</v>
      </c>
      <c r="AC1278" s="180">
        <v>0</v>
      </c>
      <c r="AD1278" s="180">
        <v>1</v>
      </c>
      <c r="AE1278" s="180">
        <v>0</v>
      </c>
      <c r="AF1278" s="180">
        <v>1</v>
      </c>
      <c r="AG1278" s="180">
        <v>0</v>
      </c>
      <c r="AH1278" s="180">
        <v>0</v>
      </c>
      <c r="AI1278" s="180">
        <v>2</v>
      </c>
      <c r="AJ1278" s="180">
        <v>0</v>
      </c>
      <c r="AK1278" s="180">
        <v>0</v>
      </c>
      <c r="AL1278" s="180">
        <v>0</v>
      </c>
      <c r="AM1278" s="180">
        <v>0</v>
      </c>
      <c r="AN1278" s="180">
        <v>0</v>
      </c>
      <c r="AO1278" s="180">
        <v>0</v>
      </c>
      <c r="AP1278" s="180">
        <v>0</v>
      </c>
      <c r="AQ1278" s="180">
        <v>1000</v>
      </c>
      <c r="AR1278" s="180">
        <v>0</v>
      </c>
      <c r="AS1278" s="180">
        <v>0</v>
      </c>
      <c r="AT1278" s="180">
        <v>92000031</v>
      </c>
      <c r="AU1278" s="180" t="s">
        <v>198</v>
      </c>
      <c r="AV1278" s="180"/>
      <c r="AW1278" s="236" t="s">
        <v>199</v>
      </c>
      <c r="AX1278" s="180" t="s">
        <v>1819</v>
      </c>
      <c r="AY1278" s="180">
        <v>0</v>
      </c>
      <c r="AZ1278" s="180">
        <v>40000003</v>
      </c>
      <c r="BA1278" s="236" t="s">
        <v>200</v>
      </c>
      <c r="BB1278" s="236" t="s">
        <v>198</v>
      </c>
      <c r="BC1278" s="180">
        <v>0</v>
      </c>
      <c r="BD1278" s="180">
        <v>0</v>
      </c>
      <c r="BE1278" s="241" t="s">
        <v>2614</v>
      </c>
      <c r="BF1278" s="241" t="s">
        <v>2615</v>
      </c>
      <c r="BG1278" s="180">
        <v>0</v>
      </c>
      <c r="BH1278" s="180">
        <v>0</v>
      </c>
      <c r="BI1278" s="180">
        <v>0</v>
      </c>
      <c r="BJ1278" s="180">
        <v>0</v>
      </c>
      <c r="BK1278" s="180">
        <v>0</v>
      </c>
      <c r="BL1278" s="180">
        <v>0</v>
      </c>
      <c r="BM1278" s="243">
        <v>0</v>
      </c>
      <c r="BN1278" s="180">
        <v>1</v>
      </c>
      <c r="BO1278" s="180">
        <v>0</v>
      </c>
      <c r="BP1278" s="180">
        <v>0</v>
      </c>
      <c r="BQ1278" s="180">
        <v>0</v>
      </c>
      <c r="BR1278" s="180">
        <v>0</v>
      </c>
      <c r="BS1278" s="180">
        <v>0</v>
      </c>
      <c r="BT1278" s="12">
        <v>0</v>
      </c>
      <c r="BU1278" s="47">
        <v>0</v>
      </c>
      <c r="BV1278" s="47"/>
      <c r="BW1278" s="47"/>
    </row>
    <row r="1279" spans="3:75" ht="20.100000000000001" customHeight="1">
      <c r="C1279" s="12">
        <v>62000038</v>
      </c>
      <c r="D1279" s="13" t="s">
        <v>2616</v>
      </c>
      <c r="E1279" s="13" t="s">
        <v>2617</v>
      </c>
      <c r="F1279" s="12">
        <v>1</v>
      </c>
      <c r="G1279" s="12">
        <v>30061</v>
      </c>
      <c r="H1279" s="12">
        <v>0</v>
      </c>
      <c r="I1279" s="12">
        <v>0</v>
      </c>
      <c r="J1279" s="12">
        <v>1</v>
      </c>
      <c r="K1279" s="12">
        <v>0</v>
      </c>
      <c r="L1279" s="16">
        <v>0</v>
      </c>
      <c r="M1279" s="12">
        <v>0</v>
      </c>
      <c r="N1279" s="12">
        <v>0</v>
      </c>
      <c r="O1279" s="12">
        <v>2</v>
      </c>
      <c r="P1279" s="12">
        <v>1</v>
      </c>
      <c r="Q1279" s="12">
        <v>0.1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0</v>
      </c>
      <c r="AH1279" s="12">
        <v>0</v>
      </c>
      <c r="AI1279" s="12">
        <v>7</v>
      </c>
      <c r="AJ1279" s="12">
        <v>0</v>
      </c>
      <c r="AK1279" s="12">
        <v>0</v>
      </c>
      <c r="AL1279" s="12">
        <v>0</v>
      </c>
      <c r="AM1279" s="12">
        <v>0</v>
      </c>
      <c r="AN1279" s="12">
        <v>0</v>
      </c>
      <c r="AO1279" s="12">
        <v>0</v>
      </c>
      <c r="AP1279" s="12">
        <v>0</v>
      </c>
      <c r="AQ1279" s="12">
        <v>1000</v>
      </c>
      <c r="AR1279" s="12">
        <v>0</v>
      </c>
      <c r="AS1279" s="12">
        <v>0</v>
      </c>
      <c r="AT1279" s="12">
        <v>0</v>
      </c>
      <c r="AU1279" s="338" t="s">
        <v>2618</v>
      </c>
      <c r="AV1279" s="12"/>
      <c r="AW1279" s="13" t="s">
        <v>199</v>
      </c>
      <c r="AX1279" s="12" t="s">
        <v>1819</v>
      </c>
      <c r="AY1279" s="12">
        <v>0</v>
      </c>
      <c r="AZ1279" s="12">
        <v>0</v>
      </c>
      <c r="BA1279" s="13" t="s">
        <v>200</v>
      </c>
      <c r="BB1279" s="13" t="s">
        <v>198</v>
      </c>
      <c r="BC1279" s="12">
        <v>0</v>
      </c>
      <c r="BD1279" s="12">
        <v>0</v>
      </c>
      <c r="BE1279" s="42" t="s">
        <v>2619</v>
      </c>
      <c r="BF1279" s="42" t="s">
        <v>2620</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62000039</v>
      </c>
      <c r="D1280" s="17" t="s">
        <v>2621</v>
      </c>
      <c r="E1280" s="17" t="s">
        <v>2622</v>
      </c>
      <c r="F1280" s="16">
        <v>1</v>
      </c>
      <c r="G1280" s="16">
        <v>80002002</v>
      </c>
      <c r="H1280" s="18">
        <v>0</v>
      </c>
      <c r="I1280" s="27">
        <v>0</v>
      </c>
      <c r="J1280" s="18">
        <v>1</v>
      </c>
      <c r="K1280" s="18">
        <v>0</v>
      </c>
      <c r="L1280" s="18">
        <v>0</v>
      </c>
      <c r="M1280" s="16">
        <v>0</v>
      </c>
      <c r="N1280" s="16">
        <v>0</v>
      </c>
      <c r="O1280" s="16">
        <v>5</v>
      </c>
      <c r="P1280" s="16">
        <v>0</v>
      </c>
      <c r="Q1280" s="16">
        <v>0</v>
      </c>
      <c r="R1280" s="16">
        <v>0</v>
      </c>
      <c r="S1280" s="12">
        <v>0</v>
      </c>
      <c r="T1280" s="16">
        <v>0</v>
      </c>
      <c r="U1280" s="16">
        <v>1</v>
      </c>
      <c r="V1280" s="16">
        <v>2</v>
      </c>
      <c r="W1280" s="16">
        <v>0</v>
      </c>
      <c r="X1280" s="16">
        <v>0</v>
      </c>
      <c r="Y1280" s="12">
        <v>0</v>
      </c>
      <c r="Z1280" s="16">
        <v>0</v>
      </c>
      <c r="AA1280" s="16">
        <v>0</v>
      </c>
      <c r="AB1280" s="16">
        <v>0</v>
      </c>
      <c r="AC1280" s="16">
        <v>0</v>
      </c>
      <c r="AD1280" s="16">
        <v>0</v>
      </c>
      <c r="AE1280" s="16">
        <v>0</v>
      </c>
      <c r="AF1280" s="16">
        <v>9</v>
      </c>
      <c r="AG1280" s="16">
        <v>2</v>
      </c>
      <c r="AH1280" s="16" t="s">
        <v>213</v>
      </c>
      <c r="AI1280" s="12">
        <v>2</v>
      </c>
      <c r="AJ1280" s="12">
        <v>2</v>
      </c>
      <c r="AK1280" s="12">
        <v>0</v>
      </c>
      <c r="AL1280" s="12">
        <v>1.5</v>
      </c>
      <c r="AM1280" s="16">
        <v>0</v>
      </c>
      <c r="AN1280" s="16">
        <v>0</v>
      </c>
      <c r="AO1280" s="16">
        <v>0</v>
      </c>
      <c r="AP1280" s="16">
        <v>1</v>
      </c>
      <c r="AQ1280" s="16">
        <v>3000</v>
      </c>
      <c r="AR1280" s="16">
        <v>0.5</v>
      </c>
      <c r="AS1280" s="16">
        <v>0</v>
      </c>
      <c r="AT1280" s="12">
        <v>0</v>
      </c>
      <c r="AU1280" s="16" t="s">
        <v>198</v>
      </c>
      <c r="AV1280" s="16"/>
      <c r="AW1280" s="17" t="s">
        <v>199</v>
      </c>
      <c r="AX1280" s="16">
        <v>0</v>
      </c>
      <c r="AY1280" s="18">
        <v>0</v>
      </c>
      <c r="AZ1280" s="18">
        <v>0</v>
      </c>
      <c r="BA1280" s="17" t="s">
        <v>200</v>
      </c>
      <c r="BB1280" s="16" t="s">
        <v>2623</v>
      </c>
      <c r="BC1280" s="27">
        <v>0</v>
      </c>
      <c r="BD1280" s="27">
        <v>1</v>
      </c>
      <c r="BE1280" s="44" t="s">
        <v>2624</v>
      </c>
      <c r="BF1280" s="44" t="s">
        <v>2625</v>
      </c>
      <c r="BG1280" s="16"/>
      <c r="BH1280" s="16">
        <v>0</v>
      </c>
      <c r="BI1280" s="16"/>
      <c r="BJ1280" s="16"/>
      <c r="BK1280" s="16"/>
      <c r="BL1280" s="18"/>
      <c r="BM1280" s="16">
        <v>0</v>
      </c>
      <c r="BN1280" s="12">
        <v>0</v>
      </c>
      <c r="BO1280" s="12">
        <v>0</v>
      </c>
      <c r="BP1280" s="12">
        <v>0</v>
      </c>
      <c r="BQ1280" s="12">
        <v>0</v>
      </c>
      <c r="BR1280" s="12">
        <v>0</v>
      </c>
      <c r="BS1280" s="12">
        <v>0</v>
      </c>
      <c r="BT1280" s="12">
        <v>0</v>
      </c>
      <c r="BU1280" s="47">
        <v>0</v>
      </c>
      <c r="BV1280" s="47"/>
      <c r="BW1280" s="47"/>
    </row>
    <row r="1281" spans="1:75" ht="19.5" customHeight="1">
      <c r="C1281" s="180">
        <v>62000040</v>
      </c>
      <c r="D1281" s="236" t="s">
        <v>2626</v>
      </c>
      <c r="E1281" s="236" t="s">
        <v>2627</v>
      </c>
      <c r="F1281" s="18">
        <v>1</v>
      </c>
      <c r="G1281" s="16">
        <v>60010100</v>
      </c>
      <c r="H1281" s="18">
        <v>0</v>
      </c>
      <c r="I1281" s="27">
        <v>0</v>
      </c>
      <c r="J1281" s="18">
        <v>1</v>
      </c>
      <c r="K1281" s="18">
        <v>0</v>
      </c>
      <c r="L1281" s="18">
        <v>0</v>
      </c>
      <c r="M1281" s="16">
        <v>0</v>
      </c>
      <c r="N1281" s="16">
        <v>0</v>
      </c>
      <c r="O1281" s="16">
        <v>2</v>
      </c>
      <c r="P1281" s="16">
        <v>1</v>
      </c>
      <c r="Q1281" s="16">
        <v>1</v>
      </c>
      <c r="R1281" s="16">
        <v>0</v>
      </c>
      <c r="S1281" s="12">
        <v>0</v>
      </c>
      <c r="T1281" s="16">
        <v>0</v>
      </c>
      <c r="U1281" s="16">
        <v>1</v>
      </c>
      <c r="V1281" s="16">
        <v>2</v>
      </c>
      <c r="W1281" s="16">
        <v>0</v>
      </c>
      <c r="X1281" s="16">
        <v>1</v>
      </c>
      <c r="Y1281" s="12">
        <v>0</v>
      </c>
      <c r="Z1281" s="16">
        <v>0</v>
      </c>
      <c r="AA1281" s="16">
        <v>0</v>
      </c>
      <c r="AB1281" s="16">
        <v>0</v>
      </c>
      <c r="AC1281" s="16">
        <v>0</v>
      </c>
      <c r="AD1281" s="16">
        <v>0</v>
      </c>
      <c r="AE1281" s="16">
        <v>0</v>
      </c>
      <c r="AF1281" s="16">
        <v>1</v>
      </c>
      <c r="AG1281" s="16">
        <v>1</v>
      </c>
      <c r="AH1281" s="16">
        <v>2</v>
      </c>
      <c r="AI1281" s="12">
        <v>1</v>
      </c>
      <c r="AJ1281" s="12">
        <v>0</v>
      </c>
      <c r="AK1281" s="12">
        <v>0</v>
      </c>
      <c r="AL1281" s="12">
        <v>0</v>
      </c>
      <c r="AM1281" s="16">
        <v>0</v>
      </c>
      <c r="AN1281" s="16">
        <v>0</v>
      </c>
      <c r="AO1281" s="16">
        <v>0</v>
      </c>
      <c r="AP1281" s="16">
        <v>0</v>
      </c>
      <c r="AQ1281" s="16">
        <v>5000</v>
      </c>
      <c r="AR1281" s="16">
        <v>0</v>
      </c>
      <c r="AS1281" s="16">
        <v>0</v>
      </c>
      <c r="AT1281" s="12">
        <v>0</v>
      </c>
      <c r="AU1281" s="16">
        <v>0</v>
      </c>
      <c r="AV1281" s="16"/>
      <c r="AW1281" s="19" t="s">
        <v>256</v>
      </c>
      <c r="AX1281" s="16" t="s">
        <v>534</v>
      </c>
      <c r="AY1281" s="18">
        <v>10000007</v>
      </c>
      <c r="AZ1281" s="18">
        <v>70403006</v>
      </c>
      <c r="BA1281" s="17" t="s">
        <v>200</v>
      </c>
      <c r="BB1281" s="16">
        <v>0</v>
      </c>
      <c r="BC1281" s="27">
        <v>0</v>
      </c>
      <c r="BD1281" s="27">
        <v>0</v>
      </c>
      <c r="BE1281" s="44" t="s">
        <v>2628</v>
      </c>
      <c r="BF1281" s="44" t="s">
        <v>2629</v>
      </c>
      <c r="BG1281" s="16">
        <v>0</v>
      </c>
      <c r="BH1281" s="16">
        <v>0</v>
      </c>
      <c r="BI1281" s="16">
        <v>0</v>
      </c>
      <c r="BJ1281" s="16">
        <v>0</v>
      </c>
      <c r="BK1281" s="16">
        <v>0</v>
      </c>
      <c r="BL1281" s="16">
        <v>0</v>
      </c>
      <c r="BM1281" s="15">
        <v>0</v>
      </c>
      <c r="BN1281" s="12">
        <v>0</v>
      </c>
      <c r="BO1281" s="12">
        <v>0</v>
      </c>
      <c r="BP1281" s="12">
        <v>0</v>
      </c>
      <c r="BQ1281" s="12">
        <v>0</v>
      </c>
      <c r="BR1281" s="12">
        <v>0</v>
      </c>
      <c r="BS1281" s="12">
        <v>0</v>
      </c>
      <c r="BT1281" s="12">
        <v>0</v>
      </c>
      <c r="BU1281" s="47">
        <v>0</v>
      </c>
      <c r="BV1281" s="47"/>
      <c r="BW1281" s="47"/>
    </row>
    <row r="1282" spans="1:75" ht="19.5" customHeight="1">
      <c r="C1282" s="180">
        <v>62000041</v>
      </c>
      <c r="D1282" s="236" t="s">
        <v>2630</v>
      </c>
      <c r="E1282" s="236" t="s">
        <v>2631</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2.5</v>
      </c>
      <c r="Y1282" s="12">
        <v>0</v>
      </c>
      <c r="Z1282" s="16">
        <v>0</v>
      </c>
      <c r="AA1282" s="16">
        <v>0</v>
      </c>
      <c r="AB1282" s="16">
        <v>0</v>
      </c>
      <c r="AC1282" s="16">
        <v>0</v>
      </c>
      <c r="AD1282" s="16">
        <v>0</v>
      </c>
      <c r="AE1282" s="16">
        <v>0</v>
      </c>
      <c r="AF1282" s="16">
        <v>1</v>
      </c>
      <c r="AG1282" s="16">
        <v>1</v>
      </c>
      <c r="AH1282" s="16">
        <v>2</v>
      </c>
      <c r="AI1282" s="12">
        <v>1</v>
      </c>
      <c r="AJ1282" s="12">
        <v>0</v>
      </c>
      <c r="AK1282" s="12">
        <v>0</v>
      </c>
      <c r="AL1282" s="12">
        <v>0</v>
      </c>
      <c r="AM1282" s="16">
        <v>0</v>
      </c>
      <c r="AN1282" s="16">
        <v>0</v>
      </c>
      <c r="AO1282" s="16">
        <v>0</v>
      </c>
      <c r="AP1282" s="16">
        <v>0</v>
      </c>
      <c r="AQ1282" s="16">
        <v>5000</v>
      </c>
      <c r="AR1282" s="16">
        <v>0</v>
      </c>
      <c r="AS1282" s="16">
        <v>0</v>
      </c>
      <c r="AT1282" s="12">
        <v>0</v>
      </c>
      <c r="AU1282" s="16">
        <v>92000036</v>
      </c>
      <c r="AV1282" s="16"/>
      <c r="AW1282" s="19" t="s">
        <v>256</v>
      </c>
      <c r="AX1282" s="16" t="s">
        <v>534</v>
      </c>
      <c r="AY1282" s="18">
        <v>10000007</v>
      </c>
      <c r="AZ1282" s="18">
        <v>70403006</v>
      </c>
      <c r="BA1282" s="17" t="s">
        <v>200</v>
      </c>
      <c r="BB1282" s="16">
        <v>0</v>
      </c>
      <c r="BC1282" s="27">
        <v>0</v>
      </c>
      <c r="BD1282" s="27">
        <v>0</v>
      </c>
      <c r="BE1282" s="44" t="s">
        <v>2628</v>
      </c>
      <c r="BF1282" s="44" t="s">
        <v>2629</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1:75" ht="20.100000000000001" customHeight="1">
      <c r="C1283" s="180">
        <v>62000042</v>
      </c>
      <c r="D1283" s="17" t="s">
        <v>2632</v>
      </c>
      <c r="E1283" s="17" t="s">
        <v>2633</v>
      </c>
      <c r="F1283" s="16">
        <v>1</v>
      </c>
      <c r="G1283" s="16">
        <v>60011301</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0</v>
      </c>
      <c r="AQ1283" s="16">
        <v>3000</v>
      </c>
      <c r="AR1283" s="16">
        <v>0.5</v>
      </c>
      <c r="AS1283" s="16">
        <v>0</v>
      </c>
      <c r="AT1283" s="12">
        <v>0</v>
      </c>
      <c r="AU1283" s="16" t="s">
        <v>198</v>
      </c>
      <c r="AV1283" s="16"/>
      <c r="AW1283" s="17" t="s">
        <v>199</v>
      </c>
      <c r="AX1283" s="16">
        <v>0</v>
      </c>
      <c r="AY1283" s="18">
        <v>0</v>
      </c>
      <c r="AZ1283" s="18">
        <v>0</v>
      </c>
      <c r="BA1283" s="17" t="s">
        <v>200</v>
      </c>
      <c r="BB1283" s="16" t="s">
        <v>2634</v>
      </c>
      <c r="BC1283" s="27">
        <v>0</v>
      </c>
      <c r="BD1283" s="27">
        <v>0</v>
      </c>
      <c r="BE1283" s="44" t="s">
        <v>2635</v>
      </c>
      <c r="BF1283" s="44" t="s">
        <v>2636</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spans="1:75" ht="20.100000000000001" customHeight="1">
      <c r="C1284" s="12">
        <v>62000061</v>
      </c>
      <c r="D1284" s="13" t="s">
        <v>2637</v>
      </c>
      <c r="E1284" s="13" t="s">
        <v>1676</v>
      </c>
      <c r="F1284" s="12">
        <v>1</v>
      </c>
      <c r="G1284" s="12">
        <v>40001</v>
      </c>
      <c r="H1284" s="12">
        <v>0</v>
      </c>
      <c r="I1284" s="12">
        <v>0</v>
      </c>
      <c r="J1284" s="12">
        <v>1</v>
      </c>
      <c r="K1284" s="12">
        <v>0</v>
      </c>
      <c r="L1284" s="16">
        <v>0</v>
      </c>
      <c r="M1284" s="12">
        <v>0</v>
      </c>
      <c r="N1284" s="12">
        <v>0</v>
      </c>
      <c r="O1284" s="12">
        <v>1</v>
      </c>
      <c r="P1284" s="12">
        <v>0</v>
      </c>
      <c r="Q1284" s="12">
        <v>0</v>
      </c>
      <c r="R1284" s="12">
        <v>0</v>
      </c>
      <c r="S1284" s="12">
        <v>0</v>
      </c>
      <c r="T1284" s="12">
        <v>0</v>
      </c>
      <c r="U1284" s="12">
        <v>1</v>
      </c>
      <c r="V1284" s="12">
        <v>2</v>
      </c>
      <c r="W1284" s="12">
        <v>0</v>
      </c>
      <c r="X1284" s="12">
        <v>4</v>
      </c>
      <c r="Y1284" s="12">
        <v>0</v>
      </c>
      <c r="Z1284" s="12">
        <v>0</v>
      </c>
      <c r="AA1284" s="12">
        <v>0</v>
      </c>
      <c r="AB1284" s="12">
        <v>0</v>
      </c>
      <c r="AC1284" s="12">
        <v>0</v>
      </c>
      <c r="AD1284" s="12">
        <v>0</v>
      </c>
      <c r="AE1284" s="12">
        <v>0</v>
      </c>
      <c r="AF1284" s="12">
        <v>7</v>
      </c>
      <c r="AG1284" s="12">
        <v>0</v>
      </c>
      <c r="AH1284" s="12">
        <v>0</v>
      </c>
      <c r="AI1284" s="12">
        <v>7</v>
      </c>
      <c r="AJ1284" s="12">
        <v>0</v>
      </c>
      <c r="AK1284" s="12">
        <v>0</v>
      </c>
      <c r="AL1284" s="12">
        <v>6</v>
      </c>
      <c r="AM1284" s="12">
        <v>0</v>
      </c>
      <c r="AN1284" s="12">
        <v>0</v>
      </c>
      <c r="AO1284" s="12">
        <v>0</v>
      </c>
      <c r="AP1284" s="12">
        <v>0.5</v>
      </c>
      <c r="AQ1284" s="12">
        <v>1000</v>
      </c>
      <c r="AR1284" s="12">
        <v>0</v>
      </c>
      <c r="AS1284" s="12">
        <v>0</v>
      </c>
      <c r="AT1284" s="12">
        <v>0</v>
      </c>
      <c r="AU1284" s="12">
        <v>0</v>
      </c>
      <c r="AV1284" s="12"/>
      <c r="AW1284" s="13" t="s">
        <v>256</v>
      </c>
      <c r="AX1284" s="12" t="s">
        <v>1677</v>
      </c>
      <c r="AY1284" s="12" t="s">
        <v>198</v>
      </c>
      <c r="AZ1284" s="12" t="s">
        <v>2549</v>
      </c>
      <c r="BA1284" s="13" t="s">
        <v>200</v>
      </c>
      <c r="BB1284" s="12">
        <v>0</v>
      </c>
      <c r="BC1284" s="12">
        <v>0</v>
      </c>
      <c r="BD1284" s="12">
        <v>0</v>
      </c>
      <c r="BE1284" s="42" t="s">
        <v>2638</v>
      </c>
      <c r="BF1284" s="42" t="s">
        <v>2639</v>
      </c>
      <c r="BG1284" s="12">
        <v>0</v>
      </c>
      <c r="BH1284" s="12">
        <v>0</v>
      </c>
      <c r="BI1284" s="12">
        <v>0</v>
      </c>
      <c r="BJ1284" s="12">
        <v>0</v>
      </c>
      <c r="BK1284" s="12">
        <v>0</v>
      </c>
      <c r="BL1284" s="12">
        <v>0</v>
      </c>
      <c r="BM1284" s="185">
        <v>0</v>
      </c>
      <c r="BN1284" s="12">
        <v>0</v>
      </c>
      <c r="BO1284" s="12">
        <v>0</v>
      </c>
      <c r="BP1284" s="12">
        <v>0</v>
      </c>
      <c r="BQ1284" s="12">
        <v>0</v>
      </c>
      <c r="BR1284" s="12">
        <v>0</v>
      </c>
      <c r="BS1284" s="12">
        <v>0</v>
      </c>
      <c r="BT1284" s="12">
        <v>0</v>
      </c>
      <c r="BU1284" s="47">
        <v>0</v>
      </c>
      <c r="BV1284" s="47"/>
      <c r="BW1284" s="47"/>
    </row>
    <row r="1285" spans="1:75" ht="20.100000000000001" customHeight="1">
      <c r="C1285" s="12">
        <v>62000062</v>
      </c>
      <c r="D1285" s="237" t="s">
        <v>2640</v>
      </c>
      <c r="E1285" s="237" t="s">
        <v>2641</v>
      </c>
      <c r="F1285" s="238">
        <v>1</v>
      </c>
      <c r="G1285" s="12">
        <v>40003</v>
      </c>
      <c r="H1285" s="238">
        <v>0</v>
      </c>
      <c r="I1285" s="238">
        <v>0</v>
      </c>
      <c r="J1285" s="238">
        <v>1</v>
      </c>
      <c r="K1285" s="238">
        <v>0</v>
      </c>
      <c r="L1285" s="238">
        <v>0</v>
      </c>
      <c r="M1285" s="238">
        <v>0</v>
      </c>
      <c r="N1285" s="238">
        <v>0</v>
      </c>
      <c r="O1285" s="238">
        <v>2</v>
      </c>
      <c r="P1285" s="238">
        <v>7</v>
      </c>
      <c r="Q1285" s="238">
        <v>0.2</v>
      </c>
      <c r="R1285" s="238">
        <v>0</v>
      </c>
      <c r="S1285" s="238">
        <v>0</v>
      </c>
      <c r="T1285" s="238">
        <v>0</v>
      </c>
      <c r="U1285" s="238">
        <v>1</v>
      </c>
      <c r="V1285" s="238">
        <v>2</v>
      </c>
      <c r="W1285" s="238">
        <v>0</v>
      </c>
      <c r="X1285" s="238">
        <v>0</v>
      </c>
      <c r="Y1285" s="12">
        <v>0</v>
      </c>
      <c r="Z1285" s="238">
        <v>0</v>
      </c>
      <c r="AA1285" s="238">
        <v>0</v>
      </c>
      <c r="AB1285" s="238">
        <v>0</v>
      </c>
      <c r="AC1285" s="238">
        <v>0</v>
      </c>
      <c r="AD1285" s="238">
        <v>1</v>
      </c>
      <c r="AE1285" s="238">
        <v>0</v>
      </c>
      <c r="AF1285" s="238">
        <v>3</v>
      </c>
      <c r="AG1285" s="238">
        <v>0</v>
      </c>
      <c r="AH1285" s="238">
        <v>0</v>
      </c>
      <c r="AI1285" s="238">
        <v>2</v>
      </c>
      <c r="AJ1285" s="238">
        <v>0</v>
      </c>
      <c r="AK1285" s="238">
        <v>0</v>
      </c>
      <c r="AL1285" s="238">
        <v>0</v>
      </c>
      <c r="AM1285" s="238">
        <v>0</v>
      </c>
      <c r="AN1285" s="238">
        <v>0</v>
      </c>
      <c r="AO1285" s="238">
        <v>0</v>
      </c>
      <c r="AP1285" s="238">
        <v>0</v>
      </c>
      <c r="AQ1285" s="238">
        <v>1000</v>
      </c>
      <c r="AR1285" s="238">
        <v>0</v>
      </c>
      <c r="AS1285" s="238">
        <v>0</v>
      </c>
      <c r="AT1285" s="238">
        <v>92000038</v>
      </c>
      <c r="AU1285" s="238" t="s">
        <v>198</v>
      </c>
      <c r="AV1285" s="238"/>
      <c r="AW1285" s="237" t="s">
        <v>199</v>
      </c>
      <c r="AX1285" s="238" t="s">
        <v>1819</v>
      </c>
      <c r="AY1285" s="238">
        <v>0</v>
      </c>
      <c r="AZ1285" s="238">
        <v>40000003</v>
      </c>
      <c r="BA1285" s="237" t="s">
        <v>200</v>
      </c>
      <c r="BB1285" s="238" t="s">
        <v>198</v>
      </c>
      <c r="BC1285" s="238">
        <v>0</v>
      </c>
      <c r="BD1285" s="238">
        <v>0</v>
      </c>
      <c r="BE1285" s="239" t="s">
        <v>2642</v>
      </c>
      <c r="BF1285" s="239" t="s">
        <v>2643</v>
      </c>
      <c r="BG1285" s="238">
        <v>0</v>
      </c>
      <c r="BH1285" s="238">
        <v>0</v>
      </c>
      <c r="BI1285" s="238">
        <v>0</v>
      </c>
      <c r="BJ1285" s="238">
        <v>0</v>
      </c>
      <c r="BK1285" s="238">
        <v>0</v>
      </c>
      <c r="BL1285" s="238">
        <v>0</v>
      </c>
      <c r="BM1285" s="242">
        <v>0</v>
      </c>
      <c r="BN1285" s="238">
        <v>1</v>
      </c>
      <c r="BO1285" s="12">
        <v>0</v>
      </c>
      <c r="BP1285" s="12">
        <v>0</v>
      </c>
      <c r="BQ1285" s="12">
        <v>0</v>
      </c>
      <c r="BR1285" s="12">
        <v>0</v>
      </c>
      <c r="BS1285" s="12">
        <v>0</v>
      </c>
      <c r="BT1285" s="12">
        <v>0</v>
      </c>
      <c r="BU1285" s="47">
        <v>0</v>
      </c>
      <c r="BV1285" s="47"/>
      <c r="BW1285" s="47"/>
    </row>
    <row r="1286" spans="1:75" ht="20.100000000000001" customHeight="1">
      <c r="C1286" s="12">
        <v>62000063</v>
      </c>
      <c r="D1286" s="13" t="s">
        <v>2644</v>
      </c>
      <c r="E1286" s="13" t="s">
        <v>2645</v>
      </c>
      <c r="F1286" s="12">
        <v>1</v>
      </c>
      <c r="G1286" s="12">
        <v>40011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12">
        <v>95100001</v>
      </c>
      <c r="AV1286" s="12"/>
      <c r="AW1286" s="13" t="s">
        <v>199</v>
      </c>
      <c r="AX1286" s="12" t="s">
        <v>1819</v>
      </c>
      <c r="AY1286" s="12">
        <v>0</v>
      </c>
      <c r="AZ1286" s="12">
        <v>0</v>
      </c>
      <c r="BA1286" s="13" t="s">
        <v>200</v>
      </c>
      <c r="BB1286" s="13" t="s">
        <v>198</v>
      </c>
      <c r="BC1286" s="12">
        <v>0</v>
      </c>
      <c r="BD1286" s="12">
        <v>0</v>
      </c>
      <c r="BE1286" s="42" t="s">
        <v>2646</v>
      </c>
      <c r="BF1286" s="42" t="s">
        <v>2647</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1:75" ht="20.25" customHeight="1">
      <c r="C1287" s="12">
        <v>62000064</v>
      </c>
      <c r="D1287" s="63" t="s">
        <v>2648</v>
      </c>
      <c r="E1287" s="63" t="s">
        <v>2649</v>
      </c>
      <c r="F1287" s="64">
        <v>1</v>
      </c>
      <c r="G1287" s="64">
        <v>40062</v>
      </c>
      <c r="H1287" s="64">
        <v>0</v>
      </c>
      <c r="I1287" s="66">
        <v>0</v>
      </c>
      <c r="J1287" s="64">
        <v>1</v>
      </c>
      <c r="K1287" s="64">
        <v>0</v>
      </c>
      <c r="L1287" s="60">
        <v>0</v>
      </c>
      <c r="M1287" s="64">
        <v>0</v>
      </c>
      <c r="N1287" s="64">
        <v>0</v>
      </c>
      <c r="O1287" s="64">
        <v>2</v>
      </c>
      <c r="P1287" s="64">
        <v>3</v>
      </c>
      <c r="Q1287" s="64">
        <v>0.15</v>
      </c>
      <c r="R1287" s="64">
        <v>0</v>
      </c>
      <c r="S1287" s="68">
        <v>0</v>
      </c>
      <c r="T1287" s="66">
        <v>0</v>
      </c>
      <c r="U1287" s="60">
        <v>1</v>
      </c>
      <c r="V1287" s="64">
        <v>2</v>
      </c>
      <c r="W1287" s="64">
        <v>0</v>
      </c>
      <c r="X1287" s="64">
        <v>3.5</v>
      </c>
      <c r="Y1287" s="12">
        <v>0</v>
      </c>
      <c r="Z1287" s="64">
        <v>2000</v>
      </c>
      <c r="AA1287" s="64">
        <v>0</v>
      </c>
      <c r="AB1287" s="64">
        <v>0</v>
      </c>
      <c r="AC1287" s="64">
        <v>0</v>
      </c>
      <c r="AD1287" s="64">
        <v>1</v>
      </c>
      <c r="AE1287" s="64">
        <v>0</v>
      </c>
      <c r="AF1287" s="64">
        <v>5</v>
      </c>
      <c r="AG1287" s="64">
        <v>1</v>
      </c>
      <c r="AH1287" s="64">
        <v>3.5</v>
      </c>
      <c r="AI1287" s="68">
        <v>0</v>
      </c>
      <c r="AJ1287" s="68">
        <v>0</v>
      </c>
      <c r="AK1287" s="12">
        <v>0</v>
      </c>
      <c r="AL1287" s="68">
        <v>4</v>
      </c>
      <c r="AM1287" s="64">
        <v>0</v>
      </c>
      <c r="AN1287" s="64">
        <v>0</v>
      </c>
      <c r="AO1287" s="64">
        <v>0</v>
      </c>
      <c r="AP1287" s="64">
        <v>0</v>
      </c>
      <c r="AQ1287" s="64">
        <v>3000</v>
      </c>
      <c r="AR1287" s="64">
        <v>0</v>
      </c>
      <c r="AS1287" s="64">
        <v>0</v>
      </c>
      <c r="AT1287" s="68">
        <v>0</v>
      </c>
      <c r="AU1287" s="64">
        <v>92005001</v>
      </c>
      <c r="AV1287" s="64"/>
      <c r="AW1287" s="59" t="s">
        <v>199</v>
      </c>
      <c r="AX1287" s="64" t="s">
        <v>534</v>
      </c>
      <c r="AY1287" s="64">
        <v>10000009</v>
      </c>
      <c r="AZ1287" s="64">
        <v>21100050</v>
      </c>
      <c r="BA1287" s="63" t="s">
        <v>200</v>
      </c>
      <c r="BB1287" s="63">
        <v>0</v>
      </c>
      <c r="BC1287" s="66">
        <v>0</v>
      </c>
      <c r="BD1287" s="66">
        <v>0</v>
      </c>
      <c r="BE1287" s="121" t="str">
        <f>"受到伤害有一定概率立即对自身范围内的怪物造成"&amp;X1287*100&amp;"%攻击伤害+"&amp;Z1287&amp;",并击退周围附近敌方目标"</f>
        <v>受到伤害有一定概率立即对自身范围内的怪物造成350%攻击伤害+2000,并击退周围附近敌方目标</v>
      </c>
      <c r="BF1287" s="121" t="s">
        <v>2650</v>
      </c>
      <c r="BG1287" s="64">
        <v>0</v>
      </c>
      <c r="BH1287" s="60">
        <v>0</v>
      </c>
      <c r="BI1287" s="64">
        <v>0</v>
      </c>
      <c r="BJ1287" s="64">
        <v>0</v>
      </c>
      <c r="BK1287" s="64">
        <v>0</v>
      </c>
      <c r="BL1287" s="64">
        <v>0</v>
      </c>
      <c r="BM1287" s="93">
        <v>0</v>
      </c>
      <c r="BN1287" s="12">
        <v>1</v>
      </c>
      <c r="BO1287" s="12">
        <v>0</v>
      </c>
      <c r="BP1287" s="12">
        <v>0</v>
      </c>
      <c r="BQ1287" s="12">
        <v>0</v>
      </c>
      <c r="BR1287" s="12">
        <v>0</v>
      </c>
      <c r="BS1287" s="12">
        <v>0</v>
      </c>
      <c r="BT1287" s="12">
        <v>0</v>
      </c>
      <c r="BU1287" s="47">
        <v>0</v>
      </c>
      <c r="BV1287" s="47"/>
      <c r="BW1287" s="47"/>
    </row>
    <row r="1288" spans="1:75" ht="20.25" customHeight="1">
      <c r="C1288" s="12">
        <v>62000065</v>
      </c>
      <c r="D1288" s="63" t="s">
        <v>2651</v>
      </c>
      <c r="E1288" s="63" t="s">
        <v>2652</v>
      </c>
      <c r="F1288" s="64">
        <v>1</v>
      </c>
      <c r="G1288" s="64">
        <v>40012</v>
      </c>
      <c r="H1288" s="64">
        <v>0</v>
      </c>
      <c r="I1288" s="66">
        <v>0</v>
      </c>
      <c r="J1288" s="64">
        <v>1</v>
      </c>
      <c r="K1288" s="64">
        <v>0</v>
      </c>
      <c r="L1288" s="60">
        <v>0</v>
      </c>
      <c r="M1288" s="64">
        <v>0</v>
      </c>
      <c r="N1288" s="64">
        <v>0</v>
      </c>
      <c r="O1288" s="64">
        <v>2</v>
      </c>
      <c r="P1288" s="64">
        <v>3</v>
      </c>
      <c r="Q1288" s="64">
        <v>0.15</v>
      </c>
      <c r="R1288" s="64">
        <v>0</v>
      </c>
      <c r="S1288" s="68">
        <v>0</v>
      </c>
      <c r="T1288" s="66">
        <v>0</v>
      </c>
      <c r="U1288" s="60">
        <v>1</v>
      </c>
      <c r="V1288" s="64">
        <v>2</v>
      </c>
      <c r="W1288" s="64">
        <v>0</v>
      </c>
      <c r="X1288" s="64">
        <v>3.5</v>
      </c>
      <c r="Y1288" s="12">
        <v>0</v>
      </c>
      <c r="Z1288" s="64">
        <v>2000</v>
      </c>
      <c r="AA1288" s="64">
        <v>0</v>
      </c>
      <c r="AB1288" s="64">
        <v>0</v>
      </c>
      <c r="AC1288" s="64">
        <v>0</v>
      </c>
      <c r="AD1288" s="64">
        <v>1</v>
      </c>
      <c r="AE1288" s="64">
        <v>0</v>
      </c>
      <c r="AF1288" s="64">
        <v>18</v>
      </c>
      <c r="AG1288" s="64">
        <v>1</v>
      </c>
      <c r="AH1288" s="64">
        <v>3.5</v>
      </c>
      <c r="AI1288" s="68">
        <v>0</v>
      </c>
      <c r="AJ1288" s="68">
        <v>0</v>
      </c>
      <c r="AK1288" s="12">
        <v>0</v>
      </c>
      <c r="AL1288" s="68">
        <v>4</v>
      </c>
      <c r="AM1288" s="64">
        <v>0</v>
      </c>
      <c r="AN1288" s="64">
        <v>0</v>
      </c>
      <c r="AO1288" s="64">
        <v>0</v>
      </c>
      <c r="AP1288" s="64">
        <v>0</v>
      </c>
      <c r="AQ1288" s="64">
        <v>3000</v>
      </c>
      <c r="AR1288" s="64">
        <v>0</v>
      </c>
      <c r="AS1288" s="64">
        <v>0</v>
      </c>
      <c r="AT1288" s="68">
        <v>92000039</v>
      </c>
      <c r="AU1288" s="64">
        <v>92000040</v>
      </c>
      <c r="AV1288" s="64"/>
      <c r="AW1288" s="59" t="s">
        <v>199</v>
      </c>
      <c r="AX1288" s="64" t="s">
        <v>534</v>
      </c>
      <c r="AY1288" s="64">
        <v>10000009</v>
      </c>
      <c r="AZ1288" s="64">
        <v>21100050</v>
      </c>
      <c r="BA1288" s="63" t="s">
        <v>200</v>
      </c>
      <c r="BB1288" s="63">
        <v>0</v>
      </c>
      <c r="BC1288" s="66">
        <v>0</v>
      </c>
      <c r="BD1288" s="66">
        <v>0</v>
      </c>
      <c r="BE1288" s="121" t="str">
        <f>"立即恢复自身10%血量,受到伤害有一定概率立即对自身范围内的怪物造成"&amp;X1288*100&amp;"%攻击伤害+"&amp;Z1288&amp;",并对造成2秒眩晕"</f>
        <v>立即恢复自身10%血量,受到伤害有一定概率立即对自身范围内的怪物造成350%攻击伤害+2000,并对造成2秒眩晕</v>
      </c>
      <c r="BF1288" s="121" t="s">
        <v>2653</v>
      </c>
      <c r="BG1288" s="64">
        <v>0</v>
      </c>
      <c r="BH1288" s="60">
        <v>0</v>
      </c>
      <c r="BI1288" s="64">
        <v>0</v>
      </c>
      <c r="BJ1288" s="64">
        <v>0</v>
      </c>
      <c r="BK1288" s="64">
        <v>0</v>
      </c>
      <c r="BL1288" s="64">
        <v>0</v>
      </c>
      <c r="BM1288" s="93">
        <v>0</v>
      </c>
      <c r="BN1288" s="12">
        <v>1</v>
      </c>
      <c r="BO1288" s="12">
        <v>0</v>
      </c>
      <c r="BP1288" s="12">
        <v>0</v>
      </c>
      <c r="BQ1288" s="12">
        <v>0</v>
      </c>
      <c r="BR1288" s="12">
        <v>0</v>
      </c>
      <c r="BS1288" s="12">
        <v>0</v>
      </c>
      <c r="BT1288" s="12">
        <v>0</v>
      </c>
      <c r="BU1288" s="47">
        <v>0</v>
      </c>
      <c r="BV1288" s="47"/>
      <c r="BW1288" s="47"/>
    </row>
    <row r="1289" spans="1:75" ht="20.100000000000001" customHeight="1">
      <c r="C1289" s="238">
        <v>62000066</v>
      </c>
      <c r="D1289" s="237" t="s">
        <v>2654</v>
      </c>
      <c r="E1289" s="237" t="s">
        <v>2655</v>
      </c>
      <c r="F1289" s="238">
        <v>1</v>
      </c>
      <c r="G1289" s="238">
        <v>40021</v>
      </c>
      <c r="H1289" s="238">
        <v>0</v>
      </c>
      <c r="I1289" s="238">
        <v>0</v>
      </c>
      <c r="J1289" s="238">
        <v>1</v>
      </c>
      <c r="K1289" s="238">
        <v>0</v>
      </c>
      <c r="L1289" s="238">
        <v>0</v>
      </c>
      <c r="M1289" s="238">
        <v>0</v>
      </c>
      <c r="N1289" s="238">
        <v>0</v>
      </c>
      <c r="O1289" s="238">
        <v>2</v>
      </c>
      <c r="P1289" s="238">
        <v>1</v>
      </c>
      <c r="Q1289" s="238">
        <v>1</v>
      </c>
      <c r="R1289" s="238">
        <v>0</v>
      </c>
      <c r="S1289" s="238">
        <v>0</v>
      </c>
      <c r="T1289" s="238">
        <v>0</v>
      </c>
      <c r="U1289" s="238">
        <v>1</v>
      </c>
      <c r="V1289" s="238">
        <v>2</v>
      </c>
      <c r="W1289" s="238">
        <v>0</v>
      </c>
      <c r="X1289" s="238">
        <v>0</v>
      </c>
      <c r="Y1289" s="12">
        <v>0</v>
      </c>
      <c r="Z1289" s="238">
        <v>0</v>
      </c>
      <c r="AA1289" s="238">
        <v>0</v>
      </c>
      <c r="AB1289" s="238">
        <v>0</v>
      </c>
      <c r="AC1289" s="238">
        <v>0</v>
      </c>
      <c r="AD1289" s="238">
        <v>1</v>
      </c>
      <c r="AE1289" s="238">
        <v>0</v>
      </c>
      <c r="AF1289" s="238">
        <v>1</v>
      </c>
      <c r="AG1289" s="238">
        <v>0</v>
      </c>
      <c r="AH1289" s="238">
        <v>0</v>
      </c>
      <c r="AI1289" s="238">
        <v>2</v>
      </c>
      <c r="AJ1289" s="238">
        <v>0</v>
      </c>
      <c r="AK1289" s="238">
        <v>0</v>
      </c>
      <c r="AL1289" s="238">
        <v>0</v>
      </c>
      <c r="AM1289" s="238">
        <v>0</v>
      </c>
      <c r="AN1289" s="238">
        <v>0</v>
      </c>
      <c r="AO1289" s="238">
        <v>0</v>
      </c>
      <c r="AP1289" s="238">
        <v>0</v>
      </c>
      <c r="AQ1289" s="238">
        <v>1000</v>
      </c>
      <c r="AR1289" s="238">
        <v>0</v>
      </c>
      <c r="AS1289" s="238">
        <v>0</v>
      </c>
      <c r="AT1289" s="357" t="s">
        <v>2656</v>
      </c>
      <c r="AU1289" s="238" t="s">
        <v>198</v>
      </c>
      <c r="AV1289" s="238"/>
      <c r="AW1289" s="237" t="s">
        <v>199</v>
      </c>
      <c r="AX1289" s="238" t="s">
        <v>1819</v>
      </c>
      <c r="AY1289" s="238">
        <v>0</v>
      </c>
      <c r="AZ1289" s="238">
        <v>40000003</v>
      </c>
      <c r="BA1289" s="237" t="s">
        <v>200</v>
      </c>
      <c r="BB1289" s="238" t="s">
        <v>198</v>
      </c>
      <c r="BC1289" s="238">
        <v>0</v>
      </c>
      <c r="BD1289" s="238">
        <v>0</v>
      </c>
      <c r="BE1289" s="239" t="s">
        <v>2657</v>
      </c>
      <c r="BF1289" s="239" t="s">
        <v>2658</v>
      </c>
      <c r="BG1289" s="238">
        <v>0</v>
      </c>
      <c r="BH1289" s="238">
        <v>0</v>
      </c>
      <c r="BI1289" s="238">
        <v>0</v>
      </c>
      <c r="BJ1289" s="238">
        <v>0</v>
      </c>
      <c r="BK1289" s="238">
        <v>0</v>
      </c>
      <c r="BL1289" s="238">
        <v>0</v>
      </c>
      <c r="BM1289" s="242">
        <v>0</v>
      </c>
      <c r="BN1289" s="238">
        <v>1</v>
      </c>
      <c r="BO1289" s="12">
        <v>0</v>
      </c>
      <c r="BP1289" s="12">
        <v>0</v>
      </c>
      <c r="BQ1289" s="12">
        <v>0</v>
      </c>
      <c r="BR1289" s="12">
        <v>0</v>
      </c>
      <c r="BS1289" s="12">
        <v>0</v>
      </c>
      <c r="BT1289" s="12">
        <v>0</v>
      </c>
      <c r="BU1289" s="47">
        <v>0</v>
      </c>
      <c r="BV1289" s="47"/>
      <c r="BW1289" s="47"/>
    </row>
    <row r="1290" spans="1:75" s="4" customFormat="1" ht="20.100000000000001" customHeight="1">
      <c r="A1290" s="229"/>
      <c r="B1290" s="229"/>
      <c r="C1290" s="12">
        <v>62000067</v>
      </c>
      <c r="D1290" s="49" t="s">
        <v>2341</v>
      </c>
      <c r="E1290" s="49" t="s">
        <v>2342</v>
      </c>
      <c r="F1290" s="211">
        <v>1</v>
      </c>
      <c r="G1290" s="48">
        <v>40042</v>
      </c>
      <c r="H1290" s="48">
        <v>0</v>
      </c>
      <c r="I1290" s="48">
        <v>0</v>
      </c>
      <c r="J1290" s="16">
        <v>1</v>
      </c>
      <c r="K1290" s="48">
        <v>0</v>
      </c>
      <c r="L1290" s="48">
        <v>0</v>
      </c>
      <c r="M1290" s="48">
        <v>0</v>
      </c>
      <c r="N1290" s="48">
        <v>0</v>
      </c>
      <c r="O1290" s="48">
        <v>1</v>
      </c>
      <c r="P1290" s="48">
        <v>0</v>
      </c>
      <c r="Q1290" s="48">
        <v>0</v>
      </c>
      <c r="R1290" s="48">
        <v>0</v>
      </c>
      <c r="S1290" s="48">
        <v>0</v>
      </c>
      <c r="T1290" s="48">
        <v>0</v>
      </c>
      <c r="U1290" s="48">
        <v>1</v>
      </c>
      <c r="V1290" s="48">
        <v>1</v>
      </c>
      <c r="W1290" s="48">
        <v>0</v>
      </c>
      <c r="X1290" s="48">
        <v>3.5</v>
      </c>
      <c r="Y1290" s="12">
        <v>0</v>
      </c>
      <c r="Z1290" s="48">
        <v>0</v>
      </c>
      <c r="AA1290" s="48">
        <v>0</v>
      </c>
      <c r="AB1290" s="48">
        <v>0</v>
      </c>
      <c r="AC1290" s="48">
        <v>0</v>
      </c>
      <c r="AD1290" s="48">
        <v>0</v>
      </c>
      <c r="AE1290" s="48">
        <v>0</v>
      </c>
      <c r="AF1290" s="48">
        <v>12</v>
      </c>
      <c r="AG1290" s="48">
        <v>1</v>
      </c>
      <c r="AH1290" s="48">
        <v>3</v>
      </c>
      <c r="AI1290" s="48">
        <v>3</v>
      </c>
      <c r="AJ1290" s="48">
        <v>0</v>
      </c>
      <c r="AK1290" s="48">
        <v>0</v>
      </c>
      <c r="AL1290" s="48">
        <v>1.5</v>
      </c>
      <c r="AM1290" s="48">
        <v>0</v>
      </c>
      <c r="AN1290" s="48">
        <v>0</v>
      </c>
      <c r="AO1290" s="48">
        <v>0</v>
      </c>
      <c r="AP1290" s="48">
        <v>0.2</v>
      </c>
      <c r="AQ1290" s="48">
        <v>2000</v>
      </c>
      <c r="AR1290" s="48">
        <v>0.4</v>
      </c>
      <c r="AS1290" s="48">
        <v>0</v>
      </c>
      <c r="AT1290" s="48">
        <v>0</v>
      </c>
      <c r="AU1290" s="358" t="s">
        <v>2659</v>
      </c>
      <c r="AV1290" s="244"/>
      <c r="AW1290" s="19" t="s">
        <v>198</v>
      </c>
      <c r="AX1290" s="48" t="s">
        <v>545</v>
      </c>
      <c r="AY1290" s="48">
        <v>10000001</v>
      </c>
      <c r="AZ1290" s="48">
        <v>77005302</v>
      </c>
      <c r="BA1290" s="49" t="s">
        <v>200</v>
      </c>
      <c r="BB1290" s="48" t="s">
        <v>2660</v>
      </c>
      <c r="BC1290" s="48">
        <v>0</v>
      </c>
      <c r="BD1290" s="48">
        <v>0</v>
      </c>
      <c r="BE1290" s="53" t="s">
        <v>2661</v>
      </c>
      <c r="BF1290" s="53" t="s">
        <v>2662</v>
      </c>
      <c r="BG1290" s="48">
        <v>0</v>
      </c>
      <c r="BH1290" s="48">
        <v>0</v>
      </c>
      <c r="BI1290" s="48">
        <v>0</v>
      </c>
      <c r="BJ1290" s="48">
        <v>0</v>
      </c>
      <c r="BK1290" s="48">
        <v>0</v>
      </c>
      <c r="BL1290" s="48">
        <v>0</v>
      </c>
      <c r="BM1290" s="233">
        <v>0</v>
      </c>
      <c r="BN1290" s="48">
        <v>0</v>
      </c>
      <c r="BO1290" s="48">
        <v>0</v>
      </c>
      <c r="BP1290" s="48">
        <v>0</v>
      </c>
      <c r="BQ1290" s="48">
        <v>0</v>
      </c>
      <c r="BR1290" s="48">
        <v>0</v>
      </c>
      <c r="BS1290" s="48">
        <v>1</v>
      </c>
      <c r="BT1290" s="48">
        <v>0</v>
      </c>
      <c r="BU1290" s="48">
        <v>0</v>
      </c>
      <c r="BV1290" s="47"/>
      <c r="BW1290" s="47"/>
    </row>
    <row r="1291" spans="1:75" ht="20.100000000000001" customHeight="1">
      <c r="C1291" s="12">
        <v>62000068</v>
      </c>
      <c r="D1291" s="17" t="s">
        <v>2621</v>
      </c>
      <c r="E1291" s="17" t="s">
        <v>2622</v>
      </c>
      <c r="F1291" s="16">
        <v>1</v>
      </c>
      <c r="G1291" s="16">
        <v>40033</v>
      </c>
      <c r="H1291" s="18">
        <v>0</v>
      </c>
      <c r="I1291" s="27">
        <v>0</v>
      </c>
      <c r="J1291" s="18">
        <v>1</v>
      </c>
      <c r="K1291" s="18">
        <v>0</v>
      </c>
      <c r="L1291" s="18">
        <v>0</v>
      </c>
      <c r="M1291" s="16">
        <v>0</v>
      </c>
      <c r="N1291" s="16">
        <v>0</v>
      </c>
      <c r="O1291" s="16">
        <v>5</v>
      </c>
      <c r="P1291" s="16">
        <v>0</v>
      </c>
      <c r="Q1291" s="16">
        <v>0</v>
      </c>
      <c r="R1291" s="16">
        <v>0</v>
      </c>
      <c r="S1291" s="12">
        <v>0</v>
      </c>
      <c r="T1291" s="16">
        <v>0</v>
      </c>
      <c r="U1291" s="16">
        <v>1</v>
      </c>
      <c r="V1291" s="16">
        <v>2</v>
      </c>
      <c r="W1291" s="16">
        <v>0</v>
      </c>
      <c r="X1291" s="16">
        <v>0</v>
      </c>
      <c r="Y1291" s="12">
        <v>0</v>
      </c>
      <c r="Z1291" s="16">
        <v>0</v>
      </c>
      <c r="AA1291" s="16">
        <v>0</v>
      </c>
      <c r="AB1291" s="16">
        <v>0</v>
      </c>
      <c r="AC1291" s="16">
        <v>0</v>
      </c>
      <c r="AD1291" s="16">
        <v>0</v>
      </c>
      <c r="AE1291" s="16">
        <v>0</v>
      </c>
      <c r="AF1291" s="16">
        <v>9</v>
      </c>
      <c r="AG1291" s="16">
        <v>2</v>
      </c>
      <c r="AH1291" s="16" t="s">
        <v>213</v>
      </c>
      <c r="AI1291" s="12">
        <v>2</v>
      </c>
      <c r="AJ1291" s="12">
        <v>2</v>
      </c>
      <c r="AK1291" s="12">
        <v>0</v>
      </c>
      <c r="AL1291" s="12">
        <v>1.5</v>
      </c>
      <c r="AM1291" s="16">
        <v>0</v>
      </c>
      <c r="AN1291" s="16">
        <v>0</v>
      </c>
      <c r="AO1291" s="16">
        <v>0</v>
      </c>
      <c r="AP1291" s="16">
        <v>1</v>
      </c>
      <c r="AQ1291" s="16">
        <v>3000</v>
      </c>
      <c r="AR1291" s="16">
        <v>0.5</v>
      </c>
      <c r="AS1291" s="16">
        <v>0</v>
      </c>
      <c r="AT1291" s="12">
        <v>0</v>
      </c>
      <c r="AU1291" s="16" t="s">
        <v>198</v>
      </c>
      <c r="AV1291" s="16"/>
      <c r="AW1291" s="17" t="s">
        <v>199</v>
      </c>
      <c r="AX1291" s="16">
        <v>0</v>
      </c>
      <c r="AY1291" s="18">
        <v>0</v>
      </c>
      <c r="AZ1291" s="18">
        <v>0</v>
      </c>
      <c r="BA1291" s="17" t="s">
        <v>200</v>
      </c>
      <c r="BB1291" s="16" t="s">
        <v>2623</v>
      </c>
      <c r="BC1291" s="27">
        <v>0</v>
      </c>
      <c r="BD1291" s="27">
        <v>1</v>
      </c>
      <c r="BE1291" s="44" t="s">
        <v>2624</v>
      </c>
      <c r="BF1291" s="44" t="s">
        <v>2625</v>
      </c>
      <c r="BG1291" s="16"/>
      <c r="BH1291" s="16">
        <v>0</v>
      </c>
      <c r="BI1291" s="16"/>
      <c r="BJ1291" s="16"/>
      <c r="BK1291" s="16"/>
      <c r="BL1291" s="18"/>
      <c r="BM1291" s="16">
        <v>0</v>
      </c>
      <c r="BN1291" s="12">
        <v>0</v>
      </c>
      <c r="BO1291" s="12">
        <v>0</v>
      </c>
      <c r="BP1291" s="12">
        <v>0</v>
      </c>
      <c r="BQ1291" s="12">
        <v>0</v>
      </c>
      <c r="BR1291" s="12">
        <v>0</v>
      </c>
      <c r="BS1291" s="12">
        <v>0</v>
      </c>
      <c r="BT1291" s="12">
        <v>0</v>
      </c>
      <c r="BU1291" s="47">
        <v>0</v>
      </c>
      <c r="BV1291" s="47"/>
      <c r="BW1291" s="47"/>
    </row>
    <row r="1292" spans="1:75" ht="20.100000000000001" customHeight="1">
      <c r="C1292" s="12">
        <v>62000069</v>
      </c>
      <c r="D1292" s="13" t="s">
        <v>2608</v>
      </c>
      <c r="E1292" s="13" t="s">
        <v>2609</v>
      </c>
      <c r="F1292" s="12">
        <v>1</v>
      </c>
      <c r="G1292" s="12">
        <v>40051</v>
      </c>
      <c r="H1292" s="12">
        <v>0</v>
      </c>
      <c r="I1292" s="12">
        <v>0</v>
      </c>
      <c r="J1292" s="12">
        <v>1</v>
      </c>
      <c r="K1292" s="12">
        <v>0</v>
      </c>
      <c r="L1292" s="16">
        <v>0</v>
      </c>
      <c r="M1292" s="12">
        <v>0</v>
      </c>
      <c r="N1292" s="12">
        <v>0</v>
      </c>
      <c r="O1292" s="12">
        <v>2</v>
      </c>
      <c r="P1292" s="12">
        <v>19</v>
      </c>
      <c r="Q1292" s="12">
        <v>1</v>
      </c>
      <c r="R1292" s="12">
        <v>0</v>
      </c>
      <c r="S1292" s="12">
        <v>0</v>
      </c>
      <c r="T1292" s="12">
        <v>0</v>
      </c>
      <c r="U1292" s="12">
        <v>1</v>
      </c>
      <c r="V1292" s="12">
        <v>2</v>
      </c>
      <c r="W1292" s="12">
        <v>0</v>
      </c>
      <c r="X1292" s="12">
        <v>0</v>
      </c>
      <c r="Y1292" s="12">
        <v>0</v>
      </c>
      <c r="Z1292" s="12">
        <v>0</v>
      </c>
      <c r="AA1292" s="12">
        <v>0</v>
      </c>
      <c r="AB1292" s="12">
        <v>0</v>
      </c>
      <c r="AC1292" s="12">
        <v>0</v>
      </c>
      <c r="AD1292" s="12">
        <v>1</v>
      </c>
      <c r="AE1292" s="12">
        <v>0</v>
      </c>
      <c r="AF1292" s="12">
        <v>1</v>
      </c>
      <c r="AG1292" s="12">
        <v>0</v>
      </c>
      <c r="AH1292" s="12">
        <v>0</v>
      </c>
      <c r="AI1292" s="12">
        <v>2</v>
      </c>
      <c r="AJ1292" s="12">
        <v>0</v>
      </c>
      <c r="AK1292" s="12">
        <v>0</v>
      </c>
      <c r="AL1292" s="12">
        <v>0</v>
      </c>
      <c r="AM1292" s="12">
        <v>0</v>
      </c>
      <c r="AN1292" s="12">
        <v>0</v>
      </c>
      <c r="AO1292" s="12">
        <v>0</v>
      </c>
      <c r="AP1292" s="12">
        <v>0</v>
      </c>
      <c r="AQ1292" s="12">
        <v>1000</v>
      </c>
      <c r="AR1292" s="12">
        <v>0</v>
      </c>
      <c r="AS1292" s="12">
        <v>0</v>
      </c>
      <c r="AT1292" s="12">
        <v>92000043</v>
      </c>
      <c r="AU1292" s="12" t="s">
        <v>198</v>
      </c>
      <c r="AV1292" s="12"/>
      <c r="AW1292" s="13" t="s">
        <v>199</v>
      </c>
      <c r="AX1292" s="12" t="s">
        <v>1819</v>
      </c>
      <c r="AY1292" s="12">
        <v>0</v>
      </c>
      <c r="AZ1292" s="12">
        <v>40000003</v>
      </c>
      <c r="BA1292" s="13" t="s">
        <v>200</v>
      </c>
      <c r="BB1292" s="13" t="s">
        <v>198</v>
      </c>
      <c r="BC1292" s="12">
        <v>0</v>
      </c>
      <c r="BD1292" s="12">
        <v>0</v>
      </c>
      <c r="BE1292" s="42" t="s">
        <v>2610</v>
      </c>
      <c r="BF1292" s="42" t="s">
        <v>2611</v>
      </c>
      <c r="BG1292" s="12">
        <v>0</v>
      </c>
      <c r="BH1292" s="12">
        <v>0</v>
      </c>
      <c r="BI1292" s="12">
        <v>0</v>
      </c>
      <c r="BJ1292" s="12">
        <v>0</v>
      </c>
      <c r="BK1292" s="12">
        <v>0</v>
      </c>
      <c r="BL1292" s="12">
        <v>0</v>
      </c>
      <c r="BM1292" s="185">
        <v>0</v>
      </c>
      <c r="BN1292" s="12">
        <v>1</v>
      </c>
      <c r="BO1292" s="12">
        <v>0</v>
      </c>
      <c r="BP1292" s="12">
        <v>0</v>
      </c>
      <c r="BQ1292" s="12">
        <v>0</v>
      </c>
      <c r="BR1292" s="12">
        <v>0</v>
      </c>
      <c r="BS1292" s="12">
        <v>0</v>
      </c>
      <c r="BT1292" s="12">
        <v>0</v>
      </c>
      <c r="BU1292" s="47">
        <v>0</v>
      </c>
      <c r="BV1292" s="47"/>
      <c r="BW1292" s="47"/>
    </row>
    <row r="1293" spans="1:75" s="1" customFormat="1" ht="19.5" customHeight="1">
      <c r="A1293" s="216"/>
      <c r="B1293" s="216"/>
      <c r="C1293" s="12">
        <v>62000070</v>
      </c>
      <c r="D1293" s="59" t="s">
        <v>2172</v>
      </c>
      <c r="E1293" s="59" t="s">
        <v>2173</v>
      </c>
      <c r="F1293" s="172">
        <v>1</v>
      </c>
      <c r="G1293" s="64">
        <v>40061</v>
      </c>
      <c r="H1293" s="64">
        <v>0</v>
      </c>
      <c r="I1293" s="66">
        <v>0</v>
      </c>
      <c r="J1293" s="16">
        <v>1</v>
      </c>
      <c r="K1293" s="16">
        <v>0</v>
      </c>
      <c r="L1293" s="64">
        <v>0</v>
      </c>
      <c r="M1293" s="60">
        <v>0</v>
      </c>
      <c r="N1293" s="60">
        <v>0</v>
      </c>
      <c r="O1293" s="60">
        <v>2</v>
      </c>
      <c r="P1293" s="60">
        <v>7</v>
      </c>
      <c r="Q1293" s="60">
        <v>0.05</v>
      </c>
      <c r="R1293" s="60">
        <v>0</v>
      </c>
      <c r="S1293" s="68">
        <v>0</v>
      </c>
      <c r="T1293" s="60">
        <v>0</v>
      </c>
      <c r="U1293" s="60">
        <v>1</v>
      </c>
      <c r="V1293" s="60">
        <v>1</v>
      </c>
      <c r="W1293" s="60">
        <v>0</v>
      </c>
      <c r="X1293" s="60">
        <v>0</v>
      </c>
      <c r="Y1293" s="12">
        <v>0</v>
      </c>
      <c r="Z1293" s="60">
        <v>0</v>
      </c>
      <c r="AA1293" s="60">
        <v>0</v>
      </c>
      <c r="AB1293" s="60">
        <v>0</v>
      </c>
      <c r="AC1293" s="60">
        <v>0</v>
      </c>
      <c r="AD1293" s="60">
        <v>0</v>
      </c>
      <c r="AE1293" s="60">
        <v>0</v>
      </c>
      <c r="AF1293" s="60">
        <v>10</v>
      </c>
      <c r="AG1293" s="60">
        <v>0</v>
      </c>
      <c r="AH1293" s="60">
        <v>0</v>
      </c>
      <c r="AI1293" s="68">
        <v>0</v>
      </c>
      <c r="AJ1293" s="68">
        <v>0</v>
      </c>
      <c r="AK1293" s="68">
        <v>0</v>
      </c>
      <c r="AL1293" s="68">
        <v>1.5</v>
      </c>
      <c r="AM1293" s="60">
        <v>0</v>
      </c>
      <c r="AN1293" s="60">
        <v>0</v>
      </c>
      <c r="AO1293" s="60">
        <v>0</v>
      </c>
      <c r="AP1293" s="64">
        <v>0.2</v>
      </c>
      <c r="AQ1293" s="60">
        <v>3000</v>
      </c>
      <c r="AR1293" s="60">
        <v>0.2</v>
      </c>
      <c r="AS1293" s="60">
        <v>0</v>
      </c>
      <c r="AT1293" s="68">
        <v>0</v>
      </c>
      <c r="AU1293" s="60" t="s">
        <v>198</v>
      </c>
      <c r="AV1293" s="60"/>
      <c r="AW1293" s="19" t="s">
        <v>199</v>
      </c>
      <c r="AX1293" s="60" t="s">
        <v>545</v>
      </c>
      <c r="AY1293" s="64">
        <v>0</v>
      </c>
      <c r="AZ1293" s="64">
        <v>21300030</v>
      </c>
      <c r="BA1293" s="59" t="s">
        <v>1174</v>
      </c>
      <c r="BB1293" s="352" t="s">
        <v>2663</v>
      </c>
      <c r="BC1293" s="66">
        <v>0</v>
      </c>
      <c r="BD1293" s="66">
        <v>0</v>
      </c>
      <c r="BE1293" s="90" t="s">
        <v>2175</v>
      </c>
      <c r="BF1293" s="90" t="s">
        <v>2176</v>
      </c>
      <c r="BG1293" s="60">
        <v>0</v>
      </c>
      <c r="BH1293" s="60">
        <v>0</v>
      </c>
      <c r="BI1293" s="60">
        <v>0</v>
      </c>
      <c r="BJ1293" s="60">
        <v>0</v>
      </c>
      <c r="BK1293" s="60">
        <v>0</v>
      </c>
      <c r="BL1293" s="60">
        <v>0</v>
      </c>
      <c r="BM1293" s="93">
        <v>0</v>
      </c>
      <c r="BN1293" s="68">
        <v>0</v>
      </c>
      <c r="BO1293" s="68">
        <v>0</v>
      </c>
      <c r="BP1293" s="68">
        <v>0</v>
      </c>
      <c r="BQ1293" s="68">
        <v>0</v>
      </c>
      <c r="BR1293" s="68">
        <v>0</v>
      </c>
      <c r="BS1293" s="68">
        <v>0</v>
      </c>
      <c r="BT1293" s="68">
        <v>0</v>
      </c>
      <c r="BU1293" s="68">
        <v>0</v>
      </c>
      <c r="BV1293" s="47"/>
      <c r="BW1293" s="47"/>
    </row>
    <row r="1294" spans="1:75" ht="20.25" customHeight="1">
      <c r="C1294" s="18">
        <v>62000101</v>
      </c>
      <c r="D1294" s="19" t="s">
        <v>2664</v>
      </c>
      <c r="E1294" s="19" t="s">
        <v>2665</v>
      </c>
      <c r="F1294" s="18">
        <v>1</v>
      </c>
      <c r="G1294" s="18">
        <v>62000101</v>
      </c>
      <c r="H1294" s="18">
        <v>0</v>
      </c>
      <c r="I1294" s="27">
        <v>0</v>
      </c>
      <c r="J1294" s="18">
        <v>1</v>
      </c>
      <c r="K1294" s="18">
        <v>0</v>
      </c>
      <c r="L1294" s="16">
        <v>0</v>
      </c>
      <c r="M1294" s="18">
        <v>0</v>
      </c>
      <c r="N1294" s="18">
        <v>0</v>
      </c>
      <c r="O1294" s="18">
        <v>1</v>
      </c>
      <c r="P1294" s="18">
        <v>0</v>
      </c>
      <c r="Q1294" s="18">
        <v>0</v>
      </c>
      <c r="R1294" s="18">
        <v>0</v>
      </c>
      <c r="S1294" s="12">
        <v>0</v>
      </c>
      <c r="T1294" s="27">
        <v>0</v>
      </c>
      <c r="U1294" s="16">
        <v>1</v>
      </c>
      <c r="V1294" s="18">
        <v>1</v>
      </c>
      <c r="W1294" s="18">
        <v>0</v>
      </c>
      <c r="X1294" s="18">
        <v>3.5</v>
      </c>
      <c r="Y1294" s="12">
        <v>0</v>
      </c>
      <c r="Z1294" s="18">
        <v>1000</v>
      </c>
      <c r="AA1294" s="18">
        <v>0</v>
      </c>
      <c r="AB1294" s="18">
        <v>0</v>
      </c>
      <c r="AC1294" s="18">
        <v>0</v>
      </c>
      <c r="AD1294" s="18">
        <v>0</v>
      </c>
      <c r="AE1294" s="18">
        <v>0</v>
      </c>
      <c r="AF1294" s="18">
        <v>12</v>
      </c>
      <c r="AG1294" s="18">
        <v>0</v>
      </c>
      <c r="AH1294" s="18">
        <v>3</v>
      </c>
      <c r="AI1294" s="12">
        <v>7</v>
      </c>
      <c r="AJ1294" s="12">
        <v>0</v>
      </c>
      <c r="AK1294" s="12">
        <v>0</v>
      </c>
      <c r="AL1294" s="12">
        <v>10</v>
      </c>
      <c r="AM1294" s="18">
        <v>0</v>
      </c>
      <c r="AN1294" s="18">
        <v>0</v>
      </c>
      <c r="AO1294" s="18">
        <v>0</v>
      </c>
      <c r="AP1294" s="18">
        <v>0</v>
      </c>
      <c r="AQ1294" s="18">
        <v>3000</v>
      </c>
      <c r="AR1294" s="18">
        <v>0.5</v>
      </c>
      <c r="AS1294" s="18">
        <v>20</v>
      </c>
      <c r="AT1294" s="12">
        <v>0</v>
      </c>
      <c r="AU1294" s="18" t="s">
        <v>198</v>
      </c>
      <c r="AV1294" s="18"/>
      <c r="AW1294" s="17" t="s">
        <v>242</v>
      </c>
      <c r="AX1294" s="18" t="s">
        <v>1677</v>
      </c>
      <c r="AY1294" s="18">
        <v>10000011</v>
      </c>
      <c r="AZ1294" s="18">
        <v>20001010</v>
      </c>
      <c r="BA1294" s="19" t="s">
        <v>250</v>
      </c>
      <c r="BB1294" s="19" t="s">
        <v>198</v>
      </c>
      <c r="BC1294" s="27">
        <v>0</v>
      </c>
      <c r="BD1294" s="27">
        <v>0</v>
      </c>
      <c r="BE1294" s="44" t="s">
        <v>2666</v>
      </c>
      <c r="BF1294" s="44" t="s">
        <v>2667</v>
      </c>
      <c r="BG1294" s="18">
        <v>0</v>
      </c>
      <c r="BH1294" s="16">
        <v>0</v>
      </c>
      <c r="BI1294" s="18">
        <v>0</v>
      </c>
      <c r="BJ1294" s="18">
        <v>0</v>
      </c>
      <c r="BK1294" s="18">
        <v>0</v>
      </c>
      <c r="BL1294" s="18">
        <v>0</v>
      </c>
      <c r="BM1294" s="15">
        <v>0</v>
      </c>
      <c r="BN1294" s="12">
        <v>0</v>
      </c>
      <c r="BO1294" s="12">
        <v>0</v>
      </c>
      <c r="BP1294" s="12">
        <v>0</v>
      </c>
      <c r="BQ1294" s="12">
        <v>0</v>
      </c>
      <c r="BR1294" s="12">
        <v>0</v>
      </c>
      <c r="BS1294" s="12">
        <v>0</v>
      </c>
      <c r="BT1294" s="12">
        <v>0</v>
      </c>
      <c r="BU1294" s="47">
        <v>0</v>
      </c>
      <c r="BV1294" s="47"/>
      <c r="BW1294" s="47"/>
    </row>
    <row r="1295" spans="1:75" ht="20.25" customHeight="1">
      <c r="C1295" s="64">
        <v>62000102</v>
      </c>
      <c r="D1295" s="63" t="s">
        <v>1683</v>
      </c>
      <c r="E1295" s="63" t="s">
        <v>1684</v>
      </c>
      <c r="F1295" s="64">
        <v>1</v>
      </c>
      <c r="G1295" s="64">
        <v>62011201</v>
      </c>
      <c r="H1295" s="64">
        <v>0</v>
      </c>
      <c r="I1295" s="66">
        <v>0</v>
      </c>
      <c r="J1295" s="64">
        <v>1</v>
      </c>
      <c r="K1295" s="64">
        <v>0</v>
      </c>
      <c r="L1295" s="60">
        <v>0</v>
      </c>
      <c r="M1295" s="64">
        <v>0</v>
      </c>
      <c r="N1295" s="64">
        <v>0</v>
      </c>
      <c r="O1295" s="64">
        <v>2</v>
      </c>
      <c r="P1295" s="64">
        <v>1</v>
      </c>
      <c r="Q1295" s="64">
        <v>0.1</v>
      </c>
      <c r="R1295" s="64">
        <v>0</v>
      </c>
      <c r="S1295" s="68">
        <v>0</v>
      </c>
      <c r="T1295" s="66">
        <v>0</v>
      </c>
      <c r="U1295" s="60">
        <v>1</v>
      </c>
      <c r="V1295" s="64">
        <v>2</v>
      </c>
      <c r="W1295" s="64">
        <v>0</v>
      </c>
      <c r="X1295" s="64">
        <v>1.8</v>
      </c>
      <c r="Y1295" s="12">
        <v>0</v>
      </c>
      <c r="Z1295" s="64">
        <v>700</v>
      </c>
      <c r="AA1295" s="64">
        <v>0</v>
      </c>
      <c r="AB1295" s="64">
        <v>0</v>
      </c>
      <c r="AC1295" s="64">
        <v>0</v>
      </c>
      <c r="AD1295" s="64">
        <v>1</v>
      </c>
      <c r="AE1295" s="64">
        <v>0</v>
      </c>
      <c r="AF1295" s="64">
        <v>10</v>
      </c>
      <c r="AG1295" s="64">
        <v>1</v>
      </c>
      <c r="AH1295" s="64">
        <v>1</v>
      </c>
      <c r="AI1295" s="68">
        <v>2</v>
      </c>
      <c r="AJ1295" s="68">
        <v>2</v>
      </c>
      <c r="AK1295" s="12">
        <v>0</v>
      </c>
      <c r="AL1295" s="68">
        <v>4</v>
      </c>
      <c r="AM1295" s="64">
        <v>0</v>
      </c>
      <c r="AN1295" s="64">
        <v>0</v>
      </c>
      <c r="AO1295" s="64">
        <v>0</v>
      </c>
      <c r="AP1295" s="64">
        <v>0.5</v>
      </c>
      <c r="AQ1295" s="64">
        <v>30000</v>
      </c>
      <c r="AR1295" s="64">
        <v>0.5</v>
      </c>
      <c r="AS1295" s="64">
        <v>10</v>
      </c>
      <c r="AT1295" s="68">
        <v>0</v>
      </c>
      <c r="AU1295" s="64">
        <v>92002001</v>
      </c>
      <c r="AV1295" s="64"/>
      <c r="AW1295" s="59" t="s">
        <v>199</v>
      </c>
      <c r="AX1295" s="64" t="s">
        <v>545</v>
      </c>
      <c r="AY1295" s="64">
        <v>10003002</v>
      </c>
      <c r="AZ1295" s="64">
        <v>21100020</v>
      </c>
      <c r="BA1295" s="63" t="s">
        <v>586</v>
      </c>
      <c r="BB1295" s="63">
        <v>0</v>
      </c>
      <c r="BC1295" s="66">
        <v>0</v>
      </c>
      <c r="BD1295" s="66">
        <v>0</v>
      </c>
      <c r="BE1295" s="90" t="str">
        <f t="shared" ref="BE1295" si="143">"立即对目标范围内的怪物造成"&amp;X1295*100&amp;"%攻击伤害+"&amp;Z1295&amp;"点固定伤害"&amp;",并使目标移动速度降低50%,持续3秒"</f>
        <v>立即对目标范围内的怪物造成180%攻击伤害+700点固定伤害,并使目标移动速度降低50%,持续3秒</v>
      </c>
      <c r="BF1295" s="90" t="s">
        <v>2668</v>
      </c>
      <c r="BG1295" s="64">
        <v>0</v>
      </c>
      <c r="BH1295" s="60">
        <v>0</v>
      </c>
      <c r="BI1295" s="64">
        <v>0</v>
      </c>
      <c r="BJ1295" s="64">
        <v>0</v>
      </c>
      <c r="BK1295" s="64">
        <v>0</v>
      </c>
      <c r="BL1295" s="64">
        <v>0</v>
      </c>
      <c r="BM1295" s="93">
        <v>0</v>
      </c>
      <c r="BN1295" s="12">
        <v>0</v>
      </c>
      <c r="BO1295" s="12">
        <v>0</v>
      </c>
      <c r="BP1295" s="12">
        <v>0</v>
      </c>
      <c r="BQ1295" s="12">
        <v>0</v>
      </c>
      <c r="BR1295" s="12">
        <v>0</v>
      </c>
      <c r="BS1295" s="12">
        <v>0</v>
      </c>
      <c r="BT1295" s="12">
        <v>0</v>
      </c>
      <c r="BU1295" s="47">
        <v>0</v>
      </c>
      <c r="BV1295" s="47"/>
      <c r="BW1295" s="47"/>
    </row>
    <row r="1296" spans="1:75" ht="20.25" customHeight="1">
      <c r="C1296" s="18">
        <v>62000103</v>
      </c>
      <c r="D1296" s="19" t="s">
        <v>2669</v>
      </c>
      <c r="E1296" s="19" t="s">
        <v>2670</v>
      </c>
      <c r="F1296" s="18">
        <v>1</v>
      </c>
      <c r="G1296" s="18">
        <v>62000103</v>
      </c>
      <c r="H1296" s="18">
        <v>0</v>
      </c>
      <c r="I1296" s="27">
        <v>0</v>
      </c>
      <c r="J1296" s="18">
        <v>1</v>
      </c>
      <c r="K1296" s="18">
        <v>0</v>
      </c>
      <c r="L1296" s="16">
        <v>0</v>
      </c>
      <c r="M1296" s="18">
        <v>0</v>
      </c>
      <c r="N1296" s="18">
        <v>0</v>
      </c>
      <c r="O1296" s="18">
        <v>1</v>
      </c>
      <c r="P1296" s="18">
        <v>0</v>
      </c>
      <c r="Q1296" s="18">
        <v>0</v>
      </c>
      <c r="R1296" s="18">
        <v>0</v>
      </c>
      <c r="S1296" s="12">
        <v>0</v>
      </c>
      <c r="T1296" s="27">
        <v>0</v>
      </c>
      <c r="U1296" s="16">
        <v>1</v>
      </c>
      <c r="V1296" s="18">
        <v>2</v>
      </c>
      <c r="W1296" s="18">
        <v>0</v>
      </c>
      <c r="X1296" s="18">
        <v>3.25</v>
      </c>
      <c r="Y1296" s="12">
        <v>0</v>
      </c>
      <c r="Z1296" s="18">
        <v>0</v>
      </c>
      <c r="AA1296" s="18">
        <v>0</v>
      </c>
      <c r="AB1296" s="18">
        <v>0</v>
      </c>
      <c r="AC1296" s="18">
        <v>0</v>
      </c>
      <c r="AD1296" s="18">
        <v>0</v>
      </c>
      <c r="AE1296" s="18">
        <v>0</v>
      </c>
      <c r="AF1296" s="18">
        <v>20</v>
      </c>
      <c r="AG1296" s="18">
        <v>1</v>
      </c>
      <c r="AH1296" s="18">
        <v>4</v>
      </c>
      <c r="AI1296" s="12">
        <v>2</v>
      </c>
      <c r="AJ1296" s="12">
        <v>1</v>
      </c>
      <c r="AK1296" s="12">
        <v>0</v>
      </c>
      <c r="AL1296" s="12">
        <v>6</v>
      </c>
      <c r="AM1296" s="18">
        <v>0</v>
      </c>
      <c r="AN1296" s="18">
        <v>0.5</v>
      </c>
      <c r="AO1296" s="18">
        <v>0</v>
      </c>
      <c r="AP1296" s="18">
        <v>0.5</v>
      </c>
      <c r="AQ1296" s="18">
        <v>30000</v>
      </c>
      <c r="AR1296" s="18">
        <v>0</v>
      </c>
      <c r="AS1296" s="18">
        <v>0</v>
      </c>
      <c r="AT1296" s="12">
        <v>0</v>
      </c>
      <c r="AU1296" s="18">
        <v>93000205</v>
      </c>
      <c r="AV1296" s="18"/>
      <c r="AW1296" s="17" t="s">
        <v>199</v>
      </c>
      <c r="AX1296" s="18" t="s">
        <v>545</v>
      </c>
      <c r="AY1296" s="18">
        <v>10003002</v>
      </c>
      <c r="AZ1296" s="18">
        <v>20001020</v>
      </c>
      <c r="BA1296" s="19" t="s">
        <v>200</v>
      </c>
      <c r="BB1296" s="19">
        <v>0</v>
      </c>
      <c r="BC1296" s="27">
        <v>0</v>
      </c>
      <c r="BD1296" s="27">
        <v>0</v>
      </c>
      <c r="BE1296" s="44" t="s">
        <v>2671</v>
      </c>
      <c r="BF1296" s="44" t="s">
        <v>2672</v>
      </c>
      <c r="BG1296" s="18">
        <v>0</v>
      </c>
      <c r="BH1296" s="16">
        <v>0</v>
      </c>
      <c r="BI1296" s="18">
        <v>0</v>
      </c>
      <c r="BJ1296" s="18">
        <v>0</v>
      </c>
      <c r="BK1296" s="18">
        <v>0</v>
      </c>
      <c r="BL1296" s="18">
        <v>0</v>
      </c>
      <c r="BM1296" s="15">
        <v>0</v>
      </c>
      <c r="BN1296" s="12">
        <v>0</v>
      </c>
      <c r="BO1296" s="12">
        <v>0</v>
      </c>
      <c r="BP1296" s="12">
        <v>0</v>
      </c>
      <c r="BQ1296" s="12">
        <v>0</v>
      </c>
      <c r="BR1296" s="12">
        <v>0</v>
      </c>
      <c r="BS1296" s="12">
        <v>0</v>
      </c>
      <c r="BT1296" s="12">
        <v>0</v>
      </c>
      <c r="BU1296" s="47">
        <v>0</v>
      </c>
      <c r="BV1296" s="47"/>
      <c r="BW1296" s="47"/>
    </row>
    <row r="1297" spans="3:75" ht="20.25" customHeight="1">
      <c r="C1297" s="64">
        <v>62000104</v>
      </c>
      <c r="D1297" s="63" t="s">
        <v>1391</v>
      </c>
      <c r="E1297" s="63" t="s">
        <v>1392</v>
      </c>
      <c r="F1297" s="64">
        <v>1</v>
      </c>
      <c r="G1297" s="64">
        <v>62012201</v>
      </c>
      <c r="H1297" s="64">
        <v>0</v>
      </c>
      <c r="I1297" s="66">
        <v>0</v>
      </c>
      <c r="J1297" s="64">
        <v>1</v>
      </c>
      <c r="K1297" s="64">
        <v>0</v>
      </c>
      <c r="L1297" s="60">
        <v>0</v>
      </c>
      <c r="M1297" s="64">
        <v>0</v>
      </c>
      <c r="N1297" s="64">
        <v>0</v>
      </c>
      <c r="O1297" s="64">
        <v>2</v>
      </c>
      <c r="P1297" s="64">
        <v>3</v>
      </c>
      <c r="Q1297" s="64">
        <v>0.15</v>
      </c>
      <c r="R1297" s="64">
        <v>0</v>
      </c>
      <c r="S1297" s="68">
        <v>0</v>
      </c>
      <c r="T1297" s="66">
        <v>0</v>
      </c>
      <c r="U1297" s="60">
        <v>1</v>
      </c>
      <c r="V1297" s="64">
        <v>2</v>
      </c>
      <c r="W1297" s="64">
        <v>0</v>
      </c>
      <c r="X1297" s="64">
        <v>1.8</v>
      </c>
      <c r="Y1297" s="12">
        <v>0</v>
      </c>
      <c r="Z1297" s="64">
        <v>700</v>
      </c>
      <c r="AA1297" s="64">
        <v>0</v>
      </c>
      <c r="AB1297" s="64">
        <v>0</v>
      </c>
      <c r="AC1297" s="64">
        <v>0</v>
      </c>
      <c r="AD1297" s="64">
        <v>1</v>
      </c>
      <c r="AE1297" s="64">
        <v>0</v>
      </c>
      <c r="AF1297" s="64">
        <v>15</v>
      </c>
      <c r="AG1297" s="64">
        <v>1</v>
      </c>
      <c r="AH1297" s="64">
        <v>3.5</v>
      </c>
      <c r="AI1297" s="68">
        <v>0</v>
      </c>
      <c r="AJ1297" s="68">
        <v>0</v>
      </c>
      <c r="AK1297" s="12">
        <v>0</v>
      </c>
      <c r="AL1297" s="68">
        <v>4</v>
      </c>
      <c r="AM1297" s="64">
        <v>0</v>
      </c>
      <c r="AN1297" s="64">
        <v>0</v>
      </c>
      <c r="AO1297" s="64">
        <v>0</v>
      </c>
      <c r="AP1297" s="64">
        <v>0</v>
      </c>
      <c r="AQ1297" s="64">
        <v>3000</v>
      </c>
      <c r="AR1297" s="64">
        <v>0</v>
      </c>
      <c r="AS1297" s="64">
        <v>0</v>
      </c>
      <c r="AT1297" s="68">
        <v>0</v>
      </c>
      <c r="AU1297" s="64">
        <v>92005001</v>
      </c>
      <c r="AV1297" s="64"/>
      <c r="AW1297" s="59" t="s">
        <v>199</v>
      </c>
      <c r="AX1297" s="64" t="s">
        <v>534</v>
      </c>
      <c r="AY1297" s="64">
        <v>10000009</v>
      </c>
      <c r="AZ1297" s="64">
        <v>21100050</v>
      </c>
      <c r="BA1297" s="63" t="s">
        <v>200</v>
      </c>
      <c r="BB1297" s="63">
        <v>0</v>
      </c>
      <c r="BC1297" s="66">
        <v>0</v>
      </c>
      <c r="BD1297" s="66">
        <v>0</v>
      </c>
      <c r="BE1297" s="121" t="str">
        <f>"受到伤害有一定概率立即对自身范围内的怪物造成"&amp;X1297*100&amp;"%攻击伤害+"&amp;Z1297&amp;",并击退周围附近敌方目标"</f>
        <v>受到伤害有一定概率立即对自身范围内的怪物造成180%攻击伤害+700,并击退周围附近敌方目标</v>
      </c>
      <c r="BF1297" s="121" t="s">
        <v>2673</v>
      </c>
      <c r="BG1297" s="64">
        <v>0</v>
      </c>
      <c r="BH1297" s="60">
        <v>0</v>
      </c>
      <c r="BI1297" s="64">
        <v>0</v>
      </c>
      <c r="BJ1297" s="64">
        <v>0</v>
      </c>
      <c r="BK1297" s="64">
        <v>0</v>
      </c>
      <c r="BL1297" s="64">
        <v>0</v>
      </c>
      <c r="BM1297" s="93">
        <v>0</v>
      </c>
      <c r="BN1297" s="12">
        <v>1</v>
      </c>
      <c r="BO1297" s="12">
        <v>0</v>
      </c>
      <c r="BP1297" s="12">
        <v>0</v>
      </c>
      <c r="BQ1297" s="12">
        <v>0</v>
      </c>
      <c r="BR1297" s="12">
        <v>0</v>
      </c>
      <c r="BS1297" s="12">
        <v>0</v>
      </c>
      <c r="BT1297" s="12">
        <v>0</v>
      </c>
      <c r="BU1297" s="47">
        <v>0</v>
      </c>
      <c r="BV1297" s="47"/>
      <c r="BW1297" s="47"/>
    </row>
    <row r="1298" spans="3:75" ht="20.25" customHeight="1">
      <c r="C1298" s="64">
        <v>62000105</v>
      </c>
      <c r="D1298" s="63" t="s">
        <v>2674</v>
      </c>
      <c r="E1298" s="63" t="s">
        <v>2675</v>
      </c>
      <c r="F1298" s="64">
        <v>1</v>
      </c>
      <c r="G1298" s="64">
        <v>62000105</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0</v>
      </c>
      <c r="Y1298" s="12">
        <v>0</v>
      </c>
      <c r="Z1298" s="64">
        <v>0</v>
      </c>
      <c r="AA1298" s="64">
        <v>0</v>
      </c>
      <c r="AB1298" s="64">
        <v>0</v>
      </c>
      <c r="AC1298" s="64">
        <v>0</v>
      </c>
      <c r="AD1298" s="64">
        <v>1</v>
      </c>
      <c r="AE1298" s="64">
        <v>0</v>
      </c>
      <c r="AF1298" s="64">
        <v>12</v>
      </c>
      <c r="AG1298" s="64">
        <v>0</v>
      </c>
      <c r="AH1298" s="64">
        <v>0</v>
      </c>
      <c r="AI1298" s="68">
        <v>2</v>
      </c>
      <c r="AJ1298" s="68">
        <v>1</v>
      </c>
      <c r="AK1298" s="12">
        <v>0</v>
      </c>
      <c r="AL1298" s="68">
        <v>0</v>
      </c>
      <c r="AM1298" s="64">
        <v>0</v>
      </c>
      <c r="AN1298" s="64">
        <v>0</v>
      </c>
      <c r="AO1298" s="64">
        <v>0</v>
      </c>
      <c r="AP1298" s="64">
        <v>0</v>
      </c>
      <c r="AQ1298" s="64">
        <v>1000</v>
      </c>
      <c r="AR1298" s="64">
        <v>0</v>
      </c>
      <c r="AS1298" s="64">
        <v>0</v>
      </c>
      <c r="AT1298" s="68">
        <v>92000009</v>
      </c>
      <c r="AU1298" s="64" t="s">
        <v>198</v>
      </c>
      <c r="AV1298" s="64"/>
      <c r="AW1298" s="59" t="s">
        <v>199</v>
      </c>
      <c r="AX1298" s="64" t="s">
        <v>1819</v>
      </c>
      <c r="AY1298" s="64">
        <v>0</v>
      </c>
      <c r="AZ1298" s="64">
        <v>0</v>
      </c>
      <c r="BA1298" s="63" t="s">
        <v>200</v>
      </c>
      <c r="BB1298" s="63" t="s">
        <v>198</v>
      </c>
      <c r="BC1298" s="66">
        <v>0</v>
      </c>
      <c r="BD1298" s="66">
        <v>0</v>
      </c>
      <c r="BE1298" s="90" t="s">
        <v>2676</v>
      </c>
      <c r="BF1298" s="90" t="s">
        <v>2677</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spans="3:75" ht="20.25" customHeight="1">
      <c r="C1299" s="64">
        <v>62000106</v>
      </c>
      <c r="D1299" s="63" t="s">
        <v>2678</v>
      </c>
      <c r="E1299" s="63" t="s">
        <v>2679</v>
      </c>
      <c r="F1299" s="64">
        <v>1</v>
      </c>
      <c r="G1299" s="64">
        <v>62000106</v>
      </c>
      <c r="H1299" s="64">
        <v>0</v>
      </c>
      <c r="I1299" s="66">
        <v>0</v>
      </c>
      <c r="J1299" s="64">
        <v>1</v>
      </c>
      <c r="K1299" s="64">
        <v>0</v>
      </c>
      <c r="L1299" s="60">
        <v>0</v>
      </c>
      <c r="M1299" s="64">
        <v>0</v>
      </c>
      <c r="N1299" s="64">
        <v>0</v>
      </c>
      <c r="O1299" s="64">
        <v>2</v>
      </c>
      <c r="P1299" s="64">
        <v>2</v>
      </c>
      <c r="Q1299" s="64">
        <v>0.3</v>
      </c>
      <c r="R1299" s="64">
        <v>0</v>
      </c>
      <c r="S1299" s="68">
        <v>0</v>
      </c>
      <c r="T1299" s="66">
        <v>0</v>
      </c>
      <c r="U1299" s="60">
        <v>1</v>
      </c>
      <c r="V1299" s="64">
        <v>2</v>
      </c>
      <c r="W1299" s="64">
        <v>0</v>
      </c>
      <c r="X1299" s="64">
        <v>0</v>
      </c>
      <c r="Y1299" s="12">
        <v>0</v>
      </c>
      <c r="Z1299" s="64">
        <v>0</v>
      </c>
      <c r="AA1299" s="64">
        <v>0</v>
      </c>
      <c r="AB1299" s="64">
        <v>0</v>
      </c>
      <c r="AC1299" s="64">
        <v>0</v>
      </c>
      <c r="AD1299" s="64">
        <v>1</v>
      </c>
      <c r="AE1299" s="64">
        <v>0</v>
      </c>
      <c r="AF1299" s="64">
        <v>45</v>
      </c>
      <c r="AG1299" s="64">
        <v>0</v>
      </c>
      <c r="AH1299" s="64">
        <v>0</v>
      </c>
      <c r="AI1299" s="68">
        <v>2</v>
      </c>
      <c r="AJ1299" s="68">
        <v>1</v>
      </c>
      <c r="AK1299" s="12">
        <v>0</v>
      </c>
      <c r="AL1299" s="68">
        <v>0</v>
      </c>
      <c r="AM1299" s="64">
        <v>0</v>
      </c>
      <c r="AN1299" s="64">
        <v>0</v>
      </c>
      <c r="AO1299" s="64">
        <v>0</v>
      </c>
      <c r="AP1299" s="64">
        <v>0</v>
      </c>
      <c r="AQ1299" s="64">
        <v>1000</v>
      </c>
      <c r="AR1299" s="64">
        <v>0</v>
      </c>
      <c r="AS1299" s="64">
        <v>0</v>
      </c>
      <c r="AT1299" s="68">
        <v>92000010</v>
      </c>
      <c r="AU1299" s="64" t="s">
        <v>198</v>
      </c>
      <c r="AV1299" s="64"/>
      <c r="AW1299" s="59" t="s">
        <v>199</v>
      </c>
      <c r="AX1299" s="64" t="s">
        <v>1819</v>
      </c>
      <c r="AY1299" s="64">
        <v>0</v>
      </c>
      <c r="AZ1299" s="64">
        <v>0</v>
      </c>
      <c r="BA1299" s="63" t="s">
        <v>200</v>
      </c>
      <c r="BB1299" s="63" t="s">
        <v>198</v>
      </c>
      <c r="BC1299" s="66">
        <v>0</v>
      </c>
      <c r="BD1299" s="66">
        <v>0</v>
      </c>
      <c r="BE1299" s="92" t="s">
        <v>2680</v>
      </c>
      <c r="BF1299" s="92" t="s">
        <v>2681</v>
      </c>
      <c r="BG1299" s="64">
        <v>0</v>
      </c>
      <c r="BH1299" s="60">
        <v>0</v>
      </c>
      <c r="BI1299" s="64">
        <v>0</v>
      </c>
      <c r="BJ1299" s="64">
        <v>0</v>
      </c>
      <c r="BK1299" s="64">
        <v>0</v>
      </c>
      <c r="BL1299" s="64">
        <v>0</v>
      </c>
      <c r="BM1299" s="93">
        <v>0</v>
      </c>
      <c r="BN1299" s="12">
        <v>0</v>
      </c>
      <c r="BO1299" s="12">
        <v>0</v>
      </c>
      <c r="BP1299" s="12">
        <v>0</v>
      </c>
      <c r="BQ1299" s="12">
        <v>0</v>
      </c>
      <c r="BR1299" s="12">
        <v>0</v>
      </c>
      <c r="BS1299" s="12">
        <v>0</v>
      </c>
      <c r="BT1299" s="12">
        <v>0</v>
      </c>
      <c r="BU1299" s="47">
        <v>0</v>
      </c>
      <c r="BV1299" s="47"/>
      <c r="BW1299" s="47"/>
    </row>
    <row r="1300" spans="3:75" ht="20.25" customHeight="1">
      <c r="C1300" s="18">
        <v>62000107</v>
      </c>
      <c r="D1300" s="19" t="s">
        <v>2651</v>
      </c>
      <c r="E1300" s="19" t="s">
        <v>2652</v>
      </c>
      <c r="F1300" s="18">
        <v>1</v>
      </c>
      <c r="G1300" s="18">
        <v>62000107</v>
      </c>
      <c r="H1300" s="18">
        <v>0</v>
      </c>
      <c r="I1300" s="27">
        <v>0</v>
      </c>
      <c r="J1300" s="18">
        <v>1</v>
      </c>
      <c r="K1300" s="18">
        <v>0</v>
      </c>
      <c r="L1300" s="16">
        <v>0</v>
      </c>
      <c r="M1300" s="18">
        <v>0</v>
      </c>
      <c r="N1300" s="18">
        <v>0</v>
      </c>
      <c r="O1300" s="18">
        <v>1</v>
      </c>
      <c r="P1300" s="18">
        <v>0</v>
      </c>
      <c r="Q1300" s="18">
        <v>0</v>
      </c>
      <c r="R1300" s="18">
        <v>0</v>
      </c>
      <c r="S1300" s="12">
        <v>0</v>
      </c>
      <c r="T1300" s="27">
        <v>0</v>
      </c>
      <c r="U1300" s="16">
        <v>1</v>
      </c>
      <c r="V1300" s="18">
        <v>2</v>
      </c>
      <c r="W1300" s="18">
        <v>0</v>
      </c>
      <c r="X1300" s="18">
        <v>2.5</v>
      </c>
      <c r="Y1300" s="12">
        <v>0</v>
      </c>
      <c r="Z1300" s="18">
        <v>0</v>
      </c>
      <c r="AA1300" s="18">
        <v>0</v>
      </c>
      <c r="AB1300" s="18">
        <v>0</v>
      </c>
      <c r="AC1300" s="18">
        <v>0</v>
      </c>
      <c r="AD1300" s="18">
        <v>0</v>
      </c>
      <c r="AE1300" s="18">
        <v>0</v>
      </c>
      <c r="AF1300" s="18">
        <v>18</v>
      </c>
      <c r="AG1300" s="18">
        <v>1</v>
      </c>
      <c r="AH1300" s="18">
        <v>3.5</v>
      </c>
      <c r="AI1300" s="12">
        <v>0</v>
      </c>
      <c r="AJ1300" s="12">
        <v>0</v>
      </c>
      <c r="AK1300" s="12">
        <v>0</v>
      </c>
      <c r="AL1300" s="12">
        <v>4</v>
      </c>
      <c r="AM1300" s="18">
        <v>0</v>
      </c>
      <c r="AN1300" s="18">
        <v>0</v>
      </c>
      <c r="AO1300" s="18">
        <v>0</v>
      </c>
      <c r="AP1300" s="18">
        <v>0.5</v>
      </c>
      <c r="AQ1300" s="18">
        <v>3000</v>
      </c>
      <c r="AR1300" s="18">
        <v>0</v>
      </c>
      <c r="AS1300" s="18">
        <v>0</v>
      </c>
      <c r="AT1300" s="12">
        <v>92000018</v>
      </c>
      <c r="AU1300" s="18" t="s">
        <v>2682</v>
      </c>
      <c r="AV1300" s="18"/>
      <c r="AW1300" s="17" t="s">
        <v>199</v>
      </c>
      <c r="AX1300" s="18" t="s">
        <v>534</v>
      </c>
      <c r="AY1300" s="18">
        <v>10000009</v>
      </c>
      <c r="AZ1300" s="18">
        <v>20001030</v>
      </c>
      <c r="BA1300" s="19" t="s">
        <v>200</v>
      </c>
      <c r="BB1300" s="19">
        <v>0</v>
      </c>
      <c r="BC1300" s="27">
        <v>0</v>
      </c>
      <c r="BD1300" s="27">
        <v>0</v>
      </c>
      <c r="BE1300" s="44" t="s">
        <v>2683</v>
      </c>
      <c r="BF1300" s="44" t="s">
        <v>2684</v>
      </c>
      <c r="BG1300" s="18">
        <v>0</v>
      </c>
      <c r="BH1300" s="16">
        <v>0</v>
      </c>
      <c r="BI1300" s="18">
        <v>0</v>
      </c>
      <c r="BJ1300" s="18">
        <v>0</v>
      </c>
      <c r="BK1300" s="18">
        <v>0</v>
      </c>
      <c r="BL1300" s="18">
        <v>0</v>
      </c>
      <c r="BM1300" s="15">
        <v>0</v>
      </c>
      <c r="BN1300" s="12">
        <v>0</v>
      </c>
      <c r="BO1300" s="12">
        <v>0</v>
      </c>
      <c r="BP1300" s="12">
        <v>0</v>
      </c>
      <c r="BQ1300" s="12">
        <v>0</v>
      </c>
      <c r="BR1300" s="12">
        <v>0</v>
      </c>
      <c r="BS1300" s="12">
        <v>0</v>
      </c>
      <c r="BT1300" s="12">
        <v>0</v>
      </c>
      <c r="BU1300" s="47">
        <v>0</v>
      </c>
      <c r="BV1300" s="47"/>
      <c r="BW1300" s="47"/>
    </row>
    <row r="1301" spans="3:75" ht="20.25" customHeight="1">
      <c r="C1301" s="18">
        <v>62000108</v>
      </c>
      <c r="D1301" s="19" t="s">
        <v>2685</v>
      </c>
      <c r="E1301" s="19" t="s">
        <v>2686</v>
      </c>
      <c r="F1301" s="18">
        <v>1</v>
      </c>
      <c r="G1301" s="18">
        <v>62000108</v>
      </c>
      <c r="H1301" s="18">
        <v>0</v>
      </c>
      <c r="I1301" s="27">
        <v>0</v>
      </c>
      <c r="J1301" s="18">
        <v>1</v>
      </c>
      <c r="K1301" s="18">
        <v>0</v>
      </c>
      <c r="L1301" s="16">
        <v>0</v>
      </c>
      <c r="M1301" s="18">
        <v>0</v>
      </c>
      <c r="N1301" s="18">
        <v>0</v>
      </c>
      <c r="O1301" s="18">
        <v>2</v>
      </c>
      <c r="P1301" s="18">
        <v>4</v>
      </c>
      <c r="Q1301" s="18">
        <v>1</v>
      </c>
      <c r="R1301" s="18">
        <v>0</v>
      </c>
      <c r="S1301" s="12">
        <v>0</v>
      </c>
      <c r="T1301" s="27">
        <v>0</v>
      </c>
      <c r="U1301" s="16">
        <v>1</v>
      </c>
      <c r="V1301" s="18">
        <v>2</v>
      </c>
      <c r="W1301" s="18">
        <v>0</v>
      </c>
      <c r="X1301" s="18">
        <v>0</v>
      </c>
      <c r="Y1301" s="12">
        <v>0</v>
      </c>
      <c r="Z1301" s="18">
        <v>0</v>
      </c>
      <c r="AA1301" s="18">
        <v>0</v>
      </c>
      <c r="AB1301" s="18">
        <v>0</v>
      </c>
      <c r="AC1301" s="18">
        <v>0</v>
      </c>
      <c r="AD1301" s="18">
        <v>1</v>
      </c>
      <c r="AE1301" s="18">
        <v>0</v>
      </c>
      <c r="AF1301" s="18">
        <v>1</v>
      </c>
      <c r="AG1301" s="18">
        <v>0</v>
      </c>
      <c r="AH1301" s="18">
        <v>0</v>
      </c>
      <c r="AI1301" s="12">
        <v>8</v>
      </c>
      <c r="AJ1301" s="12">
        <v>0</v>
      </c>
      <c r="AK1301" s="12">
        <v>0</v>
      </c>
      <c r="AL1301" s="12">
        <v>0</v>
      </c>
      <c r="AM1301" s="18">
        <v>0</v>
      </c>
      <c r="AN1301" s="18">
        <v>0</v>
      </c>
      <c r="AO1301" s="18">
        <v>0</v>
      </c>
      <c r="AP1301" s="18">
        <v>0</v>
      </c>
      <c r="AQ1301" s="18">
        <v>1000</v>
      </c>
      <c r="AR1301" s="18">
        <v>0</v>
      </c>
      <c r="AS1301" s="18">
        <v>0</v>
      </c>
      <c r="AT1301" s="12">
        <v>92000005</v>
      </c>
      <c r="AU1301" s="18" t="s">
        <v>198</v>
      </c>
      <c r="AV1301" s="18"/>
      <c r="AW1301" s="17" t="s">
        <v>199</v>
      </c>
      <c r="AX1301" s="18" t="s">
        <v>1819</v>
      </c>
      <c r="AY1301" s="18">
        <v>0</v>
      </c>
      <c r="AZ1301" s="18">
        <v>40000003</v>
      </c>
      <c r="BA1301" s="19" t="s">
        <v>200</v>
      </c>
      <c r="BB1301" s="19" t="s">
        <v>198</v>
      </c>
      <c r="BC1301" s="27">
        <v>0</v>
      </c>
      <c r="BD1301" s="27">
        <v>0</v>
      </c>
      <c r="BE1301" s="44" t="s">
        <v>2687</v>
      </c>
      <c r="BF1301" s="44" t="s">
        <v>2688</v>
      </c>
      <c r="BG1301" s="18">
        <v>0</v>
      </c>
      <c r="BH1301" s="16">
        <v>0</v>
      </c>
      <c r="BI1301" s="18">
        <v>0</v>
      </c>
      <c r="BJ1301" s="18">
        <v>0</v>
      </c>
      <c r="BK1301" s="18">
        <v>0</v>
      </c>
      <c r="BL1301" s="18">
        <v>0</v>
      </c>
      <c r="BM1301" s="15">
        <v>0</v>
      </c>
      <c r="BN1301" s="12">
        <v>1</v>
      </c>
      <c r="BO1301" s="12">
        <v>0</v>
      </c>
      <c r="BP1301" s="12">
        <v>0</v>
      </c>
      <c r="BQ1301" s="12">
        <v>0</v>
      </c>
      <c r="BR1301" s="12">
        <v>0</v>
      </c>
      <c r="BS1301" s="12">
        <v>0</v>
      </c>
      <c r="BT1301" s="12">
        <v>0</v>
      </c>
      <c r="BU1301" s="47">
        <v>0</v>
      </c>
      <c r="BV1301" s="47"/>
      <c r="BW1301" s="47"/>
    </row>
    <row r="1302" spans="3:75" ht="20.25" customHeight="1">
      <c r="C1302" s="18">
        <v>62000109</v>
      </c>
      <c r="D1302" s="19" t="s">
        <v>2689</v>
      </c>
      <c r="E1302" s="19" t="s">
        <v>2690</v>
      </c>
      <c r="F1302" s="18">
        <v>1</v>
      </c>
      <c r="G1302" s="18">
        <v>62000109</v>
      </c>
      <c r="H1302" s="18">
        <v>0</v>
      </c>
      <c r="I1302" s="27">
        <v>0</v>
      </c>
      <c r="J1302" s="18">
        <v>1</v>
      </c>
      <c r="K1302" s="18">
        <v>0</v>
      </c>
      <c r="L1302" s="16">
        <v>0</v>
      </c>
      <c r="M1302" s="18">
        <v>0</v>
      </c>
      <c r="N1302" s="18">
        <v>0</v>
      </c>
      <c r="O1302" s="18">
        <v>1</v>
      </c>
      <c r="P1302" s="18">
        <v>0</v>
      </c>
      <c r="Q1302" s="18">
        <v>0</v>
      </c>
      <c r="R1302" s="18">
        <v>0</v>
      </c>
      <c r="S1302" s="12">
        <v>0</v>
      </c>
      <c r="T1302" s="27">
        <v>0</v>
      </c>
      <c r="U1302" s="16">
        <v>1</v>
      </c>
      <c r="V1302" s="18">
        <v>2</v>
      </c>
      <c r="W1302" s="18">
        <v>0</v>
      </c>
      <c r="X1302" s="18">
        <v>3.5</v>
      </c>
      <c r="Y1302" s="12">
        <v>0</v>
      </c>
      <c r="Z1302" s="18">
        <v>2500</v>
      </c>
      <c r="AA1302" s="18">
        <v>0</v>
      </c>
      <c r="AB1302" s="18">
        <v>0</v>
      </c>
      <c r="AC1302" s="18">
        <v>0</v>
      </c>
      <c r="AD1302" s="18">
        <v>0</v>
      </c>
      <c r="AE1302" s="18">
        <v>0</v>
      </c>
      <c r="AF1302" s="18">
        <v>12</v>
      </c>
      <c r="AG1302" s="18">
        <v>1</v>
      </c>
      <c r="AH1302" s="18">
        <v>3</v>
      </c>
      <c r="AI1302" s="12">
        <v>2</v>
      </c>
      <c r="AJ1302" s="12">
        <v>2</v>
      </c>
      <c r="AK1302" s="12">
        <v>0</v>
      </c>
      <c r="AL1302" s="12">
        <v>4</v>
      </c>
      <c r="AM1302" s="18">
        <v>0</v>
      </c>
      <c r="AN1302" s="18">
        <v>0</v>
      </c>
      <c r="AO1302" s="18">
        <v>0</v>
      </c>
      <c r="AP1302" s="18">
        <v>0.2</v>
      </c>
      <c r="AQ1302" s="18">
        <v>3000</v>
      </c>
      <c r="AR1302" s="18">
        <v>0.2</v>
      </c>
      <c r="AS1302" s="18">
        <v>10</v>
      </c>
      <c r="AT1302" s="12">
        <v>0</v>
      </c>
      <c r="AU1302" s="18">
        <v>92000013</v>
      </c>
      <c r="AV1302" s="18"/>
      <c r="AW1302" s="17" t="s">
        <v>199</v>
      </c>
      <c r="AX1302" s="18" t="s">
        <v>545</v>
      </c>
      <c r="AY1302" s="18">
        <v>10003002</v>
      </c>
      <c r="AZ1302" s="18">
        <v>20001040</v>
      </c>
      <c r="BA1302" s="19" t="s">
        <v>586</v>
      </c>
      <c r="BB1302" s="19">
        <v>0</v>
      </c>
      <c r="BC1302" s="27">
        <v>0</v>
      </c>
      <c r="BD1302" s="27">
        <v>0</v>
      </c>
      <c r="BE1302" s="44" t="s">
        <v>2691</v>
      </c>
      <c r="BF1302" s="44" t="s">
        <v>2692</v>
      </c>
      <c r="BG1302" s="18">
        <v>0</v>
      </c>
      <c r="BH1302" s="16">
        <v>0</v>
      </c>
      <c r="BI1302" s="18">
        <v>0</v>
      </c>
      <c r="BJ1302" s="18">
        <v>0</v>
      </c>
      <c r="BK1302" s="18">
        <v>0</v>
      </c>
      <c r="BL1302" s="18">
        <v>0</v>
      </c>
      <c r="BM1302" s="15">
        <v>0</v>
      </c>
      <c r="BN1302" s="12">
        <v>0</v>
      </c>
      <c r="BO1302" s="12">
        <v>0</v>
      </c>
      <c r="BP1302" s="12">
        <v>0</v>
      </c>
      <c r="BQ1302" s="12">
        <v>0</v>
      </c>
      <c r="BR1302" s="12">
        <v>0</v>
      </c>
      <c r="BS1302" s="12">
        <v>0</v>
      </c>
      <c r="BT1302" s="12">
        <v>0</v>
      </c>
      <c r="BU1302" s="47">
        <v>0</v>
      </c>
      <c r="BV1302" s="47"/>
      <c r="BW1302" s="47"/>
    </row>
    <row r="1303" spans="3:75" ht="20.25" customHeight="1">
      <c r="C1303" s="18">
        <v>62000110</v>
      </c>
      <c r="D1303" s="19" t="s">
        <v>2693</v>
      </c>
      <c r="E1303" s="19" t="s">
        <v>2675</v>
      </c>
      <c r="F1303" s="18">
        <v>1</v>
      </c>
      <c r="G1303" s="18">
        <v>50002</v>
      </c>
      <c r="H1303" s="18">
        <v>0</v>
      </c>
      <c r="I1303" s="27">
        <v>0</v>
      </c>
      <c r="J1303" s="18">
        <v>1</v>
      </c>
      <c r="K1303" s="18">
        <v>0</v>
      </c>
      <c r="L1303" s="16">
        <v>0</v>
      </c>
      <c r="M1303" s="18">
        <v>0</v>
      </c>
      <c r="N1303" s="18">
        <v>0</v>
      </c>
      <c r="O1303" s="18">
        <v>2</v>
      </c>
      <c r="P1303" s="18">
        <v>1</v>
      </c>
      <c r="Q1303" s="18">
        <v>0.1</v>
      </c>
      <c r="R1303" s="18">
        <v>0</v>
      </c>
      <c r="S1303" s="12">
        <v>0</v>
      </c>
      <c r="T1303" s="27">
        <v>0</v>
      </c>
      <c r="U1303" s="16">
        <v>1</v>
      </c>
      <c r="V1303" s="18">
        <v>2</v>
      </c>
      <c r="W1303" s="18">
        <v>0</v>
      </c>
      <c r="X1303" s="18">
        <v>0</v>
      </c>
      <c r="Y1303" s="12">
        <v>0</v>
      </c>
      <c r="Z1303" s="18">
        <v>0</v>
      </c>
      <c r="AA1303" s="18">
        <v>0</v>
      </c>
      <c r="AB1303" s="18">
        <v>0</v>
      </c>
      <c r="AC1303" s="18">
        <v>0</v>
      </c>
      <c r="AD1303" s="18">
        <v>1</v>
      </c>
      <c r="AE1303" s="18">
        <v>0</v>
      </c>
      <c r="AF1303" s="18">
        <v>12</v>
      </c>
      <c r="AG1303" s="18">
        <v>0</v>
      </c>
      <c r="AH1303" s="18">
        <v>0</v>
      </c>
      <c r="AI1303" s="12">
        <v>2</v>
      </c>
      <c r="AJ1303" s="12">
        <v>1</v>
      </c>
      <c r="AK1303" s="12">
        <v>0</v>
      </c>
      <c r="AL1303" s="12">
        <v>0</v>
      </c>
      <c r="AM1303" s="18">
        <v>0</v>
      </c>
      <c r="AN1303" s="18">
        <v>0</v>
      </c>
      <c r="AO1303" s="18">
        <v>0</v>
      </c>
      <c r="AP1303" s="18">
        <v>0</v>
      </c>
      <c r="AQ1303" s="18">
        <v>1000</v>
      </c>
      <c r="AR1303" s="18">
        <v>0</v>
      </c>
      <c r="AS1303" s="18">
        <v>0</v>
      </c>
      <c r="AT1303" s="12">
        <v>92000044</v>
      </c>
      <c r="AU1303" s="18" t="s">
        <v>198</v>
      </c>
      <c r="AV1303" s="18"/>
      <c r="AW1303" s="17" t="s">
        <v>199</v>
      </c>
      <c r="AX1303" s="18" t="s">
        <v>1819</v>
      </c>
      <c r="AY1303" s="18">
        <v>0</v>
      </c>
      <c r="AZ1303" s="18">
        <v>0</v>
      </c>
      <c r="BA1303" s="19" t="s">
        <v>200</v>
      </c>
      <c r="BB1303" s="19" t="s">
        <v>198</v>
      </c>
      <c r="BC1303" s="27">
        <v>0</v>
      </c>
      <c r="BD1303" s="27">
        <v>0</v>
      </c>
      <c r="BE1303" s="44" t="s">
        <v>2694</v>
      </c>
      <c r="BF1303" s="44"/>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62000111</v>
      </c>
      <c r="D1304" s="19" t="s">
        <v>2640</v>
      </c>
      <c r="E1304" s="19" t="s">
        <v>2641</v>
      </c>
      <c r="F1304" s="18">
        <v>1</v>
      </c>
      <c r="G1304" s="18">
        <v>50003</v>
      </c>
      <c r="H1304" s="18">
        <v>0</v>
      </c>
      <c r="I1304" s="27">
        <v>0</v>
      </c>
      <c r="J1304" s="18">
        <v>1</v>
      </c>
      <c r="K1304" s="18">
        <v>0</v>
      </c>
      <c r="L1304" s="16">
        <v>0</v>
      </c>
      <c r="M1304" s="18">
        <v>0</v>
      </c>
      <c r="N1304" s="18">
        <v>0</v>
      </c>
      <c r="O1304" s="18">
        <v>2</v>
      </c>
      <c r="P1304" s="18">
        <v>7</v>
      </c>
      <c r="Q1304" s="18">
        <v>0.1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3</v>
      </c>
      <c r="AG1304" s="18">
        <v>0</v>
      </c>
      <c r="AH1304" s="18">
        <v>0</v>
      </c>
      <c r="AI1304" s="12">
        <v>2</v>
      </c>
      <c r="AJ1304" s="12">
        <v>0</v>
      </c>
      <c r="AK1304" s="12">
        <v>0</v>
      </c>
      <c r="AL1304" s="12">
        <v>0</v>
      </c>
      <c r="AM1304" s="18">
        <v>0</v>
      </c>
      <c r="AN1304" s="18">
        <v>0</v>
      </c>
      <c r="AO1304" s="18">
        <v>0</v>
      </c>
      <c r="AP1304" s="18">
        <v>0</v>
      </c>
      <c r="AQ1304" s="18">
        <v>1000</v>
      </c>
      <c r="AR1304" s="18">
        <v>0</v>
      </c>
      <c r="AS1304" s="18">
        <v>0</v>
      </c>
      <c r="AT1304" s="12">
        <v>92000045</v>
      </c>
      <c r="AU1304" s="18" t="s">
        <v>198</v>
      </c>
      <c r="AV1304" s="18"/>
      <c r="AW1304" s="17" t="s">
        <v>199</v>
      </c>
      <c r="AX1304" s="18" t="s">
        <v>1819</v>
      </c>
      <c r="AY1304" s="18">
        <v>0</v>
      </c>
      <c r="AZ1304" s="18">
        <v>40000003</v>
      </c>
      <c r="BA1304" s="19" t="s">
        <v>200</v>
      </c>
      <c r="BB1304" s="19" t="s">
        <v>198</v>
      </c>
      <c r="BC1304" s="27">
        <v>0</v>
      </c>
      <c r="BD1304" s="27">
        <v>0</v>
      </c>
      <c r="BE1304" s="44" t="s">
        <v>5432</v>
      </c>
      <c r="BF1304" s="44"/>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spans="3:75" ht="20.25" customHeight="1">
      <c r="C1305" s="18">
        <v>62000112</v>
      </c>
      <c r="D1305" s="19" t="s">
        <v>2695</v>
      </c>
      <c r="E1305" s="19" t="s">
        <v>2583</v>
      </c>
      <c r="F1305" s="18">
        <v>1</v>
      </c>
      <c r="G1305" s="18">
        <v>50032</v>
      </c>
      <c r="H1305" s="18">
        <v>0</v>
      </c>
      <c r="I1305" s="27">
        <v>0</v>
      </c>
      <c r="J1305" s="18">
        <v>1</v>
      </c>
      <c r="K1305" s="18">
        <v>0</v>
      </c>
      <c r="L1305" s="16">
        <v>0</v>
      </c>
      <c r="M1305" s="18">
        <v>0</v>
      </c>
      <c r="N1305" s="18">
        <v>0</v>
      </c>
      <c r="O1305" s="18">
        <v>2</v>
      </c>
      <c r="P1305" s="18">
        <v>5</v>
      </c>
      <c r="Q1305" s="18">
        <v>1</v>
      </c>
      <c r="R1305" s="18">
        <v>0</v>
      </c>
      <c r="S1305" s="12">
        <v>0</v>
      </c>
      <c r="T1305" s="27">
        <v>0</v>
      </c>
      <c r="U1305" s="16">
        <v>1</v>
      </c>
      <c r="V1305" s="18">
        <v>2</v>
      </c>
      <c r="W1305" s="18">
        <v>0</v>
      </c>
      <c r="X1305" s="18">
        <v>1</v>
      </c>
      <c r="Y1305" s="12">
        <v>0</v>
      </c>
      <c r="Z1305" s="18">
        <v>0</v>
      </c>
      <c r="AA1305" s="18">
        <v>0</v>
      </c>
      <c r="AB1305" s="18">
        <v>0</v>
      </c>
      <c r="AC1305" s="18">
        <v>0</v>
      </c>
      <c r="AD1305" s="18">
        <v>1</v>
      </c>
      <c r="AE1305" s="18">
        <v>0</v>
      </c>
      <c r="AF1305" s="18">
        <v>1</v>
      </c>
      <c r="AG1305" s="18">
        <v>0</v>
      </c>
      <c r="AH1305" s="18">
        <v>0</v>
      </c>
      <c r="AI1305" s="12">
        <v>7</v>
      </c>
      <c r="AJ1305" s="12">
        <v>0</v>
      </c>
      <c r="AK1305" s="12">
        <v>0</v>
      </c>
      <c r="AL1305" s="12">
        <v>3</v>
      </c>
      <c r="AM1305" s="18">
        <v>0</v>
      </c>
      <c r="AN1305" s="18">
        <v>0</v>
      </c>
      <c r="AO1305" s="18">
        <v>0</v>
      </c>
      <c r="AP1305" s="18">
        <v>0</v>
      </c>
      <c r="AQ1305" s="18">
        <v>3000</v>
      </c>
      <c r="AR1305" s="18">
        <v>0.5</v>
      </c>
      <c r="AS1305" s="18">
        <v>0</v>
      </c>
      <c r="AT1305" s="12">
        <v>92000048</v>
      </c>
      <c r="AU1305" s="18">
        <v>0</v>
      </c>
      <c r="AV1305" s="18"/>
      <c r="AW1305" s="17" t="s">
        <v>199</v>
      </c>
      <c r="AX1305" s="18">
        <v>0</v>
      </c>
      <c r="AY1305" s="18">
        <v>0</v>
      </c>
      <c r="AZ1305" s="18">
        <v>0</v>
      </c>
      <c r="BA1305" s="19" t="s">
        <v>200</v>
      </c>
      <c r="BB1305" s="19">
        <v>0</v>
      </c>
      <c r="BC1305" s="27">
        <v>0</v>
      </c>
      <c r="BD1305" s="27">
        <v>0</v>
      </c>
      <c r="BE1305" s="44" t="s">
        <v>5431</v>
      </c>
      <c r="BF1305" s="44"/>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62000113</v>
      </c>
      <c r="D1306" s="19" t="s">
        <v>2696</v>
      </c>
      <c r="E1306" s="19" t="s">
        <v>2670</v>
      </c>
      <c r="F1306" s="18">
        <v>1</v>
      </c>
      <c r="G1306" s="18">
        <v>50042</v>
      </c>
      <c r="H1306" s="18">
        <v>0</v>
      </c>
      <c r="I1306" s="27">
        <v>0</v>
      </c>
      <c r="J1306" s="18">
        <v>1</v>
      </c>
      <c r="K1306" s="18">
        <v>0</v>
      </c>
      <c r="L1306" s="16">
        <v>0</v>
      </c>
      <c r="M1306" s="18">
        <v>0</v>
      </c>
      <c r="N1306" s="18">
        <v>0</v>
      </c>
      <c r="O1306" s="18">
        <v>1</v>
      </c>
      <c r="P1306" s="18">
        <v>0</v>
      </c>
      <c r="Q1306" s="18">
        <v>0</v>
      </c>
      <c r="R1306" s="18">
        <v>0</v>
      </c>
      <c r="S1306" s="12">
        <v>0</v>
      </c>
      <c r="T1306" s="27">
        <v>0</v>
      </c>
      <c r="U1306" s="16">
        <v>1</v>
      </c>
      <c r="V1306" s="18">
        <v>2</v>
      </c>
      <c r="W1306" s="18">
        <v>0</v>
      </c>
      <c r="X1306" s="18">
        <v>3.5</v>
      </c>
      <c r="Y1306" s="12">
        <v>0</v>
      </c>
      <c r="Z1306" s="18">
        <v>2500</v>
      </c>
      <c r="AA1306" s="18">
        <v>0</v>
      </c>
      <c r="AB1306" s="18">
        <v>0</v>
      </c>
      <c r="AC1306" s="18">
        <v>0</v>
      </c>
      <c r="AD1306" s="18">
        <v>0</v>
      </c>
      <c r="AE1306" s="18">
        <v>0</v>
      </c>
      <c r="AF1306" s="18">
        <v>20</v>
      </c>
      <c r="AG1306" s="18">
        <v>1</v>
      </c>
      <c r="AH1306" s="18">
        <v>4</v>
      </c>
      <c r="AI1306" s="12">
        <v>2</v>
      </c>
      <c r="AJ1306" s="12">
        <v>1</v>
      </c>
      <c r="AK1306" s="12">
        <v>0</v>
      </c>
      <c r="AL1306" s="12">
        <v>6</v>
      </c>
      <c r="AM1306" s="18">
        <v>0</v>
      </c>
      <c r="AN1306" s="18">
        <v>0</v>
      </c>
      <c r="AO1306" s="18">
        <v>0</v>
      </c>
      <c r="AP1306" s="18">
        <v>0.5</v>
      </c>
      <c r="AQ1306" s="18">
        <v>30000</v>
      </c>
      <c r="AR1306" s="18">
        <v>0</v>
      </c>
      <c r="AS1306" s="18">
        <v>0</v>
      </c>
      <c r="AT1306" s="12">
        <v>0</v>
      </c>
      <c r="AU1306" s="18">
        <v>92000050</v>
      </c>
      <c r="AV1306" s="18"/>
      <c r="AW1306" s="17" t="s">
        <v>199</v>
      </c>
      <c r="AX1306" s="18" t="s">
        <v>545</v>
      </c>
      <c r="AY1306" s="18">
        <v>10003002</v>
      </c>
      <c r="AZ1306" s="18">
        <v>21409001</v>
      </c>
      <c r="BA1306" s="19" t="s">
        <v>200</v>
      </c>
      <c r="BB1306" s="19">
        <v>0</v>
      </c>
      <c r="BC1306" s="27">
        <v>0</v>
      </c>
      <c r="BD1306" s="27">
        <v>0</v>
      </c>
      <c r="BE1306" s="44" t="s">
        <v>2697</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62000114</v>
      </c>
      <c r="D1307" s="19" t="s">
        <v>2698</v>
      </c>
      <c r="E1307" s="19" t="s">
        <v>2679</v>
      </c>
      <c r="F1307" s="18">
        <v>1</v>
      </c>
      <c r="G1307" s="18">
        <v>50052</v>
      </c>
      <c r="H1307" s="18">
        <v>0</v>
      </c>
      <c r="I1307" s="27">
        <v>0</v>
      </c>
      <c r="J1307" s="18">
        <v>1</v>
      </c>
      <c r="K1307" s="18">
        <v>0</v>
      </c>
      <c r="L1307" s="16">
        <v>0</v>
      </c>
      <c r="M1307" s="18">
        <v>0</v>
      </c>
      <c r="N1307" s="18">
        <v>0</v>
      </c>
      <c r="O1307" s="18">
        <v>2</v>
      </c>
      <c r="P1307" s="18">
        <v>2</v>
      </c>
      <c r="Q1307" s="18">
        <v>0.5</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35</v>
      </c>
      <c r="AG1307" s="18">
        <v>0</v>
      </c>
      <c r="AH1307" s="18">
        <v>0</v>
      </c>
      <c r="AI1307" s="12">
        <v>2</v>
      </c>
      <c r="AJ1307" s="12">
        <v>1</v>
      </c>
      <c r="AK1307" s="12">
        <v>0</v>
      </c>
      <c r="AL1307" s="12">
        <v>0</v>
      </c>
      <c r="AM1307" s="18">
        <v>0</v>
      </c>
      <c r="AN1307" s="18">
        <v>0</v>
      </c>
      <c r="AO1307" s="18">
        <v>0</v>
      </c>
      <c r="AP1307" s="18">
        <v>0</v>
      </c>
      <c r="AQ1307" s="18">
        <v>1000</v>
      </c>
      <c r="AR1307" s="18">
        <v>0</v>
      </c>
      <c r="AS1307" s="18">
        <v>0</v>
      </c>
      <c r="AT1307" s="12">
        <v>92000051</v>
      </c>
      <c r="AU1307" s="18" t="s">
        <v>198</v>
      </c>
      <c r="AV1307" s="18"/>
      <c r="AW1307" s="17" t="s">
        <v>199</v>
      </c>
      <c r="AX1307" s="18" t="s">
        <v>1819</v>
      </c>
      <c r="AY1307" s="18">
        <v>0</v>
      </c>
      <c r="AZ1307" s="18">
        <v>0</v>
      </c>
      <c r="BA1307" s="19" t="s">
        <v>200</v>
      </c>
      <c r="BB1307" s="19" t="s">
        <v>198</v>
      </c>
      <c r="BC1307" s="27">
        <v>0</v>
      </c>
      <c r="BD1307" s="27">
        <v>0</v>
      </c>
      <c r="BE1307" s="44" t="s">
        <v>2699</v>
      </c>
      <c r="BF1307" s="44"/>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3:75" ht="20.25" customHeight="1">
      <c r="C1308" s="18">
        <v>62000115</v>
      </c>
      <c r="D1308" s="19" t="s">
        <v>2700</v>
      </c>
      <c r="E1308" s="19" t="s">
        <v>2583</v>
      </c>
      <c r="F1308" s="18">
        <v>1</v>
      </c>
      <c r="G1308" s="18">
        <v>50053</v>
      </c>
      <c r="H1308" s="18">
        <v>0</v>
      </c>
      <c r="I1308" s="27">
        <v>0</v>
      </c>
      <c r="J1308" s="18">
        <v>1</v>
      </c>
      <c r="K1308" s="18">
        <v>0</v>
      </c>
      <c r="L1308" s="16">
        <v>0</v>
      </c>
      <c r="M1308" s="18">
        <v>0</v>
      </c>
      <c r="N1308" s="18">
        <v>0</v>
      </c>
      <c r="O1308" s="18">
        <v>2</v>
      </c>
      <c r="P1308" s="18">
        <v>17</v>
      </c>
      <c r="Q1308" s="18">
        <v>0.1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0</v>
      </c>
      <c r="AU1308" s="12">
        <v>92000057</v>
      </c>
      <c r="AV1308" s="18"/>
      <c r="AW1308" s="17" t="s">
        <v>199</v>
      </c>
      <c r="AX1308" s="18">
        <v>0</v>
      </c>
      <c r="AY1308" s="18">
        <v>0</v>
      </c>
      <c r="AZ1308" s="18">
        <v>0</v>
      </c>
      <c r="BA1308" s="19" t="s">
        <v>200</v>
      </c>
      <c r="BB1308" s="19">
        <v>0</v>
      </c>
      <c r="BC1308" s="27">
        <v>0</v>
      </c>
      <c r="BD1308" s="27">
        <v>0</v>
      </c>
      <c r="BE1308" s="44" t="s">
        <v>2701</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20.25" customHeight="1">
      <c r="C1309" s="18">
        <v>62000116</v>
      </c>
      <c r="D1309" s="19" t="s">
        <v>2702</v>
      </c>
      <c r="E1309" s="19" t="s">
        <v>2583</v>
      </c>
      <c r="F1309" s="18">
        <v>1</v>
      </c>
      <c r="G1309" s="18">
        <v>50061</v>
      </c>
      <c r="H1309" s="18">
        <v>0</v>
      </c>
      <c r="I1309" s="27">
        <v>0</v>
      </c>
      <c r="J1309" s="18">
        <v>1</v>
      </c>
      <c r="K1309" s="18">
        <v>0</v>
      </c>
      <c r="L1309" s="16">
        <v>0</v>
      </c>
      <c r="M1309" s="18">
        <v>0</v>
      </c>
      <c r="N1309" s="18">
        <v>0</v>
      </c>
      <c r="O1309" s="18">
        <v>2</v>
      </c>
      <c r="P1309" s="18">
        <v>17</v>
      </c>
      <c r="Q1309" s="18">
        <v>0.3</v>
      </c>
      <c r="R1309" s="18">
        <v>0</v>
      </c>
      <c r="S1309" s="12">
        <v>0</v>
      </c>
      <c r="T1309" s="27">
        <v>0</v>
      </c>
      <c r="U1309" s="16">
        <v>1</v>
      </c>
      <c r="V1309" s="18">
        <v>2</v>
      </c>
      <c r="W1309" s="18">
        <v>0</v>
      </c>
      <c r="X1309" s="18">
        <v>1</v>
      </c>
      <c r="Y1309" s="12">
        <v>0</v>
      </c>
      <c r="Z1309" s="18">
        <v>0</v>
      </c>
      <c r="AA1309" s="18">
        <v>0</v>
      </c>
      <c r="AB1309" s="18">
        <v>0</v>
      </c>
      <c r="AC1309" s="18">
        <v>0</v>
      </c>
      <c r="AD1309" s="18">
        <v>1</v>
      </c>
      <c r="AE1309" s="18">
        <v>0</v>
      </c>
      <c r="AF1309" s="18">
        <v>1</v>
      </c>
      <c r="AG1309" s="18">
        <v>0</v>
      </c>
      <c r="AH1309" s="18">
        <v>0</v>
      </c>
      <c r="AI1309" s="12">
        <v>7</v>
      </c>
      <c r="AJ1309" s="12">
        <v>0</v>
      </c>
      <c r="AK1309" s="12">
        <v>0</v>
      </c>
      <c r="AL1309" s="12">
        <v>3</v>
      </c>
      <c r="AM1309" s="18">
        <v>0</v>
      </c>
      <c r="AN1309" s="18">
        <v>0</v>
      </c>
      <c r="AO1309" s="18">
        <v>0</v>
      </c>
      <c r="AP1309" s="18">
        <v>0</v>
      </c>
      <c r="AQ1309" s="18">
        <v>3000</v>
      </c>
      <c r="AR1309" s="18">
        <v>0.5</v>
      </c>
      <c r="AS1309" s="18">
        <v>0</v>
      </c>
      <c r="AT1309" s="12">
        <v>0</v>
      </c>
      <c r="AU1309" s="18">
        <v>92000056</v>
      </c>
      <c r="AV1309" s="18"/>
      <c r="AW1309" s="17" t="s">
        <v>199</v>
      </c>
      <c r="AX1309" s="18">
        <v>0</v>
      </c>
      <c r="AY1309" s="18">
        <v>0</v>
      </c>
      <c r="AZ1309" s="18">
        <v>0</v>
      </c>
      <c r="BA1309" s="19" t="s">
        <v>200</v>
      </c>
      <c r="BB1309" s="19">
        <v>0</v>
      </c>
      <c r="BC1309" s="27">
        <v>0</v>
      </c>
      <c r="BD1309" s="27">
        <v>0</v>
      </c>
      <c r="BE1309" s="44" t="s">
        <v>2703</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3:75" ht="20.25" customHeight="1">
      <c r="C1310" s="18">
        <v>62000117</v>
      </c>
      <c r="D1310" s="19" t="s">
        <v>2704</v>
      </c>
      <c r="E1310" s="19" t="s">
        <v>2679</v>
      </c>
      <c r="F1310" s="18">
        <v>1</v>
      </c>
      <c r="G1310" s="18">
        <v>50062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30</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92000053</v>
      </c>
      <c r="AU1310" s="18" t="s">
        <v>198</v>
      </c>
      <c r="AV1310" s="18"/>
      <c r="AW1310" s="17" t="s">
        <v>199</v>
      </c>
      <c r="AX1310" s="18" t="s">
        <v>1819</v>
      </c>
      <c r="AY1310" s="18">
        <v>0</v>
      </c>
      <c r="AZ1310" s="18">
        <v>0</v>
      </c>
      <c r="BA1310" s="19" t="s">
        <v>200</v>
      </c>
      <c r="BB1310" s="19" t="s">
        <v>198</v>
      </c>
      <c r="BC1310" s="27">
        <v>0</v>
      </c>
      <c r="BD1310" s="27">
        <v>0</v>
      </c>
      <c r="BE1310" s="44" t="s">
        <v>2705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3:75" ht="20.25" customHeight="1">
      <c r="C1311" s="18">
        <v>62000118</v>
      </c>
      <c r="D1311" s="19" t="s">
        <v>2616</v>
      </c>
      <c r="E1311" s="19" t="s">
        <v>2617</v>
      </c>
      <c r="F1311" s="18">
        <v>1</v>
      </c>
      <c r="G1311" s="18">
        <v>50063</v>
      </c>
      <c r="H1311" s="18">
        <v>0</v>
      </c>
      <c r="I1311" s="27">
        <v>0</v>
      </c>
      <c r="J1311" s="18">
        <v>1</v>
      </c>
      <c r="K1311" s="18">
        <v>0</v>
      </c>
      <c r="L1311" s="16">
        <v>0</v>
      </c>
      <c r="M1311" s="18">
        <v>0</v>
      </c>
      <c r="N1311" s="18">
        <v>0</v>
      </c>
      <c r="O1311" s="18">
        <v>2</v>
      </c>
      <c r="P1311" s="18">
        <v>1</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1</v>
      </c>
      <c r="AG1311" s="18">
        <v>0</v>
      </c>
      <c r="AH1311" s="18">
        <v>0</v>
      </c>
      <c r="AI1311" s="12">
        <v>7</v>
      </c>
      <c r="AJ1311" s="12">
        <v>0</v>
      </c>
      <c r="AK1311" s="12">
        <v>0</v>
      </c>
      <c r="AL1311" s="12">
        <v>0</v>
      </c>
      <c r="AM1311" s="18">
        <v>0</v>
      </c>
      <c r="AN1311" s="18">
        <v>0</v>
      </c>
      <c r="AO1311" s="18">
        <v>0</v>
      </c>
      <c r="AP1311" s="18">
        <v>0</v>
      </c>
      <c r="AQ1311" s="18">
        <v>1000</v>
      </c>
      <c r="AR1311" s="18">
        <v>0</v>
      </c>
      <c r="AS1311" s="18">
        <v>0</v>
      </c>
      <c r="AT1311" s="12">
        <v>0</v>
      </c>
      <c r="AU1311" s="18" t="s">
        <v>2706</v>
      </c>
      <c r="AV1311" s="18"/>
      <c r="AW1311" s="17" t="s">
        <v>199</v>
      </c>
      <c r="AX1311" s="18" t="s">
        <v>1819</v>
      </c>
      <c r="AY1311" s="18">
        <v>0</v>
      </c>
      <c r="AZ1311" s="18">
        <v>0</v>
      </c>
      <c r="BA1311" s="19" t="s">
        <v>200</v>
      </c>
      <c r="BB1311" s="19" t="s">
        <v>198</v>
      </c>
      <c r="BC1311" s="27">
        <v>0</v>
      </c>
      <c r="BD1311" s="27">
        <v>0</v>
      </c>
      <c r="BE1311" s="44" t="s">
        <v>2619</v>
      </c>
      <c r="BF1311" s="44" t="s">
        <v>2620</v>
      </c>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3:75" ht="19.5" customHeight="1">
      <c r="C1312" s="18">
        <v>62000119</v>
      </c>
      <c r="D1312" s="19" t="s">
        <v>2385</v>
      </c>
      <c r="E1312" s="19" t="s">
        <v>1546</v>
      </c>
      <c r="F1312" s="16">
        <v>1</v>
      </c>
      <c r="G1312" s="12">
        <v>50023</v>
      </c>
      <c r="H1312" s="18">
        <v>0</v>
      </c>
      <c r="I1312" s="27">
        <v>0</v>
      </c>
      <c r="J1312" s="16">
        <v>1</v>
      </c>
      <c r="K1312" s="16">
        <v>0</v>
      </c>
      <c r="L1312" s="16">
        <v>0</v>
      </c>
      <c r="M1312" s="18">
        <v>0</v>
      </c>
      <c r="N1312" s="18">
        <v>0</v>
      </c>
      <c r="O1312" s="18">
        <v>2</v>
      </c>
      <c r="P1312" s="18">
        <v>1</v>
      </c>
      <c r="Q1312" s="18">
        <v>0.1</v>
      </c>
      <c r="R1312" s="18">
        <v>0</v>
      </c>
      <c r="S1312" s="12">
        <v>0</v>
      </c>
      <c r="T1312" s="27">
        <v>0</v>
      </c>
      <c r="U1312" s="16">
        <v>1</v>
      </c>
      <c r="V1312" s="18">
        <v>2</v>
      </c>
      <c r="W1312" s="18">
        <v>0</v>
      </c>
      <c r="X1312" s="18">
        <v>3</v>
      </c>
      <c r="Y1312" s="12">
        <v>0</v>
      </c>
      <c r="Z1312" s="18">
        <v>1500</v>
      </c>
      <c r="AA1312" s="18">
        <v>0</v>
      </c>
      <c r="AB1312" s="18">
        <v>0</v>
      </c>
      <c r="AC1312" s="18">
        <v>0</v>
      </c>
      <c r="AD1312" s="18">
        <v>0</v>
      </c>
      <c r="AE1312" s="18">
        <v>0</v>
      </c>
      <c r="AF1312" s="18">
        <v>10</v>
      </c>
      <c r="AG1312" s="18">
        <v>2</v>
      </c>
      <c r="AH1312" s="18" t="s">
        <v>801</v>
      </c>
      <c r="AI1312" s="12">
        <v>2</v>
      </c>
      <c r="AJ1312" s="12">
        <v>3</v>
      </c>
      <c r="AK1312" s="12">
        <v>0</v>
      </c>
      <c r="AL1312" s="12">
        <v>2</v>
      </c>
      <c r="AM1312" s="18">
        <v>0</v>
      </c>
      <c r="AN1312" s="18">
        <v>0</v>
      </c>
      <c r="AO1312" s="18">
        <v>0</v>
      </c>
      <c r="AP1312" s="18">
        <v>0.25</v>
      </c>
      <c r="AQ1312" s="18">
        <v>3000</v>
      </c>
      <c r="AR1312" s="18">
        <v>0.1</v>
      </c>
      <c r="AS1312" s="18">
        <v>0</v>
      </c>
      <c r="AT1312" s="12">
        <v>0</v>
      </c>
      <c r="AU1312" s="346" t="s">
        <v>2386</v>
      </c>
      <c r="AV1312" s="18"/>
      <c r="AW1312" s="19" t="s">
        <v>256</v>
      </c>
      <c r="AX1312" s="18" t="s">
        <v>545</v>
      </c>
      <c r="AY1312" s="18">
        <v>10001007</v>
      </c>
      <c r="AZ1312" s="18">
        <v>21401010</v>
      </c>
      <c r="BA1312" s="19" t="s">
        <v>200</v>
      </c>
      <c r="BB1312" s="19">
        <v>0</v>
      </c>
      <c r="BC1312" s="27">
        <v>0</v>
      </c>
      <c r="BD1312" s="27">
        <v>0</v>
      </c>
      <c r="BE1312" s="183" t="str">
        <f t="shared" ref="BE1312" si="144">"立即对前方范围内的敌人造成"&amp;X1312*100&amp;"%攻击伤害+"&amp;Z1312&amp;"点固定伤害,并将其置空1秒"</f>
        <v>立即对前方范围内的敌人造成300%攻击伤害+1500点固定伤害,并将其置空1秒</v>
      </c>
      <c r="BF1312" s="183" t="s">
        <v>1550</v>
      </c>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19.5" customHeight="1">
      <c r="C1313" s="180">
        <v>62000120</v>
      </c>
      <c r="D1313" s="236" t="s">
        <v>2707</v>
      </c>
      <c r="E1313" s="236" t="s">
        <v>2400</v>
      </c>
      <c r="F1313" s="18">
        <v>1</v>
      </c>
      <c r="G1313" s="16">
        <v>60010100</v>
      </c>
      <c r="H1313" s="18">
        <v>0</v>
      </c>
      <c r="I1313" s="27">
        <v>0</v>
      </c>
      <c r="J1313" s="18">
        <v>1</v>
      </c>
      <c r="K1313" s="18">
        <v>0</v>
      </c>
      <c r="L1313" s="18">
        <v>0</v>
      </c>
      <c r="M1313" s="16">
        <v>0</v>
      </c>
      <c r="N1313" s="16">
        <v>0</v>
      </c>
      <c r="O1313" s="16">
        <v>2</v>
      </c>
      <c r="P1313" s="16">
        <v>1</v>
      </c>
      <c r="Q1313" s="16">
        <v>1</v>
      </c>
      <c r="R1313" s="16">
        <v>0</v>
      </c>
      <c r="S1313" s="12">
        <v>0</v>
      </c>
      <c r="T1313" s="16">
        <v>0</v>
      </c>
      <c r="U1313" s="16">
        <v>1</v>
      </c>
      <c r="V1313" s="16">
        <v>2</v>
      </c>
      <c r="W1313" s="16">
        <v>0</v>
      </c>
      <c r="X1313" s="16">
        <v>3.5</v>
      </c>
      <c r="Y1313" s="12">
        <v>0</v>
      </c>
      <c r="Z1313" s="16">
        <v>0</v>
      </c>
      <c r="AA1313" s="16">
        <v>0</v>
      </c>
      <c r="AB1313" s="16">
        <v>0</v>
      </c>
      <c r="AC1313" s="16">
        <v>0</v>
      </c>
      <c r="AD1313" s="16">
        <v>0</v>
      </c>
      <c r="AE1313" s="16">
        <v>0</v>
      </c>
      <c r="AF1313" s="16">
        <v>1</v>
      </c>
      <c r="AG1313" s="16">
        <v>1</v>
      </c>
      <c r="AH1313" s="16">
        <v>3</v>
      </c>
      <c r="AI1313" s="12">
        <v>1</v>
      </c>
      <c r="AJ1313" s="12">
        <v>0</v>
      </c>
      <c r="AK1313" s="12">
        <v>0</v>
      </c>
      <c r="AL1313" s="12">
        <v>0</v>
      </c>
      <c r="AM1313" s="16">
        <v>0</v>
      </c>
      <c r="AN1313" s="16">
        <v>0</v>
      </c>
      <c r="AO1313" s="16">
        <v>0</v>
      </c>
      <c r="AP1313" s="16">
        <v>0</v>
      </c>
      <c r="AQ1313" s="16">
        <v>5000</v>
      </c>
      <c r="AR1313" s="16">
        <v>0</v>
      </c>
      <c r="AS1313" s="16">
        <v>0</v>
      </c>
      <c r="AT1313" s="12">
        <v>0</v>
      </c>
      <c r="AU1313" s="18">
        <v>92000050</v>
      </c>
      <c r="AV1313" s="16"/>
      <c r="AW1313" s="19" t="s">
        <v>256</v>
      </c>
      <c r="AX1313" s="16" t="s">
        <v>534</v>
      </c>
      <c r="AY1313" s="18">
        <v>10000007</v>
      </c>
      <c r="AZ1313" s="18">
        <v>70403005</v>
      </c>
      <c r="BA1313" s="17" t="s">
        <v>200</v>
      </c>
      <c r="BB1313" s="16">
        <v>0</v>
      </c>
      <c r="BC1313" s="27">
        <v>0</v>
      </c>
      <c r="BD1313" s="27">
        <v>0</v>
      </c>
      <c r="BE1313" s="44" t="s">
        <v>2603</v>
      </c>
      <c r="BF1313" s="44" t="s">
        <v>2402</v>
      </c>
      <c r="BG1313" s="16">
        <v>0</v>
      </c>
      <c r="BH1313" s="16">
        <v>0</v>
      </c>
      <c r="BI1313" s="16">
        <v>0</v>
      </c>
      <c r="BJ1313" s="16">
        <v>0</v>
      </c>
      <c r="BK1313" s="16">
        <v>0</v>
      </c>
      <c r="BL1313" s="16">
        <v>0</v>
      </c>
      <c r="BM1313" s="15">
        <v>0</v>
      </c>
      <c r="BN1313" s="12">
        <v>0</v>
      </c>
      <c r="BO1313" s="12">
        <v>0</v>
      </c>
      <c r="BP1313" s="12">
        <v>0</v>
      </c>
      <c r="BQ1313" s="12">
        <v>0</v>
      </c>
      <c r="BR1313" s="12">
        <v>0</v>
      </c>
      <c r="BS1313" s="12">
        <v>0</v>
      </c>
      <c r="BT1313" s="12">
        <v>0</v>
      </c>
      <c r="BU1313" s="47">
        <v>0</v>
      </c>
      <c r="BV1313" s="47"/>
      <c r="BW1313" s="47"/>
    </row>
    <row r="1314" spans="3:75" ht="20.25" customHeight="1">
      <c r="C1314" s="16">
        <v>63001001</v>
      </c>
      <c r="D1314" s="19" t="s">
        <v>2708</v>
      </c>
      <c r="E1314" s="19" t="s">
        <v>2709</v>
      </c>
      <c r="F1314" s="18">
        <v>1</v>
      </c>
      <c r="G1314" s="18">
        <v>63001001</v>
      </c>
      <c r="H1314" s="18">
        <v>0</v>
      </c>
      <c r="I1314" s="27">
        <v>0</v>
      </c>
      <c r="J1314" s="18">
        <v>1</v>
      </c>
      <c r="K1314" s="18">
        <v>0</v>
      </c>
      <c r="L1314" s="16">
        <v>0</v>
      </c>
      <c r="M1314" s="18">
        <v>0</v>
      </c>
      <c r="N1314" s="18">
        <v>0</v>
      </c>
      <c r="O1314" s="18">
        <v>2</v>
      </c>
      <c r="P1314" s="18">
        <v>12</v>
      </c>
      <c r="Q1314" s="18">
        <v>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60</v>
      </c>
      <c r="AG1314" s="18">
        <v>1</v>
      </c>
      <c r="AH1314" s="18" t="s">
        <v>607</v>
      </c>
      <c r="AI1314" s="12">
        <v>0</v>
      </c>
      <c r="AJ1314" s="12">
        <v>0</v>
      </c>
      <c r="AK1314" s="12">
        <v>0</v>
      </c>
      <c r="AL1314" s="12">
        <v>0</v>
      </c>
      <c r="AM1314" s="18">
        <v>0</v>
      </c>
      <c r="AN1314" s="18">
        <v>0</v>
      </c>
      <c r="AO1314" s="18">
        <v>0</v>
      </c>
      <c r="AP1314" s="18">
        <v>0</v>
      </c>
      <c r="AQ1314" s="18">
        <v>50000</v>
      </c>
      <c r="AR1314" s="18">
        <v>0</v>
      </c>
      <c r="AS1314" s="18">
        <v>0</v>
      </c>
      <c r="AT1314" s="12">
        <v>0</v>
      </c>
      <c r="AU1314" s="18">
        <v>90501001</v>
      </c>
      <c r="AV1314" s="18"/>
      <c r="AW1314" s="17" t="s">
        <v>198</v>
      </c>
      <c r="AX1314" s="18">
        <v>0</v>
      </c>
      <c r="AY1314" s="18">
        <v>0</v>
      </c>
      <c r="AZ1314" s="18">
        <v>0</v>
      </c>
      <c r="BA1314" s="19" t="s">
        <v>2710</v>
      </c>
      <c r="BB1314" s="19">
        <v>0</v>
      </c>
      <c r="BC1314" s="27">
        <v>0</v>
      </c>
      <c r="BD1314" s="27">
        <v>0</v>
      </c>
      <c r="BE1314" s="44" t="s">
        <v>2711</v>
      </c>
      <c r="BF1314" s="44" t="s">
        <v>2712</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spans="3:75" ht="20.100000000000001" customHeight="1">
      <c r="C1315" s="16">
        <v>63001002</v>
      </c>
      <c r="D1315" s="17" t="s">
        <v>2713</v>
      </c>
      <c r="E1315" s="17" t="s">
        <v>2714</v>
      </c>
      <c r="F1315" s="16">
        <v>1</v>
      </c>
      <c r="G1315" s="16">
        <v>63001002</v>
      </c>
      <c r="H1315" s="18">
        <v>0</v>
      </c>
      <c r="I1315" s="27">
        <v>0</v>
      </c>
      <c r="J1315" s="18">
        <v>1</v>
      </c>
      <c r="K1315" s="18">
        <v>0</v>
      </c>
      <c r="L1315" s="16">
        <v>0</v>
      </c>
      <c r="M1315" s="16">
        <v>0</v>
      </c>
      <c r="N1315" s="16">
        <v>0</v>
      </c>
      <c r="O1315" s="16">
        <v>8</v>
      </c>
      <c r="P1315" s="16">
        <v>0</v>
      </c>
      <c r="Q1315" s="16">
        <v>0</v>
      </c>
      <c r="R1315" s="16">
        <v>0</v>
      </c>
      <c r="S1315" s="12">
        <v>0</v>
      </c>
      <c r="T1315" s="16">
        <v>0</v>
      </c>
      <c r="U1315" s="16">
        <v>1</v>
      </c>
      <c r="V1315" s="16">
        <v>2</v>
      </c>
      <c r="W1315" s="16">
        <v>0</v>
      </c>
      <c r="X1315" s="18">
        <v>0</v>
      </c>
      <c r="Y1315" s="12">
        <v>0</v>
      </c>
      <c r="Z1315" s="18">
        <v>0</v>
      </c>
      <c r="AA1315" s="16">
        <v>0</v>
      </c>
      <c r="AB1315" s="16">
        <v>0</v>
      </c>
      <c r="AC1315" s="16">
        <v>0</v>
      </c>
      <c r="AD1315" s="16">
        <v>1</v>
      </c>
      <c r="AE1315" s="16">
        <v>0</v>
      </c>
      <c r="AF1315" s="16">
        <v>0</v>
      </c>
      <c r="AG1315" s="16">
        <v>2</v>
      </c>
      <c r="AH1315" s="16" t="s">
        <v>213</v>
      </c>
      <c r="AI1315" s="12">
        <v>2</v>
      </c>
      <c r="AJ1315" s="12">
        <v>2</v>
      </c>
      <c r="AK1315" s="12">
        <v>0</v>
      </c>
      <c r="AL1315" s="12">
        <v>1.5</v>
      </c>
      <c r="AM1315" s="16">
        <v>0</v>
      </c>
      <c r="AN1315" s="16">
        <v>0</v>
      </c>
      <c r="AO1315" s="16">
        <v>0</v>
      </c>
      <c r="AP1315" s="16">
        <v>0</v>
      </c>
      <c r="AQ1315" s="16">
        <v>3000</v>
      </c>
      <c r="AR1315" s="16">
        <v>0</v>
      </c>
      <c r="AS1315" s="16">
        <v>0</v>
      </c>
      <c r="AT1315" s="12">
        <v>0</v>
      </c>
      <c r="AU1315" s="16" t="s">
        <v>198</v>
      </c>
      <c r="AV1315" s="16"/>
      <c r="AW1315" s="17" t="s">
        <v>198</v>
      </c>
      <c r="AX1315" s="16">
        <v>0</v>
      </c>
      <c r="AY1315" s="18">
        <v>0</v>
      </c>
      <c r="AZ1315" s="18">
        <v>0</v>
      </c>
      <c r="BA1315" s="17" t="s">
        <v>200</v>
      </c>
      <c r="BB1315" s="16" t="s">
        <v>2715</v>
      </c>
      <c r="BC1315" s="27">
        <v>0</v>
      </c>
      <c r="BD1315" s="27">
        <v>0</v>
      </c>
      <c r="BE1315" s="44" t="s">
        <v>2716</v>
      </c>
      <c r="BF1315" s="44" t="s">
        <v>2717</v>
      </c>
      <c r="BG1315" s="16">
        <v>0</v>
      </c>
      <c r="BH1315" s="16">
        <v>0</v>
      </c>
      <c r="BI1315" s="16">
        <v>0</v>
      </c>
      <c r="BJ1315" s="16">
        <v>0</v>
      </c>
      <c r="BK1315" s="16">
        <v>0</v>
      </c>
      <c r="BL1315" s="16">
        <v>0</v>
      </c>
      <c r="BM1315" s="15">
        <v>0</v>
      </c>
      <c r="BN1315" s="12">
        <v>0</v>
      </c>
      <c r="BO1315" s="12">
        <v>0</v>
      </c>
      <c r="BP1315" s="12">
        <v>0</v>
      </c>
      <c r="BQ1315" s="12">
        <v>0</v>
      </c>
      <c r="BR1315" s="12">
        <v>0</v>
      </c>
      <c r="BS1315" s="12">
        <v>0</v>
      </c>
      <c r="BT1315" s="12">
        <v>0</v>
      </c>
      <c r="BU1315" s="47">
        <v>0</v>
      </c>
      <c r="BV1315" s="47"/>
      <c r="BW1315" s="47"/>
    </row>
    <row r="1316" spans="3:75" ht="20.100000000000001" customHeight="1">
      <c r="C1316" s="16">
        <v>63001003</v>
      </c>
      <c r="D1316" s="17" t="s">
        <v>5437</v>
      </c>
      <c r="E1316" s="17" t="s">
        <v>2718</v>
      </c>
      <c r="F1316" s="16">
        <v>1</v>
      </c>
      <c r="G1316" s="16">
        <v>63003001</v>
      </c>
      <c r="H1316" s="16">
        <v>0</v>
      </c>
      <c r="I1316" s="27">
        <v>0</v>
      </c>
      <c r="J1316" s="18">
        <v>1</v>
      </c>
      <c r="K1316" s="18">
        <v>0</v>
      </c>
      <c r="L1316" s="16">
        <v>0</v>
      </c>
      <c r="M1316" s="16">
        <v>0</v>
      </c>
      <c r="N1316" s="16">
        <v>0</v>
      </c>
      <c r="O1316" s="16">
        <v>2</v>
      </c>
      <c r="P1316" s="16">
        <v>0</v>
      </c>
      <c r="Q1316" s="16">
        <v>0</v>
      </c>
      <c r="R1316" s="16">
        <v>0</v>
      </c>
      <c r="S1316" s="12">
        <v>0</v>
      </c>
      <c r="T1316" s="16">
        <v>0</v>
      </c>
      <c r="U1316" s="16">
        <v>1</v>
      </c>
      <c r="V1316" s="16">
        <v>0</v>
      </c>
      <c r="W1316" s="16">
        <v>0</v>
      </c>
      <c r="X1316" s="18">
        <v>0</v>
      </c>
      <c r="Y1316" s="12">
        <v>0</v>
      </c>
      <c r="Z1316" s="18">
        <v>0</v>
      </c>
      <c r="AA1316" s="16">
        <v>0</v>
      </c>
      <c r="AB1316" s="16">
        <v>0</v>
      </c>
      <c r="AC1316" s="16">
        <v>0</v>
      </c>
      <c r="AD1316" s="16">
        <v>1</v>
      </c>
      <c r="AE1316" s="16">
        <v>0</v>
      </c>
      <c r="AF1316" s="16">
        <v>0</v>
      </c>
      <c r="AG1316" s="16">
        <v>0</v>
      </c>
      <c r="AH1316" s="16" t="s">
        <v>198</v>
      </c>
      <c r="AI1316" s="12">
        <v>0</v>
      </c>
      <c r="AJ1316" s="12">
        <v>0</v>
      </c>
      <c r="AK1316" s="12">
        <v>0</v>
      </c>
      <c r="AL1316" s="12">
        <v>0</v>
      </c>
      <c r="AM1316" s="16">
        <v>0</v>
      </c>
      <c r="AN1316" s="16">
        <v>0</v>
      </c>
      <c r="AO1316" s="16">
        <v>0</v>
      </c>
      <c r="AP1316" s="16">
        <v>0</v>
      </c>
      <c r="AQ1316" s="16">
        <v>0</v>
      </c>
      <c r="AR1316" s="16">
        <v>0</v>
      </c>
      <c r="AS1316" s="16">
        <v>0</v>
      </c>
      <c r="AT1316" s="12">
        <v>0</v>
      </c>
      <c r="AU1316" s="16" t="s">
        <v>198</v>
      </c>
      <c r="AV1316" s="16"/>
      <c r="AW1316" s="17" t="s">
        <v>198</v>
      </c>
      <c r="AX1316" s="16">
        <v>0</v>
      </c>
      <c r="AY1316" s="18">
        <v>0</v>
      </c>
      <c r="AZ1316" s="18">
        <v>0</v>
      </c>
      <c r="BA1316" s="17" t="s">
        <v>198</v>
      </c>
      <c r="BB1316" s="16">
        <v>0</v>
      </c>
      <c r="BC1316" s="27"/>
      <c r="BD1316" s="27">
        <v>0</v>
      </c>
      <c r="BE1316" s="44" t="s">
        <v>2719</v>
      </c>
      <c r="BF1316" s="44" t="s">
        <v>2720</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19.5" customHeight="1">
      <c r="C1317" s="16">
        <v>63001004</v>
      </c>
      <c r="D1317" s="236" t="s">
        <v>5433</v>
      </c>
      <c r="E1317" s="236" t="s">
        <v>2721</v>
      </c>
      <c r="F1317" s="180">
        <v>1</v>
      </c>
      <c r="G1317" s="180">
        <v>63001004</v>
      </c>
      <c r="H1317" s="180">
        <v>0</v>
      </c>
      <c r="I1317" s="180">
        <v>0</v>
      </c>
      <c r="J1317" s="18">
        <v>1</v>
      </c>
      <c r="K1317" s="18">
        <v>0</v>
      </c>
      <c r="L1317" s="16">
        <v>0</v>
      </c>
      <c r="M1317" s="180">
        <v>0</v>
      </c>
      <c r="N1317" s="180">
        <v>0</v>
      </c>
      <c r="O1317" s="180">
        <v>2</v>
      </c>
      <c r="P1317" s="180">
        <v>17</v>
      </c>
      <c r="Q1317" s="180">
        <v>0.2</v>
      </c>
      <c r="R1317" s="180">
        <v>0</v>
      </c>
      <c r="S1317" s="12">
        <v>0</v>
      </c>
      <c r="T1317" s="180">
        <v>0</v>
      </c>
      <c r="U1317" s="180">
        <v>1</v>
      </c>
      <c r="V1317" s="180">
        <v>2</v>
      </c>
      <c r="W1317" s="180">
        <v>0</v>
      </c>
      <c r="X1317" s="180">
        <v>0</v>
      </c>
      <c r="Y1317" s="12">
        <v>0</v>
      </c>
      <c r="Z1317" s="180">
        <v>0</v>
      </c>
      <c r="AA1317" s="180">
        <v>0</v>
      </c>
      <c r="AB1317" s="180">
        <v>0</v>
      </c>
      <c r="AC1317" s="180">
        <v>0</v>
      </c>
      <c r="AD1317" s="16">
        <v>1</v>
      </c>
      <c r="AE1317" s="180">
        <v>0</v>
      </c>
      <c r="AF1317" s="180">
        <v>15</v>
      </c>
      <c r="AG1317" s="180">
        <v>2</v>
      </c>
      <c r="AH1317" s="180" t="s">
        <v>213</v>
      </c>
      <c r="AI1317" s="180">
        <v>2</v>
      </c>
      <c r="AJ1317" s="180">
        <v>3</v>
      </c>
      <c r="AK1317" s="12">
        <v>0</v>
      </c>
      <c r="AL1317" s="180">
        <v>1.5</v>
      </c>
      <c r="AM1317" s="180">
        <v>0</v>
      </c>
      <c r="AN1317" s="180">
        <v>0</v>
      </c>
      <c r="AO1317" s="180">
        <v>0</v>
      </c>
      <c r="AP1317" s="180">
        <v>0</v>
      </c>
      <c r="AQ1317" s="180">
        <v>3000</v>
      </c>
      <c r="AR1317" s="180">
        <v>0.5</v>
      </c>
      <c r="AS1317" s="180">
        <v>0</v>
      </c>
      <c r="AT1317" s="180">
        <v>0</v>
      </c>
      <c r="AU1317" s="180">
        <v>0</v>
      </c>
      <c r="AV1317" s="180"/>
      <c r="AW1317" s="236" t="s">
        <v>198</v>
      </c>
      <c r="AX1317" s="180">
        <v>0</v>
      </c>
      <c r="AY1317" s="180">
        <v>0</v>
      </c>
      <c r="AZ1317" s="180">
        <v>0</v>
      </c>
      <c r="BA1317" s="236" t="s">
        <v>200</v>
      </c>
      <c r="BB1317" s="236">
        <v>0</v>
      </c>
      <c r="BC1317" s="180">
        <v>0</v>
      </c>
      <c r="BD1317" s="180">
        <v>0</v>
      </c>
      <c r="BE1317" s="245" t="str">
        <f>"普通攻击和释放技能都有20%概率向目标施放元素法球技能"</f>
        <v>普通攻击和释放技能都有20%概率向目标施放元素法球技能</v>
      </c>
      <c r="BF1317" s="245" t="s">
        <v>2722</v>
      </c>
      <c r="BG1317" s="180">
        <v>0</v>
      </c>
      <c r="BH1317" s="16">
        <v>0</v>
      </c>
      <c r="BI1317" s="180">
        <v>0</v>
      </c>
      <c r="BJ1317" s="180">
        <v>0</v>
      </c>
      <c r="BK1317" s="180">
        <v>0</v>
      </c>
      <c r="BL1317" s="180">
        <v>0</v>
      </c>
      <c r="BM1317" s="359" t="s">
        <v>2723</v>
      </c>
      <c r="BN1317" s="12">
        <v>0</v>
      </c>
      <c r="BO1317" s="12">
        <v>0</v>
      </c>
      <c r="BP1317" s="12">
        <v>0</v>
      </c>
      <c r="BQ1317" s="12">
        <v>0</v>
      </c>
      <c r="BR1317" s="12">
        <v>0</v>
      </c>
      <c r="BS1317" s="12">
        <v>0</v>
      </c>
      <c r="BT1317" s="12">
        <v>0</v>
      </c>
      <c r="BU1317" s="47">
        <v>0</v>
      </c>
      <c r="BV1317" s="47"/>
      <c r="BW1317" s="47"/>
    </row>
    <row r="1318" spans="3:75" ht="20.100000000000001" customHeight="1">
      <c r="C1318" s="30">
        <v>63001005</v>
      </c>
      <c r="D1318" s="38" t="s">
        <v>2724</v>
      </c>
      <c r="E1318" s="38" t="s">
        <v>2725</v>
      </c>
      <c r="F1318" s="30">
        <v>1</v>
      </c>
      <c r="G1318" s="30">
        <v>63001005</v>
      </c>
      <c r="H1318" s="30">
        <v>0</v>
      </c>
      <c r="I1318" s="30">
        <v>0</v>
      </c>
      <c r="J1318" s="30">
        <v>1</v>
      </c>
      <c r="K1318" s="30">
        <v>0</v>
      </c>
      <c r="L1318" s="30">
        <v>0</v>
      </c>
      <c r="M1318" s="30">
        <v>0</v>
      </c>
      <c r="N1318" s="30">
        <v>0</v>
      </c>
      <c r="O1318" s="30">
        <v>8</v>
      </c>
      <c r="P1318" s="30">
        <v>0</v>
      </c>
      <c r="Q1318" s="30">
        <v>0</v>
      </c>
      <c r="R1318" s="30">
        <v>0</v>
      </c>
      <c r="S1318" s="30">
        <v>0</v>
      </c>
      <c r="T1318" s="30">
        <v>0</v>
      </c>
      <c r="U1318" s="30">
        <v>1</v>
      </c>
      <c r="V1318" s="30">
        <v>2</v>
      </c>
      <c r="W1318" s="30">
        <v>0</v>
      </c>
      <c r="X1318" s="30">
        <v>0</v>
      </c>
      <c r="Y1318" s="12">
        <v>0</v>
      </c>
      <c r="Z1318" s="30">
        <v>0</v>
      </c>
      <c r="AA1318" s="30">
        <v>0</v>
      </c>
      <c r="AB1318" s="30">
        <v>0</v>
      </c>
      <c r="AC1318" s="30">
        <v>0</v>
      </c>
      <c r="AD1318" s="30">
        <v>1</v>
      </c>
      <c r="AE1318" s="30">
        <v>0</v>
      </c>
      <c r="AF1318" s="30">
        <v>0</v>
      </c>
      <c r="AG1318" s="30">
        <v>2</v>
      </c>
      <c r="AH1318" s="30" t="s">
        <v>213</v>
      </c>
      <c r="AI1318" s="30">
        <v>2</v>
      </c>
      <c r="AJ1318" s="30">
        <v>2</v>
      </c>
      <c r="AK1318" s="30">
        <v>0</v>
      </c>
      <c r="AL1318" s="30">
        <v>1.5</v>
      </c>
      <c r="AM1318" s="30">
        <v>0</v>
      </c>
      <c r="AN1318" s="30">
        <v>0</v>
      </c>
      <c r="AO1318" s="30">
        <v>0</v>
      </c>
      <c r="AP1318" s="30">
        <v>0</v>
      </c>
      <c r="AQ1318" s="30">
        <v>3000</v>
      </c>
      <c r="AR1318" s="30">
        <v>0</v>
      </c>
      <c r="AS1318" s="30">
        <v>0</v>
      </c>
      <c r="AT1318" s="30">
        <v>0</v>
      </c>
      <c r="AU1318" s="30" t="s">
        <v>198</v>
      </c>
      <c r="AV1318" s="30"/>
      <c r="AW1318" s="38" t="s">
        <v>198</v>
      </c>
      <c r="AX1318" s="30">
        <v>0</v>
      </c>
      <c r="AY1318" s="30">
        <v>0</v>
      </c>
      <c r="AZ1318" s="30">
        <v>0</v>
      </c>
      <c r="BA1318" s="38" t="s">
        <v>200</v>
      </c>
      <c r="BB1318" s="30" t="s">
        <v>2726</v>
      </c>
      <c r="BC1318" s="30">
        <v>0</v>
      </c>
      <c r="BD1318" s="30">
        <v>0</v>
      </c>
      <c r="BE1318" s="214" t="s">
        <v>2727</v>
      </c>
      <c r="BF1318" s="214" t="s">
        <v>2728</v>
      </c>
      <c r="BG1318" s="30">
        <v>0</v>
      </c>
      <c r="BH1318" s="30">
        <v>0</v>
      </c>
      <c r="BI1318" s="30">
        <v>0</v>
      </c>
      <c r="BJ1318" s="30">
        <v>0</v>
      </c>
      <c r="BK1318" s="30">
        <v>0</v>
      </c>
      <c r="BL1318" s="30">
        <v>0</v>
      </c>
      <c r="BM1318" s="21">
        <v>0</v>
      </c>
      <c r="BN1318" s="30">
        <v>0</v>
      </c>
      <c r="BO1318" s="30">
        <v>0</v>
      </c>
      <c r="BP1318" s="30">
        <v>0</v>
      </c>
      <c r="BQ1318" s="30">
        <v>0</v>
      </c>
      <c r="BR1318" s="30">
        <v>0</v>
      </c>
      <c r="BS1318" s="30">
        <v>0</v>
      </c>
      <c r="BT1318" s="12">
        <v>0</v>
      </c>
      <c r="BU1318" s="47">
        <v>0</v>
      </c>
      <c r="BV1318" s="47"/>
      <c r="BW1318" s="47"/>
    </row>
    <row r="1319" spans="3:75" ht="20.100000000000001" customHeight="1">
      <c r="C1319" s="16">
        <v>63002001</v>
      </c>
      <c r="D1319" s="17" t="s">
        <v>2729</v>
      </c>
      <c r="E1319" s="17" t="s">
        <v>2730</v>
      </c>
      <c r="F1319" s="16">
        <v>1</v>
      </c>
      <c r="G1319" s="16">
        <v>63002001</v>
      </c>
      <c r="H1319" s="16">
        <v>0</v>
      </c>
      <c r="I1319" s="27">
        <v>0</v>
      </c>
      <c r="J1319" s="18">
        <v>1</v>
      </c>
      <c r="K1319" s="18">
        <v>0</v>
      </c>
      <c r="L1319" s="16">
        <v>0</v>
      </c>
      <c r="M1319" s="16">
        <v>0</v>
      </c>
      <c r="N1319" s="16">
        <v>0</v>
      </c>
      <c r="O1319" s="16">
        <v>2</v>
      </c>
      <c r="P1319" s="16">
        <v>12</v>
      </c>
      <c r="Q1319" s="16">
        <v>1</v>
      </c>
      <c r="R1319" s="16">
        <v>0</v>
      </c>
      <c r="S1319" s="12">
        <v>0</v>
      </c>
      <c r="T1319" s="16">
        <v>0</v>
      </c>
      <c r="U1319" s="16">
        <v>1</v>
      </c>
      <c r="V1319" s="16">
        <v>2</v>
      </c>
      <c r="W1319" s="16">
        <v>0</v>
      </c>
      <c r="X1319" s="18">
        <v>0</v>
      </c>
      <c r="Y1319" s="12">
        <v>0</v>
      </c>
      <c r="Z1319" s="18">
        <v>0</v>
      </c>
      <c r="AA1319" s="16">
        <v>0</v>
      </c>
      <c r="AB1319" s="16">
        <v>0</v>
      </c>
      <c r="AC1319" s="16">
        <v>0</v>
      </c>
      <c r="AD1319" s="16">
        <v>1</v>
      </c>
      <c r="AE1319" s="16">
        <v>0</v>
      </c>
      <c r="AF1319" s="16">
        <v>60</v>
      </c>
      <c r="AG1319" s="16">
        <v>1</v>
      </c>
      <c r="AH1319" s="16" t="s">
        <v>607</v>
      </c>
      <c r="AI1319" s="12">
        <v>0</v>
      </c>
      <c r="AJ1319" s="12">
        <v>0</v>
      </c>
      <c r="AK1319" s="12">
        <v>0</v>
      </c>
      <c r="AL1319" s="12">
        <v>0</v>
      </c>
      <c r="AM1319" s="16">
        <v>0</v>
      </c>
      <c r="AN1319" s="16">
        <v>0</v>
      </c>
      <c r="AO1319" s="16">
        <v>0</v>
      </c>
      <c r="AP1319" s="16">
        <v>0</v>
      </c>
      <c r="AQ1319" s="16">
        <v>50000</v>
      </c>
      <c r="AR1319" s="16">
        <v>0</v>
      </c>
      <c r="AS1319" s="16">
        <v>0</v>
      </c>
      <c r="AT1319" s="12">
        <v>0</v>
      </c>
      <c r="AU1319" s="16">
        <v>90502001</v>
      </c>
      <c r="AV1319" s="16"/>
      <c r="AW1319" s="17" t="s">
        <v>198</v>
      </c>
      <c r="AX1319" s="16">
        <v>0</v>
      </c>
      <c r="AY1319" s="18">
        <v>0</v>
      </c>
      <c r="AZ1319" s="18">
        <v>0</v>
      </c>
      <c r="BA1319" s="17" t="s">
        <v>2710</v>
      </c>
      <c r="BB1319" s="16">
        <v>0</v>
      </c>
      <c r="BC1319" s="27">
        <v>0</v>
      </c>
      <c r="BD1319" s="27">
        <v>0</v>
      </c>
      <c r="BE1319" s="44" t="s">
        <v>2731</v>
      </c>
      <c r="BF1319" s="44" t="s">
        <v>2732</v>
      </c>
      <c r="BG1319" s="16">
        <v>0</v>
      </c>
      <c r="BH1319" s="16">
        <v>0</v>
      </c>
      <c r="BI1319" s="16">
        <v>0</v>
      </c>
      <c r="BJ1319" s="16">
        <v>0</v>
      </c>
      <c r="BK1319" s="16">
        <v>0</v>
      </c>
      <c r="BL1319" s="16">
        <v>0</v>
      </c>
      <c r="BM1319" s="15">
        <v>0</v>
      </c>
      <c r="BN1319" s="12">
        <v>1</v>
      </c>
      <c r="BO1319" s="12">
        <v>0</v>
      </c>
      <c r="BP1319" s="12">
        <v>0</v>
      </c>
      <c r="BQ1319" s="12">
        <v>0</v>
      </c>
      <c r="BR1319" s="12">
        <v>0</v>
      </c>
      <c r="BS1319" s="12">
        <v>0</v>
      </c>
      <c r="BT1319" s="12">
        <v>0</v>
      </c>
      <c r="BU1319" s="47">
        <v>0</v>
      </c>
      <c r="BV1319" s="47"/>
      <c r="BW1319" s="47"/>
    </row>
    <row r="1320" spans="3:75" ht="20.100000000000001" customHeight="1">
      <c r="C1320" s="16">
        <v>63002002</v>
      </c>
      <c r="D1320" s="17" t="s">
        <v>5437</v>
      </c>
      <c r="E1320" s="17" t="s">
        <v>2718</v>
      </c>
      <c r="F1320" s="16">
        <v>1</v>
      </c>
      <c r="G1320" s="16">
        <v>63002002</v>
      </c>
      <c r="H1320" s="16">
        <v>0</v>
      </c>
      <c r="I1320" s="27">
        <v>0</v>
      </c>
      <c r="J1320" s="18">
        <v>1</v>
      </c>
      <c r="K1320" s="18">
        <v>0</v>
      </c>
      <c r="L1320" s="16">
        <v>0</v>
      </c>
      <c r="M1320" s="16">
        <v>0</v>
      </c>
      <c r="N1320" s="16">
        <v>0</v>
      </c>
      <c r="O1320" s="16">
        <v>2</v>
      </c>
      <c r="P1320" s="16">
        <v>0</v>
      </c>
      <c r="Q1320" s="16">
        <v>0</v>
      </c>
      <c r="R1320" s="16">
        <v>0</v>
      </c>
      <c r="S1320" s="12">
        <v>0</v>
      </c>
      <c r="T1320" s="16">
        <v>0</v>
      </c>
      <c r="U1320" s="16">
        <v>1</v>
      </c>
      <c r="V1320" s="16">
        <v>0</v>
      </c>
      <c r="W1320" s="16">
        <v>0</v>
      </c>
      <c r="X1320" s="18">
        <v>0</v>
      </c>
      <c r="Y1320" s="12">
        <v>0</v>
      </c>
      <c r="Z1320" s="18">
        <v>0</v>
      </c>
      <c r="AA1320" s="16">
        <v>0</v>
      </c>
      <c r="AB1320" s="16">
        <v>0</v>
      </c>
      <c r="AC1320" s="16">
        <v>0</v>
      </c>
      <c r="AD1320" s="16">
        <v>1</v>
      </c>
      <c r="AE1320" s="16">
        <v>0</v>
      </c>
      <c r="AF1320" s="16">
        <v>0</v>
      </c>
      <c r="AG1320" s="16">
        <v>0</v>
      </c>
      <c r="AH1320" s="16" t="s">
        <v>198</v>
      </c>
      <c r="AI1320" s="12">
        <v>0</v>
      </c>
      <c r="AJ1320" s="12">
        <v>0</v>
      </c>
      <c r="AK1320" s="12">
        <v>0</v>
      </c>
      <c r="AL1320" s="12">
        <v>0</v>
      </c>
      <c r="AM1320" s="16">
        <v>0</v>
      </c>
      <c r="AN1320" s="16">
        <v>0</v>
      </c>
      <c r="AO1320" s="16">
        <v>0</v>
      </c>
      <c r="AP1320" s="16">
        <v>0</v>
      </c>
      <c r="AQ1320" s="16">
        <v>0</v>
      </c>
      <c r="AR1320" s="16">
        <v>0</v>
      </c>
      <c r="AS1320" s="16">
        <v>0</v>
      </c>
      <c r="AT1320" s="12">
        <v>0</v>
      </c>
      <c r="AU1320" s="16" t="s">
        <v>198</v>
      </c>
      <c r="AV1320" s="16"/>
      <c r="AW1320" s="17" t="s">
        <v>198</v>
      </c>
      <c r="AX1320" s="16">
        <v>0</v>
      </c>
      <c r="AY1320" s="18">
        <v>0</v>
      </c>
      <c r="AZ1320" s="18">
        <v>0</v>
      </c>
      <c r="BA1320" s="17" t="s">
        <v>198</v>
      </c>
      <c r="BB1320" s="16">
        <v>0</v>
      </c>
      <c r="BC1320" s="27"/>
      <c r="BD1320" s="27">
        <v>0</v>
      </c>
      <c r="BE1320" s="44" t="s">
        <v>2719</v>
      </c>
      <c r="BF1320" s="44" t="s">
        <v>2720</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100000000000001" customHeight="1">
      <c r="C1321" s="16">
        <v>63002003</v>
      </c>
      <c r="D1321" s="17" t="s">
        <v>5441</v>
      </c>
      <c r="E1321" s="17" t="s">
        <v>2733</v>
      </c>
      <c r="F1321" s="16">
        <v>1</v>
      </c>
      <c r="G1321" s="16">
        <v>1000001</v>
      </c>
      <c r="H1321" s="16">
        <v>0</v>
      </c>
      <c r="I1321" s="27">
        <v>0</v>
      </c>
      <c r="J1321" s="18">
        <v>1</v>
      </c>
      <c r="K1321" s="18">
        <v>0</v>
      </c>
      <c r="L1321" s="16">
        <v>0</v>
      </c>
      <c r="M1321" s="16">
        <v>0</v>
      </c>
      <c r="N1321" s="16">
        <v>0</v>
      </c>
      <c r="O1321" s="16">
        <v>8</v>
      </c>
      <c r="P1321" s="16">
        <v>8</v>
      </c>
      <c r="Q1321" s="16">
        <v>1</v>
      </c>
      <c r="R1321" s="16">
        <v>0</v>
      </c>
      <c r="S1321" s="12">
        <v>0</v>
      </c>
      <c r="T1321" s="16">
        <v>0</v>
      </c>
      <c r="U1321" s="16">
        <v>1</v>
      </c>
      <c r="V1321" s="16">
        <v>0</v>
      </c>
      <c r="W1321" s="16">
        <v>0</v>
      </c>
      <c r="X1321" s="18">
        <v>0</v>
      </c>
      <c r="Y1321" s="12">
        <v>0</v>
      </c>
      <c r="Z1321" s="18">
        <v>0</v>
      </c>
      <c r="AA1321" s="16">
        <v>0</v>
      </c>
      <c r="AB1321" s="16">
        <v>0</v>
      </c>
      <c r="AC1321" s="16">
        <v>0</v>
      </c>
      <c r="AD1321" s="16">
        <v>1</v>
      </c>
      <c r="AE1321" s="16">
        <v>0</v>
      </c>
      <c r="AF1321" s="16">
        <v>0</v>
      </c>
      <c r="AG1321" s="16">
        <v>0</v>
      </c>
      <c r="AH1321" s="16" t="s">
        <v>198</v>
      </c>
      <c r="AI1321" s="12">
        <v>0</v>
      </c>
      <c r="AJ1321" s="12">
        <v>0</v>
      </c>
      <c r="AK1321" s="12">
        <v>0</v>
      </c>
      <c r="AL1321" s="12">
        <v>0</v>
      </c>
      <c r="AM1321" s="16">
        <v>0</v>
      </c>
      <c r="AN1321" s="16">
        <v>0</v>
      </c>
      <c r="AO1321" s="16">
        <v>0</v>
      </c>
      <c r="AP1321" s="16">
        <v>0</v>
      </c>
      <c r="AQ1321" s="16">
        <v>0</v>
      </c>
      <c r="AR1321" s="16">
        <v>0</v>
      </c>
      <c r="AS1321" s="16">
        <v>0</v>
      </c>
      <c r="AT1321" s="12">
        <v>0</v>
      </c>
      <c r="AU1321" s="16" t="s">
        <v>198</v>
      </c>
      <c r="AV1321" s="16"/>
      <c r="AW1321" s="17" t="s">
        <v>198</v>
      </c>
      <c r="AX1321" s="16">
        <v>0</v>
      </c>
      <c r="AY1321" s="18">
        <v>0</v>
      </c>
      <c r="AZ1321" s="18">
        <v>0</v>
      </c>
      <c r="BA1321" s="17" t="s">
        <v>198</v>
      </c>
      <c r="BB1321" s="16" t="s">
        <v>2734</v>
      </c>
      <c r="BC1321" s="27"/>
      <c r="BD1321" s="27">
        <v>0</v>
      </c>
      <c r="BE1321" s="44" t="s">
        <v>2735</v>
      </c>
      <c r="BF1321" s="44" t="s">
        <v>2736</v>
      </c>
      <c r="BG1321" s="16">
        <v>0</v>
      </c>
      <c r="BH1321" s="16">
        <v>0</v>
      </c>
      <c r="BI1321" s="16">
        <v>0</v>
      </c>
      <c r="BJ1321" s="16">
        <v>0</v>
      </c>
      <c r="BK1321" s="16">
        <v>0</v>
      </c>
      <c r="BL1321" s="16">
        <v>0</v>
      </c>
      <c r="BM1321" s="15">
        <v>0</v>
      </c>
      <c r="BN1321" s="12">
        <v>0</v>
      </c>
      <c r="BO1321" s="12">
        <v>0</v>
      </c>
      <c r="BP1321" s="12">
        <v>0</v>
      </c>
      <c r="BQ1321" s="12">
        <v>0</v>
      </c>
      <c r="BR1321" s="12">
        <v>0</v>
      </c>
      <c r="BS1321" s="12">
        <v>0</v>
      </c>
      <c r="BT1321" s="12">
        <v>0</v>
      </c>
      <c r="BU1321" s="47">
        <v>0</v>
      </c>
      <c r="BV1321" s="47"/>
      <c r="BW1321" s="47"/>
    </row>
    <row r="1322" spans="3:75" ht="19.5" customHeight="1">
      <c r="C1322" s="180">
        <v>63002004</v>
      </c>
      <c r="D1322" s="236" t="s">
        <v>5433</v>
      </c>
      <c r="E1322" s="236" t="s">
        <v>2737</v>
      </c>
      <c r="F1322" s="16">
        <v>1</v>
      </c>
      <c r="G1322" s="238">
        <v>63001004</v>
      </c>
      <c r="H1322" s="18">
        <v>0</v>
      </c>
      <c r="I1322" s="27">
        <v>0</v>
      </c>
      <c r="J1322" s="16">
        <v>1</v>
      </c>
      <c r="K1322" s="18">
        <v>0</v>
      </c>
      <c r="L1322" s="16">
        <v>0</v>
      </c>
      <c r="M1322" s="18">
        <v>0</v>
      </c>
      <c r="N1322" s="18">
        <v>0</v>
      </c>
      <c r="O1322" s="18">
        <v>2</v>
      </c>
      <c r="P1322" s="18">
        <v>1</v>
      </c>
      <c r="Q1322" s="18">
        <v>0.2</v>
      </c>
      <c r="R1322" s="18">
        <v>0</v>
      </c>
      <c r="S1322" s="12">
        <v>0</v>
      </c>
      <c r="T1322" s="27">
        <v>0</v>
      </c>
      <c r="U1322" s="16">
        <v>1</v>
      </c>
      <c r="V1322" s="18">
        <v>2</v>
      </c>
      <c r="W1322" s="18">
        <v>0</v>
      </c>
      <c r="X1322" s="18">
        <v>3.5</v>
      </c>
      <c r="Y1322" s="12">
        <v>0</v>
      </c>
      <c r="Z1322" s="18">
        <v>0</v>
      </c>
      <c r="AA1322" s="18">
        <v>0</v>
      </c>
      <c r="AB1322" s="18">
        <v>0</v>
      </c>
      <c r="AC1322" s="18">
        <v>0</v>
      </c>
      <c r="AD1322" s="18">
        <v>1</v>
      </c>
      <c r="AE1322" s="18">
        <v>0</v>
      </c>
      <c r="AF1322" s="18">
        <v>5</v>
      </c>
      <c r="AG1322" s="18">
        <v>1</v>
      </c>
      <c r="AH1322" s="18">
        <v>3.5</v>
      </c>
      <c r="AI1322" s="12">
        <v>1</v>
      </c>
      <c r="AJ1322" s="12">
        <v>1</v>
      </c>
      <c r="AK1322" s="12">
        <v>0</v>
      </c>
      <c r="AL1322" s="12">
        <v>6</v>
      </c>
      <c r="AM1322" s="18">
        <v>0</v>
      </c>
      <c r="AN1322" s="18">
        <v>0</v>
      </c>
      <c r="AO1322" s="18">
        <v>0</v>
      </c>
      <c r="AP1322" s="18">
        <v>0.25</v>
      </c>
      <c r="AQ1322" s="18">
        <v>3000</v>
      </c>
      <c r="AR1322" s="18">
        <v>2</v>
      </c>
      <c r="AS1322" s="18">
        <v>0</v>
      </c>
      <c r="AT1322" s="12">
        <v>0</v>
      </c>
      <c r="AU1322" s="338" t="s">
        <v>2738</v>
      </c>
      <c r="AV1322" s="12"/>
      <c r="AW1322" s="19" t="s">
        <v>199</v>
      </c>
      <c r="AX1322" s="18" t="s">
        <v>1851</v>
      </c>
      <c r="AY1322" s="18">
        <v>10003002</v>
      </c>
      <c r="AZ1322" s="18">
        <v>21020101</v>
      </c>
      <c r="BA1322" s="19" t="s">
        <v>200</v>
      </c>
      <c r="BB1322" s="19">
        <v>0</v>
      </c>
      <c r="BC1322" s="27">
        <v>0</v>
      </c>
      <c r="BD1322" s="27">
        <v>0</v>
      </c>
      <c r="BE1322" s="183" t="str">
        <f>"每次攻击有20%概率释放驭剑之击对目标范围内的怪物造成"&amp;X1322*100&amp;"%攻击伤害,并使目标眩晕1秒"</f>
        <v>每次攻击有20%概率释放驭剑之击对目标范围内的怪物造成350%攻击伤害,并使目标眩晕1秒</v>
      </c>
      <c r="BF1322" s="183" t="s">
        <v>2739</v>
      </c>
      <c r="BG1322" s="18">
        <v>0</v>
      </c>
      <c r="BH1322" s="16">
        <v>0</v>
      </c>
      <c r="BI1322" s="18">
        <v>0</v>
      </c>
      <c r="BJ1322" s="18">
        <v>0</v>
      </c>
      <c r="BK1322" s="18">
        <v>0</v>
      </c>
      <c r="BL1322" s="18">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63002005</v>
      </c>
      <c r="D1323" s="17" t="s">
        <v>2740</v>
      </c>
      <c r="E1323" s="17" t="s">
        <v>2741</v>
      </c>
      <c r="F1323" s="16">
        <v>1</v>
      </c>
      <c r="G1323" s="16">
        <v>61012101</v>
      </c>
      <c r="H1323" s="16">
        <v>0</v>
      </c>
      <c r="I1323" s="27">
        <v>0</v>
      </c>
      <c r="J1323" s="16">
        <v>1</v>
      </c>
      <c r="K1323" s="16">
        <v>0</v>
      </c>
      <c r="L1323" s="16">
        <v>0</v>
      </c>
      <c r="M1323" s="16">
        <v>0</v>
      </c>
      <c r="N1323" s="16">
        <v>0</v>
      </c>
      <c r="O1323" s="16">
        <v>2</v>
      </c>
      <c r="P1323" s="16">
        <v>1</v>
      </c>
      <c r="Q1323" s="16">
        <v>0.4</v>
      </c>
      <c r="R1323" s="16">
        <v>0</v>
      </c>
      <c r="S1323" s="12">
        <v>0</v>
      </c>
      <c r="T1323" s="16">
        <v>0</v>
      </c>
      <c r="U1323" s="16">
        <v>1</v>
      </c>
      <c r="V1323" s="16">
        <v>1</v>
      </c>
      <c r="W1323" s="16">
        <v>0</v>
      </c>
      <c r="X1323" s="16">
        <v>2</v>
      </c>
      <c r="Y1323" s="12">
        <v>0</v>
      </c>
      <c r="Z1323" s="16">
        <v>500</v>
      </c>
      <c r="AA1323" s="16">
        <v>0</v>
      </c>
      <c r="AB1323" s="16">
        <v>0</v>
      </c>
      <c r="AC1323" s="16">
        <v>0</v>
      </c>
      <c r="AD1323" s="16">
        <v>1</v>
      </c>
      <c r="AE1323" s="16">
        <v>0</v>
      </c>
      <c r="AF1323" s="16">
        <v>3</v>
      </c>
      <c r="AG1323" s="16">
        <v>2</v>
      </c>
      <c r="AH1323" s="16" t="s">
        <v>1479</v>
      </c>
      <c r="AI1323" s="12">
        <v>2</v>
      </c>
      <c r="AJ1323" s="12">
        <v>0</v>
      </c>
      <c r="AK1323" s="12">
        <v>0</v>
      </c>
      <c r="AL1323" s="12">
        <v>1.5</v>
      </c>
      <c r="AM1323" s="16">
        <v>0</v>
      </c>
      <c r="AN1323" s="16">
        <v>0</v>
      </c>
      <c r="AO1323" s="16">
        <v>0</v>
      </c>
      <c r="AP1323" s="16">
        <v>0</v>
      </c>
      <c r="AQ1323" s="16">
        <v>3000</v>
      </c>
      <c r="AR1323" s="16">
        <v>0</v>
      </c>
      <c r="AS1323" s="16">
        <v>0</v>
      </c>
      <c r="AT1323" s="12">
        <v>0</v>
      </c>
      <c r="AU1323" s="16">
        <v>0</v>
      </c>
      <c r="AV1323" s="16"/>
      <c r="AW1323" s="17" t="s">
        <v>287</v>
      </c>
      <c r="AX1323" s="16" t="s">
        <v>1480</v>
      </c>
      <c r="AY1323" s="18">
        <v>10001007</v>
      </c>
      <c r="AZ1323" s="18">
        <v>21000010</v>
      </c>
      <c r="BA1323" s="17" t="s">
        <v>200</v>
      </c>
      <c r="BB1323" s="16">
        <v>0</v>
      </c>
      <c r="BC1323" s="27">
        <v>0</v>
      </c>
      <c r="BD1323" s="27">
        <v>0</v>
      </c>
      <c r="BE1323" s="170" t="str">
        <f>"每次攻击有40%概率立即对目标范围内的怪物造成"&amp;X1323*100&amp;"%攻击伤害+"&amp;Z1323&amp;"点固定伤害"</f>
        <v>每次攻击有40%概率立即对目标范围内的怪物造成200%攻击伤害+500点固定伤害</v>
      </c>
      <c r="BF1323" s="170" t="s">
        <v>2742</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20.100000000000001" customHeight="1">
      <c r="C1324" s="16">
        <v>63003001</v>
      </c>
      <c r="D1324" s="17" t="s">
        <v>2743</v>
      </c>
      <c r="E1324" s="17" t="s">
        <v>2744</v>
      </c>
      <c r="F1324" s="16">
        <v>1</v>
      </c>
      <c r="G1324" s="16">
        <v>63003001</v>
      </c>
      <c r="H1324" s="16">
        <v>0</v>
      </c>
      <c r="I1324" s="27">
        <v>0</v>
      </c>
      <c r="J1324" s="18">
        <v>1</v>
      </c>
      <c r="K1324" s="18">
        <v>0</v>
      </c>
      <c r="L1324" s="16">
        <v>0</v>
      </c>
      <c r="M1324" s="16">
        <v>0</v>
      </c>
      <c r="N1324" s="16">
        <v>0</v>
      </c>
      <c r="O1324" s="16">
        <v>2</v>
      </c>
      <c r="P1324" s="16">
        <v>12</v>
      </c>
      <c r="Q1324" s="16">
        <v>1</v>
      </c>
      <c r="R1324" s="16">
        <v>0</v>
      </c>
      <c r="S1324" s="12">
        <v>0</v>
      </c>
      <c r="T1324" s="16">
        <v>0</v>
      </c>
      <c r="U1324" s="16">
        <v>1</v>
      </c>
      <c r="V1324" s="16">
        <v>2</v>
      </c>
      <c r="W1324" s="16">
        <v>0</v>
      </c>
      <c r="X1324" s="18">
        <v>0</v>
      </c>
      <c r="Y1324" s="12">
        <v>0</v>
      </c>
      <c r="Z1324" s="18">
        <v>0</v>
      </c>
      <c r="AA1324" s="16">
        <v>0</v>
      </c>
      <c r="AB1324" s="16">
        <v>0</v>
      </c>
      <c r="AC1324" s="16">
        <v>0</v>
      </c>
      <c r="AD1324" s="16">
        <v>1</v>
      </c>
      <c r="AE1324" s="16">
        <v>0</v>
      </c>
      <c r="AF1324" s="16">
        <v>60</v>
      </c>
      <c r="AG1324" s="16">
        <v>1</v>
      </c>
      <c r="AH1324" s="16">
        <v>10</v>
      </c>
      <c r="AI1324" s="12">
        <v>0</v>
      </c>
      <c r="AJ1324" s="12">
        <v>0</v>
      </c>
      <c r="AK1324" s="12">
        <v>0</v>
      </c>
      <c r="AL1324" s="12">
        <v>0</v>
      </c>
      <c r="AM1324" s="16">
        <v>0</v>
      </c>
      <c r="AN1324" s="16">
        <v>0</v>
      </c>
      <c r="AO1324" s="16">
        <v>0</v>
      </c>
      <c r="AP1324" s="16">
        <v>0</v>
      </c>
      <c r="AQ1324" s="16">
        <v>50000</v>
      </c>
      <c r="AR1324" s="16">
        <v>0</v>
      </c>
      <c r="AS1324" s="16">
        <v>0</v>
      </c>
      <c r="AT1324" s="12">
        <v>90503001</v>
      </c>
      <c r="AU1324" s="16">
        <v>90503001</v>
      </c>
      <c r="AV1324" s="16"/>
      <c r="AW1324" s="17" t="s">
        <v>198</v>
      </c>
      <c r="AX1324" s="16">
        <v>0</v>
      </c>
      <c r="AY1324" s="18">
        <v>0</v>
      </c>
      <c r="AZ1324" s="18">
        <v>0</v>
      </c>
      <c r="BA1324" s="17" t="s">
        <v>2710</v>
      </c>
      <c r="BB1324" s="16">
        <v>0</v>
      </c>
      <c r="BC1324" s="27">
        <v>0</v>
      </c>
      <c r="BD1324" s="27">
        <v>0</v>
      </c>
      <c r="BE1324" s="44" t="s">
        <v>2745</v>
      </c>
      <c r="BF1324" s="44" t="s">
        <v>2746</v>
      </c>
      <c r="BG1324" s="16">
        <v>0</v>
      </c>
      <c r="BH1324" s="16">
        <v>0</v>
      </c>
      <c r="BI1324" s="16">
        <v>0</v>
      </c>
      <c r="BJ1324" s="16">
        <v>0</v>
      </c>
      <c r="BK1324" s="16">
        <v>0</v>
      </c>
      <c r="BL1324" s="16">
        <v>0</v>
      </c>
      <c r="BM1324" s="15">
        <v>0</v>
      </c>
      <c r="BN1324" s="12">
        <v>1</v>
      </c>
      <c r="BO1324" s="12">
        <v>0</v>
      </c>
      <c r="BP1324" s="12">
        <v>0</v>
      </c>
      <c r="BQ1324" s="12">
        <v>0</v>
      </c>
      <c r="BR1324" s="12">
        <v>0</v>
      </c>
      <c r="BS1324" s="12">
        <v>0</v>
      </c>
      <c r="BT1324" s="12">
        <v>0</v>
      </c>
      <c r="BU1324" s="47">
        <v>0</v>
      </c>
      <c r="BV1324" s="47"/>
      <c r="BW1324" s="47"/>
    </row>
    <row r="1325" spans="3:75" ht="20.100000000000001" customHeight="1">
      <c r="C1325" s="16">
        <v>63003002</v>
      </c>
      <c r="D1325" s="17" t="s">
        <v>5435</v>
      </c>
      <c r="E1325" s="17" t="s">
        <v>2747</v>
      </c>
      <c r="F1325" s="16">
        <v>1</v>
      </c>
      <c r="G1325" s="16">
        <v>63003002</v>
      </c>
      <c r="H1325" s="16">
        <v>0</v>
      </c>
      <c r="I1325" s="27">
        <v>0</v>
      </c>
      <c r="J1325" s="18">
        <v>1</v>
      </c>
      <c r="K1325" s="18">
        <v>0</v>
      </c>
      <c r="L1325" s="16">
        <v>0</v>
      </c>
      <c r="M1325" s="16">
        <v>0</v>
      </c>
      <c r="N1325" s="16">
        <v>0</v>
      </c>
      <c r="O1325" s="16">
        <v>2</v>
      </c>
      <c r="P1325" s="16">
        <v>0</v>
      </c>
      <c r="Q1325" s="16">
        <v>0</v>
      </c>
      <c r="R1325" s="16">
        <v>0</v>
      </c>
      <c r="S1325" s="12">
        <v>0</v>
      </c>
      <c r="T1325" s="16">
        <v>0</v>
      </c>
      <c r="U1325" s="16">
        <v>1</v>
      </c>
      <c r="V1325" s="16">
        <v>0</v>
      </c>
      <c r="W1325" s="16">
        <v>0</v>
      </c>
      <c r="X1325" s="18">
        <v>0</v>
      </c>
      <c r="Y1325" s="12">
        <v>0</v>
      </c>
      <c r="Z1325" s="18">
        <v>0</v>
      </c>
      <c r="AA1325" s="16">
        <v>0</v>
      </c>
      <c r="AB1325" s="16">
        <v>0</v>
      </c>
      <c r="AC1325" s="16">
        <v>0</v>
      </c>
      <c r="AD1325" s="16">
        <v>1</v>
      </c>
      <c r="AE1325" s="16">
        <v>0</v>
      </c>
      <c r="AF1325" s="16">
        <v>0</v>
      </c>
      <c r="AG1325" s="16">
        <v>0</v>
      </c>
      <c r="AH1325" s="16" t="s">
        <v>198</v>
      </c>
      <c r="AI1325" s="12">
        <v>0</v>
      </c>
      <c r="AJ1325" s="12">
        <v>0</v>
      </c>
      <c r="AK1325" s="12">
        <v>0</v>
      </c>
      <c r="AL1325" s="12">
        <v>0</v>
      </c>
      <c r="AM1325" s="16">
        <v>0</v>
      </c>
      <c r="AN1325" s="16">
        <v>0</v>
      </c>
      <c r="AO1325" s="16">
        <v>0</v>
      </c>
      <c r="AP1325" s="16">
        <v>0</v>
      </c>
      <c r="AQ1325" s="16">
        <v>0</v>
      </c>
      <c r="AR1325" s="16">
        <v>0</v>
      </c>
      <c r="AS1325" s="16">
        <v>0</v>
      </c>
      <c r="AT1325" s="12">
        <v>0</v>
      </c>
      <c r="AU1325" s="16" t="s">
        <v>198</v>
      </c>
      <c r="AV1325" s="16"/>
      <c r="AW1325" s="17" t="s">
        <v>198</v>
      </c>
      <c r="AX1325" s="16">
        <v>0</v>
      </c>
      <c r="AY1325" s="18">
        <v>0</v>
      </c>
      <c r="AZ1325" s="18">
        <v>0</v>
      </c>
      <c r="BA1325" s="17" t="s">
        <v>198</v>
      </c>
      <c r="BB1325" s="16">
        <v>0</v>
      </c>
      <c r="BC1325" s="27"/>
      <c r="BD1325" s="27">
        <v>0</v>
      </c>
      <c r="BE1325" s="44" t="s">
        <v>2748</v>
      </c>
      <c r="BF1325" s="44" t="s">
        <v>2749</v>
      </c>
      <c r="BG1325" s="16">
        <v>0</v>
      </c>
      <c r="BH1325" s="16">
        <v>0</v>
      </c>
      <c r="BI1325" s="16">
        <v>0</v>
      </c>
      <c r="BJ1325" s="16">
        <v>0</v>
      </c>
      <c r="BK1325" s="16">
        <v>0</v>
      </c>
      <c r="BL1325" s="16">
        <v>0</v>
      </c>
      <c r="BM1325" s="15">
        <v>0</v>
      </c>
      <c r="BN1325" s="12">
        <v>0</v>
      </c>
      <c r="BO1325" s="12">
        <v>0</v>
      </c>
      <c r="BP1325" s="12">
        <v>0</v>
      </c>
      <c r="BQ1325" s="12">
        <v>0</v>
      </c>
      <c r="BR1325" s="12">
        <v>0</v>
      </c>
      <c r="BS1325" s="12">
        <v>0</v>
      </c>
      <c r="BT1325" s="12">
        <v>0</v>
      </c>
      <c r="BU1325" s="47">
        <v>0</v>
      </c>
      <c r="BV1325" s="47"/>
      <c r="BW1325" s="47"/>
    </row>
    <row r="1326" spans="3:75" ht="20.100000000000001" customHeight="1">
      <c r="C1326" s="16">
        <v>63003003</v>
      </c>
      <c r="D1326" s="17" t="s">
        <v>5440</v>
      </c>
      <c r="E1326" s="17" t="s">
        <v>2733</v>
      </c>
      <c r="F1326" s="16">
        <v>1</v>
      </c>
      <c r="G1326" s="16">
        <v>1000002</v>
      </c>
      <c r="H1326" s="16">
        <v>0</v>
      </c>
      <c r="I1326" s="27">
        <v>0</v>
      </c>
      <c r="J1326" s="18">
        <v>1</v>
      </c>
      <c r="K1326" s="18">
        <v>0</v>
      </c>
      <c r="L1326" s="16">
        <v>0</v>
      </c>
      <c r="M1326" s="16">
        <v>0</v>
      </c>
      <c r="N1326" s="16">
        <v>0</v>
      </c>
      <c r="O1326" s="16">
        <v>8</v>
      </c>
      <c r="P1326" s="16">
        <v>8</v>
      </c>
      <c r="Q1326" s="16">
        <v>2</v>
      </c>
      <c r="R1326" s="16">
        <v>0</v>
      </c>
      <c r="S1326" s="12">
        <v>0</v>
      </c>
      <c r="T1326" s="16">
        <v>0</v>
      </c>
      <c r="U1326" s="16">
        <v>1</v>
      </c>
      <c r="V1326" s="16">
        <v>0</v>
      </c>
      <c r="W1326" s="16">
        <v>0</v>
      </c>
      <c r="X1326" s="18">
        <v>0</v>
      </c>
      <c r="Y1326" s="12">
        <v>0</v>
      </c>
      <c r="Z1326" s="18">
        <v>0</v>
      </c>
      <c r="AA1326" s="16">
        <v>0</v>
      </c>
      <c r="AB1326" s="16">
        <v>0</v>
      </c>
      <c r="AC1326" s="16">
        <v>0</v>
      </c>
      <c r="AD1326" s="16">
        <v>1</v>
      </c>
      <c r="AE1326" s="16">
        <v>0</v>
      </c>
      <c r="AF1326" s="16">
        <v>0</v>
      </c>
      <c r="AG1326" s="16">
        <v>0</v>
      </c>
      <c r="AH1326" s="16" t="s">
        <v>198</v>
      </c>
      <c r="AI1326" s="12">
        <v>0</v>
      </c>
      <c r="AJ1326" s="12">
        <v>0</v>
      </c>
      <c r="AK1326" s="12">
        <v>0</v>
      </c>
      <c r="AL1326" s="12">
        <v>0</v>
      </c>
      <c r="AM1326" s="16">
        <v>0</v>
      </c>
      <c r="AN1326" s="16">
        <v>0</v>
      </c>
      <c r="AO1326" s="16">
        <v>0</v>
      </c>
      <c r="AP1326" s="16">
        <v>0</v>
      </c>
      <c r="AQ1326" s="16">
        <v>0</v>
      </c>
      <c r="AR1326" s="16">
        <v>0</v>
      </c>
      <c r="AS1326" s="16">
        <v>0</v>
      </c>
      <c r="AT1326" s="12">
        <v>0</v>
      </c>
      <c r="AU1326" s="16" t="s">
        <v>198</v>
      </c>
      <c r="AV1326" s="16"/>
      <c r="AW1326" s="17" t="s">
        <v>198</v>
      </c>
      <c r="AX1326" s="16">
        <v>0</v>
      </c>
      <c r="AY1326" s="18">
        <v>0</v>
      </c>
      <c r="AZ1326" s="18">
        <v>0</v>
      </c>
      <c r="BA1326" s="17" t="s">
        <v>198</v>
      </c>
      <c r="BB1326" s="16" t="s">
        <v>2750</v>
      </c>
      <c r="BC1326" s="27"/>
      <c r="BD1326" s="27">
        <v>0</v>
      </c>
      <c r="BE1326" s="44" t="s">
        <v>2751</v>
      </c>
      <c r="BF1326" s="44" t="s">
        <v>2752</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63003004</v>
      </c>
      <c r="D1327" s="236" t="s">
        <v>5433</v>
      </c>
      <c r="E1327" s="236" t="s">
        <v>2753</v>
      </c>
      <c r="F1327" s="180">
        <v>1</v>
      </c>
      <c r="G1327" s="180">
        <v>63001004</v>
      </c>
      <c r="H1327" s="180">
        <v>0</v>
      </c>
      <c r="I1327" s="180">
        <v>0</v>
      </c>
      <c r="J1327" s="18">
        <v>1</v>
      </c>
      <c r="K1327" s="18">
        <v>0</v>
      </c>
      <c r="L1327" s="16">
        <v>0</v>
      </c>
      <c r="M1327" s="180">
        <v>0</v>
      </c>
      <c r="N1327" s="180">
        <v>0</v>
      </c>
      <c r="O1327" s="180">
        <v>2</v>
      </c>
      <c r="P1327" s="180">
        <v>5</v>
      </c>
      <c r="Q1327" s="180">
        <v>0.15</v>
      </c>
      <c r="R1327" s="180">
        <v>0</v>
      </c>
      <c r="S1327" s="12">
        <v>0</v>
      </c>
      <c r="T1327" s="180">
        <v>0</v>
      </c>
      <c r="U1327" s="180">
        <v>1</v>
      </c>
      <c r="V1327" s="180">
        <v>2</v>
      </c>
      <c r="W1327" s="180">
        <v>0</v>
      </c>
      <c r="X1327" s="180">
        <v>0</v>
      </c>
      <c r="Y1327" s="12">
        <v>0</v>
      </c>
      <c r="Z1327" s="180">
        <v>0</v>
      </c>
      <c r="AA1327" s="180">
        <v>0</v>
      </c>
      <c r="AB1327" s="180">
        <v>0</v>
      </c>
      <c r="AC1327" s="180">
        <v>0</v>
      </c>
      <c r="AD1327" s="16">
        <v>1</v>
      </c>
      <c r="AE1327" s="180">
        <v>0</v>
      </c>
      <c r="AF1327" s="180">
        <v>6</v>
      </c>
      <c r="AG1327" s="180">
        <v>1</v>
      </c>
      <c r="AH1327" s="180">
        <v>1</v>
      </c>
      <c r="AI1327" s="180">
        <v>2</v>
      </c>
      <c r="AJ1327" s="180">
        <v>0</v>
      </c>
      <c r="AK1327" s="12">
        <v>0</v>
      </c>
      <c r="AL1327" s="180">
        <v>2</v>
      </c>
      <c r="AM1327" s="180">
        <v>0</v>
      </c>
      <c r="AN1327" s="180">
        <v>0</v>
      </c>
      <c r="AO1327" s="180">
        <v>0</v>
      </c>
      <c r="AP1327" s="16">
        <v>0</v>
      </c>
      <c r="AQ1327" s="180">
        <v>10000</v>
      </c>
      <c r="AR1327" s="180">
        <v>0.5</v>
      </c>
      <c r="AS1327" s="180">
        <v>0</v>
      </c>
      <c r="AT1327" s="180">
        <v>0</v>
      </c>
      <c r="AU1327" s="180" t="s">
        <v>198</v>
      </c>
      <c r="AV1327" s="180"/>
      <c r="AW1327" s="236" t="s">
        <v>199</v>
      </c>
      <c r="AX1327" s="180">
        <v>0</v>
      </c>
      <c r="AY1327" s="180">
        <v>0</v>
      </c>
      <c r="AZ1327" s="180">
        <v>0</v>
      </c>
      <c r="BA1327" s="236" t="s">
        <v>200</v>
      </c>
      <c r="BB1327" s="236" t="s">
        <v>198</v>
      </c>
      <c r="BC1327" s="180">
        <v>0</v>
      </c>
      <c r="BD1327" s="180">
        <v>0</v>
      </c>
      <c r="BE1327" s="245" t="s">
        <v>2754</v>
      </c>
      <c r="BF1327" s="245" t="s">
        <v>2755</v>
      </c>
      <c r="BG1327" s="180">
        <v>0</v>
      </c>
      <c r="BH1327" s="16">
        <v>0</v>
      </c>
      <c r="BI1327" s="180">
        <v>0</v>
      </c>
      <c r="BJ1327" s="180">
        <v>0</v>
      </c>
      <c r="BK1327" s="180">
        <v>0</v>
      </c>
      <c r="BL1327" s="180">
        <v>0</v>
      </c>
      <c r="BM1327" s="360" t="s">
        <v>2756</v>
      </c>
      <c r="BN1327" s="12">
        <v>1</v>
      </c>
      <c r="BO1327" s="12">
        <v>0</v>
      </c>
      <c r="BP1327" s="12">
        <v>0</v>
      </c>
      <c r="BQ1327" s="12">
        <v>0</v>
      </c>
      <c r="BR1327" s="12">
        <v>0</v>
      </c>
      <c r="BS1327" s="12">
        <v>0</v>
      </c>
      <c r="BT1327" s="12">
        <v>0</v>
      </c>
      <c r="BU1327" s="47">
        <v>0</v>
      </c>
      <c r="BV1327" s="47"/>
      <c r="BW1327" s="47"/>
    </row>
    <row r="1328" spans="3:75" ht="20.100000000000001" customHeight="1">
      <c r="C1328" s="16">
        <v>63003005</v>
      </c>
      <c r="D1328" s="17" t="s">
        <v>2757</v>
      </c>
      <c r="E1328" s="17" t="s">
        <v>2758</v>
      </c>
      <c r="F1328" s="16">
        <v>1</v>
      </c>
      <c r="G1328" s="16">
        <v>1000003</v>
      </c>
      <c r="H1328" s="16">
        <v>0</v>
      </c>
      <c r="I1328" s="27">
        <v>0</v>
      </c>
      <c r="J1328" s="18">
        <v>1</v>
      </c>
      <c r="K1328" s="18">
        <v>0</v>
      </c>
      <c r="L1328" s="16">
        <v>0</v>
      </c>
      <c r="M1328" s="16">
        <v>0</v>
      </c>
      <c r="N1328" s="16">
        <v>0</v>
      </c>
      <c r="O1328" s="16">
        <v>8</v>
      </c>
      <c r="P1328" s="16">
        <v>8</v>
      </c>
      <c r="Q1328" s="16">
        <v>3</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1</v>
      </c>
      <c r="BE1328" s="44" t="s">
        <v>2759</v>
      </c>
      <c r="BF1328" s="44" t="s">
        <v>2760</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20.100000000000001" customHeight="1">
      <c r="C1329" s="16">
        <v>63101001</v>
      </c>
      <c r="D1329" s="17" t="s">
        <v>2761</v>
      </c>
      <c r="E1329" s="17" t="s">
        <v>2762</v>
      </c>
      <c r="F1329" s="16">
        <v>1</v>
      </c>
      <c r="G1329" s="16">
        <v>63001001</v>
      </c>
      <c r="H1329" s="16">
        <v>0</v>
      </c>
      <c r="I1329" s="27">
        <v>0</v>
      </c>
      <c r="J1329" s="18">
        <v>1</v>
      </c>
      <c r="K1329" s="18">
        <v>0</v>
      </c>
      <c r="L1329" s="16">
        <v>0</v>
      </c>
      <c r="M1329" s="16">
        <v>0</v>
      </c>
      <c r="N1329" s="16">
        <v>0</v>
      </c>
      <c r="O1329" s="16">
        <v>2</v>
      </c>
      <c r="P1329" s="16">
        <v>12</v>
      </c>
      <c r="Q1329" s="16">
        <v>1</v>
      </c>
      <c r="R1329" s="16">
        <v>0</v>
      </c>
      <c r="S1329" s="12">
        <v>0</v>
      </c>
      <c r="T1329" s="16">
        <v>0</v>
      </c>
      <c r="U1329" s="16">
        <v>1</v>
      </c>
      <c r="V1329" s="16">
        <v>2</v>
      </c>
      <c r="W1329" s="16">
        <v>0</v>
      </c>
      <c r="X1329" s="18">
        <v>0</v>
      </c>
      <c r="Y1329" s="12">
        <v>0</v>
      </c>
      <c r="Z1329" s="18">
        <v>0</v>
      </c>
      <c r="AA1329" s="16">
        <v>0</v>
      </c>
      <c r="AB1329" s="16">
        <v>0</v>
      </c>
      <c r="AC1329" s="16">
        <v>0</v>
      </c>
      <c r="AD1329" s="16">
        <v>1</v>
      </c>
      <c r="AE1329" s="16">
        <v>0</v>
      </c>
      <c r="AF1329" s="16">
        <v>60</v>
      </c>
      <c r="AG1329" s="16">
        <v>1</v>
      </c>
      <c r="AH1329" s="16">
        <v>10</v>
      </c>
      <c r="AI1329" s="12">
        <v>0</v>
      </c>
      <c r="AJ1329" s="12">
        <v>0</v>
      </c>
      <c r="AK1329" s="12">
        <v>0</v>
      </c>
      <c r="AL1329" s="12">
        <v>0</v>
      </c>
      <c r="AM1329" s="16">
        <v>0</v>
      </c>
      <c r="AN1329" s="16">
        <v>0</v>
      </c>
      <c r="AO1329" s="16">
        <v>0</v>
      </c>
      <c r="AP1329" s="16">
        <v>0</v>
      </c>
      <c r="AQ1329" s="16">
        <v>50000</v>
      </c>
      <c r="AR1329" s="16">
        <v>0</v>
      </c>
      <c r="AS1329" s="16">
        <v>0</v>
      </c>
      <c r="AT1329" s="12">
        <v>0</v>
      </c>
      <c r="AU1329" s="16">
        <v>90511003</v>
      </c>
      <c r="AV1329" s="16"/>
      <c r="AW1329" s="17" t="s">
        <v>198</v>
      </c>
      <c r="AX1329" s="16">
        <v>0</v>
      </c>
      <c r="AY1329" s="18">
        <v>0</v>
      </c>
      <c r="AZ1329" s="18">
        <v>0</v>
      </c>
      <c r="BA1329" s="17" t="s">
        <v>2710</v>
      </c>
      <c r="BB1329" s="16">
        <v>0</v>
      </c>
      <c r="BC1329" s="27">
        <v>0</v>
      </c>
      <c r="BD1329" s="27">
        <v>0</v>
      </c>
      <c r="BE1329" s="44" t="s">
        <v>2763</v>
      </c>
      <c r="BF1329" s="44" t="s">
        <v>2764</v>
      </c>
      <c r="BG1329" s="16">
        <v>0</v>
      </c>
      <c r="BH1329" s="16">
        <v>0</v>
      </c>
      <c r="BI1329" s="16">
        <v>0</v>
      </c>
      <c r="BJ1329" s="16">
        <v>0</v>
      </c>
      <c r="BK1329" s="16">
        <v>0</v>
      </c>
      <c r="BL1329" s="16">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6">
        <v>63101002</v>
      </c>
      <c r="D1330" s="17" t="s">
        <v>5438</v>
      </c>
      <c r="E1330" s="17" t="s">
        <v>2765</v>
      </c>
      <c r="F1330" s="16">
        <v>1</v>
      </c>
      <c r="G1330" s="16">
        <v>1000003</v>
      </c>
      <c r="H1330" s="16">
        <v>0</v>
      </c>
      <c r="I1330" s="27">
        <v>0</v>
      </c>
      <c r="J1330" s="18">
        <v>1</v>
      </c>
      <c r="K1330" s="18">
        <v>0</v>
      </c>
      <c r="L1330" s="16">
        <v>0</v>
      </c>
      <c r="M1330" s="16">
        <v>0</v>
      </c>
      <c r="N1330" s="16">
        <v>0</v>
      </c>
      <c r="O1330" s="16">
        <v>8</v>
      </c>
      <c r="P1330" s="16">
        <v>8</v>
      </c>
      <c r="Q1330" s="16">
        <v>3</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t="s">
        <v>2766</v>
      </c>
      <c r="BC1330" s="27"/>
      <c r="BD1330" s="27">
        <v>0</v>
      </c>
      <c r="BE1330" s="44" t="s">
        <v>2767</v>
      </c>
      <c r="BF1330" s="44" t="s">
        <v>2768</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63101003</v>
      </c>
      <c r="D1331" s="17" t="s">
        <v>5434</v>
      </c>
      <c r="E1331" s="17" t="s">
        <v>2769</v>
      </c>
      <c r="F1331" s="16">
        <v>1</v>
      </c>
      <c r="G1331" s="16">
        <v>63001003</v>
      </c>
      <c r="H1331" s="16">
        <v>0</v>
      </c>
      <c r="I1331" s="27">
        <v>0</v>
      </c>
      <c r="J1331" s="18">
        <v>1</v>
      </c>
      <c r="K1331" s="18">
        <v>0</v>
      </c>
      <c r="L1331" s="16">
        <v>0</v>
      </c>
      <c r="M1331" s="16">
        <v>0</v>
      </c>
      <c r="N1331" s="16">
        <v>0</v>
      </c>
      <c r="O1331" s="16">
        <v>2</v>
      </c>
      <c r="P1331" s="16">
        <v>0</v>
      </c>
      <c r="Q1331" s="16">
        <v>0</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0</v>
      </c>
      <c r="BE1331" s="44" t="s">
        <v>2770</v>
      </c>
      <c r="BF1331" s="44" t="s">
        <v>2771</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63101004</v>
      </c>
      <c r="D1332" s="236" t="s">
        <v>5433</v>
      </c>
      <c r="E1332" s="236" t="s">
        <v>2772</v>
      </c>
      <c r="F1332" s="180">
        <v>1</v>
      </c>
      <c r="G1332" s="180">
        <v>63001004</v>
      </c>
      <c r="H1332" s="180">
        <v>0</v>
      </c>
      <c r="I1332" s="180">
        <v>0</v>
      </c>
      <c r="J1332" s="18">
        <v>1</v>
      </c>
      <c r="K1332" s="18">
        <v>0</v>
      </c>
      <c r="L1332" s="16">
        <v>0</v>
      </c>
      <c r="M1332" s="180">
        <v>0</v>
      </c>
      <c r="N1332" s="180">
        <v>0</v>
      </c>
      <c r="O1332" s="180">
        <v>2</v>
      </c>
      <c r="P1332" s="180">
        <v>17</v>
      </c>
      <c r="Q1332" s="180">
        <v>0.15</v>
      </c>
      <c r="R1332" s="180">
        <v>0</v>
      </c>
      <c r="S1332" s="12">
        <v>0</v>
      </c>
      <c r="T1332" s="180">
        <v>0</v>
      </c>
      <c r="U1332" s="180">
        <v>1</v>
      </c>
      <c r="V1332" s="180">
        <v>2</v>
      </c>
      <c r="W1332" s="180">
        <v>0</v>
      </c>
      <c r="X1332" s="180">
        <v>0</v>
      </c>
      <c r="Y1332" s="12">
        <v>0</v>
      </c>
      <c r="Z1332" s="180">
        <v>0</v>
      </c>
      <c r="AA1332" s="180">
        <v>0</v>
      </c>
      <c r="AB1332" s="180">
        <v>0</v>
      </c>
      <c r="AC1332" s="180">
        <v>0</v>
      </c>
      <c r="AD1332" s="16">
        <v>1</v>
      </c>
      <c r="AE1332" s="180">
        <v>0</v>
      </c>
      <c r="AF1332" s="180">
        <v>15</v>
      </c>
      <c r="AG1332" s="180">
        <v>1</v>
      </c>
      <c r="AH1332" s="180">
        <v>1</v>
      </c>
      <c r="AI1332" s="180">
        <v>2</v>
      </c>
      <c r="AJ1332" s="180">
        <v>0</v>
      </c>
      <c r="AK1332" s="12">
        <v>0</v>
      </c>
      <c r="AL1332" s="180">
        <v>2</v>
      </c>
      <c r="AM1332" s="180">
        <v>0</v>
      </c>
      <c r="AN1332" s="180">
        <v>0</v>
      </c>
      <c r="AO1332" s="180">
        <v>0</v>
      </c>
      <c r="AP1332" s="16">
        <v>0</v>
      </c>
      <c r="AQ1332" s="180">
        <v>10000</v>
      </c>
      <c r="AR1332" s="180">
        <v>0.5</v>
      </c>
      <c r="AS1332" s="180">
        <v>0</v>
      </c>
      <c r="AT1332" s="180">
        <v>0</v>
      </c>
      <c r="AU1332" s="180" t="s">
        <v>198</v>
      </c>
      <c r="AV1332" s="180"/>
      <c r="AW1332" s="236"/>
      <c r="AX1332" s="180">
        <v>0</v>
      </c>
      <c r="AY1332" s="180">
        <v>0</v>
      </c>
      <c r="AZ1332" s="180">
        <v>0</v>
      </c>
      <c r="BA1332" s="236" t="s">
        <v>200</v>
      </c>
      <c r="BB1332" s="236" t="s">
        <v>198</v>
      </c>
      <c r="BC1332" s="180">
        <v>0</v>
      </c>
      <c r="BD1332" s="180">
        <v>0</v>
      </c>
      <c r="BE1332" s="245" t="s">
        <v>2773</v>
      </c>
      <c r="BF1332" s="245" t="s">
        <v>2774</v>
      </c>
      <c r="BG1332" s="180">
        <v>0</v>
      </c>
      <c r="BH1332" s="16">
        <v>0</v>
      </c>
      <c r="BI1332" s="180">
        <v>0</v>
      </c>
      <c r="BJ1332" s="180">
        <v>0</v>
      </c>
      <c r="BK1332" s="180">
        <v>0</v>
      </c>
      <c r="BL1332" s="180">
        <v>0</v>
      </c>
      <c r="BM1332" s="360" t="s">
        <v>2775</v>
      </c>
      <c r="BN1332" s="12">
        <v>0</v>
      </c>
      <c r="BO1332" s="12">
        <v>0</v>
      </c>
      <c r="BP1332" s="12">
        <v>0</v>
      </c>
      <c r="BQ1332" s="12">
        <v>0</v>
      </c>
      <c r="BR1332" s="12">
        <v>0</v>
      </c>
      <c r="BS1332" s="12">
        <v>0</v>
      </c>
      <c r="BT1332" s="12">
        <v>0</v>
      </c>
      <c r="BU1332" s="47">
        <v>0</v>
      </c>
      <c r="BV1332" s="47"/>
      <c r="BW1332" s="47"/>
    </row>
    <row r="1333" spans="3:75" ht="20.100000000000001" customHeight="1">
      <c r="C1333" s="16">
        <v>63102001</v>
      </c>
      <c r="D1333" s="17" t="s">
        <v>2776</v>
      </c>
      <c r="E1333" s="17" t="s">
        <v>2777</v>
      </c>
      <c r="F1333" s="16">
        <v>1</v>
      </c>
      <c r="G1333" s="16">
        <v>63002001</v>
      </c>
      <c r="H1333" s="16">
        <v>0</v>
      </c>
      <c r="I1333" s="27">
        <v>0</v>
      </c>
      <c r="J1333" s="18">
        <v>1</v>
      </c>
      <c r="K1333" s="18">
        <v>0</v>
      </c>
      <c r="L1333" s="16">
        <v>0</v>
      </c>
      <c r="M1333" s="16">
        <v>0</v>
      </c>
      <c r="N1333" s="16">
        <v>0</v>
      </c>
      <c r="O1333" s="16">
        <v>2</v>
      </c>
      <c r="P1333" s="16">
        <v>12</v>
      </c>
      <c r="Q1333" s="16">
        <v>1</v>
      </c>
      <c r="R1333" s="16">
        <v>0</v>
      </c>
      <c r="S1333" s="12">
        <v>0</v>
      </c>
      <c r="T1333" s="16">
        <v>0</v>
      </c>
      <c r="U1333" s="16">
        <v>1</v>
      </c>
      <c r="V1333" s="16">
        <v>2</v>
      </c>
      <c r="W1333" s="16">
        <v>0</v>
      </c>
      <c r="X1333" s="18">
        <v>0</v>
      </c>
      <c r="Y1333" s="12">
        <v>0</v>
      </c>
      <c r="Z1333" s="18">
        <v>0</v>
      </c>
      <c r="AA1333" s="16">
        <v>0</v>
      </c>
      <c r="AB1333" s="16">
        <v>0</v>
      </c>
      <c r="AC1333" s="16">
        <v>0</v>
      </c>
      <c r="AD1333" s="16">
        <v>1</v>
      </c>
      <c r="AE1333" s="16">
        <v>0</v>
      </c>
      <c r="AF1333" s="16">
        <v>60</v>
      </c>
      <c r="AG1333" s="16">
        <v>1</v>
      </c>
      <c r="AH1333" s="16">
        <v>10</v>
      </c>
      <c r="AI1333" s="12">
        <v>0</v>
      </c>
      <c r="AJ1333" s="12">
        <v>0</v>
      </c>
      <c r="AK1333" s="12">
        <v>0</v>
      </c>
      <c r="AL1333" s="12">
        <v>0</v>
      </c>
      <c r="AM1333" s="16">
        <v>0</v>
      </c>
      <c r="AN1333" s="16">
        <v>0</v>
      </c>
      <c r="AO1333" s="16">
        <v>0</v>
      </c>
      <c r="AP1333" s="16">
        <v>0</v>
      </c>
      <c r="AQ1333" s="16">
        <v>50000</v>
      </c>
      <c r="AR1333" s="16">
        <v>0</v>
      </c>
      <c r="AS1333" s="16">
        <v>0</v>
      </c>
      <c r="AT1333" s="12">
        <v>0</v>
      </c>
      <c r="AU1333" s="16">
        <v>90512001</v>
      </c>
      <c r="AV1333" s="16"/>
      <c r="AW1333" s="17" t="s">
        <v>198</v>
      </c>
      <c r="AX1333" s="16">
        <v>0</v>
      </c>
      <c r="AY1333" s="18">
        <v>0</v>
      </c>
      <c r="AZ1333" s="18">
        <v>0</v>
      </c>
      <c r="BA1333" s="17" t="s">
        <v>2710</v>
      </c>
      <c r="BB1333" s="16">
        <v>0</v>
      </c>
      <c r="BC1333" s="27">
        <v>0</v>
      </c>
      <c r="BD1333" s="27">
        <v>0</v>
      </c>
      <c r="BE1333" s="44" t="s">
        <v>2778</v>
      </c>
      <c r="BF1333" s="44" t="s">
        <v>2779</v>
      </c>
      <c r="BG1333" s="16">
        <v>0</v>
      </c>
      <c r="BH1333" s="16">
        <v>0</v>
      </c>
      <c r="BI1333" s="16">
        <v>0</v>
      </c>
      <c r="BJ1333" s="16">
        <v>0</v>
      </c>
      <c r="BK1333" s="16">
        <v>0</v>
      </c>
      <c r="BL1333" s="16">
        <v>0</v>
      </c>
      <c r="BM1333" s="15">
        <v>0</v>
      </c>
      <c r="BN1333" s="12">
        <v>1</v>
      </c>
      <c r="BO1333" s="12">
        <v>0</v>
      </c>
      <c r="BP1333" s="12">
        <v>0</v>
      </c>
      <c r="BQ1333" s="12">
        <v>0</v>
      </c>
      <c r="BR1333" s="12">
        <v>0</v>
      </c>
      <c r="BS1333" s="12">
        <v>0</v>
      </c>
      <c r="BT1333" s="12">
        <v>0</v>
      </c>
      <c r="BU1333" s="47">
        <v>0</v>
      </c>
      <c r="BV1333" s="47"/>
      <c r="BW1333" s="47"/>
    </row>
    <row r="1334" spans="3:75" ht="20.100000000000001" customHeight="1">
      <c r="C1334" s="16">
        <v>63102002</v>
      </c>
      <c r="D1334" s="17" t="s">
        <v>5434</v>
      </c>
      <c r="E1334" s="17" t="s">
        <v>2769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2770</v>
      </c>
      <c r="BF1334" s="44" t="s">
        <v>2771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63102003</v>
      </c>
      <c r="D1335" s="17" t="s">
        <v>5436</v>
      </c>
      <c r="E1335" s="17" t="s">
        <v>2780</v>
      </c>
      <c r="F1335" s="16">
        <v>1</v>
      </c>
      <c r="G1335" s="16">
        <v>1000004</v>
      </c>
      <c r="H1335" s="16">
        <v>0</v>
      </c>
      <c r="I1335" s="27">
        <v>0</v>
      </c>
      <c r="J1335" s="18">
        <v>1</v>
      </c>
      <c r="K1335" s="18">
        <v>0</v>
      </c>
      <c r="L1335" s="16">
        <v>0</v>
      </c>
      <c r="M1335" s="16">
        <v>0</v>
      </c>
      <c r="N1335" s="16">
        <v>0</v>
      </c>
      <c r="O1335" s="16">
        <v>8</v>
      </c>
      <c r="P1335" s="16">
        <v>8</v>
      </c>
      <c r="Q1335" s="16">
        <v>4</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t="s">
        <v>2781</v>
      </c>
      <c r="BC1335" s="27"/>
      <c r="BD1335" s="27">
        <v>0</v>
      </c>
      <c r="BE1335" s="44" t="s">
        <v>2782</v>
      </c>
      <c r="BF1335" s="44" t="s">
        <v>2783</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63102004</v>
      </c>
      <c r="D1336" s="236" t="s">
        <v>5433</v>
      </c>
      <c r="E1336" s="236" t="s">
        <v>2784</v>
      </c>
      <c r="F1336" s="180">
        <v>1</v>
      </c>
      <c r="G1336" s="180">
        <v>63001004</v>
      </c>
      <c r="H1336" s="180">
        <v>0</v>
      </c>
      <c r="I1336" s="180">
        <v>0</v>
      </c>
      <c r="J1336" s="18">
        <v>1</v>
      </c>
      <c r="K1336" s="18">
        <v>0</v>
      </c>
      <c r="L1336" s="16">
        <v>0</v>
      </c>
      <c r="M1336" s="180">
        <v>0</v>
      </c>
      <c r="N1336" s="180">
        <v>0</v>
      </c>
      <c r="O1336" s="180">
        <v>2</v>
      </c>
      <c r="P1336" s="180">
        <v>4</v>
      </c>
      <c r="Q1336" s="180">
        <v>0.35</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3</v>
      </c>
      <c r="AG1336" s="180">
        <v>1</v>
      </c>
      <c r="AH1336" s="180">
        <v>1</v>
      </c>
      <c r="AI1336" s="180">
        <v>2</v>
      </c>
      <c r="AJ1336" s="180">
        <v>0</v>
      </c>
      <c r="AK1336" s="12">
        <v>0</v>
      </c>
      <c r="AL1336" s="180">
        <v>2</v>
      </c>
      <c r="AM1336" s="180">
        <v>0</v>
      </c>
      <c r="AN1336" s="180">
        <v>0</v>
      </c>
      <c r="AO1336" s="180">
        <v>0</v>
      </c>
      <c r="AP1336" s="16">
        <v>0</v>
      </c>
      <c r="AQ1336" s="180">
        <v>1000</v>
      </c>
      <c r="AR1336" s="180">
        <v>0.5</v>
      </c>
      <c r="AS1336" s="180">
        <v>0</v>
      </c>
      <c r="AT1336" s="180">
        <v>0</v>
      </c>
      <c r="AU1336" s="180" t="s">
        <v>198</v>
      </c>
      <c r="AV1336" s="180"/>
      <c r="AW1336" s="236" t="s">
        <v>199</v>
      </c>
      <c r="AX1336" s="180">
        <v>0</v>
      </c>
      <c r="AY1336" s="180">
        <v>0</v>
      </c>
      <c r="AZ1336" s="180">
        <v>0</v>
      </c>
      <c r="BA1336" s="236" t="s">
        <v>200</v>
      </c>
      <c r="BB1336" s="236" t="s">
        <v>198</v>
      </c>
      <c r="BC1336" s="180">
        <v>0</v>
      </c>
      <c r="BD1336" s="180">
        <v>0</v>
      </c>
      <c r="BE1336" s="245" t="s">
        <v>2785</v>
      </c>
      <c r="BF1336" s="245" t="s">
        <v>2786</v>
      </c>
      <c r="BG1336" s="180">
        <v>0</v>
      </c>
      <c r="BH1336" s="16">
        <v>0</v>
      </c>
      <c r="BI1336" s="180">
        <v>0</v>
      </c>
      <c r="BJ1336" s="180">
        <v>0</v>
      </c>
      <c r="BK1336" s="180">
        <v>0</v>
      </c>
      <c r="BL1336" s="180">
        <v>0</v>
      </c>
      <c r="BM1336" s="360" t="s">
        <v>2787</v>
      </c>
      <c r="BN1336" s="12">
        <v>0</v>
      </c>
      <c r="BO1336" s="12">
        <v>0</v>
      </c>
      <c r="BP1336" s="12">
        <v>0</v>
      </c>
      <c r="BQ1336" s="12">
        <v>0</v>
      </c>
      <c r="BR1336" s="12">
        <v>0</v>
      </c>
      <c r="BS1336" s="12">
        <v>0</v>
      </c>
      <c r="BT1336" s="12">
        <v>0</v>
      </c>
      <c r="BU1336" s="47">
        <v>0</v>
      </c>
      <c r="BV1336" s="47"/>
      <c r="BW1336" s="47"/>
    </row>
    <row r="1337" spans="3:75" ht="20.100000000000001" customHeight="1">
      <c r="C1337" s="16">
        <v>63103001</v>
      </c>
      <c r="D1337" s="17" t="s">
        <v>2788</v>
      </c>
      <c r="E1337" s="17" t="s">
        <v>2789</v>
      </c>
      <c r="F1337" s="180">
        <v>1</v>
      </c>
      <c r="G1337" s="180">
        <v>63001004</v>
      </c>
      <c r="H1337" s="180">
        <v>0</v>
      </c>
      <c r="I1337" s="180">
        <v>0</v>
      </c>
      <c r="J1337" s="180">
        <v>1</v>
      </c>
      <c r="K1337" s="180">
        <v>0</v>
      </c>
      <c r="L1337" s="180">
        <v>0</v>
      </c>
      <c r="M1337" s="180">
        <v>0</v>
      </c>
      <c r="N1337" s="180">
        <v>0</v>
      </c>
      <c r="O1337" s="180">
        <v>2</v>
      </c>
      <c r="P1337" s="180">
        <v>10</v>
      </c>
      <c r="Q1337" s="180">
        <v>1</v>
      </c>
      <c r="R1337" s="180">
        <v>0</v>
      </c>
      <c r="S1337" s="180">
        <v>0</v>
      </c>
      <c r="T1337" s="180">
        <v>0</v>
      </c>
      <c r="U1337" s="180">
        <v>1</v>
      </c>
      <c r="V1337" s="180">
        <v>2</v>
      </c>
      <c r="W1337" s="180">
        <v>0</v>
      </c>
      <c r="X1337" s="180">
        <v>0</v>
      </c>
      <c r="Y1337" s="12">
        <v>0</v>
      </c>
      <c r="Z1337" s="180">
        <v>0</v>
      </c>
      <c r="AA1337" s="180">
        <v>0</v>
      </c>
      <c r="AB1337" s="180">
        <v>0</v>
      </c>
      <c r="AC1337" s="180">
        <v>0</v>
      </c>
      <c r="AD1337" s="16">
        <v>1</v>
      </c>
      <c r="AE1337" s="180">
        <v>0</v>
      </c>
      <c r="AF1337" s="180">
        <v>30</v>
      </c>
      <c r="AG1337" s="180">
        <v>0</v>
      </c>
      <c r="AH1337" s="180">
        <v>0</v>
      </c>
      <c r="AI1337" s="180">
        <v>7</v>
      </c>
      <c r="AJ1337" s="180">
        <v>0</v>
      </c>
      <c r="AK1337" s="180">
        <v>0</v>
      </c>
      <c r="AL1337" s="180">
        <v>3</v>
      </c>
      <c r="AM1337" s="180">
        <v>0</v>
      </c>
      <c r="AN1337" s="180">
        <v>0</v>
      </c>
      <c r="AO1337" s="180">
        <v>0</v>
      </c>
      <c r="AP1337" s="180">
        <v>0</v>
      </c>
      <c r="AQ1337" s="180">
        <v>2000</v>
      </c>
      <c r="AR1337" s="180">
        <v>0</v>
      </c>
      <c r="AS1337" s="180">
        <v>0</v>
      </c>
      <c r="AT1337" s="180">
        <v>0</v>
      </c>
      <c r="AU1337" s="180">
        <v>90513001</v>
      </c>
      <c r="AV1337" s="180"/>
      <c r="AW1337" s="236" t="s">
        <v>198</v>
      </c>
      <c r="AX1337" s="180">
        <v>0</v>
      </c>
      <c r="AY1337" s="180">
        <v>0</v>
      </c>
      <c r="AZ1337" s="180">
        <v>0</v>
      </c>
      <c r="BA1337" s="236" t="s">
        <v>200</v>
      </c>
      <c r="BB1337" s="236">
        <v>0</v>
      </c>
      <c r="BC1337" s="180">
        <v>0</v>
      </c>
      <c r="BD1337" s="180">
        <v>0</v>
      </c>
      <c r="BE1337" s="44" t="s">
        <v>2790</v>
      </c>
      <c r="BF1337" s="44" t="s">
        <v>2791</v>
      </c>
      <c r="BG1337" s="180">
        <v>0</v>
      </c>
      <c r="BH1337" s="180">
        <v>0</v>
      </c>
      <c r="BI1337" s="180">
        <v>0</v>
      </c>
      <c r="BJ1337" s="180">
        <v>0</v>
      </c>
      <c r="BK1337" s="180">
        <v>0</v>
      </c>
      <c r="BL1337" s="180">
        <v>0</v>
      </c>
      <c r="BM1337" s="243">
        <v>0</v>
      </c>
      <c r="BN1337" s="180">
        <v>0</v>
      </c>
      <c r="BO1337" s="12">
        <v>0</v>
      </c>
      <c r="BP1337" s="12">
        <v>0</v>
      </c>
      <c r="BQ1337" s="12">
        <v>0</v>
      </c>
      <c r="BR1337" s="12">
        <v>0</v>
      </c>
      <c r="BS1337" s="12">
        <v>0</v>
      </c>
      <c r="BT1337" s="12">
        <v>0</v>
      </c>
      <c r="BU1337" s="47">
        <v>0</v>
      </c>
      <c r="BV1337" s="47"/>
      <c r="BW1337" s="47"/>
    </row>
    <row r="1338" spans="3:75" ht="20.100000000000001" customHeight="1">
      <c r="C1338" s="16">
        <v>63103002</v>
      </c>
      <c r="D1338" s="17" t="s">
        <v>5435</v>
      </c>
      <c r="E1338" s="17" t="s">
        <v>2747</v>
      </c>
      <c r="F1338" s="16">
        <v>1</v>
      </c>
      <c r="G1338" s="16">
        <v>63003002</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v>0</v>
      </c>
      <c r="BD1338" s="27">
        <v>0</v>
      </c>
      <c r="BE1338" s="44" t="s">
        <v>2748</v>
      </c>
      <c r="BF1338" s="44" t="s">
        <v>2749</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63103003</v>
      </c>
      <c r="D1339" s="17" t="s">
        <v>2792</v>
      </c>
      <c r="E1339" s="17" t="s">
        <v>2793</v>
      </c>
      <c r="F1339" s="16">
        <v>1</v>
      </c>
      <c r="G1339" s="16">
        <v>63003003</v>
      </c>
      <c r="H1339" s="16">
        <v>0</v>
      </c>
      <c r="I1339" s="27">
        <v>0</v>
      </c>
      <c r="J1339" s="18">
        <v>1</v>
      </c>
      <c r="K1339" s="18">
        <v>0</v>
      </c>
      <c r="L1339" s="16">
        <v>0</v>
      </c>
      <c r="M1339" s="16">
        <v>0</v>
      </c>
      <c r="N1339" s="16">
        <v>0</v>
      </c>
      <c r="O1339" s="16">
        <v>8</v>
      </c>
      <c r="P1339" s="16">
        <v>0</v>
      </c>
      <c r="Q1339" s="16">
        <v>0</v>
      </c>
      <c r="R1339" s="16">
        <v>0</v>
      </c>
      <c r="S1339" s="12">
        <v>0</v>
      </c>
      <c r="T1339" s="16">
        <v>0</v>
      </c>
      <c r="U1339" s="16">
        <v>1</v>
      </c>
      <c r="V1339" s="16">
        <v>0</v>
      </c>
      <c r="W1339" s="16">
        <v>0</v>
      </c>
      <c r="X1339" s="18">
        <v>0</v>
      </c>
      <c r="Y1339" s="12">
        <v>0</v>
      </c>
      <c r="Z1339" s="18">
        <v>0</v>
      </c>
      <c r="AA1339" s="16">
        <v>0</v>
      </c>
      <c r="AB1339" s="16">
        <v>0</v>
      </c>
      <c r="AC1339" s="16">
        <v>0</v>
      </c>
      <c r="AD1339" s="16">
        <v>1</v>
      </c>
      <c r="AE1339" s="16">
        <v>0</v>
      </c>
      <c r="AF1339" s="16">
        <v>0</v>
      </c>
      <c r="AG1339" s="16">
        <v>0</v>
      </c>
      <c r="AH1339" s="16" t="s">
        <v>198</v>
      </c>
      <c r="AI1339" s="12">
        <v>0</v>
      </c>
      <c r="AJ1339" s="12">
        <v>0</v>
      </c>
      <c r="AK1339" s="12">
        <v>0</v>
      </c>
      <c r="AL1339" s="12">
        <v>0</v>
      </c>
      <c r="AM1339" s="16">
        <v>0</v>
      </c>
      <c r="AN1339" s="16">
        <v>0</v>
      </c>
      <c r="AO1339" s="16">
        <v>0</v>
      </c>
      <c r="AP1339" s="16">
        <v>0</v>
      </c>
      <c r="AQ1339" s="16">
        <v>0</v>
      </c>
      <c r="AR1339" s="16">
        <v>0</v>
      </c>
      <c r="AS1339" s="16">
        <v>0</v>
      </c>
      <c r="AT1339" s="12">
        <v>0</v>
      </c>
      <c r="AU1339" s="16" t="s">
        <v>198</v>
      </c>
      <c r="AV1339" s="16"/>
      <c r="AW1339" s="17" t="s">
        <v>198</v>
      </c>
      <c r="AX1339" s="16">
        <v>0</v>
      </c>
      <c r="AY1339" s="18">
        <v>0</v>
      </c>
      <c r="AZ1339" s="18">
        <v>0</v>
      </c>
      <c r="BA1339" s="17" t="s">
        <v>198</v>
      </c>
      <c r="BB1339" s="16" t="s">
        <v>2794</v>
      </c>
      <c r="BC1339" s="27">
        <v>0</v>
      </c>
      <c r="BD1339" s="27">
        <v>0</v>
      </c>
      <c r="BE1339" s="44" t="s">
        <v>2795</v>
      </c>
      <c r="BF1339" s="44" t="s">
        <v>2796</v>
      </c>
      <c r="BG1339" s="16">
        <v>0</v>
      </c>
      <c r="BH1339" s="16">
        <v>0</v>
      </c>
      <c r="BI1339" s="16">
        <v>0</v>
      </c>
      <c r="BJ1339" s="16">
        <v>0</v>
      </c>
      <c r="BK1339" s="16">
        <v>0</v>
      </c>
      <c r="BL1339" s="16">
        <v>0</v>
      </c>
      <c r="BM1339" s="15">
        <v>0</v>
      </c>
      <c r="BN1339" s="12">
        <v>0</v>
      </c>
      <c r="BO1339" s="12">
        <v>0</v>
      </c>
      <c r="BP1339" s="12">
        <v>0</v>
      </c>
      <c r="BQ1339" s="12">
        <v>0</v>
      </c>
      <c r="BR1339" s="12">
        <v>0</v>
      </c>
      <c r="BS1339" s="12">
        <v>0</v>
      </c>
      <c r="BT1339" s="12">
        <v>0</v>
      </c>
      <c r="BU1339" s="47">
        <v>0</v>
      </c>
      <c r="BV1339" s="47"/>
      <c r="BW1339" s="47"/>
    </row>
    <row r="1340" spans="3:75" ht="20.100000000000001" customHeight="1">
      <c r="C1340" s="16">
        <v>63103004</v>
      </c>
      <c r="D1340" s="236" t="s">
        <v>5433</v>
      </c>
      <c r="E1340" s="236" t="s">
        <v>2797</v>
      </c>
      <c r="F1340" s="180">
        <v>1</v>
      </c>
      <c r="G1340" s="180">
        <v>63001004</v>
      </c>
      <c r="H1340" s="180">
        <v>0</v>
      </c>
      <c r="I1340" s="180">
        <v>0</v>
      </c>
      <c r="J1340" s="18">
        <v>1</v>
      </c>
      <c r="K1340" s="18">
        <v>0</v>
      </c>
      <c r="L1340" s="16">
        <v>0</v>
      </c>
      <c r="M1340" s="180">
        <v>0</v>
      </c>
      <c r="N1340" s="180">
        <v>0</v>
      </c>
      <c r="O1340" s="180">
        <v>2</v>
      </c>
      <c r="P1340" s="180">
        <v>10</v>
      </c>
      <c r="Q1340" s="180">
        <v>0.1</v>
      </c>
      <c r="R1340" s="180">
        <v>0</v>
      </c>
      <c r="S1340" s="12">
        <v>0</v>
      </c>
      <c r="T1340" s="180">
        <v>0</v>
      </c>
      <c r="U1340" s="180">
        <v>1</v>
      </c>
      <c r="V1340" s="180">
        <v>2</v>
      </c>
      <c r="W1340" s="180">
        <v>0</v>
      </c>
      <c r="X1340" s="180">
        <v>0</v>
      </c>
      <c r="Y1340" s="12">
        <v>0</v>
      </c>
      <c r="Z1340" s="180">
        <v>0</v>
      </c>
      <c r="AA1340" s="180">
        <v>0</v>
      </c>
      <c r="AB1340" s="180">
        <v>0</v>
      </c>
      <c r="AC1340" s="180">
        <v>0</v>
      </c>
      <c r="AD1340" s="16">
        <v>1</v>
      </c>
      <c r="AE1340" s="180">
        <v>0</v>
      </c>
      <c r="AF1340" s="180">
        <v>15</v>
      </c>
      <c r="AG1340" s="180">
        <v>1</v>
      </c>
      <c r="AH1340" s="180">
        <v>1</v>
      </c>
      <c r="AI1340" s="180">
        <v>2</v>
      </c>
      <c r="AJ1340" s="180">
        <v>0</v>
      </c>
      <c r="AK1340" s="12">
        <v>0</v>
      </c>
      <c r="AL1340" s="180">
        <v>2</v>
      </c>
      <c r="AM1340" s="180">
        <v>0</v>
      </c>
      <c r="AN1340" s="180">
        <v>0</v>
      </c>
      <c r="AO1340" s="180">
        <v>0</v>
      </c>
      <c r="AP1340" s="16">
        <v>0</v>
      </c>
      <c r="AQ1340" s="180">
        <v>10000</v>
      </c>
      <c r="AR1340" s="180">
        <v>0</v>
      </c>
      <c r="AS1340" s="180">
        <v>0</v>
      </c>
      <c r="AT1340" s="180">
        <v>0</v>
      </c>
      <c r="AU1340" s="180" t="s">
        <v>198</v>
      </c>
      <c r="AV1340" s="180"/>
      <c r="AW1340" s="236" t="s">
        <v>199</v>
      </c>
      <c r="AX1340" s="180">
        <v>0</v>
      </c>
      <c r="AY1340" s="180">
        <v>0</v>
      </c>
      <c r="AZ1340" s="180">
        <v>0</v>
      </c>
      <c r="BA1340" s="236" t="s">
        <v>200</v>
      </c>
      <c r="BB1340" s="236" t="s">
        <v>198</v>
      </c>
      <c r="BC1340" s="180">
        <v>0</v>
      </c>
      <c r="BD1340" s="180">
        <v>0</v>
      </c>
      <c r="BE1340" s="245" t="s">
        <v>2798</v>
      </c>
      <c r="BF1340" s="245" t="s">
        <v>2799</v>
      </c>
      <c r="BG1340" s="180">
        <v>0</v>
      </c>
      <c r="BH1340" s="16">
        <v>0</v>
      </c>
      <c r="BI1340" s="180">
        <v>0</v>
      </c>
      <c r="BJ1340" s="180">
        <v>0</v>
      </c>
      <c r="BK1340" s="180">
        <v>0</v>
      </c>
      <c r="BL1340" s="180">
        <v>0</v>
      </c>
      <c r="BM1340" s="360" t="s">
        <v>2800</v>
      </c>
      <c r="BN1340" s="12">
        <v>1</v>
      </c>
      <c r="BO1340" s="12">
        <v>0</v>
      </c>
      <c r="BP1340" s="12">
        <v>0</v>
      </c>
      <c r="BQ1340" s="12">
        <v>0</v>
      </c>
      <c r="BR1340" s="12">
        <v>0</v>
      </c>
      <c r="BS1340" s="12">
        <v>0</v>
      </c>
      <c r="BT1340" s="12">
        <v>0</v>
      </c>
      <c r="BU1340" s="47">
        <v>0</v>
      </c>
      <c r="BV1340" s="47"/>
      <c r="BW1340" s="47"/>
    </row>
    <row r="1341" spans="3:75" ht="20.100000000000001" customHeight="1">
      <c r="C1341" s="30">
        <v>63103098</v>
      </c>
      <c r="D1341" s="38" t="s">
        <v>2801</v>
      </c>
      <c r="E1341" s="38" t="s">
        <v>2802</v>
      </c>
      <c r="F1341" s="30">
        <v>1</v>
      </c>
      <c r="G1341" s="30">
        <v>63001004</v>
      </c>
      <c r="H1341" s="30">
        <v>0</v>
      </c>
      <c r="I1341" s="30">
        <v>0</v>
      </c>
      <c r="J1341" s="30">
        <v>1</v>
      </c>
      <c r="K1341" s="30">
        <v>0</v>
      </c>
      <c r="L1341" s="30">
        <v>0</v>
      </c>
      <c r="M1341" s="30">
        <v>0</v>
      </c>
      <c r="N1341" s="30">
        <v>0</v>
      </c>
      <c r="O1341" s="30">
        <v>2</v>
      </c>
      <c r="P1341" s="30">
        <v>3</v>
      </c>
      <c r="Q1341" s="30">
        <v>0.1</v>
      </c>
      <c r="R1341" s="30">
        <v>0</v>
      </c>
      <c r="S1341" s="30">
        <v>0</v>
      </c>
      <c r="T1341" s="30">
        <v>0</v>
      </c>
      <c r="U1341" s="30">
        <v>1</v>
      </c>
      <c r="V1341" s="30">
        <v>2</v>
      </c>
      <c r="W1341" s="30">
        <v>0</v>
      </c>
      <c r="X1341" s="30">
        <v>0</v>
      </c>
      <c r="Y1341" s="12">
        <v>0</v>
      </c>
      <c r="Z1341" s="30">
        <v>0</v>
      </c>
      <c r="AA1341" s="30">
        <v>0</v>
      </c>
      <c r="AB1341" s="30">
        <v>0</v>
      </c>
      <c r="AC1341" s="30">
        <v>0</v>
      </c>
      <c r="AD1341" s="30">
        <v>1</v>
      </c>
      <c r="AE1341" s="30">
        <v>0</v>
      </c>
      <c r="AF1341" s="30">
        <v>15</v>
      </c>
      <c r="AG1341" s="30">
        <v>1</v>
      </c>
      <c r="AH1341" s="30">
        <v>1</v>
      </c>
      <c r="AI1341" s="30">
        <v>2</v>
      </c>
      <c r="AJ1341" s="30">
        <v>0</v>
      </c>
      <c r="AK1341" s="30">
        <v>0</v>
      </c>
      <c r="AL1341" s="30">
        <v>2</v>
      </c>
      <c r="AM1341" s="30">
        <v>0</v>
      </c>
      <c r="AN1341" s="30">
        <v>0</v>
      </c>
      <c r="AO1341" s="30">
        <v>0</v>
      </c>
      <c r="AP1341" s="30">
        <v>0</v>
      </c>
      <c r="AQ1341" s="30">
        <v>10000</v>
      </c>
      <c r="AR1341" s="30">
        <v>0</v>
      </c>
      <c r="AS1341" s="30">
        <v>0</v>
      </c>
      <c r="AT1341" s="30">
        <v>0</v>
      </c>
      <c r="AU1341" s="30" t="s">
        <v>198</v>
      </c>
      <c r="AV1341" s="30"/>
      <c r="AW1341" s="38" t="s">
        <v>199</v>
      </c>
      <c r="AX1341" s="30">
        <v>0</v>
      </c>
      <c r="AY1341" s="30">
        <v>0</v>
      </c>
      <c r="AZ1341" s="30">
        <v>0</v>
      </c>
      <c r="BA1341" s="38" t="s">
        <v>200</v>
      </c>
      <c r="BB1341" s="38" t="s">
        <v>198</v>
      </c>
      <c r="BC1341" s="30">
        <v>0</v>
      </c>
      <c r="BD1341" s="30">
        <v>0</v>
      </c>
      <c r="BE1341" s="182" t="s">
        <v>2803</v>
      </c>
      <c r="BF1341" s="182" t="s">
        <v>2804</v>
      </c>
      <c r="BG1341" s="30">
        <v>0</v>
      </c>
      <c r="BH1341" s="30">
        <v>0</v>
      </c>
      <c r="BI1341" s="30">
        <v>0</v>
      </c>
      <c r="BJ1341" s="30">
        <v>0</v>
      </c>
      <c r="BK1341" s="30">
        <v>0</v>
      </c>
      <c r="BL1341" s="30">
        <v>0</v>
      </c>
      <c r="BM1341" s="361" t="s">
        <v>2805</v>
      </c>
      <c r="BN1341" s="30">
        <v>1</v>
      </c>
      <c r="BO1341" s="30">
        <v>0</v>
      </c>
      <c r="BP1341" s="30">
        <v>0</v>
      </c>
      <c r="BQ1341" s="30">
        <v>0</v>
      </c>
      <c r="BR1341" s="30">
        <v>0</v>
      </c>
      <c r="BS1341" s="30">
        <v>0</v>
      </c>
      <c r="BT1341" s="12">
        <v>0</v>
      </c>
      <c r="BU1341" s="47">
        <v>0</v>
      </c>
      <c r="BV1341" s="47"/>
      <c r="BW1341" s="47"/>
    </row>
    <row r="1342" spans="3:75" ht="20.100000000000001" customHeight="1">
      <c r="C1342" s="30">
        <v>63103099</v>
      </c>
      <c r="D1342" s="38" t="s">
        <v>2806</v>
      </c>
      <c r="E1342" s="38" t="s">
        <v>2807</v>
      </c>
      <c r="F1342" s="30">
        <v>1</v>
      </c>
      <c r="G1342" s="30">
        <v>63003001</v>
      </c>
      <c r="H1342" s="30">
        <v>0</v>
      </c>
      <c r="I1342" s="30">
        <v>0</v>
      </c>
      <c r="J1342" s="30">
        <v>1</v>
      </c>
      <c r="K1342" s="30">
        <v>0</v>
      </c>
      <c r="L1342" s="30">
        <v>0</v>
      </c>
      <c r="M1342" s="30">
        <v>0</v>
      </c>
      <c r="N1342" s="30">
        <v>0</v>
      </c>
      <c r="O1342" s="30">
        <v>2</v>
      </c>
      <c r="P1342" s="30">
        <v>2</v>
      </c>
      <c r="Q1342" s="30">
        <v>1</v>
      </c>
      <c r="R1342" s="30">
        <v>0</v>
      </c>
      <c r="S1342" s="30">
        <v>0</v>
      </c>
      <c r="T1342" s="30">
        <v>0</v>
      </c>
      <c r="U1342" s="30">
        <v>1</v>
      </c>
      <c r="V1342" s="30">
        <v>2</v>
      </c>
      <c r="W1342" s="30">
        <v>0</v>
      </c>
      <c r="X1342" s="30">
        <v>0</v>
      </c>
      <c r="Y1342" s="12">
        <v>0</v>
      </c>
      <c r="Z1342" s="30">
        <v>0</v>
      </c>
      <c r="AA1342" s="30">
        <v>0</v>
      </c>
      <c r="AB1342" s="30">
        <v>0</v>
      </c>
      <c r="AC1342" s="30">
        <v>0</v>
      </c>
      <c r="AD1342" s="30">
        <v>1</v>
      </c>
      <c r="AE1342" s="30">
        <v>0</v>
      </c>
      <c r="AF1342" s="30">
        <v>60</v>
      </c>
      <c r="AG1342" s="30">
        <v>1</v>
      </c>
      <c r="AH1342" s="30">
        <v>10</v>
      </c>
      <c r="AI1342" s="30">
        <v>0</v>
      </c>
      <c r="AJ1342" s="30">
        <v>0</v>
      </c>
      <c r="AK1342" s="30">
        <v>0</v>
      </c>
      <c r="AL1342" s="30">
        <v>0</v>
      </c>
      <c r="AM1342" s="30">
        <v>0</v>
      </c>
      <c r="AN1342" s="30">
        <v>0</v>
      </c>
      <c r="AO1342" s="30">
        <v>0</v>
      </c>
      <c r="AP1342" s="30">
        <v>0</v>
      </c>
      <c r="AQ1342" s="30">
        <v>50000</v>
      </c>
      <c r="AR1342" s="30">
        <v>0</v>
      </c>
      <c r="AS1342" s="30">
        <v>0</v>
      </c>
      <c r="AT1342" s="30">
        <v>0</v>
      </c>
      <c r="AU1342" s="30">
        <v>90513001</v>
      </c>
      <c r="AV1342" s="30"/>
      <c r="AW1342" s="38" t="s">
        <v>198</v>
      </c>
      <c r="AX1342" s="30">
        <v>0</v>
      </c>
      <c r="AY1342" s="30">
        <v>0</v>
      </c>
      <c r="AZ1342" s="30">
        <v>0</v>
      </c>
      <c r="BA1342" s="38" t="s">
        <v>2808</v>
      </c>
      <c r="BB1342" s="30">
        <v>0</v>
      </c>
      <c r="BC1342" s="30">
        <v>0</v>
      </c>
      <c r="BD1342" s="30">
        <v>0</v>
      </c>
      <c r="BE1342" s="214" t="s">
        <v>2809</v>
      </c>
      <c r="BF1342" s="214" t="s">
        <v>2810</v>
      </c>
      <c r="BG1342" s="30">
        <v>0</v>
      </c>
      <c r="BH1342" s="30">
        <v>0</v>
      </c>
      <c r="BI1342" s="30">
        <v>0</v>
      </c>
      <c r="BJ1342" s="30">
        <v>0</v>
      </c>
      <c r="BK1342" s="30">
        <v>0</v>
      </c>
      <c r="BL1342" s="30">
        <v>0</v>
      </c>
      <c r="BM1342" s="21">
        <v>0</v>
      </c>
      <c r="BN1342" s="30">
        <v>1</v>
      </c>
      <c r="BO1342" s="30">
        <v>0</v>
      </c>
      <c r="BP1342" s="30">
        <v>0</v>
      </c>
      <c r="BQ1342" s="30">
        <v>0</v>
      </c>
      <c r="BR1342" s="30">
        <v>0</v>
      </c>
      <c r="BS1342" s="30">
        <v>0</v>
      </c>
      <c r="BT1342" s="12">
        <v>0</v>
      </c>
      <c r="BU1342" s="47">
        <v>0</v>
      </c>
      <c r="BV1342" s="47"/>
      <c r="BW1342" s="47"/>
    </row>
    <row r="1343" spans="3:75" ht="20.100000000000001" customHeight="1">
      <c r="C1343" s="60">
        <v>63200101</v>
      </c>
      <c r="D1343" s="59" t="s">
        <v>2811</v>
      </c>
      <c r="E1343" s="59" t="s">
        <v>2812</v>
      </c>
      <c r="F1343" s="60">
        <v>1</v>
      </c>
      <c r="G1343" s="60">
        <v>63200101</v>
      </c>
      <c r="H1343" s="60">
        <v>0</v>
      </c>
      <c r="I1343" s="66">
        <v>0</v>
      </c>
      <c r="J1343" s="64">
        <v>1</v>
      </c>
      <c r="K1343" s="64">
        <v>0</v>
      </c>
      <c r="L1343" s="60">
        <v>0</v>
      </c>
      <c r="M1343" s="60">
        <v>0</v>
      </c>
      <c r="N1343" s="60">
        <v>0</v>
      </c>
      <c r="O1343" s="60">
        <v>2</v>
      </c>
      <c r="P1343" s="60">
        <v>1</v>
      </c>
      <c r="Q1343" s="60">
        <v>0.5</v>
      </c>
      <c r="R1343" s="60">
        <v>0</v>
      </c>
      <c r="S1343" s="68">
        <v>0</v>
      </c>
      <c r="T1343" s="60">
        <v>0</v>
      </c>
      <c r="U1343" s="60">
        <v>1</v>
      </c>
      <c r="V1343" s="60">
        <v>2</v>
      </c>
      <c r="W1343" s="60">
        <v>0</v>
      </c>
      <c r="X1343" s="64">
        <v>0</v>
      </c>
      <c r="Y1343" s="12">
        <v>0</v>
      </c>
      <c r="Z1343" s="64">
        <v>0</v>
      </c>
      <c r="AA1343" s="60">
        <v>0</v>
      </c>
      <c r="AB1343" s="60">
        <v>0</v>
      </c>
      <c r="AC1343" s="60">
        <v>0</v>
      </c>
      <c r="AD1343" s="60">
        <v>0</v>
      </c>
      <c r="AE1343" s="60">
        <v>0</v>
      </c>
      <c r="AF1343" s="60">
        <v>18</v>
      </c>
      <c r="AG1343" s="60">
        <v>0</v>
      </c>
      <c r="AH1343" s="60">
        <v>0</v>
      </c>
      <c r="AI1343" s="68">
        <v>2</v>
      </c>
      <c r="AJ1343" s="68">
        <v>0</v>
      </c>
      <c r="AK1343" s="68">
        <v>0</v>
      </c>
      <c r="AL1343" s="68">
        <v>0</v>
      </c>
      <c r="AM1343" s="60">
        <v>0</v>
      </c>
      <c r="AN1343" s="60">
        <v>0</v>
      </c>
      <c r="AO1343" s="60">
        <v>0</v>
      </c>
      <c r="AP1343" s="60">
        <v>0</v>
      </c>
      <c r="AQ1343" s="60">
        <v>1000</v>
      </c>
      <c r="AR1343" s="60">
        <v>0</v>
      </c>
      <c r="AS1343" s="60">
        <v>0</v>
      </c>
      <c r="AT1343" s="68"/>
      <c r="AU1343" s="60" t="s">
        <v>198</v>
      </c>
      <c r="AV1343" s="60"/>
      <c r="AW1343" s="59" t="s">
        <v>198</v>
      </c>
      <c r="AX1343" s="60" t="s">
        <v>1819</v>
      </c>
      <c r="AY1343" s="64">
        <v>0</v>
      </c>
      <c r="AZ1343" s="64">
        <v>0</v>
      </c>
      <c r="BA1343" s="59" t="s">
        <v>200</v>
      </c>
      <c r="BB1343" s="60" t="s">
        <v>198</v>
      </c>
      <c r="BC1343" s="66">
        <v>0</v>
      </c>
      <c r="BD1343" s="66">
        <v>0</v>
      </c>
      <c r="BE1343" s="90" t="s">
        <v>2813</v>
      </c>
      <c r="BF1343" s="90" t="s">
        <v>2814</v>
      </c>
      <c r="BG1343" s="60">
        <v>0</v>
      </c>
      <c r="BH1343" s="60">
        <v>0</v>
      </c>
      <c r="BI1343" s="60">
        <v>0</v>
      </c>
      <c r="BJ1343" s="60">
        <v>0</v>
      </c>
      <c r="BK1343" s="60">
        <v>0</v>
      </c>
      <c r="BL1343" s="60">
        <v>0</v>
      </c>
      <c r="BM1343" s="93">
        <v>0</v>
      </c>
      <c r="BN1343" s="68">
        <v>0</v>
      </c>
      <c r="BO1343" s="68">
        <v>0</v>
      </c>
      <c r="BP1343" s="68">
        <v>0</v>
      </c>
      <c r="BQ1343" s="68">
        <v>0</v>
      </c>
      <c r="BR1343" s="68">
        <v>0</v>
      </c>
      <c r="BS1343" s="68">
        <v>0</v>
      </c>
      <c r="BT1343" s="12">
        <v>0</v>
      </c>
      <c r="BU1343" s="47">
        <v>0</v>
      </c>
      <c r="BV1343" s="47"/>
      <c r="BW1343" s="47"/>
    </row>
    <row r="1344" spans="3:75" ht="20.100000000000001" customHeight="1">
      <c r="C1344" s="60">
        <v>63200102</v>
      </c>
      <c r="D1344" s="124" t="s">
        <v>2380</v>
      </c>
      <c r="E1344" s="124" t="s">
        <v>2381</v>
      </c>
      <c r="F1344" s="68">
        <v>1</v>
      </c>
      <c r="G1344" s="68">
        <v>10001</v>
      </c>
      <c r="H1344" s="68">
        <v>0</v>
      </c>
      <c r="I1344" s="68">
        <v>0</v>
      </c>
      <c r="J1344" s="68">
        <v>1</v>
      </c>
      <c r="K1344" s="68">
        <v>0</v>
      </c>
      <c r="L1344" s="60">
        <v>0</v>
      </c>
      <c r="M1344" s="68">
        <v>0</v>
      </c>
      <c r="N1344" s="68">
        <v>0</v>
      </c>
      <c r="O1344" s="68">
        <v>2</v>
      </c>
      <c r="P1344" s="68">
        <v>15</v>
      </c>
      <c r="Q1344" s="68">
        <v>1</v>
      </c>
      <c r="R1344" s="68">
        <v>0</v>
      </c>
      <c r="S1344" s="68">
        <v>0</v>
      </c>
      <c r="T1344" s="68">
        <v>0</v>
      </c>
      <c r="U1344" s="68">
        <v>1</v>
      </c>
      <c r="V1344" s="68">
        <v>2</v>
      </c>
      <c r="W1344" s="68">
        <v>0</v>
      </c>
      <c r="X1344" s="68">
        <v>0</v>
      </c>
      <c r="Y1344" s="12">
        <v>0</v>
      </c>
      <c r="Z1344" s="68">
        <v>0</v>
      </c>
      <c r="AA1344" s="68">
        <v>0</v>
      </c>
      <c r="AB1344" s="68">
        <v>0</v>
      </c>
      <c r="AC1344" s="68">
        <v>0</v>
      </c>
      <c r="AD1344" s="68">
        <v>0</v>
      </c>
      <c r="AE1344" s="68">
        <v>0</v>
      </c>
      <c r="AF1344" s="68">
        <v>25</v>
      </c>
      <c r="AG1344" s="68">
        <v>0</v>
      </c>
      <c r="AH1344" s="68">
        <v>0</v>
      </c>
      <c r="AI1344" s="68">
        <v>2</v>
      </c>
      <c r="AJ1344" s="68">
        <v>1</v>
      </c>
      <c r="AK1344" s="68">
        <v>0</v>
      </c>
      <c r="AL1344" s="68">
        <v>0</v>
      </c>
      <c r="AM1344" s="68">
        <v>0</v>
      </c>
      <c r="AN1344" s="68">
        <v>0</v>
      </c>
      <c r="AO1344" s="68">
        <v>0</v>
      </c>
      <c r="AP1344" s="68">
        <v>0</v>
      </c>
      <c r="AQ1344" s="68">
        <v>1000</v>
      </c>
      <c r="AR1344" s="68">
        <v>0</v>
      </c>
      <c r="AS1344" s="68">
        <v>0</v>
      </c>
      <c r="AT1344" s="339" t="s">
        <v>2815</v>
      </c>
      <c r="AU1344" s="68" t="s">
        <v>198</v>
      </c>
      <c r="AV1344" s="68"/>
      <c r="AW1344" s="124" t="s">
        <v>199</v>
      </c>
      <c r="AX1344" s="68" t="s">
        <v>1819</v>
      </c>
      <c r="AY1344" s="68">
        <v>0</v>
      </c>
      <c r="AZ1344" s="68">
        <v>40000003</v>
      </c>
      <c r="BA1344" s="124" t="s">
        <v>200</v>
      </c>
      <c r="BB1344" s="124" t="s">
        <v>198</v>
      </c>
      <c r="BC1344" s="68">
        <v>0</v>
      </c>
      <c r="BD1344" s="68">
        <v>1</v>
      </c>
      <c r="BE1344" s="240" t="s">
        <v>2816</v>
      </c>
      <c r="BF1344" s="240" t="s">
        <v>2384</v>
      </c>
      <c r="BG1344" s="68">
        <v>0</v>
      </c>
      <c r="BH1344" s="68">
        <v>0</v>
      </c>
      <c r="BI1344" s="68">
        <v>0</v>
      </c>
      <c r="BJ1344" s="68">
        <v>0</v>
      </c>
      <c r="BK1344" s="68">
        <v>0</v>
      </c>
      <c r="BL1344" s="68">
        <v>0</v>
      </c>
      <c r="BM1344" s="134">
        <v>0</v>
      </c>
      <c r="BN1344" s="68">
        <v>1</v>
      </c>
      <c r="BO1344" s="68">
        <v>0</v>
      </c>
      <c r="BP1344" s="68">
        <v>0</v>
      </c>
      <c r="BQ1344" s="68">
        <v>0</v>
      </c>
      <c r="BR1344" s="68">
        <v>0</v>
      </c>
      <c r="BS1344" s="68">
        <v>0</v>
      </c>
      <c r="BT1344" s="12">
        <v>0</v>
      </c>
      <c r="BU1344" s="47">
        <v>0</v>
      </c>
      <c r="BV1344" s="47"/>
      <c r="BW1344" s="47"/>
    </row>
    <row r="1345" spans="3:75" ht="20.100000000000001" customHeight="1">
      <c r="C1345" s="60">
        <v>63200103</v>
      </c>
      <c r="D1345" s="59" t="s">
        <v>2817</v>
      </c>
      <c r="E1345" s="59" t="s">
        <v>2818</v>
      </c>
      <c r="F1345" s="60">
        <v>1</v>
      </c>
      <c r="G1345" s="60">
        <v>1000004</v>
      </c>
      <c r="H1345" s="60">
        <v>0</v>
      </c>
      <c r="I1345" s="66">
        <v>0</v>
      </c>
      <c r="J1345" s="64">
        <v>1</v>
      </c>
      <c r="K1345" s="64">
        <v>0</v>
      </c>
      <c r="L1345" s="60">
        <v>0</v>
      </c>
      <c r="M1345" s="60">
        <v>0</v>
      </c>
      <c r="N1345" s="60">
        <v>0</v>
      </c>
      <c r="O1345" s="60">
        <v>8</v>
      </c>
      <c r="P1345" s="60">
        <v>8</v>
      </c>
      <c r="Q1345" s="60">
        <v>4</v>
      </c>
      <c r="R1345" s="60">
        <v>0</v>
      </c>
      <c r="S1345" s="68">
        <v>0</v>
      </c>
      <c r="T1345" s="60">
        <v>0</v>
      </c>
      <c r="U1345" s="60">
        <v>1</v>
      </c>
      <c r="V1345" s="60">
        <v>0</v>
      </c>
      <c r="W1345" s="60">
        <v>0</v>
      </c>
      <c r="X1345" s="64">
        <v>0</v>
      </c>
      <c r="Y1345" s="12">
        <v>0</v>
      </c>
      <c r="Z1345" s="64">
        <v>0</v>
      </c>
      <c r="AA1345" s="60">
        <v>0</v>
      </c>
      <c r="AB1345" s="60">
        <v>0</v>
      </c>
      <c r="AC1345" s="60">
        <v>0</v>
      </c>
      <c r="AD1345" s="60">
        <v>0</v>
      </c>
      <c r="AE1345" s="60">
        <v>0</v>
      </c>
      <c r="AF1345" s="60">
        <v>0</v>
      </c>
      <c r="AG1345" s="60">
        <v>0</v>
      </c>
      <c r="AH1345" s="60" t="s">
        <v>198</v>
      </c>
      <c r="AI1345" s="68">
        <v>0</v>
      </c>
      <c r="AJ1345" s="68">
        <v>0</v>
      </c>
      <c r="AK1345" s="68">
        <v>0</v>
      </c>
      <c r="AL1345" s="68">
        <v>0</v>
      </c>
      <c r="AM1345" s="60">
        <v>0</v>
      </c>
      <c r="AN1345" s="60">
        <v>0</v>
      </c>
      <c r="AO1345" s="60">
        <v>0</v>
      </c>
      <c r="AP1345" s="60">
        <v>0</v>
      </c>
      <c r="AQ1345" s="60">
        <v>0</v>
      </c>
      <c r="AR1345" s="60">
        <v>0</v>
      </c>
      <c r="AS1345" s="60">
        <v>0</v>
      </c>
      <c r="AT1345" s="68">
        <v>0</v>
      </c>
      <c r="AU1345" s="60" t="s">
        <v>198</v>
      </c>
      <c r="AV1345" s="60"/>
      <c r="AW1345" s="59" t="s">
        <v>198</v>
      </c>
      <c r="AX1345" s="60">
        <v>0</v>
      </c>
      <c r="AY1345" s="64">
        <v>0</v>
      </c>
      <c r="AZ1345" s="64">
        <v>0</v>
      </c>
      <c r="BA1345" s="59" t="s">
        <v>198</v>
      </c>
      <c r="BB1345" s="60" t="s">
        <v>2819</v>
      </c>
      <c r="BC1345" s="66"/>
      <c r="BD1345" s="66">
        <v>1</v>
      </c>
      <c r="BE1345" s="90" t="s">
        <v>2820</v>
      </c>
      <c r="BF1345" s="90" t="s">
        <v>2821</v>
      </c>
      <c r="BG1345" s="60">
        <v>0</v>
      </c>
      <c r="BH1345" s="60">
        <v>0</v>
      </c>
      <c r="BI1345" s="60">
        <v>0</v>
      </c>
      <c r="BJ1345" s="60">
        <v>0</v>
      </c>
      <c r="BK1345" s="60">
        <v>0</v>
      </c>
      <c r="BL1345" s="60">
        <v>0</v>
      </c>
      <c r="BM1345" s="93">
        <v>0</v>
      </c>
      <c r="BN1345" s="68">
        <v>0</v>
      </c>
      <c r="BO1345" s="68">
        <v>0</v>
      </c>
      <c r="BP1345" s="68">
        <v>0</v>
      </c>
      <c r="BQ1345" s="68">
        <v>0</v>
      </c>
      <c r="BR1345" s="68">
        <v>0</v>
      </c>
      <c r="BS1345" s="68">
        <v>0</v>
      </c>
      <c r="BT1345" s="12">
        <v>0</v>
      </c>
      <c r="BU1345" s="47">
        <v>0</v>
      </c>
      <c r="BV1345" s="47"/>
      <c r="BW1345" s="47"/>
    </row>
    <row r="1346" spans="3:75" ht="20.100000000000001" customHeight="1">
      <c r="C1346" s="60">
        <v>63200104</v>
      </c>
      <c r="D1346" s="237" t="s">
        <v>2380</v>
      </c>
      <c r="E1346" s="237" t="s">
        <v>2381</v>
      </c>
      <c r="F1346" s="238">
        <v>1</v>
      </c>
      <c r="G1346" s="238">
        <v>63001004</v>
      </c>
      <c r="H1346" s="238">
        <v>0</v>
      </c>
      <c r="I1346" s="238">
        <v>0</v>
      </c>
      <c r="J1346" s="238">
        <v>1</v>
      </c>
      <c r="K1346" s="238">
        <v>0</v>
      </c>
      <c r="L1346" s="238">
        <v>0</v>
      </c>
      <c r="M1346" s="238">
        <v>0</v>
      </c>
      <c r="N1346" s="238">
        <v>0</v>
      </c>
      <c r="O1346" s="238">
        <v>2</v>
      </c>
      <c r="P1346" s="238">
        <v>10</v>
      </c>
      <c r="Q1346" s="238">
        <v>0.1</v>
      </c>
      <c r="R1346" s="238">
        <v>0</v>
      </c>
      <c r="S1346" s="238">
        <v>0</v>
      </c>
      <c r="T1346" s="238">
        <v>0</v>
      </c>
      <c r="U1346" s="238">
        <v>1</v>
      </c>
      <c r="V1346" s="238">
        <v>2</v>
      </c>
      <c r="W1346" s="238">
        <v>0</v>
      </c>
      <c r="X1346" s="238">
        <v>0</v>
      </c>
      <c r="Y1346" s="12">
        <v>0</v>
      </c>
      <c r="Z1346" s="238">
        <v>0</v>
      </c>
      <c r="AA1346" s="238">
        <v>0</v>
      </c>
      <c r="AB1346" s="238">
        <v>0</v>
      </c>
      <c r="AC1346" s="238">
        <v>0</v>
      </c>
      <c r="AD1346" s="60">
        <v>0</v>
      </c>
      <c r="AE1346" s="238">
        <v>0</v>
      </c>
      <c r="AF1346" s="238">
        <v>5</v>
      </c>
      <c r="AG1346" s="238">
        <v>0</v>
      </c>
      <c r="AH1346" s="238">
        <v>0</v>
      </c>
      <c r="AI1346" s="238">
        <v>7</v>
      </c>
      <c r="AJ1346" s="238">
        <v>0</v>
      </c>
      <c r="AK1346" s="238">
        <v>0</v>
      </c>
      <c r="AL1346" s="238">
        <v>3</v>
      </c>
      <c r="AM1346" s="238">
        <v>0</v>
      </c>
      <c r="AN1346" s="238">
        <v>0</v>
      </c>
      <c r="AO1346" s="238">
        <v>0</v>
      </c>
      <c r="AP1346" s="238">
        <v>0</v>
      </c>
      <c r="AQ1346" s="238">
        <v>3000</v>
      </c>
      <c r="AR1346" s="238">
        <v>0.5</v>
      </c>
      <c r="AS1346" s="238">
        <v>0</v>
      </c>
      <c r="AT1346" s="238">
        <v>90503112</v>
      </c>
      <c r="AU1346" s="238">
        <v>0</v>
      </c>
      <c r="AV1346" s="238"/>
      <c r="AW1346" s="237" t="s">
        <v>198</v>
      </c>
      <c r="AX1346" s="238">
        <v>0</v>
      </c>
      <c r="AY1346" s="238">
        <v>0</v>
      </c>
      <c r="AZ1346" s="238">
        <v>0</v>
      </c>
      <c r="BA1346" s="237" t="s">
        <v>200</v>
      </c>
      <c r="BB1346" s="237">
        <v>0</v>
      </c>
      <c r="BC1346" s="238">
        <v>0</v>
      </c>
      <c r="BD1346" s="238">
        <v>1</v>
      </c>
      <c r="BE1346" s="246" t="s">
        <v>2822</v>
      </c>
      <c r="BF1346" s="246" t="s">
        <v>2823</v>
      </c>
      <c r="BG1346" s="238">
        <v>0</v>
      </c>
      <c r="BH1346" s="238">
        <v>0</v>
      </c>
      <c r="BI1346" s="238">
        <v>0</v>
      </c>
      <c r="BJ1346" s="238">
        <v>0</v>
      </c>
      <c r="BK1346" s="238">
        <v>0</v>
      </c>
      <c r="BL1346" s="238">
        <v>0</v>
      </c>
      <c r="BM1346" s="242">
        <v>0</v>
      </c>
      <c r="BN1346" s="238">
        <v>0</v>
      </c>
      <c r="BO1346" s="68">
        <v>0</v>
      </c>
      <c r="BP1346" s="68">
        <v>0</v>
      </c>
      <c r="BQ1346" s="68">
        <v>0</v>
      </c>
      <c r="BR1346" s="68">
        <v>0</v>
      </c>
      <c r="BS1346" s="68">
        <v>0</v>
      </c>
      <c r="BT1346" s="12">
        <v>0</v>
      </c>
      <c r="BU1346" s="47">
        <v>0</v>
      </c>
      <c r="BV1346" s="47"/>
      <c r="BW1346" s="47"/>
    </row>
    <row r="1347" spans="3:75" ht="20.100000000000001" customHeight="1">
      <c r="C1347" s="60">
        <v>63200201</v>
      </c>
      <c r="D1347" s="59" t="s">
        <v>2824</v>
      </c>
      <c r="E1347" s="59" t="s">
        <v>2825</v>
      </c>
      <c r="F1347" s="60">
        <v>1</v>
      </c>
      <c r="G1347" s="60">
        <v>63200201</v>
      </c>
      <c r="H1347" s="60">
        <v>0</v>
      </c>
      <c r="I1347" s="66">
        <v>0</v>
      </c>
      <c r="J1347" s="64">
        <v>1</v>
      </c>
      <c r="K1347" s="64">
        <v>0</v>
      </c>
      <c r="L1347" s="60">
        <v>0</v>
      </c>
      <c r="M1347" s="60">
        <v>0</v>
      </c>
      <c r="N1347" s="60">
        <v>0</v>
      </c>
      <c r="O1347" s="60">
        <v>2</v>
      </c>
      <c r="P1347" s="60">
        <v>1</v>
      </c>
      <c r="Q1347" s="60">
        <v>0.5</v>
      </c>
      <c r="R1347" s="60">
        <v>0</v>
      </c>
      <c r="S1347" s="68">
        <v>0</v>
      </c>
      <c r="T1347" s="60">
        <v>0</v>
      </c>
      <c r="U1347" s="60">
        <v>1</v>
      </c>
      <c r="V1347" s="60">
        <v>2</v>
      </c>
      <c r="W1347" s="60">
        <v>0</v>
      </c>
      <c r="X1347" s="64">
        <v>0</v>
      </c>
      <c r="Y1347" s="12">
        <v>0</v>
      </c>
      <c r="Z1347" s="64">
        <v>0</v>
      </c>
      <c r="AA1347" s="60">
        <v>0</v>
      </c>
      <c r="AB1347" s="60">
        <v>0</v>
      </c>
      <c r="AC1347" s="60">
        <v>0</v>
      </c>
      <c r="AD1347" s="60">
        <v>0</v>
      </c>
      <c r="AE1347" s="60">
        <v>0</v>
      </c>
      <c r="AF1347" s="60">
        <v>18</v>
      </c>
      <c r="AG1347" s="60">
        <v>0</v>
      </c>
      <c r="AH1347" s="60">
        <v>0</v>
      </c>
      <c r="AI1347" s="68">
        <v>2</v>
      </c>
      <c r="AJ1347" s="68">
        <v>0</v>
      </c>
      <c r="AK1347" s="68">
        <v>0</v>
      </c>
      <c r="AL1347" s="68">
        <v>0</v>
      </c>
      <c r="AM1347" s="60">
        <v>0</v>
      </c>
      <c r="AN1347" s="60">
        <v>0</v>
      </c>
      <c r="AO1347" s="60">
        <v>0</v>
      </c>
      <c r="AP1347" s="60">
        <v>0</v>
      </c>
      <c r="AQ1347" s="60">
        <v>1000</v>
      </c>
      <c r="AR1347" s="60">
        <v>0</v>
      </c>
      <c r="AS1347" s="60">
        <v>0</v>
      </c>
      <c r="AT1347" s="68"/>
      <c r="AU1347" s="60" t="s">
        <v>198</v>
      </c>
      <c r="AV1347" s="60"/>
      <c r="AW1347" s="59" t="s">
        <v>198</v>
      </c>
      <c r="AX1347" s="60" t="s">
        <v>1819</v>
      </c>
      <c r="AY1347" s="64">
        <v>0</v>
      </c>
      <c r="AZ1347" s="64">
        <v>0</v>
      </c>
      <c r="BA1347" s="59" t="s">
        <v>200</v>
      </c>
      <c r="BB1347" s="60" t="s">
        <v>198</v>
      </c>
      <c r="BC1347" s="66">
        <v>0</v>
      </c>
      <c r="BD1347" s="66">
        <v>0</v>
      </c>
      <c r="BE1347" s="90" t="s">
        <v>2826</v>
      </c>
      <c r="BF1347" s="90" t="s">
        <v>2827</v>
      </c>
      <c r="BG1347" s="60">
        <v>0</v>
      </c>
      <c r="BH1347" s="60">
        <v>0</v>
      </c>
      <c r="BI1347" s="60">
        <v>0</v>
      </c>
      <c r="BJ1347" s="60">
        <v>0</v>
      </c>
      <c r="BK1347" s="60">
        <v>0</v>
      </c>
      <c r="BL1347" s="60">
        <v>0</v>
      </c>
      <c r="BM1347" s="93">
        <v>0</v>
      </c>
      <c r="BN1347" s="68">
        <v>0</v>
      </c>
      <c r="BO1347" s="68">
        <v>0</v>
      </c>
      <c r="BP1347" s="68">
        <v>0</v>
      </c>
      <c r="BQ1347" s="68">
        <v>0</v>
      </c>
      <c r="BR1347" s="68">
        <v>0</v>
      </c>
      <c r="BS1347" s="68">
        <v>0</v>
      </c>
      <c r="BT1347" s="12">
        <v>0</v>
      </c>
      <c r="BU1347" s="47">
        <v>0</v>
      </c>
      <c r="BV1347" s="47"/>
      <c r="BW1347" s="47"/>
    </row>
    <row r="1348" spans="3:75" ht="20.100000000000001" customHeight="1">
      <c r="C1348" s="60">
        <v>63200202</v>
      </c>
      <c r="D1348" s="59" t="s">
        <v>2828</v>
      </c>
      <c r="E1348" s="59" t="s">
        <v>2829</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2830</v>
      </c>
      <c r="BC1348" s="66"/>
      <c r="BD1348" s="66">
        <v>1</v>
      </c>
      <c r="BE1348" s="90" t="s">
        <v>2831</v>
      </c>
      <c r="BF1348" s="90" t="s">
        <v>2832</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spans="3:75" ht="20.100000000000001" customHeight="1">
      <c r="C1349" s="60">
        <v>63200203</v>
      </c>
      <c r="D1349" s="59" t="s">
        <v>2833</v>
      </c>
      <c r="E1349" s="59" t="s">
        <v>2834</v>
      </c>
      <c r="F1349" s="60">
        <v>1</v>
      </c>
      <c r="G1349" s="60">
        <v>1000004</v>
      </c>
      <c r="H1349" s="60">
        <v>0</v>
      </c>
      <c r="I1349" s="66">
        <v>0</v>
      </c>
      <c r="J1349" s="64">
        <v>1</v>
      </c>
      <c r="K1349" s="64">
        <v>0</v>
      </c>
      <c r="L1349" s="60">
        <v>0</v>
      </c>
      <c r="M1349" s="60">
        <v>0</v>
      </c>
      <c r="N1349" s="60">
        <v>0</v>
      </c>
      <c r="O1349" s="60">
        <v>8</v>
      </c>
      <c r="P1349" s="60">
        <v>8</v>
      </c>
      <c r="Q1349" s="60">
        <v>4</v>
      </c>
      <c r="R1349" s="60">
        <v>0</v>
      </c>
      <c r="S1349" s="68">
        <v>0</v>
      </c>
      <c r="T1349" s="60">
        <v>0</v>
      </c>
      <c r="U1349" s="60">
        <v>1</v>
      </c>
      <c r="V1349" s="60">
        <v>0</v>
      </c>
      <c r="W1349" s="60">
        <v>0</v>
      </c>
      <c r="X1349" s="64">
        <v>0</v>
      </c>
      <c r="Y1349" s="12">
        <v>0</v>
      </c>
      <c r="Z1349" s="64">
        <v>0</v>
      </c>
      <c r="AA1349" s="60">
        <v>0</v>
      </c>
      <c r="AB1349" s="60">
        <v>0</v>
      </c>
      <c r="AC1349" s="60">
        <v>0</v>
      </c>
      <c r="AD1349" s="60">
        <v>0</v>
      </c>
      <c r="AE1349" s="60">
        <v>0</v>
      </c>
      <c r="AF1349" s="60">
        <v>0</v>
      </c>
      <c r="AG1349" s="60">
        <v>0</v>
      </c>
      <c r="AH1349" s="60" t="s">
        <v>198</v>
      </c>
      <c r="AI1349" s="68">
        <v>0</v>
      </c>
      <c r="AJ1349" s="68">
        <v>0</v>
      </c>
      <c r="AK1349" s="68">
        <v>0</v>
      </c>
      <c r="AL1349" s="68">
        <v>0</v>
      </c>
      <c r="AM1349" s="60">
        <v>0</v>
      </c>
      <c r="AN1349" s="60">
        <v>0</v>
      </c>
      <c r="AO1349" s="60">
        <v>0</v>
      </c>
      <c r="AP1349" s="60">
        <v>0</v>
      </c>
      <c r="AQ1349" s="60">
        <v>0</v>
      </c>
      <c r="AR1349" s="60">
        <v>0</v>
      </c>
      <c r="AS1349" s="60">
        <v>0</v>
      </c>
      <c r="AT1349" s="68">
        <v>0</v>
      </c>
      <c r="AU1349" s="60" t="s">
        <v>198</v>
      </c>
      <c r="AV1349" s="60"/>
      <c r="AW1349" s="59" t="s">
        <v>198</v>
      </c>
      <c r="AX1349" s="60">
        <v>0</v>
      </c>
      <c r="AY1349" s="64">
        <v>0</v>
      </c>
      <c r="AZ1349" s="64">
        <v>0</v>
      </c>
      <c r="BA1349" s="59" t="s">
        <v>198</v>
      </c>
      <c r="BB1349" s="60" t="s">
        <v>2835</v>
      </c>
      <c r="BC1349" s="66"/>
      <c r="BD1349" s="66">
        <v>1</v>
      </c>
      <c r="BE1349" s="90" t="s">
        <v>2836</v>
      </c>
      <c r="BF1349" s="90" t="s">
        <v>2837</v>
      </c>
      <c r="BG1349" s="60">
        <v>0</v>
      </c>
      <c r="BH1349" s="60">
        <v>0</v>
      </c>
      <c r="BI1349" s="60">
        <v>0</v>
      </c>
      <c r="BJ1349" s="60">
        <v>0</v>
      </c>
      <c r="BK1349" s="60">
        <v>0</v>
      </c>
      <c r="BL1349" s="60">
        <v>0</v>
      </c>
      <c r="BM1349" s="93">
        <v>0</v>
      </c>
      <c r="BN1349" s="68">
        <v>0</v>
      </c>
      <c r="BO1349" s="68">
        <v>0</v>
      </c>
      <c r="BP1349" s="68">
        <v>0</v>
      </c>
      <c r="BQ1349" s="68">
        <v>0</v>
      </c>
      <c r="BR1349" s="68">
        <v>0</v>
      </c>
      <c r="BS1349" s="68">
        <v>0</v>
      </c>
      <c r="BT1349" s="12">
        <v>0</v>
      </c>
      <c r="BU1349" s="47">
        <v>0</v>
      </c>
      <c r="BV1349" s="47"/>
      <c r="BW1349" s="47"/>
    </row>
    <row r="1350" spans="3:75" ht="20.100000000000001" customHeight="1">
      <c r="C1350" s="60">
        <v>63200204</v>
      </c>
      <c r="D1350" s="63" t="s">
        <v>1391</v>
      </c>
      <c r="E1350" s="63" t="s">
        <v>1392</v>
      </c>
      <c r="F1350" s="60">
        <v>1</v>
      </c>
      <c r="G1350" s="64">
        <v>62012201</v>
      </c>
      <c r="H1350" s="64">
        <v>0</v>
      </c>
      <c r="I1350" s="66">
        <v>0</v>
      </c>
      <c r="J1350" s="60">
        <v>3</v>
      </c>
      <c r="K1350" s="60">
        <v>2</v>
      </c>
      <c r="L1350" s="60">
        <v>0</v>
      </c>
      <c r="M1350" s="64">
        <v>0</v>
      </c>
      <c r="N1350" s="64">
        <v>0</v>
      </c>
      <c r="O1350" s="64">
        <v>2</v>
      </c>
      <c r="P1350" s="64">
        <v>15</v>
      </c>
      <c r="Q1350" s="64">
        <v>1</v>
      </c>
      <c r="R1350" s="64">
        <v>0</v>
      </c>
      <c r="S1350" s="68">
        <v>0</v>
      </c>
      <c r="T1350" s="66">
        <v>0</v>
      </c>
      <c r="U1350" s="60">
        <v>1</v>
      </c>
      <c r="V1350" s="64">
        <v>2</v>
      </c>
      <c r="W1350" s="64">
        <v>0</v>
      </c>
      <c r="X1350" s="64">
        <v>2</v>
      </c>
      <c r="Y1350" s="12">
        <v>0</v>
      </c>
      <c r="Z1350" s="64">
        <v>750</v>
      </c>
      <c r="AA1350" s="64">
        <v>0</v>
      </c>
      <c r="AB1350" s="64">
        <v>0</v>
      </c>
      <c r="AC1350" s="64">
        <v>0</v>
      </c>
      <c r="AD1350" s="64">
        <v>0</v>
      </c>
      <c r="AE1350" s="64">
        <v>0</v>
      </c>
      <c r="AF1350" s="64">
        <v>12</v>
      </c>
      <c r="AG1350" s="64">
        <v>1</v>
      </c>
      <c r="AH1350" s="64">
        <v>3.5</v>
      </c>
      <c r="AI1350" s="68">
        <v>0</v>
      </c>
      <c r="AJ1350" s="68">
        <v>0</v>
      </c>
      <c r="AK1350" s="68">
        <v>0</v>
      </c>
      <c r="AL1350" s="68">
        <v>4</v>
      </c>
      <c r="AM1350" s="64">
        <v>0</v>
      </c>
      <c r="AN1350" s="64">
        <v>0</v>
      </c>
      <c r="AO1350" s="64">
        <v>0</v>
      </c>
      <c r="AP1350" s="64">
        <v>0.25</v>
      </c>
      <c r="AQ1350" s="64">
        <v>2000</v>
      </c>
      <c r="AR1350" s="64">
        <v>0</v>
      </c>
      <c r="AS1350" s="64">
        <v>0</v>
      </c>
      <c r="AT1350" s="68">
        <v>0</v>
      </c>
      <c r="AU1350" s="64">
        <v>90503131</v>
      </c>
      <c r="AV1350" s="64"/>
      <c r="AW1350" s="63" t="s">
        <v>199</v>
      </c>
      <c r="AX1350" s="64" t="s">
        <v>534</v>
      </c>
      <c r="AY1350" s="64">
        <v>10000009</v>
      </c>
      <c r="AZ1350" s="64">
        <v>21100050</v>
      </c>
      <c r="BA1350" s="63" t="s">
        <v>200</v>
      </c>
      <c r="BB1350" s="63">
        <v>0</v>
      </c>
      <c r="BC1350" s="66">
        <v>0</v>
      </c>
      <c r="BD1350" s="66">
        <v>1</v>
      </c>
      <c r="BE1350" s="207" t="s">
        <v>2838</v>
      </c>
      <c r="BF1350" s="207" t="s">
        <v>2839</v>
      </c>
      <c r="BG1350" s="64">
        <v>0</v>
      </c>
      <c r="BH1350" s="60">
        <v>0</v>
      </c>
      <c r="BI1350" s="64">
        <v>0</v>
      </c>
      <c r="BJ1350" s="64">
        <v>0</v>
      </c>
      <c r="BK1350" s="64">
        <v>0</v>
      </c>
      <c r="BL1350" s="64">
        <v>0</v>
      </c>
      <c r="BM1350" s="93">
        <v>0</v>
      </c>
      <c r="BN1350" s="68">
        <v>1</v>
      </c>
      <c r="BO1350" s="68">
        <v>0</v>
      </c>
      <c r="BP1350" s="68">
        <v>0</v>
      </c>
      <c r="BQ1350" s="68">
        <v>0</v>
      </c>
      <c r="BR1350" s="68">
        <v>0</v>
      </c>
      <c r="BS1350" s="68">
        <v>0</v>
      </c>
      <c r="BT1350" s="12">
        <v>0</v>
      </c>
      <c r="BU1350" s="47">
        <v>0</v>
      </c>
      <c r="BV1350" s="47"/>
      <c r="BW1350" s="47"/>
    </row>
    <row r="1351" spans="3:75" ht="20.100000000000001" customHeight="1">
      <c r="C1351" s="172">
        <v>63200205</v>
      </c>
      <c r="D1351" s="236" t="s">
        <v>5433</v>
      </c>
      <c r="E1351" s="236" t="s">
        <v>2753</v>
      </c>
      <c r="F1351" s="180">
        <v>1</v>
      </c>
      <c r="G1351" s="180">
        <v>63001004</v>
      </c>
      <c r="H1351" s="180">
        <v>0</v>
      </c>
      <c r="I1351" s="180">
        <v>0</v>
      </c>
      <c r="J1351" s="18">
        <v>1</v>
      </c>
      <c r="K1351" s="18">
        <v>0</v>
      </c>
      <c r="L1351" s="16">
        <v>0</v>
      </c>
      <c r="M1351" s="180">
        <v>0</v>
      </c>
      <c r="N1351" s="180">
        <v>0</v>
      </c>
      <c r="O1351" s="180">
        <v>2</v>
      </c>
      <c r="P1351" s="180">
        <v>5</v>
      </c>
      <c r="Q1351" s="180">
        <v>0.3</v>
      </c>
      <c r="R1351" s="180">
        <v>0</v>
      </c>
      <c r="S1351" s="12">
        <v>0</v>
      </c>
      <c r="T1351" s="180">
        <v>0</v>
      </c>
      <c r="U1351" s="180">
        <v>1</v>
      </c>
      <c r="V1351" s="180">
        <v>2</v>
      </c>
      <c r="W1351" s="180">
        <v>0</v>
      </c>
      <c r="X1351" s="180">
        <v>0</v>
      </c>
      <c r="Y1351" s="12">
        <v>0</v>
      </c>
      <c r="Z1351" s="180">
        <v>0</v>
      </c>
      <c r="AA1351" s="180">
        <v>0</v>
      </c>
      <c r="AB1351" s="180">
        <v>0</v>
      </c>
      <c r="AC1351" s="180">
        <v>0</v>
      </c>
      <c r="AD1351" s="16">
        <v>0</v>
      </c>
      <c r="AE1351" s="180">
        <v>0</v>
      </c>
      <c r="AF1351" s="180">
        <v>0</v>
      </c>
      <c r="AG1351" s="180">
        <v>0</v>
      </c>
      <c r="AH1351" s="180">
        <v>0</v>
      </c>
      <c r="AI1351" s="180">
        <v>0</v>
      </c>
      <c r="AJ1351" s="180">
        <v>0</v>
      </c>
      <c r="AK1351" s="12">
        <v>0</v>
      </c>
      <c r="AL1351" s="180">
        <v>0</v>
      </c>
      <c r="AM1351" s="180">
        <v>0</v>
      </c>
      <c r="AN1351" s="180">
        <v>0</v>
      </c>
      <c r="AO1351" s="180">
        <v>0</v>
      </c>
      <c r="AP1351" s="16">
        <v>0</v>
      </c>
      <c r="AQ1351" s="180">
        <v>1000</v>
      </c>
      <c r="AR1351" s="180">
        <v>0</v>
      </c>
      <c r="AS1351" s="180">
        <v>0</v>
      </c>
      <c r="AT1351" s="180">
        <v>90503121</v>
      </c>
      <c r="AU1351" s="180" t="s">
        <v>198</v>
      </c>
      <c r="AV1351" s="180"/>
      <c r="AW1351" s="236" t="s">
        <v>198</v>
      </c>
      <c r="AX1351" s="172" t="s">
        <v>1819</v>
      </c>
      <c r="AY1351" s="180">
        <v>0</v>
      </c>
      <c r="AZ1351" s="180">
        <v>0</v>
      </c>
      <c r="BA1351" s="236" t="s">
        <v>200</v>
      </c>
      <c r="BB1351" s="236" t="s">
        <v>198</v>
      </c>
      <c r="BC1351" s="180">
        <v>0</v>
      </c>
      <c r="BD1351" s="180">
        <v>1</v>
      </c>
      <c r="BE1351" s="245" t="s">
        <v>2840</v>
      </c>
      <c r="BF1351" s="245" t="s">
        <v>2841</v>
      </c>
      <c r="BG1351" s="180">
        <v>0</v>
      </c>
      <c r="BH1351" s="16">
        <v>0</v>
      </c>
      <c r="BI1351" s="180">
        <v>0</v>
      </c>
      <c r="BJ1351" s="180">
        <v>0</v>
      </c>
      <c r="BK1351" s="180">
        <v>0</v>
      </c>
      <c r="BL1351" s="180">
        <v>0</v>
      </c>
      <c r="BM1351" s="15">
        <v>0</v>
      </c>
      <c r="BN1351" s="12">
        <v>1</v>
      </c>
      <c r="BO1351" s="12">
        <v>0</v>
      </c>
      <c r="BP1351" s="12">
        <v>0</v>
      </c>
      <c r="BQ1351" s="12">
        <v>0</v>
      </c>
      <c r="BR1351" s="12">
        <v>0</v>
      </c>
      <c r="BS1351" s="12">
        <v>0</v>
      </c>
      <c r="BT1351" s="12">
        <v>0</v>
      </c>
      <c r="BU1351" s="47">
        <v>0</v>
      </c>
      <c r="BV1351" s="47"/>
      <c r="BW1351" s="47"/>
    </row>
    <row r="1352" spans="3:75" ht="20.100000000000001" customHeight="1">
      <c r="C1352" s="172">
        <v>63201001</v>
      </c>
      <c r="D1352" s="173" t="s">
        <v>2842</v>
      </c>
      <c r="E1352" s="173" t="s">
        <v>2843</v>
      </c>
      <c r="F1352" s="172">
        <v>1</v>
      </c>
      <c r="G1352" s="172">
        <v>63003001</v>
      </c>
      <c r="H1352" s="172">
        <v>0</v>
      </c>
      <c r="I1352" s="174">
        <v>0</v>
      </c>
      <c r="J1352" s="176">
        <v>1</v>
      </c>
      <c r="K1352" s="176">
        <v>0</v>
      </c>
      <c r="L1352" s="172">
        <v>0</v>
      </c>
      <c r="M1352" s="172">
        <v>0</v>
      </c>
      <c r="N1352" s="172">
        <v>0</v>
      </c>
      <c r="O1352" s="172">
        <v>2</v>
      </c>
      <c r="P1352" s="172">
        <v>12</v>
      </c>
      <c r="Q1352" s="172">
        <v>1</v>
      </c>
      <c r="R1352" s="172">
        <v>0</v>
      </c>
      <c r="S1352" s="175">
        <v>0</v>
      </c>
      <c r="T1352" s="172">
        <v>0</v>
      </c>
      <c r="U1352" s="172">
        <v>1</v>
      </c>
      <c r="V1352" s="172">
        <v>2</v>
      </c>
      <c r="W1352" s="172">
        <v>0</v>
      </c>
      <c r="X1352" s="176">
        <v>0</v>
      </c>
      <c r="Y1352" s="12">
        <v>0</v>
      </c>
      <c r="Z1352" s="176">
        <v>0</v>
      </c>
      <c r="AA1352" s="172">
        <v>0</v>
      </c>
      <c r="AB1352" s="172">
        <v>0</v>
      </c>
      <c r="AC1352" s="172">
        <v>0</v>
      </c>
      <c r="AD1352" s="172">
        <v>1</v>
      </c>
      <c r="AE1352" s="172">
        <v>0</v>
      </c>
      <c r="AF1352" s="172">
        <v>60</v>
      </c>
      <c r="AG1352" s="172">
        <v>1</v>
      </c>
      <c r="AH1352" s="172">
        <v>10</v>
      </c>
      <c r="AI1352" s="175">
        <v>0</v>
      </c>
      <c r="AJ1352" s="175">
        <v>0</v>
      </c>
      <c r="AK1352" s="175">
        <v>0</v>
      </c>
      <c r="AL1352" s="175">
        <v>0</v>
      </c>
      <c r="AM1352" s="172">
        <v>0</v>
      </c>
      <c r="AN1352" s="172">
        <v>0</v>
      </c>
      <c r="AO1352" s="172">
        <v>0</v>
      </c>
      <c r="AP1352" s="172">
        <v>0</v>
      </c>
      <c r="AQ1352" s="172">
        <v>50000</v>
      </c>
      <c r="AR1352" s="172">
        <v>0</v>
      </c>
      <c r="AS1352" s="172">
        <v>0</v>
      </c>
      <c r="AT1352" s="175">
        <v>90503003</v>
      </c>
      <c r="AU1352" s="172">
        <v>90503003</v>
      </c>
      <c r="AV1352" s="172"/>
      <c r="AW1352" s="173" t="s">
        <v>198</v>
      </c>
      <c r="AX1352" s="172">
        <v>0</v>
      </c>
      <c r="AY1352" s="176">
        <v>0</v>
      </c>
      <c r="AZ1352" s="176">
        <v>0</v>
      </c>
      <c r="BA1352" s="173" t="s">
        <v>2710</v>
      </c>
      <c r="BB1352" s="172">
        <v>0</v>
      </c>
      <c r="BC1352" s="174">
        <v>0</v>
      </c>
      <c r="BD1352" s="174">
        <v>0</v>
      </c>
      <c r="BE1352" s="206" t="s">
        <v>2844</v>
      </c>
      <c r="BF1352" s="206" t="s">
        <v>2845</v>
      </c>
      <c r="BG1352" s="172">
        <v>0</v>
      </c>
      <c r="BH1352" s="172">
        <v>0</v>
      </c>
      <c r="BI1352" s="172">
        <v>0</v>
      </c>
      <c r="BJ1352" s="172">
        <v>0</v>
      </c>
      <c r="BK1352" s="172">
        <v>0</v>
      </c>
      <c r="BL1352" s="172">
        <v>0</v>
      </c>
      <c r="BM1352" s="178">
        <v>0</v>
      </c>
      <c r="BN1352" s="175">
        <v>1</v>
      </c>
      <c r="BO1352" s="175">
        <v>0</v>
      </c>
      <c r="BP1352" s="175">
        <v>0</v>
      </c>
      <c r="BQ1352" s="175">
        <v>0</v>
      </c>
      <c r="BR1352" s="175">
        <v>0</v>
      </c>
      <c r="BS1352" s="175">
        <v>0</v>
      </c>
      <c r="BT1352" s="12">
        <v>0</v>
      </c>
      <c r="BU1352" s="47">
        <v>0</v>
      </c>
      <c r="BV1352" s="47"/>
      <c r="BW1352" s="47"/>
    </row>
    <row r="1353" spans="3:75" ht="20.100000000000001" customHeight="1">
      <c r="C1353" s="172">
        <v>63201002</v>
      </c>
      <c r="D1353" s="173" t="s">
        <v>5434</v>
      </c>
      <c r="E1353" s="173" t="s">
        <v>2769</v>
      </c>
      <c r="F1353" s="172">
        <v>1</v>
      </c>
      <c r="G1353" s="172">
        <v>63001003</v>
      </c>
      <c r="H1353" s="172">
        <v>0</v>
      </c>
      <c r="I1353" s="174">
        <v>0</v>
      </c>
      <c r="J1353" s="176">
        <v>1</v>
      </c>
      <c r="K1353" s="176">
        <v>0</v>
      </c>
      <c r="L1353" s="172">
        <v>0</v>
      </c>
      <c r="M1353" s="172">
        <v>0</v>
      </c>
      <c r="N1353" s="172">
        <v>0</v>
      </c>
      <c r="O1353" s="172">
        <v>2</v>
      </c>
      <c r="P1353" s="172">
        <v>0</v>
      </c>
      <c r="Q1353" s="172">
        <v>0</v>
      </c>
      <c r="R1353" s="172">
        <v>0</v>
      </c>
      <c r="S1353" s="175">
        <v>0</v>
      </c>
      <c r="T1353" s="172">
        <v>0</v>
      </c>
      <c r="U1353" s="172">
        <v>1</v>
      </c>
      <c r="V1353" s="172">
        <v>0</v>
      </c>
      <c r="W1353" s="172">
        <v>0</v>
      </c>
      <c r="X1353" s="176">
        <v>0</v>
      </c>
      <c r="Y1353" s="12">
        <v>0</v>
      </c>
      <c r="Z1353" s="176">
        <v>0</v>
      </c>
      <c r="AA1353" s="172">
        <v>0</v>
      </c>
      <c r="AB1353" s="172">
        <v>0</v>
      </c>
      <c r="AC1353" s="172">
        <v>0</v>
      </c>
      <c r="AD1353" s="172">
        <v>1</v>
      </c>
      <c r="AE1353" s="172">
        <v>0</v>
      </c>
      <c r="AF1353" s="172">
        <v>0</v>
      </c>
      <c r="AG1353" s="172">
        <v>0</v>
      </c>
      <c r="AH1353" s="172" t="s">
        <v>198</v>
      </c>
      <c r="AI1353" s="175">
        <v>0</v>
      </c>
      <c r="AJ1353" s="175">
        <v>0</v>
      </c>
      <c r="AK1353" s="175">
        <v>0</v>
      </c>
      <c r="AL1353" s="175">
        <v>0</v>
      </c>
      <c r="AM1353" s="172">
        <v>0</v>
      </c>
      <c r="AN1353" s="172">
        <v>0</v>
      </c>
      <c r="AO1353" s="172">
        <v>0</v>
      </c>
      <c r="AP1353" s="172">
        <v>0</v>
      </c>
      <c r="AQ1353" s="172">
        <v>0</v>
      </c>
      <c r="AR1353" s="172">
        <v>0</v>
      </c>
      <c r="AS1353" s="172">
        <v>0</v>
      </c>
      <c r="AT1353" s="175">
        <v>0</v>
      </c>
      <c r="AU1353" s="172" t="s">
        <v>198</v>
      </c>
      <c r="AV1353" s="172"/>
      <c r="AW1353" s="173" t="s">
        <v>198</v>
      </c>
      <c r="AX1353" s="172">
        <v>0</v>
      </c>
      <c r="AY1353" s="176">
        <v>0</v>
      </c>
      <c r="AZ1353" s="176">
        <v>0</v>
      </c>
      <c r="BA1353" s="173" t="s">
        <v>198</v>
      </c>
      <c r="BB1353" s="172">
        <v>0</v>
      </c>
      <c r="BC1353" s="174"/>
      <c r="BD1353" s="174"/>
      <c r="BE1353" s="206" t="s">
        <v>2770</v>
      </c>
      <c r="BF1353" s="206" t="s">
        <v>2771</v>
      </c>
      <c r="BG1353" s="172">
        <v>0</v>
      </c>
      <c r="BH1353" s="172">
        <v>0</v>
      </c>
      <c r="BI1353" s="172">
        <v>0</v>
      </c>
      <c r="BJ1353" s="172">
        <v>0</v>
      </c>
      <c r="BK1353" s="172">
        <v>0</v>
      </c>
      <c r="BL1353" s="172">
        <v>0</v>
      </c>
      <c r="BM1353" s="178">
        <v>0</v>
      </c>
      <c r="BN1353" s="175">
        <v>0</v>
      </c>
      <c r="BO1353" s="175">
        <v>0</v>
      </c>
      <c r="BP1353" s="175">
        <v>0</v>
      </c>
      <c r="BQ1353" s="175">
        <v>0</v>
      </c>
      <c r="BR1353" s="175">
        <v>0</v>
      </c>
      <c r="BS1353" s="175">
        <v>0</v>
      </c>
      <c r="BT1353" s="12">
        <v>0</v>
      </c>
      <c r="BU1353" s="47">
        <v>0</v>
      </c>
      <c r="BV1353" s="47"/>
      <c r="BW1353" s="47"/>
    </row>
    <row r="1354" spans="3:75" ht="20.100000000000001" customHeight="1">
      <c r="C1354" s="172">
        <v>63201003</v>
      </c>
      <c r="D1354" s="173" t="s">
        <v>5439</v>
      </c>
      <c r="E1354" s="173" t="s">
        <v>2846</v>
      </c>
      <c r="F1354" s="172">
        <v>1</v>
      </c>
      <c r="G1354" s="172">
        <v>1000005</v>
      </c>
      <c r="H1354" s="172">
        <v>0</v>
      </c>
      <c r="I1354" s="174">
        <v>0</v>
      </c>
      <c r="J1354" s="176">
        <v>1</v>
      </c>
      <c r="K1354" s="176">
        <v>0</v>
      </c>
      <c r="L1354" s="172">
        <v>0</v>
      </c>
      <c r="M1354" s="172">
        <v>0</v>
      </c>
      <c r="N1354" s="172">
        <v>0</v>
      </c>
      <c r="O1354" s="172">
        <v>8</v>
      </c>
      <c r="P1354" s="172">
        <v>8</v>
      </c>
      <c r="Q1354" s="172">
        <v>2</v>
      </c>
      <c r="R1354" s="172">
        <v>0</v>
      </c>
      <c r="S1354" s="175">
        <v>0</v>
      </c>
      <c r="T1354" s="172">
        <v>0</v>
      </c>
      <c r="U1354" s="172">
        <v>1</v>
      </c>
      <c r="V1354" s="172">
        <v>0</v>
      </c>
      <c r="W1354" s="172">
        <v>0</v>
      </c>
      <c r="X1354" s="176">
        <v>0</v>
      </c>
      <c r="Y1354" s="12">
        <v>0</v>
      </c>
      <c r="Z1354" s="176">
        <v>0</v>
      </c>
      <c r="AA1354" s="172">
        <v>0</v>
      </c>
      <c r="AB1354" s="172">
        <v>0</v>
      </c>
      <c r="AC1354" s="172">
        <v>0</v>
      </c>
      <c r="AD1354" s="172">
        <v>1</v>
      </c>
      <c r="AE1354" s="172">
        <v>0</v>
      </c>
      <c r="AF1354" s="172">
        <v>0</v>
      </c>
      <c r="AG1354" s="172">
        <v>0</v>
      </c>
      <c r="AH1354" s="172" t="s">
        <v>198</v>
      </c>
      <c r="AI1354" s="175">
        <v>0</v>
      </c>
      <c r="AJ1354" s="175">
        <v>0</v>
      </c>
      <c r="AK1354" s="175">
        <v>0</v>
      </c>
      <c r="AL1354" s="175">
        <v>0</v>
      </c>
      <c r="AM1354" s="172">
        <v>0</v>
      </c>
      <c r="AN1354" s="172">
        <v>0</v>
      </c>
      <c r="AO1354" s="172">
        <v>0</v>
      </c>
      <c r="AP1354" s="172">
        <v>0</v>
      </c>
      <c r="AQ1354" s="172">
        <v>0</v>
      </c>
      <c r="AR1354" s="172">
        <v>0</v>
      </c>
      <c r="AS1354" s="172">
        <v>0</v>
      </c>
      <c r="AT1354" s="175">
        <v>90000006</v>
      </c>
      <c r="AU1354" s="172" t="s">
        <v>198</v>
      </c>
      <c r="AV1354" s="172"/>
      <c r="AW1354" s="173" t="s">
        <v>198</v>
      </c>
      <c r="AX1354" s="172">
        <v>0</v>
      </c>
      <c r="AY1354" s="176">
        <v>0</v>
      </c>
      <c r="AZ1354" s="176">
        <v>0</v>
      </c>
      <c r="BA1354" s="173" t="s">
        <v>198</v>
      </c>
      <c r="BB1354" s="172" t="s">
        <v>2847</v>
      </c>
      <c r="BC1354" s="174"/>
      <c r="BD1354" s="174"/>
      <c r="BE1354" s="206" t="s">
        <v>2848</v>
      </c>
      <c r="BF1354" s="206" t="s">
        <v>2849</v>
      </c>
      <c r="BG1354" s="172">
        <v>0</v>
      </c>
      <c r="BH1354" s="172">
        <v>0</v>
      </c>
      <c r="BI1354" s="172">
        <v>0</v>
      </c>
      <c r="BJ1354" s="172">
        <v>0</v>
      </c>
      <c r="BK1354" s="172">
        <v>0</v>
      </c>
      <c r="BL1354" s="172">
        <v>0</v>
      </c>
      <c r="BM1354" s="178">
        <v>0</v>
      </c>
      <c r="BN1354" s="175">
        <v>0</v>
      </c>
      <c r="BO1354" s="175">
        <v>0</v>
      </c>
      <c r="BP1354" s="175">
        <v>0</v>
      </c>
      <c r="BQ1354" s="175">
        <v>0</v>
      </c>
      <c r="BR1354" s="175">
        <v>0</v>
      </c>
      <c r="BS1354" s="175">
        <v>0</v>
      </c>
      <c r="BT1354" s="12">
        <v>0</v>
      </c>
      <c r="BU1354" s="47">
        <v>0</v>
      </c>
      <c r="BV1354" s="47"/>
      <c r="BW1354" s="47"/>
    </row>
    <row r="1355" spans="3:75" ht="20.100000000000001" customHeight="1">
      <c r="C1355" s="172">
        <v>63201004</v>
      </c>
      <c r="D1355" s="210" t="s">
        <v>5433</v>
      </c>
      <c r="E1355" s="210" t="s">
        <v>2850</v>
      </c>
      <c r="F1355" s="64">
        <v>1</v>
      </c>
      <c r="G1355" s="202">
        <v>63001004</v>
      </c>
      <c r="H1355" s="64">
        <v>0</v>
      </c>
      <c r="I1355" s="66">
        <v>0</v>
      </c>
      <c r="J1355" s="64">
        <v>1</v>
      </c>
      <c r="K1355" s="64">
        <v>0</v>
      </c>
      <c r="L1355" s="64">
        <v>0</v>
      </c>
      <c r="M1355" s="60">
        <v>0</v>
      </c>
      <c r="N1355" s="60">
        <v>0</v>
      </c>
      <c r="O1355" s="60">
        <v>2</v>
      </c>
      <c r="P1355" s="60">
        <v>10</v>
      </c>
      <c r="Q1355" s="60">
        <v>0.2</v>
      </c>
      <c r="R1355" s="60">
        <v>0</v>
      </c>
      <c r="S1355" s="68">
        <v>0</v>
      </c>
      <c r="T1355" s="60">
        <v>0</v>
      </c>
      <c r="U1355" s="60">
        <v>1</v>
      </c>
      <c r="V1355" s="60">
        <v>2</v>
      </c>
      <c r="W1355" s="60">
        <v>0</v>
      </c>
      <c r="X1355" s="60">
        <v>0</v>
      </c>
      <c r="Y1355" s="12">
        <v>0</v>
      </c>
      <c r="Z1355" s="60">
        <v>0</v>
      </c>
      <c r="AA1355" s="60">
        <v>0</v>
      </c>
      <c r="AB1355" s="60">
        <v>0</v>
      </c>
      <c r="AC1355" s="60">
        <v>0</v>
      </c>
      <c r="AD1355" s="60">
        <v>1</v>
      </c>
      <c r="AE1355" s="60">
        <v>0</v>
      </c>
      <c r="AF1355" s="60">
        <v>2</v>
      </c>
      <c r="AG1355" s="60">
        <v>0</v>
      </c>
      <c r="AH1355" s="60">
        <v>0</v>
      </c>
      <c r="AI1355" s="68">
        <v>1</v>
      </c>
      <c r="AJ1355" s="68">
        <v>0</v>
      </c>
      <c r="AK1355" s="12">
        <v>0</v>
      </c>
      <c r="AL1355" s="68">
        <v>3</v>
      </c>
      <c r="AM1355" s="60">
        <v>0</v>
      </c>
      <c r="AN1355" s="60">
        <v>0</v>
      </c>
      <c r="AO1355" s="60">
        <v>0</v>
      </c>
      <c r="AP1355" s="64">
        <v>0</v>
      </c>
      <c r="AQ1355" s="60">
        <v>3000</v>
      </c>
      <c r="AR1355" s="60">
        <v>0</v>
      </c>
      <c r="AS1355" s="60">
        <v>0</v>
      </c>
      <c r="AT1355" s="68">
        <v>0</v>
      </c>
      <c r="AU1355" s="60" t="s">
        <v>198</v>
      </c>
      <c r="AV1355" s="60"/>
      <c r="AW1355" s="59" t="s">
        <v>199</v>
      </c>
      <c r="AX1355" s="60" t="s">
        <v>1041</v>
      </c>
      <c r="AY1355" s="64">
        <v>0</v>
      </c>
      <c r="AZ1355" s="64">
        <v>21101051</v>
      </c>
      <c r="BA1355" s="59" t="s">
        <v>1174</v>
      </c>
      <c r="BB1355" s="362" t="s">
        <v>2851</v>
      </c>
      <c r="BC1355" s="66">
        <v>0</v>
      </c>
      <c r="BD1355" s="66">
        <v>0</v>
      </c>
      <c r="BE1355" s="212" t="s">
        <v>2852</v>
      </c>
      <c r="BF1355" s="212" t="s">
        <v>2853</v>
      </c>
      <c r="BG1355" s="60">
        <v>0</v>
      </c>
      <c r="BH1355" s="60">
        <v>0</v>
      </c>
      <c r="BI1355" s="60">
        <v>0</v>
      </c>
      <c r="BJ1355" s="60">
        <v>0</v>
      </c>
      <c r="BK1355" s="60">
        <v>0</v>
      </c>
      <c r="BL1355" s="60">
        <v>0</v>
      </c>
      <c r="BM1355" s="93">
        <v>0</v>
      </c>
      <c r="BN1355" s="12">
        <v>0</v>
      </c>
      <c r="BO1355" s="12">
        <v>0</v>
      </c>
      <c r="BP1355" s="12">
        <v>0</v>
      </c>
      <c r="BQ1355" s="12">
        <v>0</v>
      </c>
      <c r="BR1355" s="12">
        <v>0</v>
      </c>
      <c r="BS1355" s="12">
        <v>0</v>
      </c>
      <c r="BT1355" s="12">
        <v>0</v>
      </c>
      <c r="BU1355" s="47">
        <v>0</v>
      </c>
      <c r="BV1355" s="47"/>
      <c r="BW1355" s="47"/>
    </row>
    <row r="1356" spans="3:75" ht="20.100000000000001" customHeight="1">
      <c r="C1356" s="172">
        <v>63201005</v>
      </c>
      <c r="D1356" s="210" t="s">
        <v>5433</v>
      </c>
      <c r="E1356" s="210" t="s">
        <v>2850</v>
      </c>
      <c r="F1356" s="202">
        <v>1</v>
      </c>
      <c r="G1356" s="202">
        <v>63001004</v>
      </c>
      <c r="H1356" s="202">
        <v>0</v>
      </c>
      <c r="I1356" s="202">
        <v>0</v>
      </c>
      <c r="J1356" s="176">
        <v>1</v>
      </c>
      <c r="K1356" s="176">
        <v>0</v>
      </c>
      <c r="L1356" s="172">
        <v>0</v>
      </c>
      <c r="M1356" s="202">
        <v>0</v>
      </c>
      <c r="N1356" s="202">
        <v>0</v>
      </c>
      <c r="O1356" s="202">
        <v>2</v>
      </c>
      <c r="P1356" s="202">
        <v>1</v>
      </c>
      <c r="Q1356" s="202">
        <v>0.15</v>
      </c>
      <c r="R1356" s="202">
        <v>0</v>
      </c>
      <c r="S1356" s="175">
        <v>0</v>
      </c>
      <c r="T1356" s="202">
        <v>0</v>
      </c>
      <c r="U1356" s="202">
        <v>1</v>
      </c>
      <c r="V1356" s="202">
        <v>2</v>
      </c>
      <c r="W1356" s="202">
        <v>0</v>
      </c>
      <c r="X1356" s="202">
        <v>0</v>
      </c>
      <c r="Y1356" s="12">
        <v>0</v>
      </c>
      <c r="Z1356" s="202">
        <v>0</v>
      </c>
      <c r="AA1356" s="202">
        <v>0</v>
      </c>
      <c r="AB1356" s="202">
        <v>0</v>
      </c>
      <c r="AC1356" s="202">
        <v>0</v>
      </c>
      <c r="AD1356" s="172">
        <v>1</v>
      </c>
      <c r="AE1356" s="202">
        <v>0</v>
      </c>
      <c r="AF1356" s="202">
        <v>15</v>
      </c>
      <c r="AG1356" s="202">
        <v>1</v>
      </c>
      <c r="AH1356" s="202">
        <v>1</v>
      </c>
      <c r="AI1356" s="202">
        <v>2</v>
      </c>
      <c r="AJ1356" s="202">
        <v>0</v>
      </c>
      <c r="AK1356" s="175">
        <v>0</v>
      </c>
      <c r="AL1356" s="202">
        <v>2</v>
      </c>
      <c r="AM1356" s="202">
        <v>0</v>
      </c>
      <c r="AN1356" s="202">
        <v>0</v>
      </c>
      <c r="AO1356" s="202">
        <v>0</v>
      </c>
      <c r="AP1356" s="172">
        <v>0</v>
      </c>
      <c r="AQ1356" s="202">
        <v>10000</v>
      </c>
      <c r="AR1356" s="202">
        <v>0.5</v>
      </c>
      <c r="AS1356" s="202">
        <v>0</v>
      </c>
      <c r="AT1356" s="202">
        <v>0</v>
      </c>
      <c r="AU1356" s="202" t="s">
        <v>198</v>
      </c>
      <c r="AV1356" s="202"/>
      <c r="AW1356" s="210"/>
      <c r="AX1356" s="202">
        <v>0</v>
      </c>
      <c r="AY1356" s="202">
        <v>0</v>
      </c>
      <c r="AZ1356" s="202">
        <v>0</v>
      </c>
      <c r="BA1356" s="210" t="s">
        <v>200</v>
      </c>
      <c r="BB1356" s="210" t="s">
        <v>198</v>
      </c>
      <c r="BC1356" s="202">
        <v>0</v>
      </c>
      <c r="BD1356" s="202">
        <v>0</v>
      </c>
      <c r="BE1356" s="212" t="s">
        <v>2854</v>
      </c>
      <c r="BF1356" s="212" t="s">
        <v>2855</v>
      </c>
      <c r="BG1356" s="202">
        <v>0</v>
      </c>
      <c r="BH1356" s="172">
        <v>0</v>
      </c>
      <c r="BI1356" s="202">
        <v>0</v>
      </c>
      <c r="BJ1356" s="202">
        <v>0</v>
      </c>
      <c r="BK1356" s="202">
        <v>0</v>
      </c>
      <c r="BL1356" s="202">
        <v>0</v>
      </c>
      <c r="BM1356" s="363" t="s">
        <v>2856</v>
      </c>
      <c r="BN1356" s="175">
        <v>0</v>
      </c>
      <c r="BO1356" s="175">
        <v>0</v>
      </c>
      <c r="BP1356" s="175">
        <v>0</v>
      </c>
      <c r="BQ1356" s="175">
        <v>0</v>
      </c>
      <c r="BR1356" s="175">
        <v>0</v>
      </c>
      <c r="BS1356" s="175">
        <v>0</v>
      </c>
      <c r="BT1356" s="12">
        <v>0</v>
      </c>
      <c r="BU1356" s="47">
        <v>0</v>
      </c>
      <c r="BV1356" s="47"/>
      <c r="BW1356" s="47"/>
    </row>
    <row r="1357" spans="3:75" ht="20.100000000000001" customHeight="1">
      <c r="C1357" s="172">
        <v>63202001</v>
      </c>
      <c r="D1357" s="173" t="s">
        <v>2857</v>
      </c>
      <c r="E1357" s="173" t="s">
        <v>2858</v>
      </c>
      <c r="F1357" s="172">
        <v>1</v>
      </c>
      <c r="G1357" s="172">
        <v>63003001</v>
      </c>
      <c r="H1357" s="172">
        <v>0</v>
      </c>
      <c r="I1357" s="174">
        <v>0</v>
      </c>
      <c r="J1357" s="176">
        <v>1</v>
      </c>
      <c r="K1357" s="176">
        <v>0</v>
      </c>
      <c r="L1357" s="172">
        <v>0</v>
      </c>
      <c r="M1357" s="172">
        <v>0</v>
      </c>
      <c r="N1357" s="172">
        <v>0</v>
      </c>
      <c r="O1357" s="172">
        <v>2</v>
      </c>
      <c r="P1357" s="172">
        <v>12</v>
      </c>
      <c r="Q1357" s="172">
        <v>1</v>
      </c>
      <c r="R1357" s="172">
        <v>0</v>
      </c>
      <c r="S1357" s="175">
        <v>0</v>
      </c>
      <c r="T1357" s="172">
        <v>0</v>
      </c>
      <c r="U1357" s="172">
        <v>1</v>
      </c>
      <c r="V1357" s="172">
        <v>2</v>
      </c>
      <c r="W1357" s="172">
        <v>0</v>
      </c>
      <c r="X1357" s="176">
        <v>0</v>
      </c>
      <c r="Y1357" s="12">
        <v>0</v>
      </c>
      <c r="Z1357" s="176">
        <v>0</v>
      </c>
      <c r="AA1357" s="172">
        <v>0</v>
      </c>
      <c r="AB1357" s="172">
        <v>0</v>
      </c>
      <c r="AC1357" s="172">
        <v>0</v>
      </c>
      <c r="AD1357" s="172">
        <v>1</v>
      </c>
      <c r="AE1357" s="172">
        <v>0</v>
      </c>
      <c r="AF1357" s="172">
        <v>60</v>
      </c>
      <c r="AG1357" s="172">
        <v>1</v>
      </c>
      <c r="AH1357" s="172">
        <v>10</v>
      </c>
      <c r="AI1357" s="175">
        <v>0</v>
      </c>
      <c r="AJ1357" s="175">
        <v>0</v>
      </c>
      <c r="AK1357" s="175">
        <v>0</v>
      </c>
      <c r="AL1357" s="175">
        <v>0</v>
      </c>
      <c r="AM1357" s="172">
        <v>0</v>
      </c>
      <c r="AN1357" s="172">
        <v>0</v>
      </c>
      <c r="AO1357" s="172">
        <v>0</v>
      </c>
      <c r="AP1357" s="172">
        <v>0</v>
      </c>
      <c r="AQ1357" s="172">
        <v>50000</v>
      </c>
      <c r="AR1357" s="172">
        <v>0</v>
      </c>
      <c r="AS1357" s="172">
        <v>0</v>
      </c>
      <c r="AT1357" s="175">
        <v>90503004</v>
      </c>
      <c r="AU1357" s="172">
        <v>90503004</v>
      </c>
      <c r="AV1357" s="172"/>
      <c r="AW1357" s="173" t="s">
        <v>198</v>
      </c>
      <c r="AX1357" s="172">
        <v>0</v>
      </c>
      <c r="AY1357" s="176">
        <v>0</v>
      </c>
      <c r="AZ1357" s="176">
        <v>0</v>
      </c>
      <c r="BA1357" s="173" t="s">
        <v>2710</v>
      </c>
      <c r="BB1357" s="172">
        <v>0</v>
      </c>
      <c r="BC1357" s="174">
        <v>0</v>
      </c>
      <c r="BD1357" s="174">
        <v>0</v>
      </c>
      <c r="BE1357" s="206" t="s">
        <v>2859</v>
      </c>
      <c r="BF1357" s="206" t="s">
        <v>2860</v>
      </c>
      <c r="BG1357" s="172">
        <v>0</v>
      </c>
      <c r="BH1357" s="172">
        <v>0</v>
      </c>
      <c r="BI1357" s="172">
        <v>0</v>
      </c>
      <c r="BJ1357" s="172">
        <v>0</v>
      </c>
      <c r="BK1357" s="172">
        <v>0</v>
      </c>
      <c r="BL1357" s="172">
        <v>0</v>
      </c>
      <c r="BM1357" s="178">
        <v>0</v>
      </c>
      <c r="BN1357" s="175">
        <v>1</v>
      </c>
      <c r="BO1357" s="175">
        <v>0</v>
      </c>
      <c r="BP1357" s="175">
        <v>0</v>
      </c>
      <c r="BQ1357" s="175">
        <v>0</v>
      </c>
      <c r="BR1357" s="175">
        <v>0</v>
      </c>
      <c r="BS1357" s="175">
        <v>0</v>
      </c>
      <c r="BT1357" s="12">
        <v>0</v>
      </c>
      <c r="BU1357" s="47">
        <v>0</v>
      </c>
      <c r="BV1357" s="47"/>
      <c r="BW1357" s="47"/>
    </row>
    <row r="1358" spans="3:75" ht="20.100000000000001" customHeight="1">
      <c r="C1358" s="172">
        <v>63202002</v>
      </c>
      <c r="D1358" s="173" t="s">
        <v>5437</v>
      </c>
      <c r="E1358" s="173" t="s">
        <v>2718</v>
      </c>
      <c r="F1358" s="172">
        <v>1</v>
      </c>
      <c r="G1358" s="172">
        <v>63002002</v>
      </c>
      <c r="H1358" s="172">
        <v>0</v>
      </c>
      <c r="I1358" s="174">
        <v>0</v>
      </c>
      <c r="J1358" s="176">
        <v>1</v>
      </c>
      <c r="K1358" s="176">
        <v>0</v>
      </c>
      <c r="L1358" s="172">
        <v>0</v>
      </c>
      <c r="M1358" s="172">
        <v>0</v>
      </c>
      <c r="N1358" s="172">
        <v>0</v>
      </c>
      <c r="O1358" s="172">
        <v>2</v>
      </c>
      <c r="P1358" s="172">
        <v>0</v>
      </c>
      <c r="Q1358" s="172">
        <v>0</v>
      </c>
      <c r="R1358" s="172">
        <v>0</v>
      </c>
      <c r="S1358" s="175">
        <v>0</v>
      </c>
      <c r="T1358" s="172">
        <v>0</v>
      </c>
      <c r="U1358" s="172">
        <v>1</v>
      </c>
      <c r="V1358" s="172">
        <v>0</v>
      </c>
      <c r="W1358" s="172">
        <v>0</v>
      </c>
      <c r="X1358" s="176">
        <v>0</v>
      </c>
      <c r="Y1358" s="12">
        <v>0</v>
      </c>
      <c r="Z1358" s="176">
        <v>0</v>
      </c>
      <c r="AA1358" s="172">
        <v>0</v>
      </c>
      <c r="AB1358" s="172">
        <v>0</v>
      </c>
      <c r="AC1358" s="172">
        <v>0</v>
      </c>
      <c r="AD1358" s="172">
        <v>1</v>
      </c>
      <c r="AE1358" s="172">
        <v>0</v>
      </c>
      <c r="AF1358" s="172">
        <v>0</v>
      </c>
      <c r="AG1358" s="172">
        <v>0</v>
      </c>
      <c r="AH1358" s="172" t="s">
        <v>198</v>
      </c>
      <c r="AI1358" s="175">
        <v>0</v>
      </c>
      <c r="AJ1358" s="175">
        <v>0</v>
      </c>
      <c r="AK1358" s="175">
        <v>0</v>
      </c>
      <c r="AL1358" s="175">
        <v>0</v>
      </c>
      <c r="AM1358" s="172">
        <v>0</v>
      </c>
      <c r="AN1358" s="172">
        <v>0</v>
      </c>
      <c r="AO1358" s="172">
        <v>0</v>
      </c>
      <c r="AP1358" s="172">
        <v>0</v>
      </c>
      <c r="AQ1358" s="172">
        <v>0</v>
      </c>
      <c r="AR1358" s="172">
        <v>0</v>
      </c>
      <c r="AS1358" s="172">
        <v>0</v>
      </c>
      <c r="AT1358" s="175">
        <v>0</v>
      </c>
      <c r="AU1358" s="172" t="s">
        <v>198</v>
      </c>
      <c r="AV1358" s="172"/>
      <c r="AW1358" s="173" t="s">
        <v>198</v>
      </c>
      <c r="AX1358" s="172">
        <v>0</v>
      </c>
      <c r="AY1358" s="176">
        <v>0</v>
      </c>
      <c r="AZ1358" s="176">
        <v>0</v>
      </c>
      <c r="BA1358" s="173" t="s">
        <v>198</v>
      </c>
      <c r="BB1358" s="172">
        <v>0</v>
      </c>
      <c r="BC1358" s="174"/>
      <c r="BD1358" s="174"/>
      <c r="BE1358" s="206" t="s">
        <v>2719</v>
      </c>
      <c r="BF1358" s="206" t="s">
        <v>2720</v>
      </c>
      <c r="BG1358" s="172">
        <v>0</v>
      </c>
      <c r="BH1358" s="172">
        <v>0</v>
      </c>
      <c r="BI1358" s="172">
        <v>0</v>
      </c>
      <c r="BJ1358" s="172">
        <v>0</v>
      </c>
      <c r="BK1358" s="172">
        <v>0</v>
      </c>
      <c r="BL1358" s="172">
        <v>0</v>
      </c>
      <c r="BM1358" s="178">
        <v>0</v>
      </c>
      <c r="BN1358" s="175">
        <v>0</v>
      </c>
      <c r="BO1358" s="175">
        <v>0</v>
      </c>
      <c r="BP1358" s="175">
        <v>0</v>
      </c>
      <c r="BQ1358" s="175">
        <v>0</v>
      </c>
      <c r="BR1358" s="175">
        <v>0</v>
      </c>
      <c r="BS1358" s="175">
        <v>0</v>
      </c>
      <c r="BT1358" s="12">
        <v>0</v>
      </c>
      <c r="BU1358" s="47">
        <v>0</v>
      </c>
      <c r="BV1358" s="47"/>
      <c r="BW1358" s="47"/>
    </row>
    <row r="1359" spans="3:75" ht="20.100000000000001" customHeight="1">
      <c r="C1359" s="172">
        <v>63202003</v>
      </c>
      <c r="D1359" s="173" t="s">
        <v>5439</v>
      </c>
      <c r="E1359" s="173" t="s">
        <v>2846</v>
      </c>
      <c r="F1359" s="172">
        <v>1</v>
      </c>
      <c r="G1359" s="172">
        <v>1000005</v>
      </c>
      <c r="H1359" s="172">
        <v>0</v>
      </c>
      <c r="I1359" s="174">
        <v>0</v>
      </c>
      <c r="J1359" s="176">
        <v>1</v>
      </c>
      <c r="K1359" s="176">
        <v>0</v>
      </c>
      <c r="L1359" s="172">
        <v>0</v>
      </c>
      <c r="M1359" s="172">
        <v>0</v>
      </c>
      <c r="N1359" s="172">
        <v>0</v>
      </c>
      <c r="O1359" s="172">
        <v>8</v>
      </c>
      <c r="P1359" s="172">
        <v>8</v>
      </c>
      <c r="Q1359" s="172">
        <v>2</v>
      </c>
      <c r="R1359" s="172">
        <v>0</v>
      </c>
      <c r="S1359" s="175">
        <v>0</v>
      </c>
      <c r="T1359" s="172">
        <v>0</v>
      </c>
      <c r="U1359" s="172">
        <v>1</v>
      </c>
      <c r="V1359" s="172">
        <v>0</v>
      </c>
      <c r="W1359" s="172">
        <v>0</v>
      </c>
      <c r="X1359" s="176">
        <v>0</v>
      </c>
      <c r="Y1359" s="12">
        <v>0</v>
      </c>
      <c r="Z1359" s="176">
        <v>0</v>
      </c>
      <c r="AA1359" s="172">
        <v>0</v>
      </c>
      <c r="AB1359" s="172">
        <v>0</v>
      </c>
      <c r="AC1359" s="172">
        <v>0</v>
      </c>
      <c r="AD1359" s="172">
        <v>1</v>
      </c>
      <c r="AE1359" s="172">
        <v>0</v>
      </c>
      <c r="AF1359" s="172">
        <v>0</v>
      </c>
      <c r="AG1359" s="172">
        <v>0</v>
      </c>
      <c r="AH1359" s="172" t="s">
        <v>198</v>
      </c>
      <c r="AI1359" s="175">
        <v>0</v>
      </c>
      <c r="AJ1359" s="175">
        <v>0</v>
      </c>
      <c r="AK1359" s="175">
        <v>0</v>
      </c>
      <c r="AL1359" s="175">
        <v>0</v>
      </c>
      <c r="AM1359" s="172">
        <v>0</v>
      </c>
      <c r="AN1359" s="172">
        <v>0</v>
      </c>
      <c r="AO1359" s="172">
        <v>0</v>
      </c>
      <c r="AP1359" s="172">
        <v>0</v>
      </c>
      <c r="AQ1359" s="172">
        <v>0</v>
      </c>
      <c r="AR1359" s="172">
        <v>0</v>
      </c>
      <c r="AS1359" s="172">
        <v>0</v>
      </c>
      <c r="AT1359" s="175">
        <v>90000006</v>
      </c>
      <c r="AU1359" s="172" t="s">
        <v>198</v>
      </c>
      <c r="AV1359" s="172"/>
      <c r="AW1359" s="173" t="s">
        <v>198</v>
      </c>
      <c r="AX1359" s="172">
        <v>0</v>
      </c>
      <c r="AY1359" s="176">
        <v>0</v>
      </c>
      <c r="AZ1359" s="176">
        <v>0</v>
      </c>
      <c r="BA1359" s="173" t="s">
        <v>198</v>
      </c>
      <c r="BB1359" s="172" t="s">
        <v>2861</v>
      </c>
      <c r="BC1359" s="174"/>
      <c r="BD1359" s="174"/>
      <c r="BE1359" s="206" t="s">
        <v>2862</v>
      </c>
      <c r="BF1359" s="206" t="s">
        <v>2863</v>
      </c>
      <c r="BG1359" s="172">
        <v>0</v>
      </c>
      <c r="BH1359" s="172">
        <v>0</v>
      </c>
      <c r="BI1359" s="172">
        <v>0</v>
      </c>
      <c r="BJ1359" s="172">
        <v>0</v>
      </c>
      <c r="BK1359" s="172">
        <v>0</v>
      </c>
      <c r="BL1359" s="172">
        <v>0</v>
      </c>
      <c r="BM1359" s="178">
        <v>0</v>
      </c>
      <c r="BN1359" s="175">
        <v>0</v>
      </c>
      <c r="BO1359" s="175">
        <v>0</v>
      </c>
      <c r="BP1359" s="175">
        <v>0</v>
      </c>
      <c r="BQ1359" s="175">
        <v>0</v>
      </c>
      <c r="BR1359" s="175">
        <v>0</v>
      </c>
      <c r="BS1359" s="175">
        <v>0</v>
      </c>
      <c r="BT1359" s="12">
        <v>0</v>
      </c>
      <c r="BU1359" s="47">
        <v>0</v>
      </c>
      <c r="BV1359" s="47"/>
      <c r="BW1359" s="47"/>
    </row>
    <row r="1360" spans="3:75" ht="20.100000000000001" customHeight="1">
      <c r="C1360" s="172">
        <v>63202004</v>
      </c>
      <c r="D1360" s="210" t="s">
        <v>5433</v>
      </c>
      <c r="E1360" s="210" t="s">
        <v>2864</v>
      </c>
      <c r="F1360" s="202">
        <v>1</v>
      </c>
      <c r="G1360" s="202">
        <v>63001004</v>
      </c>
      <c r="H1360" s="202">
        <v>0</v>
      </c>
      <c r="I1360" s="202">
        <v>0</v>
      </c>
      <c r="J1360" s="202">
        <v>1</v>
      </c>
      <c r="K1360" s="202">
        <v>0</v>
      </c>
      <c r="L1360" s="202">
        <v>0</v>
      </c>
      <c r="M1360" s="202">
        <v>0</v>
      </c>
      <c r="N1360" s="202">
        <v>0</v>
      </c>
      <c r="O1360" s="202">
        <v>2</v>
      </c>
      <c r="P1360" s="202">
        <v>1</v>
      </c>
      <c r="Q1360" s="202">
        <v>0.2</v>
      </c>
      <c r="R1360" s="202">
        <v>0</v>
      </c>
      <c r="S1360" s="202">
        <v>0</v>
      </c>
      <c r="T1360" s="202">
        <v>0</v>
      </c>
      <c r="U1360" s="202">
        <v>1</v>
      </c>
      <c r="V1360" s="202">
        <v>2</v>
      </c>
      <c r="W1360" s="202">
        <v>0</v>
      </c>
      <c r="X1360" s="202">
        <v>0</v>
      </c>
      <c r="Y1360" s="12">
        <v>0</v>
      </c>
      <c r="Z1360" s="202">
        <v>0</v>
      </c>
      <c r="AA1360" s="202">
        <v>0</v>
      </c>
      <c r="AB1360" s="202">
        <v>0</v>
      </c>
      <c r="AC1360" s="202">
        <v>0</v>
      </c>
      <c r="AD1360" s="172">
        <v>1</v>
      </c>
      <c r="AE1360" s="202">
        <v>0</v>
      </c>
      <c r="AF1360" s="202">
        <v>6</v>
      </c>
      <c r="AG1360" s="202">
        <v>0</v>
      </c>
      <c r="AH1360" s="202">
        <v>0</v>
      </c>
      <c r="AI1360" s="202">
        <v>7</v>
      </c>
      <c r="AJ1360" s="202">
        <v>0</v>
      </c>
      <c r="AK1360" s="202">
        <v>0</v>
      </c>
      <c r="AL1360" s="202">
        <v>3</v>
      </c>
      <c r="AM1360" s="202">
        <v>0</v>
      </c>
      <c r="AN1360" s="202">
        <v>0</v>
      </c>
      <c r="AO1360" s="202">
        <v>0</v>
      </c>
      <c r="AP1360" s="202">
        <v>0</v>
      </c>
      <c r="AQ1360" s="202">
        <v>3000</v>
      </c>
      <c r="AR1360" s="202">
        <v>0.5</v>
      </c>
      <c r="AS1360" s="202">
        <v>0</v>
      </c>
      <c r="AT1360" s="202">
        <v>0</v>
      </c>
      <c r="AU1360" s="202">
        <v>90000009</v>
      </c>
      <c r="AV1360" s="202"/>
      <c r="AW1360" s="210" t="s">
        <v>198</v>
      </c>
      <c r="AX1360" s="202">
        <v>0</v>
      </c>
      <c r="AY1360" s="202">
        <v>0</v>
      </c>
      <c r="AZ1360" s="202">
        <v>0</v>
      </c>
      <c r="BA1360" s="210" t="s">
        <v>200</v>
      </c>
      <c r="BB1360" s="210">
        <v>0</v>
      </c>
      <c r="BC1360" s="202">
        <v>0</v>
      </c>
      <c r="BD1360" s="202">
        <v>0</v>
      </c>
      <c r="BE1360" s="203" t="s">
        <v>2865</v>
      </c>
      <c r="BF1360" s="203" t="s">
        <v>2866</v>
      </c>
      <c r="BG1360" s="202">
        <v>0</v>
      </c>
      <c r="BH1360" s="202">
        <v>0</v>
      </c>
      <c r="BI1360" s="202">
        <v>0</v>
      </c>
      <c r="BJ1360" s="202">
        <v>0</v>
      </c>
      <c r="BK1360" s="202">
        <v>0</v>
      </c>
      <c r="BL1360" s="202">
        <v>0</v>
      </c>
      <c r="BM1360" s="215">
        <v>0</v>
      </c>
      <c r="BN1360" s="202">
        <v>0</v>
      </c>
      <c r="BO1360" s="175">
        <v>0</v>
      </c>
      <c r="BP1360" s="175">
        <v>0</v>
      </c>
      <c r="BQ1360" s="175">
        <v>0</v>
      </c>
      <c r="BR1360" s="175">
        <v>0</v>
      </c>
      <c r="BS1360" s="175">
        <v>0</v>
      </c>
      <c r="BT1360" s="12">
        <v>0</v>
      </c>
      <c r="BU1360" s="47">
        <v>0</v>
      </c>
      <c r="BV1360" s="47"/>
      <c r="BW1360" s="47"/>
    </row>
    <row r="1361" spans="1:75" ht="20.100000000000001" customHeight="1">
      <c r="C1361" s="172">
        <v>63202005</v>
      </c>
      <c r="D1361" s="210" t="s">
        <v>5433</v>
      </c>
      <c r="E1361" s="210" t="s">
        <v>2864</v>
      </c>
      <c r="F1361" s="202">
        <v>1</v>
      </c>
      <c r="G1361" s="202">
        <v>63001004</v>
      </c>
      <c r="H1361" s="202">
        <v>0</v>
      </c>
      <c r="I1361" s="202">
        <v>0</v>
      </c>
      <c r="J1361" s="202">
        <v>1</v>
      </c>
      <c r="K1361" s="202">
        <v>0</v>
      </c>
      <c r="L1361" s="202">
        <v>0</v>
      </c>
      <c r="M1361" s="202">
        <v>0</v>
      </c>
      <c r="N1361" s="202">
        <v>0</v>
      </c>
      <c r="O1361" s="202">
        <v>2</v>
      </c>
      <c r="P1361" s="202">
        <v>1</v>
      </c>
      <c r="Q1361" s="202">
        <v>0.3</v>
      </c>
      <c r="R1361" s="202">
        <v>0</v>
      </c>
      <c r="S1361" s="202">
        <v>0</v>
      </c>
      <c r="T1361" s="202">
        <v>0</v>
      </c>
      <c r="U1361" s="202">
        <v>1</v>
      </c>
      <c r="V1361" s="202">
        <v>2</v>
      </c>
      <c r="W1361" s="202">
        <v>0</v>
      </c>
      <c r="X1361" s="202">
        <v>0</v>
      </c>
      <c r="Y1361" s="12">
        <v>0</v>
      </c>
      <c r="Z1361" s="202">
        <v>0</v>
      </c>
      <c r="AA1361" s="202">
        <v>0</v>
      </c>
      <c r="AB1361" s="202">
        <v>0</v>
      </c>
      <c r="AC1361" s="202">
        <v>0</v>
      </c>
      <c r="AD1361" s="172">
        <v>1</v>
      </c>
      <c r="AE1361" s="202">
        <v>0</v>
      </c>
      <c r="AF1361" s="202">
        <v>3</v>
      </c>
      <c r="AG1361" s="202">
        <v>0</v>
      </c>
      <c r="AH1361" s="202">
        <v>0</v>
      </c>
      <c r="AI1361" s="202">
        <v>7</v>
      </c>
      <c r="AJ1361" s="202">
        <v>0</v>
      </c>
      <c r="AK1361" s="202">
        <v>0</v>
      </c>
      <c r="AL1361" s="202">
        <v>3</v>
      </c>
      <c r="AM1361" s="202">
        <v>0</v>
      </c>
      <c r="AN1361" s="202">
        <v>0</v>
      </c>
      <c r="AO1361" s="202">
        <v>0</v>
      </c>
      <c r="AP1361" s="202">
        <v>0</v>
      </c>
      <c r="AQ1361" s="202">
        <v>3000</v>
      </c>
      <c r="AR1361" s="202">
        <v>0.5</v>
      </c>
      <c r="AS1361" s="202">
        <v>0</v>
      </c>
      <c r="AT1361" s="364" t="s">
        <v>2867</v>
      </c>
      <c r="AU1361" s="202">
        <v>90000015</v>
      </c>
      <c r="AV1361" s="202"/>
      <c r="AW1361" s="210" t="s">
        <v>198</v>
      </c>
      <c r="AX1361" s="202">
        <v>0</v>
      </c>
      <c r="AY1361" s="202">
        <v>0</v>
      </c>
      <c r="AZ1361" s="202">
        <v>0</v>
      </c>
      <c r="BA1361" s="210" t="s">
        <v>200</v>
      </c>
      <c r="BB1361" s="210">
        <v>0</v>
      </c>
      <c r="BC1361" s="202">
        <v>0</v>
      </c>
      <c r="BD1361" s="202">
        <v>1</v>
      </c>
      <c r="BE1361" s="212" t="s">
        <v>2868</v>
      </c>
      <c r="BF1361" s="212" t="s">
        <v>2869</v>
      </c>
      <c r="BG1361" s="202">
        <v>0</v>
      </c>
      <c r="BH1361" s="202">
        <v>0</v>
      </c>
      <c r="BI1361" s="202">
        <v>0</v>
      </c>
      <c r="BJ1361" s="202">
        <v>0</v>
      </c>
      <c r="BK1361" s="202">
        <v>0</v>
      </c>
      <c r="BL1361" s="202">
        <v>0</v>
      </c>
      <c r="BM1361" s="215">
        <v>0</v>
      </c>
      <c r="BN1361" s="202">
        <v>0</v>
      </c>
      <c r="BO1361" s="175">
        <v>0</v>
      </c>
      <c r="BP1361" s="175">
        <v>0</v>
      </c>
      <c r="BQ1361" s="175">
        <v>0</v>
      </c>
      <c r="BR1361" s="175">
        <v>0</v>
      </c>
      <c r="BS1361" s="175">
        <v>0</v>
      </c>
      <c r="BT1361" s="12">
        <v>0</v>
      </c>
      <c r="BU1361" s="47">
        <v>0</v>
      </c>
      <c r="BV1361" s="47"/>
      <c r="BW1361" s="47"/>
    </row>
    <row r="1362" spans="1:75" ht="20.100000000000001" customHeight="1">
      <c r="C1362" s="172">
        <v>63203001</v>
      </c>
      <c r="D1362" s="173" t="s">
        <v>2870</v>
      </c>
      <c r="E1362" s="173" t="s">
        <v>2871</v>
      </c>
      <c r="F1362" s="172">
        <v>1</v>
      </c>
      <c r="G1362" s="172">
        <v>63003001</v>
      </c>
      <c r="H1362" s="172">
        <v>0</v>
      </c>
      <c r="I1362" s="174">
        <v>0</v>
      </c>
      <c r="J1362" s="176">
        <v>1</v>
      </c>
      <c r="K1362" s="176">
        <v>0</v>
      </c>
      <c r="L1362" s="172">
        <v>0</v>
      </c>
      <c r="M1362" s="172">
        <v>0</v>
      </c>
      <c r="N1362" s="172">
        <v>0</v>
      </c>
      <c r="O1362" s="172">
        <v>2</v>
      </c>
      <c r="P1362" s="172">
        <v>12</v>
      </c>
      <c r="Q1362" s="172">
        <v>1</v>
      </c>
      <c r="R1362" s="172">
        <v>0</v>
      </c>
      <c r="S1362" s="175">
        <v>0</v>
      </c>
      <c r="T1362" s="172">
        <v>0</v>
      </c>
      <c r="U1362" s="172">
        <v>1</v>
      </c>
      <c r="V1362" s="172">
        <v>2</v>
      </c>
      <c r="W1362" s="172">
        <v>0</v>
      </c>
      <c r="X1362" s="176">
        <v>0</v>
      </c>
      <c r="Y1362" s="12">
        <v>0</v>
      </c>
      <c r="Z1362" s="176">
        <v>0</v>
      </c>
      <c r="AA1362" s="172">
        <v>0</v>
      </c>
      <c r="AB1362" s="172">
        <v>0</v>
      </c>
      <c r="AC1362" s="172">
        <v>0</v>
      </c>
      <c r="AD1362" s="172">
        <v>1</v>
      </c>
      <c r="AE1362" s="172">
        <v>0</v>
      </c>
      <c r="AF1362" s="172">
        <v>60</v>
      </c>
      <c r="AG1362" s="172">
        <v>1</v>
      </c>
      <c r="AH1362" s="172">
        <v>10</v>
      </c>
      <c r="AI1362" s="175">
        <v>0</v>
      </c>
      <c r="AJ1362" s="175">
        <v>0</v>
      </c>
      <c r="AK1362" s="175">
        <v>0</v>
      </c>
      <c r="AL1362" s="175">
        <v>0</v>
      </c>
      <c r="AM1362" s="172">
        <v>0</v>
      </c>
      <c r="AN1362" s="172">
        <v>0</v>
      </c>
      <c r="AO1362" s="172">
        <v>0</v>
      </c>
      <c r="AP1362" s="172">
        <v>0</v>
      </c>
      <c r="AQ1362" s="172">
        <v>50000</v>
      </c>
      <c r="AR1362" s="172">
        <v>0</v>
      </c>
      <c r="AS1362" s="172">
        <v>0</v>
      </c>
      <c r="AT1362" s="175">
        <v>90503005</v>
      </c>
      <c r="AU1362" s="172">
        <v>90503005</v>
      </c>
      <c r="AV1362" s="172"/>
      <c r="AW1362" s="173" t="s">
        <v>198</v>
      </c>
      <c r="AX1362" s="172">
        <v>0</v>
      </c>
      <c r="AY1362" s="176">
        <v>0</v>
      </c>
      <c r="AZ1362" s="176">
        <v>0</v>
      </c>
      <c r="BA1362" s="173" t="s">
        <v>2710</v>
      </c>
      <c r="BB1362" s="172">
        <v>0</v>
      </c>
      <c r="BC1362" s="174">
        <v>0</v>
      </c>
      <c r="BD1362" s="174">
        <v>0</v>
      </c>
      <c r="BE1362" s="206" t="s">
        <v>2872</v>
      </c>
      <c r="BF1362" s="206" t="s">
        <v>2873</v>
      </c>
      <c r="BG1362" s="172">
        <v>0</v>
      </c>
      <c r="BH1362" s="172">
        <v>0</v>
      </c>
      <c r="BI1362" s="172">
        <v>0</v>
      </c>
      <c r="BJ1362" s="172">
        <v>0</v>
      </c>
      <c r="BK1362" s="172">
        <v>0</v>
      </c>
      <c r="BL1362" s="172">
        <v>0</v>
      </c>
      <c r="BM1362" s="178">
        <v>0</v>
      </c>
      <c r="BN1362" s="175">
        <v>1</v>
      </c>
      <c r="BO1362" s="175">
        <v>0</v>
      </c>
      <c r="BP1362" s="175">
        <v>0</v>
      </c>
      <c r="BQ1362" s="175">
        <v>0</v>
      </c>
      <c r="BR1362" s="175">
        <v>0</v>
      </c>
      <c r="BS1362" s="175">
        <v>0</v>
      </c>
      <c r="BT1362" s="12">
        <v>0</v>
      </c>
      <c r="BU1362" s="47">
        <v>0</v>
      </c>
      <c r="BV1362" s="47"/>
      <c r="BW1362" s="47"/>
    </row>
    <row r="1363" spans="1:75" ht="20.100000000000001" customHeight="1">
      <c r="C1363" s="172">
        <v>63203002</v>
      </c>
      <c r="D1363" s="173" t="s">
        <v>5435</v>
      </c>
      <c r="E1363" s="173" t="s">
        <v>2747</v>
      </c>
      <c r="F1363" s="172">
        <v>1</v>
      </c>
      <c r="G1363" s="172">
        <v>63003002</v>
      </c>
      <c r="H1363" s="172">
        <v>0</v>
      </c>
      <c r="I1363" s="174">
        <v>0</v>
      </c>
      <c r="J1363" s="176">
        <v>1</v>
      </c>
      <c r="K1363" s="176">
        <v>0</v>
      </c>
      <c r="L1363" s="172">
        <v>0</v>
      </c>
      <c r="M1363" s="172">
        <v>0</v>
      </c>
      <c r="N1363" s="172">
        <v>0</v>
      </c>
      <c r="O1363" s="172">
        <v>2</v>
      </c>
      <c r="P1363" s="172">
        <v>0</v>
      </c>
      <c r="Q1363" s="172">
        <v>0</v>
      </c>
      <c r="R1363" s="172">
        <v>0</v>
      </c>
      <c r="S1363" s="175">
        <v>0</v>
      </c>
      <c r="T1363" s="172">
        <v>0</v>
      </c>
      <c r="U1363" s="172">
        <v>1</v>
      </c>
      <c r="V1363" s="172">
        <v>0</v>
      </c>
      <c r="W1363" s="172">
        <v>0</v>
      </c>
      <c r="X1363" s="176">
        <v>0</v>
      </c>
      <c r="Y1363" s="12">
        <v>0</v>
      </c>
      <c r="Z1363" s="176">
        <v>0</v>
      </c>
      <c r="AA1363" s="172">
        <v>0</v>
      </c>
      <c r="AB1363" s="172">
        <v>0</v>
      </c>
      <c r="AC1363" s="172">
        <v>0</v>
      </c>
      <c r="AD1363" s="172">
        <v>1</v>
      </c>
      <c r="AE1363" s="172">
        <v>0</v>
      </c>
      <c r="AF1363" s="172">
        <v>0</v>
      </c>
      <c r="AG1363" s="172">
        <v>0</v>
      </c>
      <c r="AH1363" s="172" t="s">
        <v>198</v>
      </c>
      <c r="AI1363" s="175">
        <v>0</v>
      </c>
      <c r="AJ1363" s="175">
        <v>0</v>
      </c>
      <c r="AK1363" s="175">
        <v>0</v>
      </c>
      <c r="AL1363" s="175">
        <v>0</v>
      </c>
      <c r="AM1363" s="172">
        <v>0</v>
      </c>
      <c r="AN1363" s="172">
        <v>0</v>
      </c>
      <c r="AO1363" s="172">
        <v>0</v>
      </c>
      <c r="AP1363" s="172">
        <v>0</v>
      </c>
      <c r="AQ1363" s="172">
        <v>0</v>
      </c>
      <c r="AR1363" s="172">
        <v>0</v>
      </c>
      <c r="AS1363" s="172">
        <v>0</v>
      </c>
      <c r="AT1363" s="175">
        <v>0</v>
      </c>
      <c r="AU1363" s="172" t="s">
        <v>198</v>
      </c>
      <c r="AV1363" s="172"/>
      <c r="AW1363" s="173" t="s">
        <v>198</v>
      </c>
      <c r="AX1363" s="172">
        <v>0</v>
      </c>
      <c r="AY1363" s="176">
        <v>0</v>
      </c>
      <c r="AZ1363" s="176">
        <v>0</v>
      </c>
      <c r="BA1363" s="173" t="s">
        <v>198</v>
      </c>
      <c r="BB1363" s="172">
        <v>0</v>
      </c>
      <c r="BC1363" s="174"/>
      <c r="BD1363" s="174"/>
      <c r="BE1363" s="206" t="s">
        <v>2748</v>
      </c>
      <c r="BF1363" s="206" t="s">
        <v>2749</v>
      </c>
      <c r="BG1363" s="172">
        <v>0</v>
      </c>
      <c r="BH1363" s="172">
        <v>0</v>
      </c>
      <c r="BI1363" s="172">
        <v>0</v>
      </c>
      <c r="BJ1363" s="172">
        <v>0</v>
      </c>
      <c r="BK1363" s="172">
        <v>0</v>
      </c>
      <c r="BL1363" s="172">
        <v>0</v>
      </c>
      <c r="BM1363" s="178">
        <v>0</v>
      </c>
      <c r="BN1363" s="175">
        <v>0</v>
      </c>
      <c r="BO1363" s="175">
        <v>0</v>
      </c>
      <c r="BP1363" s="175">
        <v>0</v>
      </c>
      <c r="BQ1363" s="175">
        <v>0</v>
      </c>
      <c r="BR1363" s="175">
        <v>0</v>
      </c>
      <c r="BS1363" s="175">
        <v>0</v>
      </c>
      <c r="BT1363" s="12">
        <v>0</v>
      </c>
      <c r="BU1363" s="47">
        <v>0</v>
      </c>
      <c r="BV1363" s="47"/>
      <c r="BW1363" s="47"/>
    </row>
    <row r="1364" spans="1:75" ht="20.100000000000001" customHeight="1">
      <c r="C1364" s="172">
        <v>63203003</v>
      </c>
      <c r="D1364" s="173" t="s">
        <v>5439</v>
      </c>
      <c r="E1364" s="173" t="s">
        <v>2846</v>
      </c>
      <c r="F1364" s="172">
        <v>1</v>
      </c>
      <c r="G1364" s="172">
        <v>1000005</v>
      </c>
      <c r="H1364" s="172">
        <v>0</v>
      </c>
      <c r="I1364" s="174">
        <v>0</v>
      </c>
      <c r="J1364" s="176">
        <v>1</v>
      </c>
      <c r="K1364" s="176">
        <v>0</v>
      </c>
      <c r="L1364" s="172">
        <v>0</v>
      </c>
      <c r="M1364" s="172">
        <v>0</v>
      </c>
      <c r="N1364" s="172">
        <v>0</v>
      </c>
      <c r="O1364" s="172">
        <v>8</v>
      </c>
      <c r="P1364" s="172">
        <v>8</v>
      </c>
      <c r="Q1364" s="172">
        <v>2</v>
      </c>
      <c r="R1364" s="172">
        <v>0</v>
      </c>
      <c r="S1364" s="175">
        <v>0</v>
      </c>
      <c r="T1364" s="172">
        <v>0</v>
      </c>
      <c r="U1364" s="172">
        <v>1</v>
      </c>
      <c r="V1364" s="172">
        <v>0</v>
      </c>
      <c r="W1364" s="172">
        <v>0</v>
      </c>
      <c r="X1364" s="176">
        <v>0</v>
      </c>
      <c r="Y1364" s="12">
        <v>0</v>
      </c>
      <c r="Z1364" s="176">
        <v>0</v>
      </c>
      <c r="AA1364" s="172">
        <v>0</v>
      </c>
      <c r="AB1364" s="172">
        <v>0</v>
      </c>
      <c r="AC1364" s="172">
        <v>0</v>
      </c>
      <c r="AD1364" s="172">
        <v>1</v>
      </c>
      <c r="AE1364" s="172">
        <v>0</v>
      </c>
      <c r="AF1364" s="172">
        <v>0</v>
      </c>
      <c r="AG1364" s="172">
        <v>0</v>
      </c>
      <c r="AH1364" s="172" t="s">
        <v>198</v>
      </c>
      <c r="AI1364" s="175">
        <v>0</v>
      </c>
      <c r="AJ1364" s="175">
        <v>0</v>
      </c>
      <c r="AK1364" s="175">
        <v>0</v>
      </c>
      <c r="AL1364" s="175">
        <v>0</v>
      </c>
      <c r="AM1364" s="172">
        <v>0</v>
      </c>
      <c r="AN1364" s="172">
        <v>0</v>
      </c>
      <c r="AO1364" s="172">
        <v>0</v>
      </c>
      <c r="AP1364" s="172">
        <v>0</v>
      </c>
      <c r="AQ1364" s="172">
        <v>0</v>
      </c>
      <c r="AR1364" s="172">
        <v>0</v>
      </c>
      <c r="AS1364" s="172">
        <v>0</v>
      </c>
      <c r="AT1364" s="175">
        <v>90000006</v>
      </c>
      <c r="AU1364" s="172" t="s">
        <v>198</v>
      </c>
      <c r="AV1364" s="172"/>
      <c r="AW1364" s="173" t="s">
        <v>198</v>
      </c>
      <c r="AX1364" s="172">
        <v>0</v>
      </c>
      <c r="AY1364" s="176">
        <v>0</v>
      </c>
      <c r="AZ1364" s="176">
        <v>0</v>
      </c>
      <c r="BA1364" s="173" t="s">
        <v>198</v>
      </c>
      <c r="BB1364" s="172" t="s">
        <v>2847</v>
      </c>
      <c r="BC1364" s="174"/>
      <c r="BD1364" s="174"/>
      <c r="BE1364" s="206" t="s">
        <v>2848</v>
      </c>
      <c r="BF1364" s="206" t="s">
        <v>2849</v>
      </c>
      <c r="BG1364" s="172">
        <v>0</v>
      </c>
      <c r="BH1364" s="172">
        <v>0</v>
      </c>
      <c r="BI1364" s="172">
        <v>0</v>
      </c>
      <c r="BJ1364" s="172">
        <v>0</v>
      </c>
      <c r="BK1364" s="172">
        <v>0</v>
      </c>
      <c r="BL1364" s="172">
        <v>0</v>
      </c>
      <c r="BM1364" s="178">
        <v>0</v>
      </c>
      <c r="BN1364" s="175">
        <v>0</v>
      </c>
      <c r="BO1364" s="175">
        <v>0</v>
      </c>
      <c r="BP1364" s="175">
        <v>0</v>
      </c>
      <c r="BQ1364" s="175">
        <v>0</v>
      </c>
      <c r="BR1364" s="175">
        <v>0</v>
      </c>
      <c r="BS1364" s="175">
        <v>0</v>
      </c>
      <c r="BT1364" s="12">
        <v>0</v>
      </c>
      <c r="BU1364" s="47">
        <v>0</v>
      </c>
      <c r="BV1364" s="47"/>
      <c r="BW1364" s="47"/>
    </row>
    <row r="1365" spans="1:75" ht="20.100000000000001" customHeight="1">
      <c r="C1365" s="172">
        <v>63203004</v>
      </c>
      <c r="D1365" s="210" t="s">
        <v>5433</v>
      </c>
      <c r="E1365" s="210" t="s">
        <v>2874</v>
      </c>
      <c r="F1365" s="16">
        <v>1</v>
      </c>
      <c r="G1365" s="16">
        <v>63002003</v>
      </c>
      <c r="H1365" s="16">
        <v>0</v>
      </c>
      <c r="I1365" s="27">
        <v>0</v>
      </c>
      <c r="J1365" s="18">
        <v>1</v>
      </c>
      <c r="K1365" s="18">
        <v>0</v>
      </c>
      <c r="L1365" s="16">
        <v>0</v>
      </c>
      <c r="M1365" s="16">
        <v>0</v>
      </c>
      <c r="N1365" s="16">
        <v>0</v>
      </c>
      <c r="O1365" s="16">
        <v>8</v>
      </c>
      <c r="P1365" s="16">
        <v>8</v>
      </c>
      <c r="Q1365" s="16">
        <v>1</v>
      </c>
      <c r="R1365" s="16">
        <v>0</v>
      </c>
      <c r="S1365" s="12">
        <v>0</v>
      </c>
      <c r="T1365" s="16">
        <v>0</v>
      </c>
      <c r="U1365" s="16">
        <v>1</v>
      </c>
      <c r="V1365" s="16">
        <v>0</v>
      </c>
      <c r="W1365" s="16">
        <v>0</v>
      </c>
      <c r="X1365" s="18">
        <v>0</v>
      </c>
      <c r="Y1365" s="12">
        <v>0</v>
      </c>
      <c r="Z1365" s="18">
        <v>0</v>
      </c>
      <c r="AA1365" s="16">
        <v>0</v>
      </c>
      <c r="AB1365" s="16">
        <v>0</v>
      </c>
      <c r="AC1365" s="16">
        <v>0</v>
      </c>
      <c r="AD1365" s="16">
        <v>1</v>
      </c>
      <c r="AE1365" s="16">
        <v>0</v>
      </c>
      <c r="AF1365" s="16">
        <v>0</v>
      </c>
      <c r="AG1365" s="16">
        <v>0</v>
      </c>
      <c r="AH1365" s="16" t="s">
        <v>198</v>
      </c>
      <c r="AI1365" s="12">
        <v>0</v>
      </c>
      <c r="AJ1365" s="12">
        <v>0</v>
      </c>
      <c r="AK1365" s="12">
        <v>0</v>
      </c>
      <c r="AL1365" s="12">
        <v>0</v>
      </c>
      <c r="AM1365" s="16">
        <v>0</v>
      </c>
      <c r="AN1365" s="16">
        <v>0</v>
      </c>
      <c r="AO1365" s="16">
        <v>0</v>
      </c>
      <c r="AP1365" s="16">
        <v>0</v>
      </c>
      <c r="AQ1365" s="16">
        <v>0</v>
      </c>
      <c r="AR1365" s="16">
        <v>0</v>
      </c>
      <c r="AS1365" s="16">
        <v>0</v>
      </c>
      <c r="AT1365" s="12">
        <v>90000006</v>
      </c>
      <c r="AU1365" s="16" t="s">
        <v>198</v>
      </c>
      <c r="AV1365" s="16"/>
      <c r="AW1365" s="17" t="s">
        <v>198</v>
      </c>
      <c r="AX1365" s="16">
        <v>0</v>
      </c>
      <c r="AY1365" s="18">
        <v>0</v>
      </c>
      <c r="AZ1365" s="18">
        <v>0</v>
      </c>
      <c r="BA1365" s="17" t="s">
        <v>198</v>
      </c>
      <c r="BB1365" s="16" t="s">
        <v>2875</v>
      </c>
      <c r="BC1365" s="27"/>
      <c r="BD1365" s="27"/>
      <c r="BE1365" s="206" t="s">
        <v>2876</v>
      </c>
      <c r="BF1365" s="44" t="s">
        <v>2877</v>
      </c>
      <c r="BG1365" s="16">
        <v>0</v>
      </c>
      <c r="BH1365" s="16">
        <v>0</v>
      </c>
      <c r="BI1365" s="16">
        <v>0</v>
      </c>
      <c r="BJ1365" s="16">
        <v>0</v>
      </c>
      <c r="BK1365" s="16">
        <v>0</v>
      </c>
      <c r="BL1365" s="16">
        <v>0</v>
      </c>
      <c r="BM1365" s="15">
        <v>0</v>
      </c>
      <c r="BN1365" s="12">
        <v>0</v>
      </c>
      <c r="BO1365" s="12">
        <v>0</v>
      </c>
      <c r="BP1365" s="12">
        <v>0</v>
      </c>
      <c r="BQ1365" s="12">
        <v>0</v>
      </c>
      <c r="BR1365" s="12">
        <v>0</v>
      </c>
      <c r="BS1365" s="12">
        <v>0</v>
      </c>
      <c r="BT1365" s="12">
        <v>0</v>
      </c>
      <c r="BU1365" s="47">
        <v>0</v>
      </c>
      <c r="BV1365" s="47"/>
      <c r="BW1365" s="47"/>
    </row>
    <row r="1366" spans="1:75" s="1" customFormat="1" ht="20.100000000000001" customHeight="1">
      <c r="A1366" s="216"/>
      <c r="B1366" s="216"/>
      <c r="C1366" s="64">
        <v>63301001</v>
      </c>
      <c r="D1366" s="59" t="s">
        <v>5433</v>
      </c>
      <c r="E1366" s="147" t="s">
        <v>2878</v>
      </c>
      <c r="F1366" s="93">
        <v>1</v>
      </c>
      <c r="G1366" s="64">
        <v>63301001</v>
      </c>
      <c r="H1366" s="64">
        <v>0</v>
      </c>
      <c r="I1366" s="66">
        <v>0</v>
      </c>
      <c r="J1366" s="64">
        <v>1</v>
      </c>
      <c r="K1366" s="60">
        <v>0</v>
      </c>
      <c r="L1366" s="64">
        <v>0</v>
      </c>
      <c r="M1366" s="60">
        <v>0</v>
      </c>
      <c r="N1366" s="60">
        <v>0</v>
      </c>
      <c r="O1366" s="60">
        <v>2</v>
      </c>
      <c r="P1366" s="60">
        <v>7</v>
      </c>
      <c r="Q1366" s="60">
        <v>0.15</v>
      </c>
      <c r="R1366" s="60">
        <v>0</v>
      </c>
      <c r="S1366" s="68">
        <v>0</v>
      </c>
      <c r="T1366" s="60">
        <v>0</v>
      </c>
      <c r="U1366" s="60">
        <v>1</v>
      </c>
      <c r="V1366" s="60">
        <v>1</v>
      </c>
      <c r="W1366" s="60">
        <v>0</v>
      </c>
      <c r="X1366" s="60">
        <v>0</v>
      </c>
      <c r="Y1366" s="12">
        <v>0</v>
      </c>
      <c r="Z1366" s="60">
        <v>0</v>
      </c>
      <c r="AA1366" s="60">
        <v>0</v>
      </c>
      <c r="AB1366" s="60">
        <v>0</v>
      </c>
      <c r="AC1366" s="60">
        <v>0</v>
      </c>
      <c r="AD1366" s="60">
        <v>0</v>
      </c>
      <c r="AE1366" s="60">
        <v>0</v>
      </c>
      <c r="AF1366" s="60">
        <v>0</v>
      </c>
      <c r="AG1366" s="60">
        <v>0</v>
      </c>
      <c r="AH1366" s="60">
        <v>0</v>
      </c>
      <c r="AI1366" s="68">
        <v>0</v>
      </c>
      <c r="AJ1366" s="68">
        <v>0</v>
      </c>
      <c r="AK1366" s="68">
        <v>0</v>
      </c>
      <c r="AL1366" s="68">
        <v>1.5</v>
      </c>
      <c r="AM1366" s="60">
        <v>0</v>
      </c>
      <c r="AN1366" s="60">
        <v>0</v>
      </c>
      <c r="AO1366" s="60">
        <v>0</v>
      </c>
      <c r="AP1366" s="64">
        <v>0</v>
      </c>
      <c r="AQ1366" s="60">
        <v>3000</v>
      </c>
      <c r="AR1366" s="60">
        <v>0.1</v>
      </c>
      <c r="AS1366" s="60">
        <v>0</v>
      </c>
      <c r="AT1366" s="68">
        <v>0</v>
      </c>
      <c r="AU1366" s="60" t="s">
        <v>198</v>
      </c>
      <c r="AV1366" s="60"/>
      <c r="AW1366" s="59" t="s">
        <v>198</v>
      </c>
      <c r="AX1366" s="60" t="s">
        <v>545</v>
      </c>
      <c r="AY1366" s="64">
        <v>0</v>
      </c>
      <c r="AZ1366" s="64">
        <v>0</v>
      </c>
      <c r="BA1366" s="59" t="s">
        <v>2368</v>
      </c>
      <c r="BB1366" s="352" t="s">
        <v>2879</v>
      </c>
      <c r="BC1366" s="66">
        <v>0</v>
      </c>
      <c r="BD1366" s="66">
        <v>0</v>
      </c>
      <c r="BE1366" s="90" t="s">
        <v>2880</v>
      </c>
      <c r="BF1366" s="90" t="s">
        <v>2881</v>
      </c>
      <c r="BG1366" s="60">
        <v>0</v>
      </c>
      <c r="BH1366" s="60">
        <v>0</v>
      </c>
      <c r="BI1366" s="60">
        <v>0</v>
      </c>
      <c r="BJ1366" s="60">
        <v>0</v>
      </c>
      <c r="BK1366" s="60">
        <v>0</v>
      </c>
      <c r="BL1366" s="60">
        <v>0</v>
      </c>
      <c r="BM1366" s="93">
        <v>0</v>
      </c>
      <c r="BN1366" s="68">
        <v>0</v>
      </c>
      <c r="BO1366" s="68">
        <v>0</v>
      </c>
      <c r="BP1366" s="68">
        <v>0</v>
      </c>
      <c r="BQ1366" s="68">
        <v>0</v>
      </c>
      <c r="BR1366" s="68">
        <v>0</v>
      </c>
      <c r="BS1366" s="68">
        <v>0</v>
      </c>
      <c r="BT1366" s="68">
        <v>0</v>
      </c>
      <c r="BU1366" s="68">
        <v>0</v>
      </c>
      <c r="BV1366" s="47"/>
      <c r="BW1366" s="47"/>
    </row>
    <row r="1367" spans="1:75" s="1" customFormat="1" ht="20.100000000000001" customHeight="1">
      <c r="C1367" s="64">
        <v>63301002</v>
      </c>
      <c r="D1367" s="59" t="s">
        <v>760</v>
      </c>
      <c r="E1367" s="147" t="s">
        <v>761</v>
      </c>
      <c r="F1367" s="93">
        <v>1</v>
      </c>
      <c r="G1367" s="93">
        <v>0</v>
      </c>
      <c r="H1367" s="60">
        <v>0</v>
      </c>
      <c r="I1367" s="66">
        <v>0</v>
      </c>
      <c r="J1367" s="64">
        <v>1</v>
      </c>
      <c r="K1367" s="64">
        <v>0</v>
      </c>
      <c r="L1367" s="64">
        <v>0</v>
      </c>
      <c r="M1367" s="60">
        <v>0</v>
      </c>
      <c r="N1367" s="60">
        <v>0</v>
      </c>
      <c r="O1367" s="60">
        <v>2</v>
      </c>
      <c r="P1367" s="60">
        <v>1</v>
      </c>
      <c r="Q1367" s="60">
        <v>0.2</v>
      </c>
      <c r="R1367" s="60">
        <v>0</v>
      </c>
      <c r="S1367" s="68">
        <v>0</v>
      </c>
      <c r="T1367" s="60">
        <v>0</v>
      </c>
      <c r="U1367" s="60">
        <v>1</v>
      </c>
      <c r="V1367" s="93">
        <v>1</v>
      </c>
      <c r="W1367" s="60">
        <v>0</v>
      </c>
      <c r="X1367" s="60">
        <v>2.5</v>
      </c>
      <c r="Y1367" s="12">
        <v>0</v>
      </c>
      <c r="Z1367" s="60">
        <v>150</v>
      </c>
      <c r="AA1367" s="60">
        <v>1</v>
      </c>
      <c r="AB1367" s="60">
        <v>0</v>
      </c>
      <c r="AC1367" s="60">
        <v>0</v>
      </c>
      <c r="AD1367" s="60">
        <v>0</v>
      </c>
      <c r="AE1367" s="60">
        <v>1</v>
      </c>
      <c r="AF1367" s="60">
        <v>10</v>
      </c>
      <c r="AG1367" s="60">
        <v>2</v>
      </c>
      <c r="AH1367" s="60" t="s">
        <v>213</v>
      </c>
      <c r="AI1367" s="68">
        <v>0</v>
      </c>
      <c r="AJ1367" s="68">
        <v>2</v>
      </c>
      <c r="AK1367" s="68">
        <v>0</v>
      </c>
      <c r="AL1367" s="68">
        <v>1.5</v>
      </c>
      <c r="AM1367" s="60">
        <v>0</v>
      </c>
      <c r="AN1367" s="60">
        <v>0</v>
      </c>
      <c r="AO1367" s="60">
        <v>0</v>
      </c>
      <c r="AP1367" s="64">
        <v>0</v>
      </c>
      <c r="AQ1367" s="60">
        <v>1600</v>
      </c>
      <c r="AR1367" s="60">
        <v>1</v>
      </c>
      <c r="AS1367" s="60">
        <v>15</v>
      </c>
      <c r="AT1367" s="68">
        <v>0</v>
      </c>
      <c r="AU1367" s="331" t="s">
        <v>2247</v>
      </c>
      <c r="AV1367" s="79"/>
      <c r="AW1367" s="59" t="s">
        <v>199</v>
      </c>
      <c r="AX1367" s="60" t="s">
        <v>215</v>
      </c>
      <c r="AY1367" s="64">
        <v>10000011</v>
      </c>
      <c r="AZ1367" s="64">
        <v>77005105</v>
      </c>
      <c r="BA1367" s="59" t="s">
        <v>216</v>
      </c>
      <c r="BB1367" s="60">
        <v>0</v>
      </c>
      <c r="BC1367" s="66">
        <v>0</v>
      </c>
      <c r="BD1367" s="66">
        <v>0</v>
      </c>
      <c r="BE1367" s="90" t="s">
        <v>2882</v>
      </c>
      <c r="BF1367" s="90" t="s">
        <v>2883</v>
      </c>
      <c r="BG1367" s="60">
        <v>0</v>
      </c>
      <c r="BH1367" s="60">
        <v>0</v>
      </c>
      <c r="BI1367" s="60">
        <v>0</v>
      </c>
      <c r="BJ1367" s="60">
        <v>0</v>
      </c>
      <c r="BK1367" s="60">
        <v>0</v>
      </c>
      <c r="BL1367" s="60">
        <v>0</v>
      </c>
      <c r="BM1367" s="93">
        <v>0</v>
      </c>
      <c r="BN1367" s="68">
        <v>0</v>
      </c>
      <c r="BO1367" s="68">
        <v>0</v>
      </c>
      <c r="BP1367" s="68">
        <v>0</v>
      </c>
      <c r="BQ1367" s="68">
        <v>0</v>
      </c>
      <c r="BR1367" s="68">
        <v>0</v>
      </c>
      <c r="BS1367" s="68">
        <v>0</v>
      </c>
      <c r="BT1367" s="68">
        <v>0</v>
      </c>
      <c r="BU1367" s="68">
        <v>0</v>
      </c>
      <c r="BV1367" s="47"/>
      <c r="BW1367" s="47"/>
    </row>
    <row r="1368" spans="1:75" ht="20.100000000000001" customHeight="1">
      <c r="C1368" s="64">
        <v>63301003</v>
      </c>
      <c r="D1368" s="17" t="s">
        <v>5438</v>
      </c>
      <c r="E1368" s="17" t="s">
        <v>2765</v>
      </c>
      <c r="F1368" s="16">
        <v>1</v>
      </c>
      <c r="G1368" s="16">
        <v>1000003</v>
      </c>
      <c r="H1368" s="16">
        <v>0</v>
      </c>
      <c r="I1368" s="27">
        <v>0</v>
      </c>
      <c r="J1368" s="18">
        <v>1</v>
      </c>
      <c r="K1368" s="18">
        <v>0</v>
      </c>
      <c r="L1368" s="16">
        <v>0</v>
      </c>
      <c r="M1368" s="16">
        <v>0</v>
      </c>
      <c r="N1368" s="16">
        <v>0</v>
      </c>
      <c r="O1368" s="16">
        <v>8</v>
      </c>
      <c r="P1368" s="16">
        <v>8</v>
      </c>
      <c r="Q1368" s="16">
        <v>3</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0</v>
      </c>
      <c r="AU1368" s="16" t="s">
        <v>198</v>
      </c>
      <c r="AV1368" s="16"/>
      <c r="AW1368" s="17" t="s">
        <v>198</v>
      </c>
      <c r="AX1368" s="16">
        <v>0</v>
      </c>
      <c r="AY1368" s="18">
        <v>0</v>
      </c>
      <c r="AZ1368" s="18">
        <v>0</v>
      </c>
      <c r="BA1368" s="17" t="s">
        <v>198</v>
      </c>
      <c r="BB1368" s="16" t="s">
        <v>2766</v>
      </c>
      <c r="BC1368" s="27"/>
      <c r="BD1368" s="27">
        <v>0</v>
      </c>
      <c r="BE1368" s="44" t="s">
        <v>2767</v>
      </c>
      <c r="BF1368" s="44" t="s">
        <v>2768</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ht="20.100000000000001" customHeight="1">
      <c r="C1369" s="64">
        <v>63301004</v>
      </c>
      <c r="D1369" s="173" t="s">
        <v>5437</v>
      </c>
      <c r="E1369" s="173" t="s">
        <v>2718</v>
      </c>
      <c r="F1369" s="172">
        <v>1</v>
      </c>
      <c r="G1369" s="172">
        <v>63002002</v>
      </c>
      <c r="H1369" s="172">
        <v>0</v>
      </c>
      <c r="I1369" s="174">
        <v>0</v>
      </c>
      <c r="J1369" s="176">
        <v>1</v>
      </c>
      <c r="K1369" s="176">
        <v>0</v>
      </c>
      <c r="L1369" s="172">
        <v>0</v>
      </c>
      <c r="M1369" s="172">
        <v>0</v>
      </c>
      <c r="N1369" s="172">
        <v>0</v>
      </c>
      <c r="O1369" s="172">
        <v>2</v>
      </c>
      <c r="P1369" s="172">
        <v>0</v>
      </c>
      <c r="Q1369" s="172">
        <v>0</v>
      </c>
      <c r="R1369" s="172">
        <v>0</v>
      </c>
      <c r="S1369" s="175">
        <v>0</v>
      </c>
      <c r="T1369" s="172">
        <v>0</v>
      </c>
      <c r="U1369" s="172">
        <v>1</v>
      </c>
      <c r="V1369" s="172">
        <v>0</v>
      </c>
      <c r="W1369" s="172">
        <v>0</v>
      </c>
      <c r="X1369" s="176">
        <v>0</v>
      </c>
      <c r="Y1369" s="12">
        <v>0</v>
      </c>
      <c r="Z1369" s="176">
        <v>0</v>
      </c>
      <c r="AA1369" s="172">
        <v>0</v>
      </c>
      <c r="AB1369" s="172">
        <v>0</v>
      </c>
      <c r="AC1369" s="172">
        <v>0</v>
      </c>
      <c r="AD1369" s="172">
        <v>1</v>
      </c>
      <c r="AE1369" s="172">
        <v>0</v>
      </c>
      <c r="AF1369" s="172">
        <v>0</v>
      </c>
      <c r="AG1369" s="172">
        <v>0</v>
      </c>
      <c r="AH1369" s="172" t="s">
        <v>198</v>
      </c>
      <c r="AI1369" s="175">
        <v>0</v>
      </c>
      <c r="AJ1369" s="175">
        <v>0</v>
      </c>
      <c r="AK1369" s="175">
        <v>0</v>
      </c>
      <c r="AL1369" s="175">
        <v>0</v>
      </c>
      <c r="AM1369" s="172">
        <v>0</v>
      </c>
      <c r="AN1369" s="172">
        <v>0</v>
      </c>
      <c r="AO1369" s="172">
        <v>0</v>
      </c>
      <c r="AP1369" s="172">
        <v>0</v>
      </c>
      <c r="AQ1369" s="172">
        <v>0</v>
      </c>
      <c r="AR1369" s="172">
        <v>0</v>
      </c>
      <c r="AS1369" s="172">
        <v>0</v>
      </c>
      <c r="AT1369" s="175">
        <v>0</v>
      </c>
      <c r="AU1369" s="172" t="s">
        <v>198</v>
      </c>
      <c r="AV1369" s="172"/>
      <c r="AW1369" s="173" t="s">
        <v>198</v>
      </c>
      <c r="AX1369" s="172">
        <v>0</v>
      </c>
      <c r="AY1369" s="176">
        <v>0</v>
      </c>
      <c r="AZ1369" s="176">
        <v>0</v>
      </c>
      <c r="BA1369" s="173" t="s">
        <v>198</v>
      </c>
      <c r="BB1369" s="172">
        <v>0</v>
      </c>
      <c r="BC1369" s="174"/>
      <c r="BD1369" s="174"/>
      <c r="BE1369" s="206" t="s">
        <v>2719</v>
      </c>
      <c r="BF1369" s="206" t="s">
        <v>2720</v>
      </c>
      <c r="BG1369" s="172">
        <v>0</v>
      </c>
      <c r="BH1369" s="172">
        <v>0</v>
      </c>
      <c r="BI1369" s="172">
        <v>0</v>
      </c>
      <c r="BJ1369" s="172">
        <v>0</v>
      </c>
      <c r="BK1369" s="172">
        <v>0</v>
      </c>
      <c r="BL1369" s="172">
        <v>0</v>
      </c>
      <c r="BM1369" s="178">
        <v>0</v>
      </c>
      <c r="BN1369" s="175">
        <v>0</v>
      </c>
      <c r="BO1369" s="175">
        <v>0</v>
      </c>
      <c r="BP1369" s="175">
        <v>0</v>
      </c>
      <c r="BQ1369" s="175">
        <v>0</v>
      </c>
      <c r="BR1369" s="175">
        <v>0</v>
      </c>
      <c r="BS1369" s="175">
        <v>0</v>
      </c>
      <c r="BT1369" s="12">
        <v>0</v>
      </c>
      <c r="BU1369" s="47">
        <v>0</v>
      </c>
      <c r="BV1369" s="47"/>
      <c r="BW1369" s="47"/>
    </row>
    <row r="1370" spans="1:75" ht="20.100000000000001" customHeight="1">
      <c r="C1370" s="64">
        <v>63301005</v>
      </c>
      <c r="D1370" s="173" t="s">
        <v>2884</v>
      </c>
      <c r="E1370" s="173" t="s">
        <v>2885</v>
      </c>
      <c r="F1370" s="172">
        <v>1</v>
      </c>
      <c r="G1370" s="172">
        <v>63301005</v>
      </c>
      <c r="H1370" s="172">
        <v>0</v>
      </c>
      <c r="I1370" s="174">
        <v>0</v>
      </c>
      <c r="J1370" s="176">
        <v>1</v>
      </c>
      <c r="K1370" s="176">
        <v>0</v>
      </c>
      <c r="L1370" s="172">
        <v>0</v>
      </c>
      <c r="M1370" s="172">
        <v>0</v>
      </c>
      <c r="N1370" s="172">
        <v>0</v>
      </c>
      <c r="O1370" s="172">
        <v>2</v>
      </c>
      <c r="P1370" s="172">
        <v>12</v>
      </c>
      <c r="Q1370" s="172">
        <v>1</v>
      </c>
      <c r="R1370" s="172">
        <v>0</v>
      </c>
      <c r="S1370" s="175">
        <v>0</v>
      </c>
      <c r="T1370" s="172">
        <v>0</v>
      </c>
      <c r="U1370" s="172">
        <v>1</v>
      </c>
      <c r="V1370" s="172">
        <v>2</v>
      </c>
      <c r="W1370" s="172">
        <v>0</v>
      </c>
      <c r="X1370" s="176">
        <v>0</v>
      </c>
      <c r="Y1370" s="12">
        <v>0</v>
      </c>
      <c r="Z1370" s="176">
        <v>0</v>
      </c>
      <c r="AA1370" s="172">
        <v>0</v>
      </c>
      <c r="AB1370" s="172">
        <v>0</v>
      </c>
      <c r="AC1370" s="172">
        <v>0</v>
      </c>
      <c r="AD1370" s="172">
        <v>1</v>
      </c>
      <c r="AE1370" s="172">
        <v>0</v>
      </c>
      <c r="AF1370" s="172">
        <v>60</v>
      </c>
      <c r="AG1370" s="172">
        <v>1</v>
      </c>
      <c r="AH1370" s="172">
        <v>10</v>
      </c>
      <c r="AI1370" s="175">
        <v>0</v>
      </c>
      <c r="AJ1370" s="175">
        <v>0</v>
      </c>
      <c r="AK1370" s="175">
        <v>0</v>
      </c>
      <c r="AL1370" s="175">
        <v>0</v>
      </c>
      <c r="AM1370" s="172">
        <v>0</v>
      </c>
      <c r="AN1370" s="172">
        <v>0</v>
      </c>
      <c r="AO1370" s="172">
        <v>0</v>
      </c>
      <c r="AP1370" s="172">
        <v>0</v>
      </c>
      <c r="AQ1370" s="172">
        <v>50000</v>
      </c>
      <c r="AR1370" s="172">
        <v>0</v>
      </c>
      <c r="AS1370" s="172">
        <v>0</v>
      </c>
      <c r="AT1370" s="175">
        <v>90503007</v>
      </c>
      <c r="AU1370" s="175">
        <v>90503007</v>
      </c>
      <c r="AV1370" s="172"/>
      <c r="AW1370" s="173" t="s">
        <v>198</v>
      </c>
      <c r="AX1370" s="172">
        <v>0</v>
      </c>
      <c r="AY1370" s="176">
        <v>0</v>
      </c>
      <c r="AZ1370" s="176">
        <v>0</v>
      </c>
      <c r="BA1370" s="173" t="s">
        <v>2710</v>
      </c>
      <c r="BB1370" s="172">
        <v>0</v>
      </c>
      <c r="BC1370" s="174">
        <v>0</v>
      </c>
      <c r="BD1370" s="174">
        <v>0</v>
      </c>
      <c r="BE1370" s="206" t="s">
        <v>2886</v>
      </c>
      <c r="BF1370" s="249" t="s">
        <v>2887</v>
      </c>
      <c r="BG1370" s="172">
        <v>0</v>
      </c>
      <c r="BH1370" s="172">
        <v>0</v>
      </c>
      <c r="BI1370" s="172">
        <v>0</v>
      </c>
      <c r="BJ1370" s="172">
        <v>0</v>
      </c>
      <c r="BK1370" s="172">
        <v>0</v>
      </c>
      <c r="BL1370" s="172">
        <v>0</v>
      </c>
      <c r="BM1370" s="178">
        <v>0</v>
      </c>
      <c r="BN1370" s="175">
        <v>1</v>
      </c>
      <c r="BO1370" s="175">
        <v>0</v>
      </c>
      <c r="BP1370" s="175">
        <v>0</v>
      </c>
      <c r="BQ1370" s="175">
        <v>0</v>
      </c>
      <c r="BR1370" s="175">
        <v>0</v>
      </c>
      <c r="BS1370" s="175">
        <v>0</v>
      </c>
      <c r="BT1370" s="12">
        <v>0</v>
      </c>
      <c r="BU1370" s="47">
        <v>0</v>
      </c>
      <c r="BV1370" s="47"/>
      <c r="BW1370" s="47"/>
    </row>
    <row r="1371" spans="1:75" s="1" customFormat="1" ht="19.5" customHeight="1">
      <c r="A1371" s="216"/>
      <c r="B1371" s="216"/>
      <c r="C1371" s="64">
        <v>63302001</v>
      </c>
      <c r="D1371" s="59" t="s">
        <v>5433</v>
      </c>
      <c r="E1371" s="59" t="s">
        <v>2888</v>
      </c>
      <c r="F1371" s="64">
        <v>1</v>
      </c>
      <c r="G1371" s="64">
        <v>63302001</v>
      </c>
      <c r="H1371" s="64">
        <v>0</v>
      </c>
      <c r="I1371" s="66">
        <v>0</v>
      </c>
      <c r="J1371" s="64">
        <v>1</v>
      </c>
      <c r="K1371" s="64">
        <v>0</v>
      </c>
      <c r="L1371" s="64">
        <v>0</v>
      </c>
      <c r="M1371" s="60">
        <v>0</v>
      </c>
      <c r="N1371" s="60">
        <v>0</v>
      </c>
      <c r="O1371" s="60">
        <v>2</v>
      </c>
      <c r="P1371" s="60">
        <v>16</v>
      </c>
      <c r="Q1371" s="60">
        <v>3</v>
      </c>
      <c r="R1371" s="60">
        <v>0</v>
      </c>
      <c r="S1371" s="68">
        <v>0</v>
      </c>
      <c r="T1371" s="60">
        <v>0</v>
      </c>
      <c r="U1371" s="60">
        <v>1</v>
      </c>
      <c r="V1371" s="60">
        <v>2</v>
      </c>
      <c r="W1371" s="60">
        <v>0</v>
      </c>
      <c r="X1371" s="60">
        <v>0</v>
      </c>
      <c r="Y1371" s="12">
        <v>0</v>
      </c>
      <c r="Z1371" s="60">
        <v>0</v>
      </c>
      <c r="AA1371" s="60">
        <v>1</v>
      </c>
      <c r="AB1371" s="60">
        <v>0</v>
      </c>
      <c r="AC1371" s="60">
        <v>0</v>
      </c>
      <c r="AD1371" s="60">
        <v>0</v>
      </c>
      <c r="AE1371" s="60">
        <v>0</v>
      </c>
      <c r="AF1371" s="60">
        <v>0</v>
      </c>
      <c r="AG1371" s="60">
        <v>1</v>
      </c>
      <c r="AH1371" s="60">
        <v>1</v>
      </c>
      <c r="AI1371" s="68">
        <v>7</v>
      </c>
      <c r="AJ1371" s="68">
        <v>1</v>
      </c>
      <c r="AK1371" s="68">
        <v>0</v>
      </c>
      <c r="AL1371" s="68">
        <v>3</v>
      </c>
      <c r="AM1371" s="60">
        <v>0</v>
      </c>
      <c r="AN1371" s="60">
        <v>0</v>
      </c>
      <c r="AO1371" s="60">
        <v>0</v>
      </c>
      <c r="AP1371" s="64">
        <v>0</v>
      </c>
      <c r="AQ1371" s="60">
        <v>500</v>
      </c>
      <c r="AR1371" s="60">
        <v>0.1</v>
      </c>
      <c r="AS1371" s="60">
        <v>0</v>
      </c>
      <c r="AT1371" s="68">
        <v>0</v>
      </c>
      <c r="AU1371" s="331" t="s">
        <v>2273</v>
      </c>
      <c r="AV1371" s="79"/>
      <c r="AW1371" s="63" t="s">
        <v>198</v>
      </c>
      <c r="AX1371" s="60" t="s">
        <v>534</v>
      </c>
      <c r="AY1371" s="64">
        <v>0</v>
      </c>
      <c r="AZ1371" s="64">
        <v>0</v>
      </c>
      <c r="BA1371" s="59" t="s">
        <v>200</v>
      </c>
      <c r="BB1371" s="60">
        <v>0</v>
      </c>
      <c r="BC1371" s="66">
        <v>0</v>
      </c>
      <c r="BD1371" s="66">
        <v>0</v>
      </c>
      <c r="BE1371" s="90" t="s">
        <v>2889</v>
      </c>
      <c r="BF1371" s="90" t="s">
        <v>2890</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63302002</v>
      </c>
      <c r="D1372" s="17" t="s">
        <v>5436</v>
      </c>
      <c r="E1372" s="17" t="s">
        <v>2780</v>
      </c>
      <c r="F1372" s="16">
        <v>1</v>
      </c>
      <c r="G1372" s="16">
        <v>1000004</v>
      </c>
      <c r="H1372" s="16">
        <v>0</v>
      </c>
      <c r="I1372" s="27">
        <v>0</v>
      </c>
      <c r="J1372" s="18">
        <v>1</v>
      </c>
      <c r="K1372" s="18">
        <v>0</v>
      </c>
      <c r="L1372" s="16">
        <v>0</v>
      </c>
      <c r="M1372" s="16">
        <v>0</v>
      </c>
      <c r="N1372" s="16">
        <v>0</v>
      </c>
      <c r="O1372" s="16">
        <v>8</v>
      </c>
      <c r="P1372" s="16">
        <v>8</v>
      </c>
      <c r="Q1372" s="16">
        <v>4</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2781</v>
      </c>
      <c r="BC1372" s="27"/>
      <c r="BD1372" s="27">
        <v>0</v>
      </c>
      <c r="BE1372" s="44" t="s">
        <v>2782</v>
      </c>
      <c r="BF1372" s="44" t="s">
        <v>2783</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63302003</v>
      </c>
      <c r="D1373" s="173" t="s">
        <v>5434</v>
      </c>
      <c r="E1373" s="173" t="s">
        <v>2769</v>
      </c>
      <c r="F1373" s="172">
        <v>1</v>
      </c>
      <c r="G1373" s="172">
        <v>63001003</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2770</v>
      </c>
      <c r="BF1373" s="206" t="s">
        <v>2771</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63302004</v>
      </c>
      <c r="D1374" s="173" t="s">
        <v>2891</v>
      </c>
      <c r="E1374" s="173" t="s">
        <v>2892</v>
      </c>
      <c r="F1374" s="172">
        <v>1</v>
      </c>
      <c r="G1374" s="172">
        <v>63302004</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90503008</v>
      </c>
      <c r="AU1374" s="172">
        <v>90503008</v>
      </c>
      <c r="AV1374" s="172"/>
      <c r="AW1374" s="173" t="s">
        <v>198</v>
      </c>
      <c r="AX1374" s="172">
        <v>0</v>
      </c>
      <c r="AY1374" s="176">
        <v>0</v>
      </c>
      <c r="AZ1374" s="176">
        <v>0</v>
      </c>
      <c r="BA1374" s="173" t="s">
        <v>2710</v>
      </c>
      <c r="BB1374" s="172">
        <v>0</v>
      </c>
      <c r="BC1374" s="174">
        <v>0</v>
      </c>
      <c r="BD1374" s="174">
        <v>0</v>
      </c>
      <c r="BE1374" s="206" t="s">
        <v>2893</v>
      </c>
      <c r="BF1374" s="206" t="s">
        <v>2894</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20.100000000000001" customHeight="1">
      <c r="A1375" s="216"/>
      <c r="B1375" s="216"/>
      <c r="C1375" s="64">
        <v>63303001</v>
      </c>
      <c r="D1375" s="59" t="s">
        <v>5433</v>
      </c>
      <c r="E1375" s="147" t="s">
        <v>2895</v>
      </c>
      <c r="F1375" s="93">
        <v>1</v>
      </c>
      <c r="G1375" s="64">
        <v>63303001</v>
      </c>
      <c r="H1375" s="64">
        <v>0</v>
      </c>
      <c r="I1375" s="66">
        <v>0</v>
      </c>
      <c r="J1375" s="64">
        <v>1</v>
      </c>
      <c r="K1375" s="60">
        <v>0</v>
      </c>
      <c r="L1375" s="64">
        <v>0</v>
      </c>
      <c r="M1375" s="60">
        <v>0</v>
      </c>
      <c r="N1375" s="60">
        <v>0</v>
      </c>
      <c r="O1375" s="60">
        <v>2</v>
      </c>
      <c r="P1375" s="60">
        <v>1</v>
      </c>
      <c r="Q1375" s="60">
        <v>0.15</v>
      </c>
      <c r="R1375" s="60">
        <v>0</v>
      </c>
      <c r="S1375" s="68">
        <v>0</v>
      </c>
      <c r="T1375" s="60">
        <v>0</v>
      </c>
      <c r="U1375" s="60">
        <v>1</v>
      </c>
      <c r="V1375" s="60">
        <v>1</v>
      </c>
      <c r="W1375" s="60">
        <v>0</v>
      </c>
      <c r="X1375" s="60">
        <v>0</v>
      </c>
      <c r="Y1375" s="12">
        <v>0</v>
      </c>
      <c r="Z1375" s="60">
        <v>0</v>
      </c>
      <c r="AA1375" s="60">
        <v>0</v>
      </c>
      <c r="AB1375" s="60">
        <v>0</v>
      </c>
      <c r="AC1375" s="60">
        <v>0</v>
      </c>
      <c r="AD1375" s="60">
        <v>0</v>
      </c>
      <c r="AE1375" s="60">
        <v>0</v>
      </c>
      <c r="AF1375" s="60">
        <v>18</v>
      </c>
      <c r="AG1375" s="60">
        <v>0</v>
      </c>
      <c r="AH1375" s="60">
        <v>0</v>
      </c>
      <c r="AI1375" s="68">
        <v>0</v>
      </c>
      <c r="AJ1375" s="68">
        <v>0</v>
      </c>
      <c r="AK1375" s="68">
        <v>0</v>
      </c>
      <c r="AL1375" s="68">
        <v>1.5</v>
      </c>
      <c r="AM1375" s="60">
        <v>0</v>
      </c>
      <c r="AN1375" s="60">
        <v>0</v>
      </c>
      <c r="AO1375" s="60">
        <v>0</v>
      </c>
      <c r="AP1375" s="64">
        <v>0</v>
      </c>
      <c r="AQ1375" s="60">
        <v>3000</v>
      </c>
      <c r="AR1375" s="60">
        <v>0.15</v>
      </c>
      <c r="AS1375" s="60">
        <v>0</v>
      </c>
      <c r="AT1375" s="68">
        <v>0</v>
      </c>
      <c r="AU1375" s="60" t="s">
        <v>198</v>
      </c>
      <c r="AV1375" s="60"/>
      <c r="AW1375" s="59" t="s">
        <v>198</v>
      </c>
      <c r="AX1375" s="60" t="s">
        <v>545</v>
      </c>
      <c r="AY1375" s="64">
        <v>0</v>
      </c>
      <c r="AZ1375" s="64">
        <v>0</v>
      </c>
      <c r="BA1375" s="59" t="s">
        <v>2368</v>
      </c>
      <c r="BB1375" s="352" t="s">
        <v>2896</v>
      </c>
      <c r="BC1375" s="66">
        <v>0</v>
      </c>
      <c r="BD1375" s="66">
        <v>0</v>
      </c>
      <c r="BE1375" s="90" t="s">
        <v>2897</v>
      </c>
      <c r="BF1375" s="90" t="s">
        <v>2898</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ht="20.100000000000001" customHeight="1">
      <c r="C1376" s="64">
        <v>63303002</v>
      </c>
      <c r="D1376" s="17" t="s">
        <v>2792</v>
      </c>
      <c r="E1376" s="17" t="s">
        <v>2793</v>
      </c>
      <c r="F1376" s="16">
        <v>1</v>
      </c>
      <c r="G1376" s="16">
        <v>63003003</v>
      </c>
      <c r="H1376" s="16">
        <v>0</v>
      </c>
      <c r="I1376" s="27">
        <v>0</v>
      </c>
      <c r="J1376" s="18">
        <v>1</v>
      </c>
      <c r="K1376" s="18">
        <v>0</v>
      </c>
      <c r="L1376" s="16">
        <v>0</v>
      </c>
      <c r="M1376" s="16">
        <v>0</v>
      </c>
      <c r="N1376" s="16">
        <v>0</v>
      </c>
      <c r="O1376" s="16">
        <v>8</v>
      </c>
      <c r="P1376" s="16">
        <v>0</v>
      </c>
      <c r="Q1376" s="16">
        <v>0</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198</v>
      </c>
      <c r="AI1376" s="12">
        <v>0</v>
      </c>
      <c r="AJ1376" s="12">
        <v>0</v>
      </c>
      <c r="AK1376" s="12">
        <v>0</v>
      </c>
      <c r="AL1376" s="12">
        <v>0</v>
      </c>
      <c r="AM1376" s="16">
        <v>0</v>
      </c>
      <c r="AN1376" s="16">
        <v>0</v>
      </c>
      <c r="AO1376" s="16">
        <v>0</v>
      </c>
      <c r="AP1376" s="16">
        <v>0</v>
      </c>
      <c r="AQ1376" s="16">
        <v>0</v>
      </c>
      <c r="AR1376" s="16">
        <v>0</v>
      </c>
      <c r="AS1376" s="16">
        <v>0</v>
      </c>
      <c r="AT1376" s="12">
        <v>0</v>
      </c>
      <c r="AU1376" s="16" t="s">
        <v>198</v>
      </c>
      <c r="AV1376" s="16"/>
      <c r="AW1376" s="17" t="s">
        <v>198</v>
      </c>
      <c r="AX1376" s="16">
        <v>0</v>
      </c>
      <c r="AY1376" s="18">
        <v>0</v>
      </c>
      <c r="AZ1376" s="18">
        <v>0</v>
      </c>
      <c r="BA1376" s="17" t="s">
        <v>198</v>
      </c>
      <c r="BB1376" s="16" t="s">
        <v>2794</v>
      </c>
      <c r="BC1376" s="27">
        <v>0</v>
      </c>
      <c r="BD1376" s="27">
        <v>0</v>
      </c>
      <c r="BE1376" s="44" t="s">
        <v>2795</v>
      </c>
      <c r="BF1376" s="44" t="s">
        <v>2796</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row>
    <row r="1377" spans="1:75" ht="20.100000000000001" customHeight="1">
      <c r="C1377" s="64">
        <v>63303003</v>
      </c>
      <c r="D1377" s="173" t="s">
        <v>5435</v>
      </c>
      <c r="E1377" s="173" t="s">
        <v>2747</v>
      </c>
      <c r="F1377" s="172">
        <v>1</v>
      </c>
      <c r="G1377" s="172">
        <v>63003002</v>
      </c>
      <c r="H1377" s="172">
        <v>0</v>
      </c>
      <c r="I1377" s="174">
        <v>0</v>
      </c>
      <c r="J1377" s="176">
        <v>1</v>
      </c>
      <c r="K1377" s="176">
        <v>0</v>
      </c>
      <c r="L1377" s="172">
        <v>0</v>
      </c>
      <c r="M1377" s="172">
        <v>0</v>
      </c>
      <c r="N1377" s="172">
        <v>0</v>
      </c>
      <c r="O1377" s="172">
        <v>2</v>
      </c>
      <c r="P1377" s="172">
        <v>0</v>
      </c>
      <c r="Q1377" s="172">
        <v>0</v>
      </c>
      <c r="R1377" s="172">
        <v>0</v>
      </c>
      <c r="S1377" s="175">
        <v>0</v>
      </c>
      <c r="T1377" s="172">
        <v>0</v>
      </c>
      <c r="U1377" s="172">
        <v>1</v>
      </c>
      <c r="V1377" s="172">
        <v>0</v>
      </c>
      <c r="W1377" s="172">
        <v>0</v>
      </c>
      <c r="X1377" s="176">
        <v>0</v>
      </c>
      <c r="Y1377" s="12">
        <v>0</v>
      </c>
      <c r="Z1377" s="176">
        <v>0</v>
      </c>
      <c r="AA1377" s="172">
        <v>0</v>
      </c>
      <c r="AB1377" s="172">
        <v>0</v>
      </c>
      <c r="AC1377" s="172">
        <v>0</v>
      </c>
      <c r="AD1377" s="172">
        <v>1</v>
      </c>
      <c r="AE1377" s="172">
        <v>0</v>
      </c>
      <c r="AF1377" s="172">
        <v>0</v>
      </c>
      <c r="AG1377" s="172">
        <v>0</v>
      </c>
      <c r="AH1377" s="172" t="s">
        <v>198</v>
      </c>
      <c r="AI1377" s="175">
        <v>0</v>
      </c>
      <c r="AJ1377" s="175">
        <v>0</v>
      </c>
      <c r="AK1377" s="175">
        <v>0</v>
      </c>
      <c r="AL1377" s="175">
        <v>0</v>
      </c>
      <c r="AM1377" s="172">
        <v>0</v>
      </c>
      <c r="AN1377" s="172">
        <v>0</v>
      </c>
      <c r="AO1377" s="172">
        <v>0</v>
      </c>
      <c r="AP1377" s="172">
        <v>0</v>
      </c>
      <c r="AQ1377" s="172">
        <v>0</v>
      </c>
      <c r="AR1377" s="172">
        <v>0</v>
      </c>
      <c r="AS1377" s="172">
        <v>0</v>
      </c>
      <c r="AT1377" s="175">
        <v>0</v>
      </c>
      <c r="AU1377" s="172" t="s">
        <v>198</v>
      </c>
      <c r="AV1377" s="172"/>
      <c r="AW1377" s="173" t="s">
        <v>198</v>
      </c>
      <c r="AX1377" s="172">
        <v>0</v>
      </c>
      <c r="AY1377" s="176">
        <v>0</v>
      </c>
      <c r="AZ1377" s="176">
        <v>0</v>
      </c>
      <c r="BA1377" s="173" t="s">
        <v>198</v>
      </c>
      <c r="BB1377" s="172">
        <v>0</v>
      </c>
      <c r="BC1377" s="174"/>
      <c r="BD1377" s="174"/>
      <c r="BE1377" s="206" t="s">
        <v>2748</v>
      </c>
      <c r="BF1377" s="206" t="s">
        <v>2749</v>
      </c>
      <c r="BG1377" s="172">
        <v>0</v>
      </c>
      <c r="BH1377" s="172">
        <v>0</v>
      </c>
      <c r="BI1377" s="172">
        <v>0</v>
      </c>
      <c r="BJ1377" s="172">
        <v>0</v>
      </c>
      <c r="BK1377" s="172">
        <v>0</v>
      </c>
      <c r="BL1377" s="172">
        <v>0</v>
      </c>
      <c r="BM1377" s="178">
        <v>0</v>
      </c>
      <c r="BN1377" s="175">
        <v>0</v>
      </c>
      <c r="BO1377" s="175">
        <v>0</v>
      </c>
      <c r="BP1377" s="175">
        <v>0</v>
      </c>
      <c r="BQ1377" s="175">
        <v>0</v>
      </c>
      <c r="BR1377" s="175">
        <v>0</v>
      </c>
      <c r="BS1377" s="175">
        <v>0</v>
      </c>
      <c r="BT1377" s="12">
        <v>0</v>
      </c>
      <c r="BU1377" s="47">
        <v>0</v>
      </c>
      <c r="BV1377" s="47"/>
      <c r="BW1377" s="47"/>
    </row>
    <row r="1378" spans="1:75" ht="20.100000000000001" customHeight="1">
      <c r="C1378" s="64">
        <v>63303004</v>
      </c>
      <c r="D1378" s="173" t="s">
        <v>2899</v>
      </c>
      <c r="E1378" s="173" t="s">
        <v>2900</v>
      </c>
      <c r="F1378" s="172">
        <v>1</v>
      </c>
      <c r="G1378" s="172">
        <v>63303004</v>
      </c>
      <c r="H1378" s="172">
        <v>0</v>
      </c>
      <c r="I1378" s="174">
        <v>0</v>
      </c>
      <c r="J1378" s="176">
        <v>1</v>
      </c>
      <c r="K1378" s="176">
        <v>0</v>
      </c>
      <c r="L1378" s="172">
        <v>0</v>
      </c>
      <c r="M1378" s="172">
        <v>0</v>
      </c>
      <c r="N1378" s="172">
        <v>0</v>
      </c>
      <c r="O1378" s="172">
        <v>2</v>
      </c>
      <c r="P1378" s="172">
        <v>12</v>
      </c>
      <c r="Q1378" s="172">
        <v>1</v>
      </c>
      <c r="R1378" s="172">
        <v>0</v>
      </c>
      <c r="S1378" s="175">
        <v>0</v>
      </c>
      <c r="T1378" s="172">
        <v>0</v>
      </c>
      <c r="U1378" s="172">
        <v>1</v>
      </c>
      <c r="V1378" s="172">
        <v>2</v>
      </c>
      <c r="W1378" s="172">
        <v>0</v>
      </c>
      <c r="X1378" s="176">
        <v>0</v>
      </c>
      <c r="Y1378" s="12">
        <v>0</v>
      </c>
      <c r="Z1378" s="176">
        <v>0</v>
      </c>
      <c r="AA1378" s="172">
        <v>0</v>
      </c>
      <c r="AB1378" s="172">
        <v>0</v>
      </c>
      <c r="AC1378" s="172">
        <v>0</v>
      </c>
      <c r="AD1378" s="172">
        <v>1</v>
      </c>
      <c r="AE1378" s="172">
        <v>0</v>
      </c>
      <c r="AF1378" s="172">
        <v>60</v>
      </c>
      <c r="AG1378" s="172">
        <v>1</v>
      </c>
      <c r="AH1378" s="172">
        <v>10</v>
      </c>
      <c r="AI1378" s="175">
        <v>0</v>
      </c>
      <c r="AJ1378" s="175">
        <v>0</v>
      </c>
      <c r="AK1378" s="175">
        <v>0</v>
      </c>
      <c r="AL1378" s="175">
        <v>0</v>
      </c>
      <c r="AM1378" s="172">
        <v>0</v>
      </c>
      <c r="AN1378" s="172">
        <v>0</v>
      </c>
      <c r="AO1378" s="172">
        <v>0</v>
      </c>
      <c r="AP1378" s="172">
        <v>0</v>
      </c>
      <c r="AQ1378" s="172">
        <v>50000</v>
      </c>
      <c r="AR1378" s="172">
        <v>0</v>
      </c>
      <c r="AS1378" s="172">
        <v>0</v>
      </c>
      <c r="AT1378" s="175">
        <v>90503009</v>
      </c>
      <c r="AU1378" s="175">
        <v>90503009</v>
      </c>
      <c r="AV1378" s="172"/>
      <c r="AW1378" s="173" t="s">
        <v>198</v>
      </c>
      <c r="AX1378" s="172">
        <v>0</v>
      </c>
      <c r="AY1378" s="176">
        <v>0</v>
      </c>
      <c r="AZ1378" s="176">
        <v>0</v>
      </c>
      <c r="BA1378" s="173" t="s">
        <v>2710</v>
      </c>
      <c r="BB1378" s="172">
        <v>0</v>
      </c>
      <c r="BC1378" s="174">
        <v>0</v>
      </c>
      <c r="BD1378" s="174">
        <v>0</v>
      </c>
      <c r="BE1378" s="206" t="s">
        <v>2872</v>
      </c>
      <c r="BF1378" s="206" t="s">
        <v>2873</v>
      </c>
      <c r="BG1378" s="172">
        <v>0</v>
      </c>
      <c r="BH1378" s="172">
        <v>0</v>
      </c>
      <c r="BI1378" s="172">
        <v>0</v>
      </c>
      <c r="BJ1378" s="172">
        <v>0</v>
      </c>
      <c r="BK1378" s="172">
        <v>0</v>
      </c>
      <c r="BL1378" s="172">
        <v>0</v>
      </c>
      <c r="BM1378" s="178">
        <v>0</v>
      </c>
      <c r="BN1378" s="175">
        <v>1</v>
      </c>
      <c r="BO1378" s="175">
        <v>0</v>
      </c>
      <c r="BP1378" s="175">
        <v>0</v>
      </c>
      <c r="BQ1378" s="175">
        <v>0</v>
      </c>
      <c r="BR1378" s="175">
        <v>0</v>
      </c>
      <c r="BS1378" s="175">
        <v>0</v>
      </c>
      <c r="BT1378" s="12">
        <v>0</v>
      </c>
      <c r="BU1378" s="47">
        <v>0</v>
      </c>
      <c r="BV1378" s="47"/>
      <c r="BW1378" s="47"/>
    </row>
    <row r="1379" spans="1:75" s="1" customFormat="1" ht="20.100000000000001" customHeight="1">
      <c r="A1379" s="216"/>
      <c r="B1379" s="216"/>
      <c r="C1379" s="64">
        <v>63304001</v>
      </c>
      <c r="D1379" s="59" t="s">
        <v>2901</v>
      </c>
      <c r="E1379" s="147" t="s">
        <v>2902</v>
      </c>
      <c r="F1379" s="93">
        <v>1</v>
      </c>
      <c r="G1379" s="60">
        <v>0</v>
      </c>
      <c r="H1379" s="64">
        <v>0</v>
      </c>
      <c r="I1379" s="66">
        <v>0</v>
      </c>
      <c r="J1379" s="64">
        <v>1</v>
      </c>
      <c r="K1379" s="60">
        <v>0</v>
      </c>
      <c r="L1379" s="64">
        <v>0</v>
      </c>
      <c r="M1379" s="60">
        <v>0</v>
      </c>
      <c r="N1379" s="60">
        <v>0</v>
      </c>
      <c r="O1379" s="60">
        <v>2</v>
      </c>
      <c r="P1379" s="60">
        <v>1</v>
      </c>
      <c r="Q1379" s="60">
        <v>0.3</v>
      </c>
      <c r="R1379" s="60">
        <v>0</v>
      </c>
      <c r="S1379" s="68">
        <v>0</v>
      </c>
      <c r="T1379" s="60">
        <v>0</v>
      </c>
      <c r="U1379" s="60">
        <v>1</v>
      </c>
      <c r="V1379" s="60">
        <v>1</v>
      </c>
      <c r="W1379" s="60">
        <v>0</v>
      </c>
      <c r="X1379" s="60">
        <v>0</v>
      </c>
      <c r="Y1379" s="12">
        <v>0</v>
      </c>
      <c r="Z1379" s="60">
        <v>0</v>
      </c>
      <c r="AA1379" s="60">
        <v>0</v>
      </c>
      <c r="AB1379" s="60">
        <v>0</v>
      </c>
      <c r="AC1379" s="60">
        <v>0</v>
      </c>
      <c r="AD1379" s="60">
        <v>0</v>
      </c>
      <c r="AE1379" s="60">
        <v>0</v>
      </c>
      <c r="AF1379" s="60">
        <v>0</v>
      </c>
      <c r="AG1379" s="60">
        <v>0</v>
      </c>
      <c r="AH1379" s="60">
        <v>0</v>
      </c>
      <c r="AI1379" s="68">
        <v>0</v>
      </c>
      <c r="AJ1379" s="68">
        <v>0</v>
      </c>
      <c r="AK1379" s="68">
        <v>0</v>
      </c>
      <c r="AL1379" s="68">
        <v>1.5</v>
      </c>
      <c r="AM1379" s="60">
        <v>0</v>
      </c>
      <c r="AN1379" s="60">
        <v>0</v>
      </c>
      <c r="AO1379" s="60">
        <v>0</v>
      </c>
      <c r="AP1379" s="64">
        <v>0</v>
      </c>
      <c r="AQ1379" s="60">
        <v>1000</v>
      </c>
      <c r="AR1379" s="60">
        <v>0</v>
      </c>
      <c r="AS1379" s="60">
        <v>0</v>
      </c>
      <c r="AT1379" s="68">
        <v>95201001</v>
      </c>
      <c r="AU1379" s="60">
        <v>0</v>
      </c>
      <c r="AV1379" s="60"/>
      <c r="AW1379" s="59" t="s">
        <v>198</v>
      </c>
      <c r="AX1379" s="60" t="s">
        <v>545</v>
      </c>
      <c r="AY1379" s="64">
        <v>0</v>
      </c>
      <c r="AZ1379" s="64">
        <v>0</v>
      </c>
      <c r="BA1379" s="59" t="s">
        <v>200</v>
      </c>
      <c r="BB1379" s="60">
        <v>0</v>
      </c>
      <c r="BC1379" s="66">
        <v>0</v>
      </c>
      <c r="BD1379" s="66">
        <v>0</v>
      </c>
      <c r="BE1379" s="90" t="s">
        <v>2903</v>
      </c>
      <c r="BF1379" s="90" t="s">
        <v>2904</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s="1" customFormat="1" ht="20.100000000000001" customHeight="1">
      <c r="A1380" s="216"/>
      <c r="B1380" s="216"/>
      <c r="C1380" s="64">
        <v>63304002</v>
      </c>
      <c r="D1380" s="59" t="s">
        <v>2905</v>
      </c>
      <c r="E1380" s="147" t="s">
        <v>2906</v>
      </c>
      <c r="F1380" s="93">
        <v>1</v>
      </c>
      <c r="G1380" s="60">
        <v>0</v>
      </c>
      <c r="H1380" s="64">
        <v>0</v>
      </c>
      <c r="I1380" s="66">
        <v>0</v>
      </c>
      <c r="J1380" s="64">
        <v>1</v>
      </c>
      <c r="K1380" s="60">
        <v>0</v>
      </c>
      <c r="L1380" s="64">
        <v>0</v>
      </c>
      <c r="M1380" s="60">
        <v>0</v>
      </c>
      <c r="N1380" s="60">
        <v>0</v>
      </c>
      <c r="O1380" s="60">
        <v>2</v>
      </c>
      <c r="P1380" s="60">
        <v>16</v>
      </c>
      <c r="Q1380" s="60">
        <v>5</v>
      </c>
      <c r="R1380" s="60">
        <v>0</v>
      </c>
      <c r="S1380" s="68">
        <v>0</v>
      </c>
      <c r="T1380" s="60">
        <v>0</v>
      </c>
      <c r="U1380" s="60">
        <v>1</v>
      </c>
      <c r="V1380" s="60">
        <v>1</v>
      </c>
      <c r="W1380" s="60">
        <v>0</v>
      </c>
      <c r="X1380" s="60">
        <v>0</v>
      </c>
      <c r="Y1380" s="12">
        <v>0</v>
      </c>
      <c r="Z1380" s="60">
        <v>0</v>
      </c>
      <c r="AA1380" s="60">
        <v>0</v>
      </c>
      <c r="AB1380" s="60">
        <v>0</v>
      </c>
      <c r="AC1380" s="60">
        <v>0</v>
      </c>
      <c r="AD1380" s="60">
        <v>0</v>
      </c>
      <c r="AE1380" s="60">
        <v>0</v>
      </c>
      <c r="AF1380" s="60">
        <v>0</v>
      </c>
      <c r="AG1380" s="60">
        <v>1</v>
      </c>
      <c r="AH1380" s="60">
        <v>1</v>
      </c>
      <c r="AI1380" s="68">
        <v>7</v>
      </c>
      <c r="AJ1380" s="68">
        <v>1</v>
      </c>
      <c r="AK1380" s="68">
        <v>0</v>
      </c>
      <c r="AL1380" s="68">
        <v>1.5</v>
      </c>
      <c r="AM1380" s="60">
        <v>0</v>
      </c>
      <c r="AN1380" s="60">
        <v>0</v>
      </c>
      <c r="AO1380" s="60">
        <v>0</v>
      </c>
      <c r="AP1380" s="64">
        <v>0</v>
      </c>
      <c r="AQ1380" s="60">
        <v>1000</v>
      </c>
      <c r="AR1380" s="60">
        <v>0</v>
      </c>
      <c r="AS1380" s="60">
        <v>0</v>
      </c>
      <c r="AT1380" s="68">
        <v>0</v>
      </c>
      <c r="AU1380" s="60">
        <v>95201002</v>
      </c>
      <c r="AV1380" s="60"/>
      <c r="AW1380" s="59" t="s">
        <v>198</v>
      </c>
      <c r="AX1380" s="60" t="s">
        <v>545</v>
      </c>
      <c r="AY1380" s="64">
        <v>0</v>
      </c>
      <c r="AZ1380" s="64">
        <v>0</v>
      </c>
      <c r="BA1380" s="59" t="s">
        <v>200</v>
      </c>
      <c r="BB1380" s="60">
        <v>0</v>
      </c>
      <c r="BC1380" s="66">
        <v>0</v>
      </c>
      <c r="BD1380" s="66">
        <v>0</v>
      </c>
      <c r="BE1380" s="90" t="s">
        <v>2907</v>
      </c>
      <c r="BF1380" s="90" t="s">
        <v>2908</v>
      </c>
      <c r="BG1380" s="60">
        <v>0</v>
      </c>
      <c r="BH1380" s="60">
        <v>0</v>
      </c>
      <c r="BI1380" s="60">
        <v>0</v>
      </c>
      <c r="BJ1380" s="60">
        <v>0</v>
      </c>
      <c r="BK1380" s="60">
        <v>0</v>
      </c>
      <c r="BL1380" s="60">
        <v>0</v>
      </c>
      <c r="BM1380" s="93">
        <v>0</v>
      </c>
      <c r="BN1380" s="68">
        <v>0</v>
      </c>
      <c r="BO1380" s="68">
        <v>0</v>
      </c>
      <c r="BP1380" s="68">
        <v>0</v>
      </c>
      <c r="BQ1380" s="68">
        <v>0</v>
      </c>
      <c r="BR1380" s="68">
        <v>0</v>
      </c>
      <c r="BS1380" s="68">
        <v>0</v>
      </c>
      <c r="BT1380" s="68">
        <v>0</v>
      </c>
      <c r="BU1380" s="68">
        <v>0</v>
      </c>
      <c r="BV1380" s="47"/>
      <c r="BW1380" s="47"/>
    </row>
    <row r="1381" spans="1:75" s="1" customFormat="1" ht="19.5" customHeight="1">
      <c r="C1381" s="64">
        <v>63304003</v>
      </c>
      <c r="D1381" s="59" t="s">
        <v>731</v>
      </c>
      <c r="E1381" s="59" t="s">
        <v>674</v>
      </c>
      <c r="F1381" s="64">
        <v>1</v>
      </c>
      <c r="G1381" s="64">
        <v>0</v>
      </c>
      <c r="H1381" s="64">
        <v>0</v>
      </c>
      <c r="I1381" s="66">
        <v>0</v>
      </c>
      <c r="J1381" s="64">
        <v>1</v>
      </c>
      <c r="K1381" s="64">
        <v>0</v>
      </c>
      <c r="L1381" s="64">
        <v>0</v>
      </c>
      <c r="M1381" s="60">
        <v>0</v>
      </c>
      <c r="N1381" s="60">
        <v>0</v>
      </c>
      <c r="O1381" s="60">
        <v>2</v>
      </c>
      <c r="P1381" s="60">
        <v>3</v>
      </c>
      <c r="Q1381" s="60">
        <v>0.3</v>
      </c>
      <c r="R1381" s="60">
        <v>0</v>
      </c>
      <c r="S1381" s="68">
        <v>1</v>
      </c>
      <c r="T1381" s="60">
        <v>0</v>
      </c>
      <c r="U1381" s="60">
        <v>1</v>
      </c>
      <c r="V1381" s="60">
        <v>2</v>
      </c>
      <c r="W1381" s="60">
        <v>0</v>
      </c>
      <c r="X1381" s="60">
        <v>1.2</v>
      </c>
      <c r="Y1381" s="12">
        <v>0</v>
      </c>
      <c r="Z1381" s="60">
        <v>0</v>
      </c>
      <c r="AA1381" s="60">
        <v>1</v>
      </c>
      <c r="AB1381" s="60">
        <v>0</v>
      </c>
      <c r="AC1381" s="60">
        <v>0</v>
      </c>
      <c r="AD1381" s="60">
        <v>1</v>
      </c>
      <c r="AE1381" s="60">
        <v>1</v>
      </c>
      <c r="AF1381" s="60">
        <v>4</v>
      </c>
      <c r="AG1381" s="60">
        <v>1</v>
      </c>
      <c r="AH1381" s="60">
        <v>3</v>
      </c>
      <c r="AI1381" s="68">
        <v>0</v>
      </c>
      <c r="AJ1381" s="68">
        <v>1</v>
      </c>
      <c r="AK1381" s="68">
        <v>0</v>
      </c>
      <c r="AL1381" s="68">
        <v>3</v>
      </c>
      <c r="AM1381" s="60">
        <v>0</v>
      </c>
      <c r="AN1381" s="60">
        <v>0</v>
      </c>
      <c r="AO1381" s="60">
        <v>0</v>
      </c>
      <c r="AP1381" s="60">
        <v>0</v>
      </c>
      <c r="AQ1381" s="60">
        <v>500</v>
      </c>
      <c r="AR1381" s="60">
        <v>0.3</v>
      </c>
      <c r="AS1381" s="60">
        <v>0</v>
      </c>
      <c r="AT1381" s="68">
        <v>0</v>
      </c>
      <c r="AU1381" s="331" t="s">
        <v>2909</v>
      </c>
      <c r="AV1381" s="79"/>
      <c r="AW1381" s="63" t="s">
        <v>198</v>
      </c>
      <c r="AX1381" s="60" t="s">
        <v>534</v>
      </c>
      <c r="AY1381" s="64">
        <v>0</v>
      </c>
      <c r="AZ1381" s="64">
        <v>77005401</v>
      </c>
      <c r="BA1381" s="59" t="s">
        <v>200</v>
      </c>
      <c r="BB1381" s="60">
        <v>0</v>
      </c>
      <c r="BC1381" s="66">
        <v>0</v>
      </c>
      <c r="BD1381" s="66">
        <v>0</v>
      </c>
      <c r="BE1381" s="90" t="s">
        <v>2910</v>
      </c>
      <c r="BF1381" s="90" t="s">
        <v>2911</v>
      </c>
      <c r="BG1381" s="60">
        <v>0</v>
      </c>
      <c r="BH1381" s="60">
        <v>0</v>
      </c>
      <c r="BI1381" s="60">
        <v>0</v>
      </c>
      <c r="BJ1381" s="60">
        <v>0</v>
      </c>
      <c r="BK1381" s="60">
        <v>0</v>
      </c>
      <c r="BL1381" s="60">
        <v>0</v>
      </c>
      <c r="BM1381" s="93">
        <v>0</v>
      </c>
      <c r="BN1381" s="68">
        <v>0</v>
      </c>
      <c r="BO1381" s="68">
        <v>0</v>
      </c>
      <c r="BP1381" s="68">
        <v>0</v>
      </c>
      <c r="BQ1381" s="68">
        <v>0</v>
      </c>
      <c r="BR1381" s="68">
        <v>0</v>
      </c>
      <c r="BS1381" s="68">
        <v>0</v>
      </c>
      <c r="BT1381" s="68">
        <v>0</v>
      </c>
      <c r="BU1381" s="68">
        <v>0</v>
      </c>
      <c r="BV1381" s="47"/>
      <c r="BW1381" s="47"/>
    </row>
    <row r="1382" spans="1:75" s="1" customFormat="1" ht="19.5" customHeight="1">
      <c r="C1382" s="64">
        <v>63304004</v>
      </c>
      <c r="D1382" s="59" t="s">
        <v>2912</v>
      </c>
      <c r="E1382" s="59" t="s">
        <v>2913</v>
      </c>
      <c r="F1382" s="64">
        <v>1</v>
      </c>
      <c r="G1382" s="64">
        <v>0</v>
      </c>
      <c r="H1382" s="64">
        <v>0</v>
      </c>
      <c r="I1382" s="66">
        <v>0</v>
      </c>
      <c r="J1382" s="64">
        <v>1</v>
      </c>
      <c r="K1382" s="64">
        <v>0</v>
      </c>
      <c r="L1382" s="64">
        <v>0</v>
      </c>
      <c r="M1382" s="60">
        <v>0</v>
      </c>
      <c r="N1382" s="60">
        <v>0</v>
      </c>
      <c r="O1382" s="60">
        <v>2</v>
      </c>
      <c r="P1382" s="60">
        <v>3</v>
      </c>
      <c r="Q1382" s="60">
        <v>1</v>
      </c>
      <c r="R1382" s="60">
        <v>1</v>
      </c>
      <c r="S1382" s="68">
        <v>1</v>
      </c>
      <c r="T1382" s="60">
        <v>0</v>
      </c>
      <c r="U1382" s="60">
        <v>1</v>
      </c>
      <c r="V1382" s="60">
        <v>2</v>
      </c>
      <c r="W1382" s="60">
        <v>0</v>
      </c>
      <c r="X1382" s="60">
        <v>0</v>
      </c>
      <c r="Y1382" s="12">
        <v>0</v>
      </c>
      <c r="Z1382" s="60">
        <v>0</v>
      </c>
      <c r="AA1382" s="60">
        <v>1</v>
      </c>
      <c r="AB1382" s="60">
        <v>0</v>
      </c>
      <c r="AC1382" s="60">
        <v>0</v>
      </c>
      <c r="AD1382" s="60">
        <v>1</v>
      </c>
      <c r="AE1382" s="60">
        <v>1</v>
      </c>
      <c r="AF1382" s="60">
        <v>0</v>
      </c>
      <c r="AG1382" s="60">
        <v>1</v>
      </c>
      <c r="AH1382" s="60">
        <v>3</v>
      </c>
      <c r="AI1382" s="68">
        <v>0</v>
      </c>
      <c r="AJ1382" s="68">
        <v>1</v>
      </c>
      <c r="AK1382" s="68">
        <v>0</v>
      </c>
      <c r="AL1382" s="68">
        <v>3</v>
      </c>
      <c r="AM1382" s="60">
        <v>0</v>
      </c>
      <c r="AN1382" s="60">
        <v>0</v>
      </c>
      <c r="AO1382" s="60">
        <v>0</v>
      </c>
      <c r="AP1382" s="60">
        <v>0</v>
      </c>
      <c r="AQ1382" s="60">
        <v>500</v>
      </c>
      <c r="AR1382" s="60">
        <v>0</v>
      </c>
      <c r="AS1382" s="60">
        <v>0</v>
      </c>
      <c r="AT1382" s="68">
        <v>95201004</v>
      </c>
      <c r="AU1382" s="79">
        <v>0</v>
      </c>
      <c r="AV1382" s="79"/>
      <c r="AW1382" s="63" t="s">
        <v>198</v>
      </c>
      <c r="AX1382" s="60" t="s">
        <v>534</v>
      </c>
      <c r="AY1382" s="64">
        <v>0</v>
      </c>
      <c r="AZ1382" s="64">
        <v>0</v>
      </c>
      <c r="BA1382" s="59" t="s">
        <v>200</v>
      </c>
      <c r="BB1382" s="60">
        <v>0</v>
      </c>
      <c r="BC1382" s="66">
        <v>0</v>
      </c>
      <c r="BD1382" s="66">
        <v>0</v>
      </c>
      <c r="BE1382" s="90" t="s">
        <v>2914</v>
      </c>
      <c r="BF1382" s="90" t="s">
        <v>2915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s="1" customFormat="1" ht="19.5" customHeight="1">
      <c r="C1383" s="64">
        <v>63304005</v>
      </c>
      <c r="D1383" s="59" t="s">
        <v>2916</v>
      </c>
      <c r="E1383" s="59" t="s">
        <v>2917</v>
      </c>
      <c r="F1383" s="64">
        <v>1</v>
      </c>
      <c r="G1383" s="64">
        <v>0</v>
      </c>
      <c r="H1383" s="64">
        <v>0</v>
      </c>
      <c r="I1383" s="66">
        <v>0</v>
      </c>
      <c r="J1383" s="64">
        <v>1</v>
      </c>
      <c r="K1383" s="64">
        <v>0</v>
      </c>
      <c r="L1383" s="64">
        <v>0</v>
      </c>
      <c r="M1383" s="60">
        <v>0</v>
      </c>
      <c r="N1383" s="60">
        <v>0</v>
      </c>
      <c r="O1383" s="60">
        <v>2</v>
      </c>
      <c r="P1383" s="60">
        <v>3</v>
      </c>
      <c r="Q1383" s="60">
        <v>1</v>
      </c>
      <c r="R1383" s="60">
        <v>1</v>
      </c>
      <c r="S1383" s="68">
        <v>1</v>
      </c>
      <c r="T1383" s="60">
        <v>0</v>
      </c>
      <c r="U1383" s="60">
        <v>1</v>
      </c>
      <c r="V1383" s="60">
        <v>2</v>
      </c>
      <c r="W1383" s="60">
        <v>0</v>
      </c>
      <c r="X1383" s="60">
        <v>0</v>
      </c>
      <c r="Y1383" s="12">
        <v>0</v>
      </c>
      <c r="Z1383" s="60">
        <v>0</v>
      </c>
      <c r="AA1383" s="60">
        <v>1</v>
      </c>
      <c r="AB1383" s="60">
        <v>0</v>
      </c>
      <c r="AC1383" s="60">
        <v>0</v>
      </c>
      <c r="AD1383" s="60">
        <v>1</v>
      </c>
      <c r="AE1383" s="60">
        <v>1</v>
      </c>
      <c r="AF1383" s="60">
        <v>0</v>
      </c>
      <c r="AG1383" s="60">
        <v>1</v>
      </c>
      <c r="AH1383" s="60">
        <v>3</v>
      </c>
      <c r="AI1383" s="68">
        <v>0</v>
      </c>
      <c r="AJ1383" s="68">
        <v>1</v>
      </c>
      <c r="AK1383" s="68">
        <v>0</v>
      </c>
      <c r="AL1383" s="68">
        <v>3</v>
      </c>
      <c r="AM1383" s="60">
        <v>0</v>
      </c>
      <c r="AN1383" s="60">
        <v>0</v>
      </c>
      <c r="AO1383" s="60">
        <v>0</v>
      </c>
      <c r="AP1383" s="60">
        <v>0</v>
      </c>
      <c r="AQ1383" s="60">
        <v>500</v>
      </c>
      <c r="AR1383" s="60">
        <v>0</v>
      </c>
      <c r="AS1383" s="60">
        <v>0</v>
      </c>
      <c r="AT1383" s="68">
        <v>95201005</v>
      </c>
      <c r="AU1383" s="79">
        <v>0</v>
      </c>
      <c r="AV1383" s="79"/>
      <c r="AW1383" s="63" t="s">
        <v>198</v>
      </c>
      <c r="AX1383" s="60" t="s">
        <v>534</v>
      </c>
      <c r="AY1383" s="64">
        <v>0</v>
      </c>
      <c r="AZ1383" s="64">
        <v>0</v>
      </c>
      <c r="BA1383" s="59" t="s">
        <v>200</v>
      </c>
      <c r="BB1383" s="60">
        <v>0</v>
      </c>
      <c r="BC1383" s="66">
        <v>0</v>
      </c>
      <c r="BD1383" s="66">
        <v>0</v>
      </c>
      <c r="BE1383" s="90" t="s">
        <v>2918</v>
      </c>
      <c r="BF1383" s="90" t="s">
        <v>2919</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20.100000000000001" customHeight="1">
      <c r="A1384" s="216"/>
      <c r="B1384" s="216"/>
      <c r="C1384" s="64">
        <v>63304006</v>
      </c>
      <c r="D1384" s="59" t="s">
        <v>2920</v>
      </c>
      <c r="E1384" s="147" t="s">
        <v>2921</v>
      </c>
      <c r="F1384" s="93">
        <v>1</v>
      </c>
      <c r="G1384" s="60">
        <v>0</v>
      </c>
      <c r="H1384" s="64">
        <v>0</v>
      </c>
      <c r="I1384" s="66">
        <v>0</v>
      </c>
      <c r="J1384" s="64">
        <v>1</v>
      </c>
      <c r="K1384" s="60">
        <v>0</v>
      </c>
      <c r="L1384" s="64">
        <v>0</v>
      </c>
      <c r="M1384" s="60">
        <v>0</v>
      </c>
      <c r="N1384" s="60">
        <v>0</v>
      </c>
      <c r="O1384" s="60">
        <v>2</v>
      </c>
      <c r="P1384" s="60">
        <v>1</v>
      </c>
      <c r="Q1384" s="60">
        <v>1</v>
      </c>
      <c r="R1384" s="60">
        <v>0</v>
      </c>
      <c r="S1384" s="68">
        <v>0</v>
      </c>
      <c r="T1384" s="60">
        <v>0</v>
      </c>
      <c r="U1384" s="60">
        <v>1</v>
      </c>
      <c r="V1384" s="60">
        <v>1</v>
      </c>
      <c r="W1384" s="60">
        <v>0</v>
      </c>
      <c r="X1384" s="60">
        <v>0</v>
      </c>
      <c r="Y1384" s="12">
        <v>0</v>
      </c>
      <c r="Z1384" s="60">
        <v>0</v>
      </c>
      <c r="AA1384" s="60">
        <v>0</v>
      </c>
      <c r="AB1384" s="60">
        <v>0</v>
      </c>
      <c r="AC1384" s="60">
        <v>0</v>
      </c>
      <c r="AD1384" s="60">
        <v>0</v>
      </c>
      <c r="AE1384" s="60">
        <v>0</v>
      </c>
      <c r="AF1384" s="60">
        <v>0</v>
      </c>
      <c r="AG1384" s="60">
        <v>1</v>
      </c>
      <c r="AH1384" s="60">
        <v>1</v>
      </c>
      <c r="AI1384" s="68">
        <v>0</v>
      </c>
      <c r="AJ1384" s="68">
        <v>1</v>
      </c>
      <c r="AK1384" s="68">
        <v>0</v>
      </c>
      <c r="AL1384" s="68">
        <v>1.5</v>
      </c>
      <c r="AM1384" s="60">
        <v>0</v>
      </c>
      <c r="AN1384" s="60">
        <v>0</v>
      </c>
      <c r="AO1384" s="60">
        <v>0</v>
      </c>
      <c r="AP1384" s="64">
        <v>0</v>
      </c>
      <c r="AQ1384" s="60">
        <v>500</v>
      </c>
      <c r="AR1384" s="60">
        <v>0</v>
      </c>
      <c r="AS1384" s="60">
        <v>0</v>
      </c>
      <c r="AT1384" s="339" t="s">
        <v>2922</v>
      </c>
      <c r="AU1384" s="60">
        <v>0</v>
      </c>
      <c r="AV1384" s="60"/>
      <c r="AW1384" s="59" t="s">
        <v>198</v>
      </c>
      <c r="AX1384" s="60" t="s">
        <v>545</v>
      </c>
      <c r="AY1384" s="64">
        <v>0</v>
      </c>
      <c r="AZ1384" s="64">
        <v>0</v>
      </c>
      <c r="BA1384" s="59" t="s">
        <v>200</v>
      </c>
      <c r="BB1384" s="60">
        <v>0</v>
      </c>
      <c r="BC1384" s="66">
        <v>0</v>
      </c>
      <c r="BD1384" s="66">
        <v>0</v>
      </c>
      <c r="BE1384" s="90" t="s">
        <v>2907</v>
      </c>
      <c r="BF1384" s="90" t="s">
        <v>2908</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ht="20.100000000000001" customHeight="1">
      <c r="C1385" s="16">
        <v>63401001</v>
      </c>
      <c r="D1385" s="17" t="s">
        <v>2923</v>
      </c>
      <c r="E1385" s="17"/>
      <c r="F1385" s="16">
        <v>1</v>
      </c>
      <c r="G1385" s="16">
        <v>63401001</v>
      </c>
      <c r="H1385" s="16">
        <v>0</v>
      </c>
      <c r="I1385" s="27">
        <v>0</v>
      </c>
      <c r="J1385" s="18">
        <v>1</v>
      </c>
      <c r="K1385" s="18">
        <v>0</v>
      </c>
      <c r="L1385" s="16">
        <v>0</v>
      </c>
      <c r="M1385" s="16">
        <v>0</v>
      </c>
      <c r="N1385" s="16">
        <v>0</v>
      </c>
      <c r="O1385" s="16">
        <v>2</v>
      </c>
      <c r="P1385" s="16">
        <v>12</v>
      </c>
      <c r="Q1385" s="16">
        <v>1</v>
      </c>
      <c r="R1385" s="16">
        <v>0</v>
      </c>
      <c r="S1385" s="12">
        <v>0</v>
      </c>
      <c r="T1385" s="16">
        <v>0</v>
      </c>
      <c r="U1385" s="16">
        <v>1</v>
      </c>
      <c r="V1385" s="16">
        <v>2</v>
      </c>
      <c r="W1385" s="16">
        <v>0</v>
      </c>
      <c r="X1385" s="18">
        <v>0</v>
      </c>
      <c r="Y1385" s="12">
        <v>0</v>
      </c>
      <c r="Z1385" s="18">
        <v>0</v>
      </c>
      <c r="AA1385" s="16">
        <v>0</v>
      </c>
      <c r="AB1385" s="16">
        <v>0</v>
      </c>
      <c r="AC1385" s="16">
        <v>0</v>
      </c>
      <c r="AD1385" s="16">
        <v>1</v>
      </c>
      <c r="AE1385" s="16">
        <v>0</v>
      </c>
      <c r="AF1385" s="16">
        <v>60</v>
      </c>
      <c r="AG1385" s="16">
        <v>1</v>
      </c>
      <c r="AH1385" s="16">
        <v>10</v>
      </c>
      <c r="AI1385" s="12">
        <v>0</v>
      </c>
      <c r="AJ1385" s="12">
        <v>0</v>
      </c>
      <c r="AK1385" s="12">
        <v>0</v>
      </c>
      <c r="AL1385" s="12">
        <v>0</v>
      </c>
      <c r="AM1385" s="16">
        <v>0</v>
      </c>
      <c r="AN1385" s="16">
        <v>0</v>
      </c>
      <c r="AO1385" s="16">
        <v>0</v>
      </c>
      <c r="AP1385" s="16">
        <v>0</v>
      </c>
      <c r="AQ1385" s="16">
        <v>50000</v>
      </c>
      <c r="AR1385" s="16">
        <v>0</v>
      </c>
      <c r="AS1385" s="16">
        <v>0</v>
      </c>
      <c r="AT1385" s="12">
        <v>0</v>
      </c>
      <c r="AU1385" s="347" t="s">
        <v>5449</v>
      </c>
      <c r="AV1385" s="16"/>
      <c r="AW1385" s="17" t="s">
        <v>198</v>
      </c>
      <c r="AX1385" s="16">
        <v>0</v>
      </c>
      <c r="AY1385" s="18">
        <v>0</v>
      </c>
      <c r="AZ1385" s="18">
        <v>0</v>
      </c>
      <c r="BA1385" s="17" t="s">
        <v>2710</v>
      </c>
      <c r="BB1385" s="16">
        <v>0</v>
      </c>
      <c r="BC1385" s="27">
        <v>0</v>
      </c>
      <c r="BD1385" s="27">
        <v>0</v>
      </c>
      <c r="BE1385" s="44" t="s">
        <v>2924</v>
      </c>
      <c r="BF1385" s="44"/>
      <c r="BG1385" s="16">
        <v>0</v>
      </c>
      <c r="BH1385" s="16">
        <v>0</v>
      </c>
      <c r="BI1385" s="16">
        <v>0</v>
      </c>
      <c r="BJ1385" s="16">
        <v>0</v>
      </c>
      <c r="BK1385" s="16">
        <v>0</v>
      </c>
      <c r="BL1385" s="16">
        <v>0</v>
      </c>
      <c r="BM1385" s="15">
        <v>0</v>
      </c>
      <c r="BN1385" s="12">
        <v>1</v>
      </c>
      <c r="BO1385" s="12">
        <v>0</v>
      </c>
      <c r="BP1385" s="12">
        <v>0</v>
      </c>
      <c r="BQ1385" s="12">
        <v>0</v>
      </c>
      <c r="BR1385" s="12">
        <v>0</v>
      </c>
      <c r="BS1385" s="12">
        <v>0</v>
      </c>
      <c r="BT1385" s="12">
        <v>0</v>
      </c>
      <c r="BU1385" s="47">
        <v>0</v>
      </c>
      <c r="BV1385" s="47"/>
      <c r="BW1385" s="47"/>
    </row>
    <row r="1386" spans="1:75" ht="20.100000000000001" customHeight="1">
      <c r="C1386" s="16">
        <v>63401002</v>
      </c>
      <c r="D1386" s="17" t="s">
        <v>5440</v>
      </c>
      <c r="E1386" s="17"/>
      <c r="F1386" s="16">
        <v>1</v>
      </c>
      <c r="G1386" s="16">
        <v>1000002</v>
      </c>
      <c r="H1386" s="16">
        <v>0</v>
      </c>
      <c r="I1386" s="27">
        <v>0</v>
      </c>
      <c r="J1386" s="18">
        <v>1</v>
      </c>
      <c r="K1386" s="18">
        <v>0</v>
      </c>
      <c r="L1386" s="16">
        <v>0</v>
      </c>
      <c r="M1386" s="16">
        <v>0</v>
      </c>
      <c r="N1386" s="16">
        <v>0</v>
      </c>
      <c r="O1386" s="16">
        <v>8</v>
      </c>
      <c r="P1386" s="16">
        <v>8</v>
      </c>
      <c r="Q1386" s="16">
        <v>2</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198</v>
      </c>
      <c r="AI1386" s="12">
        <v>0</v>
      </c>
      <c r="AJ1386" s="12">
        <v>0</v>
      </c>
      <c r="AK1386" s="12">
        <v>0</v>
      </c>
      <c r="AL1386" s="12">
        <v>0</v>
      </c>
      <c r="AM1386" s="16">
        <v>0</v>
      </c>
      <c r="AN1386" s="16">
        <v>0</v>
      </c>
      <c r="AO1386" s="16">
        <v>0</v>
      </c>
      <c r="AP1386" s="16">
        <v>0</v>
      </c>
      <c r="AQ1386" s="16">
        <v>0</v>
      </c>
      <c r="AR1386" s="16">
        <v>0</v>
      </c>
      <c r="AS1386" s="16">
        <v>0</v>
      </c>
      <c r="AT1386" s="12">
        <v>0</v>
      </c>
      <c r="AU1386" s="16" t="s">
        <v>198</v>
      </c>
      <c r="AV1386" s="16"/>
      <c r="AW1386" s="17" t="s">
        <v>198</v>
      </c>
      <c r="AX1386" s="16">
        <v>0</v>
      </c>
      <c r="AY1386" s="18">
        <v>0</v>
      </c>
      <c r="AZ1386" s="18">
        <v>0</v>
      </c>
      <c r="BA1386" s="17" t="s">
        <v>198</v>
      </c>
      <c r="BB1386" s="16" t="s">
        <v>2750</v>
      </c>
      <c r="BC1386" s="27">
        <v>0</v>
      </c>
      <c r="BD1386" s="27">
        <v>0</v>
      </c>
      <c r="BE1386" s="44" t="s">
        <v>2751</v>
      </c>
      <c r="BF1386" s="44"/>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row>
    <row r="1387" spans="1:75" ht="20.100000000000001" customHeight="1">
      <c r="C1387" s="16">
        <v>63401003</v>
      </c>
      <c r="D1387" s="17" t="s">
        <v>5435</v>
      </c>
      <c r="E1387" s="17"/>
      <c r="F1387" s="16">
        <v>1</v>
      </c>
      <c r="G1387" s="16">
        <v>63003002</v>
      </c>
      <c r="H1387" s="16">
        <v>0</v>
      </c>
      <c r="I1387" s="27">
        <v>0</v>
      </c>
      <c r="J1387" s="18">
        <v>1</v>
      </c>
      <c r="K1387" s="18">
        <v>0</v>
      </c>
      <c r="L1387" s="16">
        <v>0</v>
      </c>
      <c r="M1387" s="16">
        <v>0</v>
      </c>
      <c r="N1387" s="16">
        <v>0</v>
      </c>
      <c r="O1387" s="16">
        <v>2</v>
      </c>
      <c r="P1387" s="16">
        <v>0</v>
      </c>
      <c r="Q1387" s="16">
        <v>0</v>
      </c>
      <c r="R1387" s="16">
        <v>0</v>
      </c>
      <c r="S1387" s="12">
        <v>0</v>
      </c>
      <c r="T1387" s="16">
        <v>0</v>
      </c>
      <c r="U1387" s="16">
        <v>1</v>
      </c>
      <c r="V1387" s="16">
        <v>0</v>
      </c>
      <c r="W1387" s="16">
        <v>0</v>
      </c>
      <c r="X1387" s="18">
        <v>0</v>
      </c>
      <c r="Y1387" s="12">
        <v>0</v>
      </c>
      <c r="Z1387" s="18">
        <v>0</v>
      </c>
      <c r="AA1387" s="16">
        <v>0</v>
      </c>
      <c r="AB1387" s="16">
        <v>0</v>
      </c>
      <c r="AC1387" s="16">
        <v>0</v>
      </c>
      <c r="AD1387" s="16">
        <v>1</v>
      </c>
      <c r="AE1387" s="16">
        <v>0</v>
      </c>
      <c r="AF1387" s="16">
        <v>0</v>
      </c>
      <c r="AG1387" s="16">
        <v>0</v>
      </c>
      <c r="AH1387" s="16" t="s">
        <v>198</v>
      </c>
      <c r="AI1387" s="12">
        <v>0</v>
      </c>
      <c r="AJ1387" s="12">
        <v>0</v>
      </c>
      <c r="AK1387" s="12">
        <v>0</v>
      </c>
      <c r="AL1387" s="12">
        <v>0</v>
      </c>
      <c r="AM1387" s="16">
        <v>0</v>
      </c>
      <c r="AN1387" s="16">
        <v>0</v>
      </c>
      <c r="AO1387" s="16">
        <v>0</v>
      </c>
      <c r="AP1387" s="16">
        <v>0</v>
      </c>
      <c r="AQ1387" s="16">
        <v>0</v>
      </c>
      <c r="AR1387" s="16">
        <v>0</v>
      </c>
      <c r="AS1387" s="16">
        <v>0</v>
      </c>
      <c r="AT1387" s="12">
        <v>0</v>
      </c>
      <c r="AU1387" s="16" t="s">
        <v>198</v>
      </c>
      <c r="AV1387" s="16"/>
      <c r="AW1387" s="17" t="s">
        <v>198</v>
      </c>
      <c r="AX1387" s="16">
        <v>0</v>
      </c>
      <c r="AY1387" s="18">
        <v>0</v>
      </c>
      <c r="AZ1387" s="18">
        <v>0</v>
      </c>
      <c r="BA1387" s="17" t="s">
        <v>198</v>
      </c>
      <c r="BB1387" s="16">
        <v>0</v>
      </c>
      <c r="BC1387" s="27">
        <v>0</v>
      </c>
      <c r="BD1387" s="27">
        <v>0</v>
      </c>
      <c r="BE1387" s="44" t="s">
        <v>2748</v>
      </c>
      <c r="BF1387" s="44"/>
      <c r="BG1387" s="16">
        <v>0</v>
      </c>
      <c r="BH1387" s="16">
        <v>0</v>
      </c>
      <c r="BI1387" s="16">
        <v>0</v>
      </c>
      <c r="BJ1387" s="16">
        <v>0</v>
      </c>
      <c r="BK1387" s="16">
        <v>0</v>
      </c>
      <c r="BL1387" s="16">
        <v>0</v>
      </c>
      <c r="BM1387" s="15">
        <v>0</v>
      </c>
      <c r="BN1387" s="12">
        <v>0</v>
      </c>
      <c r="BO1387" s="12">
        <v>0</v>
      </c>
      <c r="BP1387" s="12">
        <v>0</v>
      </c>
      <c r="BQ1387" s="12">
        <v>0</v>
      </c>
      <c r="BR1387" s="12">
        <v>0</v>
      </c>
      <c r="BS1387" s="12">
        <v>0</v>
      </c>
      <c r="BT1387" s="12">
        <v>0</v>
      </c>
      <c r="BU1387" s="47">
        <v>0</v>
      </c>
      <c r="BV1387" s="47"/>
      <c r="BW1387" s="47"/>
    </row>
    <row r="1388" spans="1:75" ht="20.100000000000001" customHeight="1">
      <c r="C1388" s="16">
        <v>63401004</v>
      </c>
      <c r="D1388" s="236" t="s">
        <v>5433</v>
      </c>
      <c r="E1388" s="236"/>
      <c r="F1388" s="180">
        <v>1</v>
      </c>
      <c r="G1388" s="16">
        <v>63401004</v>
      </c>
      <c r="H1388" s="180">
        <v>0</v>
      </c>
      <c r="I1388" s="180">
        <v>0</v>
      </c>
      <c r="J1388" s="18">
        <v>1</v>
      </c>
      <c r="K1388" s="18">
        <v>0</v>
      </c>
      <c r="L1388" s="16">
        <v>0</v>
      </c>
      <c r="M1388" s="180">
        <v>0</v>
      </c>
      <c r="N1388" s="180">
        <v>0</v>
      </c>
      <c r="O1388" s="180">
        <v>2</v>
      </c>
      <c r="P1388" s="180">
        <v>21</v>
      </c>
      <c r="Q1388" s="180">
        <v>0.05</v>
      </c>
      <c r="R1388" s="180">
        <v>0</v>
      </c>
      <c r="S1388" s="12">
        <v>0</v>
      </c>
      <c r="T1388" s="180">
        <v>0</v>
      </c>
      <c r="U1388" s="180">
        <v>1</v>
      </c>
      <c r="V1388" s="180">
        <v>2</v>
      </c>
      <c r="W1388" s="180">
        <v>0</v>
      </c>
      <c r="X1388" s="180">
        <v>0</v>
      </c>
      <c r="Y1388" s="12">
        <v>0</v>
      </c>
      <c r="Z1388" s="180">
        <v>0</v>
      </c>
      <c r="AA1388" s="180">
        <v>0</v>
      </c>
      <c r="AB1388" s="180">
        <v>0</v>
      </c>
      <c r="AC1388" s="180">
        <v>0</v>
      </c>
      <c r="AD1388" s="16">
        <v>1</v>
      </c>
      <c r="AE1388" s="180">
        <v>0</v>
      </c>
      <c r="AF1388" s="180">
        <v>15</v>
      </c>
      <c r="AG1388" s="180">
        <v>1</v>
      </c>
      <c r="AH1388" s="180">
        <v>1</v>
      </c>
      <c r="AI1388" s="180">
        <v>7</v>
      </c>
      <c r="AJ1388" s="180">
        <v>0</v>
      </c>
      <c r="AK1388" s="12">
        <v>0</v>
      </c>
      <c r="AL1388" s="180">
        <v>2</v>
      </c>
      <c r="AM1388" s="180">
        <v>0</v>
      </c>
      <c r="AN1388" s="180">
        <v>0</v>
      </c>
      <c r="AO1388" s="180">
        <v>0</v>
      </c>
      <c r="AP1388" s="16">
        <v>0</v>
      </c>
      <c r="AQ1388" s="180">
        <v>10000</v>
      </c>
      <c r="AR1388" s="180">
        <v>0.5</v>
      </c>
      <c r="AS1388" s="180">
        <v>0</v>
      </c>
      <c r="AT1388" s="180">
        <v>0</v>
      </c>
      <c r="AU1388" s="180">
        <v>92041060</v>
      </c>
      <c r="AV1388" s="180"/>
      <c r="AW1388" s="236"/>
      <c r="AX1388" s="180">
        <v>0</v>
      </c>
      <c r="AY1388" s="180">
        <v>0</v>
      </c>
      <c r="AZ1388" s="180">
        <v>0</v>
      </c>
      <c r="BA1388" s="236" t="s">
        <v>200</v>
      </c>
      <c r="BB1388" s="236" t="s">
        <v>198</v>
      </c>
      <c r="BC1388" s="180">
        <v>0</v>
      </c>
      <c r="BD1388" s="180">
        <v>0</v>
      </c>
      <c r="BE1388" s="245" t="s">
        <v>2925</v>
      </c>
      <c r="BF1388" s="245"/>
      <c r="BG1388" s="180">
        <v>0</v>
      </c>
      <c r="BH1388" s="16">
        <v>0</v>
      </c>
      <c r="BI1388" s="180">
        <v>0</v>
      </c>
      <c r="BJ1388" s="180">
        <v>0</v>
      </c>
      <c r="BK1388" s="180">
        <v>0</v>
      </c>
      <c r="BL1388" s="180">
        <v>0</v>
      </c>
      <c r="BM1388" s="250">
        <v>0</v>
      </c>
      <c r="BN1388" s="12">
        <v>0</v>
      </c>
      <c r="BO1388" s="12">
        <v>0</v>
      </c>
      <c r="BP1388" s="12">
        <v>0</v>
      </c>
      <c r="BQ1388" s="12">
        <v>0</v>
      </c>
      <c r="BR1388" s="12">
        <v>0</v>
      </c>
      <c r="BS1388" s="12">
        <v>0</v>
      </c>
      <c r="BT1388" s="12">
        <v>0</v>
      </c>
      <c r="BU1388" s="251">
        <v>0</v>
      </c>
      <c r="BV1388" s="251"/>
      <c r="BW1388" s="251"/>
    </row>
    <row r="1389" spans="1:75" ht="20.100000000000001" customHeight="1">
      <c r="C1389" s="16">
        <v>63402001</v>
      </c>
      <c r="D1389" s="17" t="s">
        <v>2776</v>
      </c>
      <c r="E1389" s="17"/>
      <c r="F1389" s="16">
        <v>1</v>
      </c>
      <c r="G1389" s="16">
        <v>63402001</v>
      </c>
      <c r="H1389" s="16">
        <v>0</v>
      </c>
      <c r="I1389" s="27">
        <v>0</v>
      </c>
      <c r="J1389" s="18">
        <v>1</v>
      </c>
      <c r="K1389" s="18">
        <v>0</v>
      </c>
      <c r="L1389" s="16">
        <v>0</v>
      </c>
      <c r="M1389" s="16">
        <v>0</v>
      </c>
      <c r="N1389" s="16">
        <v>0</v>
      </c>
      <c r="O1389" s="16">
        <v>2</v>
      </c>
      <c r="P1389" s="16">
        <v>12</v>
      </c>
      <c r="Q1389" s="16">
        <v>1</v>
      </c>
      <c r="R1389" s="16">
        <v>0</v>
      </c>
      <c r="S1389" s="12">
        <v>0</v>
      </c>
      <c r="T1389" s="16">
        <v>0</v>
      </c>
      <c r="U1389" s="16">
        <v>1</v>
      </c>
      <c r="V1389" s="16">
        <v>2</v>
      </c>
      <c r="W1389" s="16">
        <v>0</v>
      </c>
      <c r="X1389" s="18">
        <v>0</v>
      </c>
      <c r="Y1389" s="12">
        <v>0</v>
      </c>
      <c r="Z1389" s="18">
        <v>0</v>
      </c>
      <c r="AA1389" s="16">
        <v>0</v>
      </c>
      <c r="AB1389" s="16">
        <v>0</v>
      </c>
      <c r="AC1389" s="16">
        <v>0</v>
      </c>
      <c r="AD1389" s="16">
        <v>1</v>
      </c>
      <c r="AE1389" s="16">
        <v>0</v>
      </c>
      <c r="AF1389" s="16">
        <v>60</v>
      </c>
      <c r="AG1389" s="16">
        <v>1</v>
      </c>
      <c r="AH1389" s="16">
        <v>10</v>
      </c>
      <c r="AI1389" s="12">
        <v>0</v>
      </c>
      <c r="AJ1389" s="12">
        <v>0</v>
      </c>
      <c r="AK1389" s="12">
        <v>0</v>
      </c>
      <c r="AL1389" s="12">
        <v>0</v>
      </c>
      <c r="AM1389" s="16">
        <v>0</v>
      </c>
      <c r="AN1389" s="16">
        <v>0</v>
      </c>
      <c r="AO1389" s="16">
        <v>0</v>
      </c>
      <c r="AP1389" s="16">
        <v>0</v>
      </c>
      <c r="AQ1389" s="16">
        <v>50000</v>
      </c>
      <c r="AR1389" s="16">
        <v>0</v>
      </c>
      <c r="AS1389" s="16">
        <v>0</v>
      </c>
      <c r="AT1389" s="12">
        <v>0</v>
      </c>
      <c r="AU1389" s="16">
        <v>90503231</v>
      </c>
      <c r="AV1389" s="16"/>
      <c r="AW1389" s="17" t="s">
        <v>198</v>
      </c>
      <c r="AX1389" s="16">
        <v>0</v>
      </c>
      <c r="AY1389" s="18">
        <v>0</v>
      </c>
      <c r="AZ1389" s="18">
        <v>0</v>
      </c>
      <c r="BA1389" s="17" t="s">
        <v>2710</v>
      </c>
      <c r="BB1389" s="16">
        <v>0</v>
      </c>
      <c r="BC1389" s="27">
        <v>0</v>
      </c>
      <c r="BD1389" s="27">
        <v>0</v>
      </c>
      <c r="BE1389" s="44" t="s">
        <v>2778</v>
      </c>
      <c r="BF1389" s="44"/>
      <c r="BG1389" s="16">
        <v>0</v>
      </c>
      <c r="BH1389" s="16">
        <v>0</v>
      </c>
      <c r="BI1389" s="16">
        <v>0</v>
      </c>
      <c r="BJ1389" s="16">
        <v>0</v>
      </c>
      <c r="BK1389" s="16">
        <v>0</v>
      </c>
      <c r="BL1389" s="16">
        <v>0</v>
      </c>
      <c r="BM1389" s="15">
        <v>0</v>
      </c>
      <c r="BN1389" s="12">
        <v>1</v>
      </c>
      <c r="BO1389" s="12">
        <v>0</v>
      </c>
      <c r="BP1389" s="12">
        <v>0</v>
      </c>
      <c r="BQ1389" s="12">
        <v>0</v>
      </c>
      <c r="BR1389" s="12">
        <v>0</v>
      </c>
      <c r="BS1389" s="12">
        <v>0</v>
      </c>
      <c r="BT1389" s="12">
        <v>0</v>
      </c>
      <c r="BU1389" s="47">
        <v>0</v>
      </c>
      <c r="BV1389" s="47"/>
      <c r="BW1389" s="47"/>
    </row>
    <row r="1390" spans="1:75" ht="20.100000000000001" customHeight="1">
      <c r="C1390" s="16">
        <v>63402002</v>
      </c>
      <c r="D1390" s="17" t="s">
        <v>5437</v>
      </c>
      <c r="E1390" s="17"/>
      <c r="F1390" s="16">
        <v>1</v>
      </c>
      <c r="G1390" s="16">
        <v>63002002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2719</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63402003</v>
      </c>
      <c r="D1391" s="17" t="s">
        <v>5440</v>
      </c>
      <c r="E1391" s="17"/>
      <c r="F1391" s="16">
        <v>1</v>
      </c>
      <c r="G1391" s="16">
        <v>1000002</v>
      </c>
      <c r="H1391" s="16">
        <v>0</v>
      </c>
      <c r="I1391" s="27">
        <v>0</v>
      </c>
      <c r="J1391" s="18">
        <v>1</v>
      </c>
      <c r="K1391" s="18">
        <v>0</v>
      </c>
      <c r="L1391" s="16">
        <v>0</v>
      </c>
      <c r="M1391" s="16">
        <v>0</v>
      </c>
      <c r="N1391" s="16">
        <v>0</v>
      </c>
      <c r="O1391" s="16">
        <v>8</v>
      </c>
      <c r="P1391" s="16">
        <v>8</v>
      </c>
      <c r="Q1391" s="16">
        <v>2</v>
      </c>
      <c r="R1391" s="16">
        <v>0</v>
      </c>
      <c r="S1391" s="12">
        <v>0</v>
      </c>
      <c r="T1391" s="16">
        <v>0</v>
      </c>
      <c r="U1391" s="16">
        <v>1</v>
      </c>
      <c r="V1391" s="16">
        <v>0</v>
      </c>
      <c r="W1391" s="16">
        <v>0</v>
      </c>
      <c r="X1391" s="18">
        <v>0</v>
      </c>
      <c r="Y1391" s="12">
        <v>0</v>
      </c>
      <c r="Z1391" s="18">
        <v>0</v>
      </c>
      <c r="AA1391" s="16">
        <v>0</v>
      </c>
      <c r="AB1391" s="16">
        <v>0</v>
      </c>
      <c r="AC1391" s="16">
        <v>0</v>
      </c>
      <c r="AD1391" s="16">
        <v>1</v>
      </c>
      <c r="AE1391" s="16">
        <v>0</v>
      </c>
      <c r="AF1391" s="16">
        <v>0</v>
      </c>
      <c r="AG1391" s="16">
        <v>0</v>
      </c>
      <c r="AH1391" s="16" t="s">
        <v>198</v>
      </c>
      <c r="AI1391" s="12">
        <v>0</v>
      </c>
      <c r="AJ1391" s="12">
        <v>0</v>
      </c>
      <c r="AK1391" s="12">
        <v>0</v>
      </c>
      <c r="AL1391" s="12">
        <v>0</v>
      </c>
      <c r="AM1391" s="16">
        <v>0</v>
      </c>
      <c r="AN1391" s="16">
        <v>0</v>
      </c>
      <c r="AO1391" s="16">
        <v>0</v>
      </c>
      <c r="AP1391" s="16">
        <v>0</v>
      </c>
      <c r="AQ1391" s="16">
        <v>0</v>
      </c>
      <c r="AR1391" s="16">
        <v>0</v>
      </c>
      <c r="AS1391" s="16">
        <v>0</v>
      </c>
      <c r="AT1391" s="12">
        <v>0</v>
      </c>
      <c r="AU1391" s="16" t="s">
        <v>198</v>
      </c>
      <c r="AV1391" s="16"/>
      <c r="AW1391" s="17" t="s">
        <v>198</v>
      </c>
      <c r="AX1391" s="16">
        <v>0</v>
      </c>
      <c r="AY1391" s="18">
        <v>0</v>
      </c>
      <c r="AZ1391" s="18">
        <v>0</v>
      </c>
      <c r="BA1391" s="17" t="s">
        <v>198</v>
      </c>
      <c r="BB1391" s="16" t="s">
        <v>2750</v>
      </c>
      <c r="BC1391" s="27">
        <v>0</v>
      </c>
      <c r="BD1391" s="27">
        <v>0</v>
      </c>
      <c r="BE1391" s="44" t="s">
        <v>2751</v>
      </c>
      <c r="BF1391" s="44"/>
      <c r="BG1391" s="16">
        <v>0</v>
      </c>
      <c r="BH1391" s="16">
        <v>0</v>
      </c>
      <c r="BI1391" s="16">
        <v>0</v>
      </c>
      <c r="BJ1391" s="16">
        <v>0</v>
      </c>
      <c r="BK1391" s="16">
        <v>0</v>
      </c>
      <c r="BL1391" s="16">
        <v>0</v>
      </c>
      <c r="BM1391" s="15">
        <v>0</v>
      </c>
      <c r="BN1391" s="12">
        <v>0</v>
      </c>
      <c r="BO1391" s="12">
        <v>0</v>
      </c>
      <c r="BP1391" s="12">
        <v>0</v>
      </c>
      <c r="BQ1391" s="12">
        <v>0</v>
      </c>
      <c r="BR1391" s="12">
        <v>0</v>
      </c>
      <c r="BS1391" s="12">
        <v>0</v>
      </c>
      <c r="BT1391" s="12">
        <v>0</v>
      </c>
      <c r="BU1391" s="47">
        <v>0</v>
      </c>
      <c r="BV1391" s="47"/>
      <c r="BW1391" s="47"/>
    </row>
    <row r="1392" spans="1:75" ht="20.100000000000001" customHeight="1">
      <c r="C1392" s="16">
        <v>63402004</v>
      </c>
      <c r="D1392" s="236" t="s">
        <v>5433</v>
      </c>
      <c r="E1392" s="17" t="s">
        <v>2793</v>
      </c>
      <c r="F1392" s="16">
        <v>1</v>
      </c>
      <c r="G1392" s="16">
        <v>63402004</v>
      </c>
      <c r="H1392" s="16">
        <v>0</v>
      </c>
      <c r="I1392" s="27">
        <v>0</v>
      </c>
      <c r="J1392" s="18">
        <v>1</v>
      </c>
      <c r="K1392" s="18">
        <v>0</v>
      </c>
      <c r="L1392" s="16">
        <v>0</v>
      </c>
      <c r="M1392" s="16">
        <v>0</v>
      </c>
      <c r="N1392" s="16">
        <v>0</v>
      </c>
      <c r="O1392" s="16">
        <v>8</v>
      </c>
      <c r="P1392" s="16">
        <v>0</v>
      </c>
      <c r="Q1392" s="16">
        <v>0</v>
      </c>
      <c r="R1392" s="16">
        <v>0</v>
      </c>
      <c r="S1392" s="12">
        <v>0</v>
      </c>
      <c r="T1392" s="16">
        <v>0</v>
      </c>
      <c r="U1392" s="16">
        <v>1</v>
      </c>
      <c r="V1392" s="16">
        <v>0</v>
      </c>
      <c r="W1392" s="16">
        <v>0</v>
      </c>
      <c r="X1392" s="18">
        <v>0</v>
      </c>
      <c r="Y1392" s="12">
        <v>0</v>
      </c>
      <c r="Z1392" s="18">
        <v>0</v>
      </c>
      <c r="AA1392" s="16">
        <v>0</v>
      </c>
      <c r="AB1392" s="16">
        <v>0</v>
      </c>
      <c r="AC1392" s="16">
        <v>0</v>
      </c>
      <c r="AD1392" s="16">
        <v>1</v>
      </c>
      <c r="AE1392" s="16">
        <v>0</v>
      </c>
      <c r="AF1392" s="16">
        <v>0</v>
      </c>
      <c r="AG1392" s="16">
        <v>0</v>
      </c>
      <c r="AH1392" s="16" t="s">
        <v>198</v>
      </c>
      <c r="AI1392" s="12">
        <v>0</v>
      </c>
      <c r="AJ1392" s="12">
        <v>0</v>
      </c>
      <c r="AK1392" s="12">
        <v>0</v>
      </c>
      <c r="AL1392" s="12">
        <v>0</v>
      </c>
      <c r="AM1392" s="16">
        <v>0</v>
      </c>
      <c r="AN1392" s="16">
        <v>0</v>
      </c>
      <c r="AO1392" s="16">
        <v>0</v>
      </c>
      <c r="AP1392" s="16">
        <v>0</v>
      </c>
      <c r="AQ1392" s="16">
        <v>0</v>
      </c>
      <c r="AR1392" s="16">
        <v>0</v>
      </c>
      <c r="AS1392" s="16">
        <v>0</v>
      </c>
      <c r="AT1392" s="12">
        <v>0</v>
      </c>
      <c r="AU1392" s="16" t="s">
        <v>198</v>
      </c>
      <c r="AV1392" s="16"/>
      <c r="AW1392" s="17" t="s">
        <v>198</v>
      </c>
      <c r="AX1392" s="16">
        <v>0</v>
      </c>
      <c r="AY1392" s="18">
        <v>0</v>
      </c>
      <c r="AZ1392" s="18">
        <v>0</v>
      </c>
      <c r="BA1392" s="17" t="s">
        <v>198</v>
      </c>
      <c r="BB1392" s="16" t="s">
        <v>2794</v>
      </c>
      <c r="BC1392" s="27">
        <v>0</v>
      </c>
      <c r="BD1392" s="27">
        <v>0</v>
      </c>
      <c r="BE1392" s="44" t="s">
        <v>2795</v>
      </c>
      <c r="BF1392" s="44" t="s">
        <v>2796</v>
      </c>
      <c r="BG1392" s="16">
        <v>0</v>
      </c>
      <c r="BH1392" s="16">
        <v>0</v>
      </c>
      <c r="BI1392" s="16">
        <v>0</v>
      </c>
      <c r="BJ1392" s="16">
        <v>0</v>
      </c>
      <c r="BK1392" s="16">
        <v>0</v>
      </c>
      <c r="BL1392" s="16">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16">
        <v>63403001</v>
      </c>
      <c r="D1393" s="17" t="s">
        <v>2761</v>
      </c>
      <c r="E1393" s="17"/>
      <c r="F1393" s="180">
        <v>1</v>
      </c>
      <c r="G1393" s="16">
        <v>63403001</v>
      </c>
      <c r="H1393" s="180">
        <v>0</v>
      </c>
      <c r="I1393" s="180">
        <v>0</v>
      </c>
      <c r="J1393" s="180">
        <v>1</v>
      </c>
      <c r="K1393" s="180">
        <v>0</v>
      </c>
      <c r="L1393" s="180">
        <v>0</v>
      </c>
      <c r="M1393" s="180">
        <v>0</v>
      </c>
      <c r="N1393" s="180">
        <v>0</v>
      </c>
      <c r="O1393" s="180">
        <v>2</v>
      </c>
      <c r="P1393" s="180">
        <v>10</v>
      </c>
      <c r="Q1393" s="180">
        <v>1</v>
      </c>
      <c r="R1393" s="180">
        <v>0</v>
      </c>
      <c r="S1393" s="180">
        <v>0</v>
      </c>
      <c r="T1393" s="180">
        <v>0</v>
      </c>
      <c r="U1393" s="180">
        <v>1</v>
      </c>
      <c r="V1393" s="180">
        <v>2</v>
      </c>
      <c r="W1393" s="180">
        <v>0</v>
      </c>
      <c r="X1393" s="180">
        <v>0</v>
      </c>
      <c r="Y1393" s="12">
        <v>0</v>
      </c>
      <c r="Z1393" s="180">
        <v>0</v>
      </c>
      <c r="AA1393" s="180">
        <v>0</v>
      </c>
      <c r="AB1393" s="180">
        <v>0</v>
      </c>
      <c r="AC1393" s="180">
        <v>0</v>
      </c>
      <c r="AD1393" s="16">
        <v>1</v>
      </c>
      <c r="AE1393" s="180">
        <v>0</v>
      </c>
      <c r="AF1393" s="180">
        <v>30</v>
      </c>
      <c r="AG1393" s="180">
        <v>0</v>
      </c>
      <c r="AH1393" s="180">
        <v>0</v>
      </c>
      <c r="AI1393" s="180">
        <v>7</v>
      </c>
      <c r="AJ1393" s="180">
        <v>0</v>
      </c>
      <c r="AK1393" s="180">
        <v>0</v>
      </c>
      <c r="AL1393" s="180">
        <v>3</v>
      </c>
      <c r="AM1393" s="180">
        <v>0</v>
      </c>
      <c r="AN1393" s="180">
        <v>0</v>
      </c>
      <c r="AO1393" s="180">
        <v>0</v>
      </c>
      <c r="AP1393" s="180">
        <v>0</v>
      </c>
      <c r="AQ1393" s="180">
        <v>2000</v>
      </c>
      <c r="AR1393" s="180">
        <v>0</v>
      </c>
      <c r="AS1393" s="180">
        <v>0</v>
      </c>
      <c r="AT1393" s="180">
        <v>0</v>
      </c>
      <c r="AU1393" s="180">
        <v>90503221</v>
      </c>
      <c r="AV1393" s="180"/>
      <c r="AW1393" s="236" t="s">
        <v>198</v>
      </c>
      <c r="AX1393" s="180">
        <v>0</v>
      </c>
      <c r="AY1393" s="180">
        <v>0</v>
      </c>
      <c r="AZ1393" s="180">
        <v>0</v>
      </c>
      <c r="BA1393" s="236" t="s">
        <v>200</v>
      </c>
      <c r="BB1393" s="236">
        <v>0</v>
      </c>
      <c r="BC1393" s="180">
        <v>0</v>
      </c>
      <c r="BD1393" s="180">
        <v>0</v>
      </c>
      <c r="BE1393" s="44" t="s">
        <v>5446</v>
      </c>
      <c r="BF1393" s="44"/>
      <c r="BG1393" s="180">
        <v>0</v>
      </c>
      <c r="BH1393" s="180">
        <v>0</v>
      </c>
      <c r="BI1393" s="180">
        <v>0</v>
      </c>
      <c r="BJ1393" s="180">
        <v>0</v>
      </c>
      <c r="BK1393" s="180">
        <v>0</v>
      </c>
      <c r="BL1393" s="180">
        <v>0</v>
      </c>
      <c r="BM1393" s="243">
        <v>0</v>
      </c>
      <c r="BN1393" s="180">
        <v>0</v>
      </c>
      <c r="BO1393" s="12">
        <v>0</v>
      </c>
      <c r="BP1393" s="12">
        <v>0</v>
      </c>
      <c r="BQ1393" s="12">
        <v>0</v>
      </c>
      <c r="BR1393" s="12">
        <v>0</v>
      </c>
      <c r="BS1393" s="12">
        <v>0</v>
      </c>
      <c r="BT1393" s="12">
        <v>0</v>
      </c>
      <c r="BU1393" s="47">
        <v>0</v>
      </c>
      <c r="BV1393" s="47"/>
      <c r="BW1393" s="47"/>
    </row>
    <row r="1394" spans="3:75" ht="20.100000000000001" customHeight="1">
      <c r="C1394" s="16">
        <v>63403002</v>
      </c>
      <c r="D1394" s="17" t="s">
        <v>5435</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2748</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8">
        <v>63403003</v>
      </c>
      <c r="D1395" s="19" t="s">
        <v>5442</v>
      </c>
      <c r="E1395" s="19" t="s">
        <v>3605</v>
      </c>
      <c r="F1395" s="18">
        <v>1</v>
      </c>
      <c r="G1395" s="18">
        <v>68000015</v>
      </c>
      <c r="H1395" s="18">
        <v>0</v>
      </c>
      <c r="I1395" s="27">
        <v>0</v>
      </c>
      <c r="J1395" s="18">
        <v>1</v>
      </c>
      <c r="K1395" s="18">
        <v>0</v>
      </c>
      <c r="L1395" s="18">
        <v>0</v>
      </c>
      <c r="M1395" s="18">
        <v>0</v>
      </c>
      <c r="N1395" s="18">
        <v>0</v>
      </c>
      <c r="O1395" s="18">
        <v>8</v>
      </c>
      <c r="P1395" s="18">
        <v>0</v>
      </c>
      <c r="Q1395" s="18">
        <v>0</v>
      </c>
      <c r="R1395" s="18">
        <v>0</v>
      </c>
      <c r="S1395" s="12">
        <v>0</v>
      </c>
      <c r="T1395" s="27">
        <v>0</v>
      </c>
      <c r="U1395" s="16">
        <v>1</v>
      </c>
      <c r="V1395" s="18">
        <v>2</v>
      </c>
      <c r="W1395" s="18">
        <v>0</v>
      </c>
      <c r="X1395" s="18">
        <v>0</v>
      </c>
      <c r="Y1395" s="12">
        <v>0</v>
      </c>
      <c r="Z1395" s="18">
        <v>0</v>
      </c>
      <c r="AA1395" s="18">
        <v>0</v>
      </c>
      <c r="AB1395" s="18">
        <v>0</v>
      </c>
      <c r="AC1395" s="18">
        <v>0</v>
      </c>
      <c r="AD1395" s="18">
        <v>1</v>
      </c>
      <c r="AE1395" s="18">
        <v>0</v>
      </c>
      <c r="AF1395" s="18">
        <v>18</v>
      </c>
      <c r="AG1395" s="18">
        <v>0</v>
      </c>
      <c r="AH1395" s="18">
        <v>0</v>
      </c>
      <c r="AI1395" s="12">
        <v>2</v>
      </c>
      <c r="AJ1395" s="12">
        <v>0</v>
      </c>
      <c r="AK1395" s="12">
        <v>0</v>
      </c>
      <c r="AL1395" s="12">
        <v>0</v>
      </c>
      <c r="AM1395" s="18">
        <v>0</v>
      </c>
      <c r="AN1395" s="18">
        <v>0</v>
      </c>
      <c r="AO1395" s="18">
        <v>0</v>
      </c>
      <c r="AP1395" s="18">
        <v>0</v>
      </c>
      <c r="AQ1395" s="18">
        <v>1000</v>
      </c>
      <c r="AR1395" s="18">
        <v>0</v>
      </c>
      <c r="AS1395" s="18">
        <v>0</v>
      </c>
      <c r="AT1395" s="12"/>
      <c r="AU1395" s="18" t="s">
        <v>198</v>
      </c>
      <c r="AV1395" s="18"/>
      <c r="AW1395" s="19" t="s">
        <v>199</v>
      </c>
      <c r="AX1395" s="18">
        <v>0</v>
      </c>
      <c r="AY1395" s="18">
        <v>0</v>
      </c>
      <c r="AZ1395" s="18">
        <v>0</v>
      </c>
      <c r="BA1395" s="19" t="s">
        <v>200</v>
      </c>
      <c r="BB1395" s="19" t="s">
        <v>5445</v>
      </c>
      <c r="BC1395" s="27">
        <v>0</v>
      </c>
      <c r="BD1395" s="27">
        <v>1</v>
      </c>
      <c r="BE1395" s="375" t="s">
        <v>5444</v>
      </c>
      <c r="BF1395" s="87" t="s">
        <v>5443</v>
      </c>
      <c r="BG1395" s="18">
        <v>0</v>
      </c>
      <c r="BH1395" s="16">
        <v>0</v>
      </c>
      <c r="BI1395" s="18">
        <v>0</v>
      </c>
      <c r="BJ1395" s="18">
        <v>0</v>
      </c>
      <c r="BK1395" s="18">
        <v>0</v>
      </c>
      <c r="BL1395" s="18">
        <v>0</v>
      </c>
      <c r="BM1395" s="15">
        <v>0</v>
      </c>
      <c r="BN1395" s="12">
        <v>1</v>
      </c>
      <c r="BO1395" s="12">
        <v>0</v>
      </c>
      <c r="BP1395" s="12">
        <v>0</v>
      </c>
      <c r="BQ1395" s="12">
        <v>0</v>
      </c>
      <c r="BR1395" s="12">
        <v>0</v>
      </c>
      <c r="BS1395" s="12">
        <v>0</v>
      </c>
      <c r="BT1395" s="12">
        <v>0</v>
      </c>
      <c r="BU1395" s="47">
        <v>0</v>
      </c>
      <c r="BV1395" s="47"/>
      <c r="BW1395" s="47"/>
    </row>
    <row r="1396" spans="3:75" ht="20.100000000000001" customHeight="1">
      <c r="C1396" s="18">
        <v>63403004</v>
      </c>
      <c r="D1396" s="19" t="s">
        <v>5433</v>
      </c>
      <c r="E1396" s="19" t="s">
        <v>2864</v>
      </c>
      <c r="F1396" s="18">
        <v>1</v>
      </c>
      <c r="G1396" s="18">
        <v>63403004</v>
      </c>
      <c r="H1396" s="18">
        <v>0</v>
      </c>
      <c r="I1396" s="27">
        <v>0</v>
      </c>
      <c r="J1396" s="18">
        <v>1</v>
      </c>
      <c r="K1396" s="18">
        <v>0</v>
      </c>
      <c r="L1396" s="18">
        <v>0</v>
      </c>
      <c r="M1396" s="18">
        <v>0</v>
      </c>
      <c r="N1396" s="18">
        <v>0</v>
      </c>
      <c r="O1396" s="18">
        <v>2</v>
      </c>
      <c r="P1396" s="18">
        <v>1</v>
      </c>
      <c r="Q1396" s="18">
        <v>0.15</v>
      </c>
      <c r="R1396" s="18">
        <v>0</v>
      </c>
      <c r="S1396" s="12">
        <v>0</v>
      </c>
      <c r="T1396" s="27">
        <v>0</v>
      </c>
      <c r="U1396" s="16">
        <v>1</v>
      </c>
      <c r="V1396" s="18">
        <v>2</v>
      </c>
      <c r="W1396" s="18">
        <v>0</v>
      </c>
      <c r="X1396" s="18">
        <v>0</v>
      </c>
      <c r="Y1396" s="12">
        <v>0</v>
      </c>
      <c r="Z1396" s="18">
        <v>0</v>
      </c>
      <c r="AA1396" s="18">
        <v>0</v>
      </c>
      <c r="AB1396" s="18">
        <v>0</v>
      </c>
      <c r="AC1396" s="18">
        <v>0</v>
      </c>
      <c r="AD1396" s="18">
        <v>1</v>
      </c>
      <c r="AE1396" s="18">
        <v>0</v>
      </c>
      <c r="AF1396" s="18">
        <v>3</v>
      </c>
      <c r="AG1396" s="18">
        <v>0</v>
      </c>
      <c r="AH1396" s="18">
        <v>0</v>
      </c>
      <c r="AI1396" s="12">
        <v>7</v>
      </c>
      <c r="AJ1396" s="12">
        <v>0</v>
      </c>
      <c r="AK1396" s="12">
        <v>0</v>
      </c>
      <c r="AL1396" s="12">
        <v>3</v>
      </c>
      <c r="AM1396" s="18">
        <v>0</v>
      </c>
      <c r="AN1396" s="18">
        <v>0</v>
      </c>
      <c r="AO1396" s="18">
        <v>0</v>
      </c>
      <c r="AP1396" s="18">
        <v>0</v>
      </c>
      <c r="AQ1396" s="18">
        <v>3000</v>
      </c>
      <c r="AR1396" s="18">
        <v>0.5</v>
      </c>
      <c r="AS1396" s="18">
        <v>0</v>
      </c>
      <c r="AT1396" s="12" t="s">
        <v>2926</v>
      </c>
      <c r="AU1396" s="18">
        <v>0</v>
      </c>
      <c r="AV1396" s="18"/>
      <c r="AW1396" s="19" t="s">
        <v>198</v>
      </c>
      <c r="AX1396" s="18">
        <v>0</v>
      </c>
      <c r="AY1396" s="18">
        <v>0</v>
      </c>
      <c r="AZ1396" s="18">
        <v>0</v>
      </c>
      <c r="BA1396" s="19" t="s">
        <v>200</v>
      </c>
      <c r="BB1396" s="19">
        <v>0</v>
      </c>
      <c r="BC1396" s="27">
        <v>0</v>
      </c>
      <c r="BD1396" s="27">
        <v>1</v>
      </c>
      <c r="BE1396" s="375" t="s">
        <v>5447</v>
      </c>
      <c r="BF1396" s="87" t="s">
        <v>5448</v>
      </c>
      <c r="BG1396" s="18">
        <v>0</v>
      </c>
      <c r="BH1396" s="16">
        <v>0</v>
      </c>
      <c r="BI1396" s="18">
        <v>0</v>
      </c>
      <c r="BJ1396" s="18">
        <v>0</v>
      </c>
      <c r="BK1396" s="18">
        <v>0</v>
      </c>
      <c r="BL1396" s="18">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8">
        <v>64000001</v>
      </c>
      <c r="D1397" s="19" t="s">
        <v>440</v>
      </c>
      <c r="E1397" s="19" t="s">
        <v>441</v>
      </c>
      <c r="F1397" s="18">
        <v>1</v>
      </c>
      <c r="G1397" s="18">
        <v>10041</v>
      </c>
      <c r="H1397" s="18">
        <v>0</v>
      </c>
      <c r="I1397" s="27">
        <v>0</v>
      </c>
      <c r="J1397" s="18">
        <v>1</v>
      </c>
      <c r="K1397" s="18">
        <v>0</v>
      </c>
      <c r="L1397" s="16">
        <v>0</v>
      </c>
      <c r="M1397" s="18">
        <v>0</v>
      </c>
      <c r="N1397" s="18">
        <v>0</v>
      </c>
      <c r="O1397" s="18">
        <v>2</v>
      </c>
      <c r="P1397" s="18">
        <v>1</v>
      </c>
      <c r="Q1397" s="18">
        <v>0.5</v>
      </c>
      <c r="R1397" s="18">
        <v>0</v>
      </c>
      <c r="S1397" s="12">
        <v>0</v>
      </c>
      <c r="T1397" s="27">
        <v>0</v>
      </c>
      <c r="U1397" s="16">
        <v>1</v>
      </c>
      <c r="V1397" s="18">
        <v>2</v>
      </c>
      <c r="W1397" s="18">
        <v>0</v>
      </c>
      <c r="X1397" s="18">
        <v>0</v>
      </c>
      <c r="Y1397" s="12">
        <v>0</v>
      </c>
      <c r="Z1397" s="18">
        <v>0</v>
      </c>
      <c r="AA1397" s="18">
        <v>0</v>
      </c>
      <c r="AB1397" s="18">
        <v>0</v>
      </c>
      <c r="AC1397" s="18">
        <v>0</v>
      </c>
      <c r="AD1397" s="16">
        <v>1</v>
      </c>
      <c r="AE1397" s="18">
        <v>0</v>
      </c>
      <c r="AF1397" s="18">
        <v>18</v>
      </c>
      <c r="AG1397" s="18">
        <v>0</v>
      </c>
      <c r="AH1397" s="18">
        <v>0</v>
      </c>
      <c r="AI1397" s="12">
        <v>2</v>
      </c>
      <c r="AJ1397" s="12">
        <v>0</v>
      </c>
      <c r="AK1397" s="12">
        <v>0</v>
      </c>
      <c r="AL1397" s="12">
        <v>0</v>
      </c>
      <c r="AM1397" s="18">
        <v>0</v>
      </c>
      <c r="AN1397" s="18">
        <v>0</v>
      </c>
      <c r="AO1397" s="18">
        <v>0</v>
      </c>
      <c r="AP1397" s="16">
        <v>0</v>
      </c>
      <c r="AQ1397" s="18">
        <v>1000</v>
      </c>
      <c r="AR1397" s="18">
        <v>0</v>
      </c>
      <c r="AS1397" s="18">
        <v>0</v>
      </c>
      <c r="AT1397" s="12">
        <v>90600010</v>
      </c>
      <c r="AU1397" s="18">
        <v>0</v>
      </c>
      <c r="AV1397" s="18"/>
      <c r="AW1397" s="19" t="s">
        <v>199</v>
      </c>
      <c r="AX1397" s="18" t="s">
        <v>1819</v>
      </c>
      <c r="AY1397" s="18">
        <v>0</v>
      </c>
      <c r="AZ1397" s="18">
        <v>40000003</v>
      </c>
      <c r="BA1397" s="19" t="s">
        <v>200</v>
      </c>
      <c r="BB1397" s="19" t="s">
        <v>198</v>
      </c>
      <c r="BC1397" s="27">
        <v>0</v>
      </c>
      <c r="BD1397" s="27">
        <v>0</v>
      </c>
      <c r="BE1397" s="87" t="s">
        <v>2927</v>
      </c>
      <c r="BF1397" s="87" t="s">
        <v>2928</v>
      </c>
      <c r="BG1397" s="18">
        <v>0</v>
      </c>
      <c r="BH1397" s="16">
        <v>0</v>
      </c>
      <c r="BI1397" s="18">
        <v>0</v>
      </c>
      <c r="BJ1397" s="18">
        <v>0</v>
      </c>
      <c r="BK1397" s="18">
        <v>0</v>
      </c>
      <c r="BL1397" s="18">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64000002</v>
      </c>
      <c r="D1398" s="19" t="s">
        <v>2547</v>
      </c>
      <c r="E1398" s="19" t="s">
        <v>2548</v>
      </c>
      <c r="F1398" s="18">
        <v>1</v>
      </c>
      <c r="G1398" s="18">
        <v>60010500</v>
      </c>
      <c r="H1398" s="18">
        <v>0</v>
      </c>
      <c r="I1398" s="27">
        <v>0</v>
      </c>
      <c r="J1398" s="18">
        <v>1</v>
      </c>
      <c r="K1398" s="18">
        <v>0</v>
      </c>
      <c r="L1398" s="16">
        <v>0</v>
      </c>
      <c r="M1398" s="18">
        <v>0</v>
      </c>
      <c r="N1398" s="18">
        <v>0</v>
      </c>
      <c r="O1398" s="18">
        <v>2</v>
      </c>
      <c r="P1398" s="18">
        <v>2</v>
      </c>
      <c r="Q1398" s="18">
        <v>0.6</v>
      </c>
      <c r="R1398" s="18">
        <v>0</v>
      </c>
      <c r="S1398" s="12">
        <v>0</v>
      </c>
      <c r="T1398" s="27">
        <v>0</v>
      </c>
      <c r="U1398" s="16">
        <v>1</v>
      </c>
      <c r="V1398" s="18">
        <v>2</v>
      </c>
      <c r="W1398" s="18">
        <v>0</v>
      </c>
      <c r="X1398" s="18">
        <v>0</v>
      </c>
      <c r="Y1398" s="12">
        <v>0</v>
      </c>
      <c r="Z1398" s="18">
        <v>0</v>
      </c>
      <c r="AA1398" s="18">
        <v>0</v>
      </c>
      <c r="AB1398" s="18">
        <v>0</v>
      </c>
      <c r="AC1398" s="18">
        <v>0</v>
      </c>
      <c r="AD1398" s="16">
        <v>1</v>
      </c>
      <c r="AE1398" s="18">
        <v>0</v>
      </c>
      <c r="AF1398" s="16">
        <v>99999</v>
      </c>
      <c r="AG1398" s="18">
        <v>0</v>
      </c>
      <c r="AH1398" s="18">
        <v>0</v>
      </c>
      <c r="AI1398" s="12">
        <v>2</v>
      </c>
      <c r="AJ1398" s="12">
        <v>0</v>
      </c>
      <c r="AK1398" s="12">
        <v>0</v>
      </c>
      <c r="AL1398" s="12">
        <v>0</v>
      </c>
      <c r="AM1398" s="18">
        <v>0</v>
      </c>
      <c r="AN1398" s="18">
        <v>0</v>
      </c>
      <c r="AO1398" s="18">
        <v>0</v>
      </c>
      <c r="AP1398" s="16">
        <v>0</v>
      </c>
      <c r="AQ1398" s="18">
        <v>1000</v>
      </c>
      <c r="AR1398" s="18">
        <v>0</v>
      </c>
      <c r="AS1398" s="18">
        <v>0</v>
      </c>
      <c r="AT1398" s="12">
        <v>90600020</v>
      </c>
      <c r="AU1398" s="18">
        <v>0</v>
      </c>
      <c r="AV1398" s="18"/>
      <c r="AW1398" s="19" t="s">
        <v>199</v>
      </c>
      <c r="AX1398" s="18" t="s">
        <v>1819</v>
      </c>
      <c r="AY1398" s="18">
        <v>0</v>
      </c>
      <c r="AZ1398" s="18">
        <v>0</v>
      </c>
      <c r="BA1398" s="19" t="s">
        <v>200</v>
      </c>
      <c r="BB1398" s="19" t="s">
        <v>198</v>
      </c>
      <c r="BC1398" s="27">
        <v>0</v>
      </c>
      <c r="BD1398" s="27">
        <v>0</v>
      </c>
      <c r="BE1398" s="87" t="s">
        <v>2929</v>
      </c>
      <c r="BF1398" s="87" t="s">
        <v>2930</v>
      </c>
      <c r="BG1398" s="18">
        <v>0</v>
      </c>
      <c r="BH1398" s="16">
        <v>0</v>
      </c>
      <c r="BI1398" s="18">
        <v>0</v>
      </c>
      <c r="BJ1398" s="18">
        <v>0</v>
      </c>
      <c r="BK1398" s="18">
        <v>0</v>
      </c>
      <c r="BL1398" s="18">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64000003</v>
      </c>
      <c r="D1399" s="19" t="s">
        <v>2931</v>
      </c>
      <c r="E1399" s="19" t="s">
        <v>2932</v>
      </c>
      <c r="F1399" s="18">
        <v>1</v>
      </c>
      <c r="G1399" s="18">
        <v>60010500</v>
      </c>
      <c r="H1399" s="18">
        <v>0</v>
      </c>
      <c r="I1399" s="27">
        <v>0</v>
      </c>
      <c r="J1399" s="18">
        <v>1</v>
      </c>
      <c r="K1399" s="18">
        <v>0</v>
      </c>
      <c r="L1399" s="16">
        <v>0</v>
      </c>
      <c r="M1399" s="18">
        <v>0</v>
      </c>
      <c r="N1399" s="18">
        <v>0</v>
      </c>
      <c r="O1399" s="18">
        <v>2</v>
      </c>
      <c r="P1399" s="18">
        <v>2</v>
      </c>
      <c r="Q1399" s="18">
        <v>0.6</v>
      </c>
      <c r="R1399" s="18">
        <v>0</v>
      </c>
      <c r="S1399" s="12">
        <v>0</v>
      </c>
      <c r="T1399" s="27">
        <v>0</v>
      </c>
      <c r="U1399" s="16">
        <v>1</v>
      </c>
      <c r="V1399" s="18">
        <v>2</v>
      </c>
      <c r="W1399" s="18">
        <v>0</v>
      </c>
      <c r="X1399" s="18">
        <v>0</v>
      </c>
      <c r="Y1399" s="12">
        <v>0</v>
      </c>
      <c r="Z1399" s="18">
        <v>0</v>
      </c>
      <c r="AA1399" s="18">
        <v>0</v>
      </c>
      <c r="AB1399" s="18">
        <v>0</v>
      </c>
      <c r="AC1399" s="18">
        <v>0</v>
      </c>
      <c r="AD1399" s="16">
        <v>1</v>
      </c>
      <c r="AE1399" s="18">
        <v>0</v>
      </c>
      <c r="AF1399" s="16">
        <v>99999</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v>90600030</v>
      </c>
      <c r="AU1399" s="18">
        <v>0</v>
      </c>
      <c r="AV1399" s="18"/>
      <c r="AW1399" s="19" t="s">
        <v>199</v>
      </c>
      <c r="AX1399" s="18" t="s">
        <v>1819</v>
      </c>
      <c r="AY1399" s="18">
        <v>0</v>
      </c>
      <c r="AZ1399" s="18">
        <v>0</v>
      </c>
      <c r="BA1399" s="19" t="s">
        <v>200</v>
      </c>
      <c r="BB1399" s="19" t="s">
        <v>198</v>
      </c>
      <c r="BC1399" s="27">
        <v>0</v>
      </c>
      <c r="BD1399" s="27">
        <v>0</v>
      </c>
      <c r="BE1399" s="87" t="s">
        <v>2933</v>
      </c>
      <c r="BF1399" s="87" t="s">
        <v>2934</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64000004</v>
      </c>
      <c r="D1400" s="19" t="s">
        <v>2935</v>
      </c>
      <c r="E1400" s="19" t="s">
        <v>2936</v>
      </c>
      <c r="F1400" s="18">
        <v>1</v>
      </c>
      <c r="G1400" s="18">
        <v>60010500</v>
      </c>
      <c r="H1400" s="18">
        <v>0</v>
      </c>
      <c r="I1400" s="27">
        <v>0</v>
      </c>
      <c r="J1400" s="18">
        <v>1</v>
      </c>
      <c r="K1400" s="18">
        <v>0</v>
      </c>
      <c r="L1400" s="16">
        <v>0</v>
      </c>
      <c r="M1400" s="18">
        <v>0</v>
      </c>
      <c r="N1400" s="18">
        <v>0</v>
      </c>
      <c r="O1400" s="18">
        <v>2</v>
      </c>
      <c r="P1400" s="18">
        <v>2</v>
      </c>
      <c r="Q1400" s="18">
        <v>0.6</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6">
        <v>99999</v>
      </c>
      <c r="AG1400" s="18">
        <v>0</v>
      </c>
      <c r="AH1400" s="18">
        <v>0</v>
      </c>
      <c r="AI1400" s="12">
        <v>2</v>
      </c>
      <c r="AJ1400" s="12">
        <v>0</v>
      </c>
      <c r="AK1400" s="12">
        <v>0</v>
      </c>
      <c r="AL1400" s="12">
        <v>0</v>
      </c>
      <c r="AM1400" s="18">
        <v>0</v>
      </c>
      <c r="AN1400" s="18">
        <v>0</v>
      </c>
      <c r="AO1400" s="18">
        <v>0</v>
      </c>
      <c r="AP1400" s="18">
        <v>0</v>
      </c>
      <c r="AQ1400" s="18">
        <v>1000</v>
      </c>
      <c r="AR1400" s="18">
        <v>0</v>
      </c>
      <c r="AS1400" s="18">
        <v>0</v>
      </c>
      <c r="AT1400" s="12">
        <v>90600040</v>
      </c>
      <c r="AU1400" s="18">
        <v>0</v>
      </c>
      <c r="AV1400" s="18"/>
      <c r="AW1400" s="19" t="s">
        <v>199</v>
      </c>
      <c r="AX1400" s="18" t="s">
        <v>1819</v>
      </c>
      <c r="AY1400" s="18">
        <v>0</v>
      </c>
      <c r="AZ1400" s="18">
        <v>0</v>
      </c>
      <c r="BA1400" s="19" t="s">
        <v>200</v>
      </c>
      <c r="BB1400" s="19" t="s">
        <v>198</v>
      </c>
      <c r="BC1400" s="27">
        <v>0</v>
      </c>
      <c r="BD1400" s="27">
        <v>0</v>
      </c>
      <c r="BE1400" s="87" t="s">
        <v>2937</v>
      </c>
      <c r="BF1400" s="87" t="s">
        <v>2938</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64000005</v>
      </c>
      <c r="D1401" s="19" t="s">
        <v>567</v>
      </c>
      <c r="E1401" s="19" t="s">
        <v>568</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8">
        <v>0</v>
      </c>
      <c r="AQ1401" s="18">
        <v>1000</v>
      </c>
      <c r="AR1401" s="18">
        <v>0</v>
      </c>
      <c r="AS1401" s="18">
        <v>0</v>
      </c>
      <c r="AT1401" s="12">
        <v>90600050</v>
      </c>
      <c r="AU1401" s="18">
        <v>0</v>
      </c>
      <c r="AV1401" s="18"/>
      <c r="AW1401" s="19" t="s">
        <v>199</v>
      </c>
      <c r="AX1401" s="18" t="s">
        <v>1819</v>
      </c>
      <c r="AY1401" s="18">
        <v>0</v>
      </c>
      <c r="AZ1401" s="18">
        <v>0</v>
      </c>
      <c r="BA1401" s="19" t="s">
        <v>200</v>
      </c>
      <c r="BB1401" s="19" t="s">
        <v>198</v>
      </c>
      <c r="BC1401" s="27">
        <v>0</v>
      </c>
      <c r="BD1401" s="27">
        <v>0</v>
      </c>
      <c r="BE1401" s="87" t="s">
        <v>2939</v>
      </c>
      <c r="BF1401" s="87" t="s">
        <v>2940</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64000006</v>
      </c>
      <c r="D1402" s="19" t="s">
        <v>2941</v>
      </c>
      <c r="E1402" s="19" t="s">
        <v>2942</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90600060</v>
      </c>
      <c r="AU1402" s="18">
        <v>0</v>
      </c>
      <c r="AV1402" s="18"/>
      <c r="AW1402" s="19" t="s">
        <v>199</v>
      </c>
      <c r="AX1402" s="18" t="s">
        <v>1819</v>
      </c>
      <c r="AY1402" s="18">
        <v>0</v>
      </c>
      <c r="AZ1402" s="18">
        <v>0</v>
      </c>
      <c r="BA1402" s="19" t="s">
        <v>200</v>
      </c>
      <c r="BB1402" s="19" t="s">
        <v>198</v>
      </c>
      <c r="BC1402" s="27">
        <v>0</v>
      </c>
      <c r="BD1402" s="27">
        <v>0</v>
      </c>
      <c r="BE1402" s="87" t="s">
        <v>2943</v>
      </c>
      <c r="BF1402" s="87" t="s">
        <v>2944</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64000007</v>
      </c>
      <c r="D1403" s="19" t="s">
        <v>2945</v>
      </c>
      <c r="E1403" s="19" t="s">
        <v>2946</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90600070</v>
      </c>
      <c r="AU1403" s="18">
        <v>0</v>
      </c>
      <c r="AV1403" s="18"/>
      <c r="AW1403" s="19" t="s">
        <v>199</v>
      </c>
      <c r="AX1403" s="18" t="s">
        <v>1819</v>
      </c>
      <c r="AY1403" s="18">
        <v>0</v>
      </c>
      <c r="AZ1403" s="18">
        <v>0</v>
      </c>
      <c r="BA1403" s="19" t="s">
        <v>200</v>
      </c>
      <c r="BB1403" s="19" t="s">
        <v>198</v>
      </c>
      <c r="BC1403" s="27">
        <v>0</v>
      </c>
      <c r="BD1403" s="27">
        <v>0</v>
      </c>
      <c r="BE1403" s="87" t="s">
        <v>2947</v>
      </c>
      <c r="BF1403" s="87" t="s">
        <v>2948</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64000008</v>
      </c>
      <c r="D1404" s="19" t="s">
        <v>621</v>
      </c>
      <c r="E1404" s="19" t="s">
        <v>622</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0</v>
      </c>
      <c r="AU1404" s="18" t="s">
        <v>198</v>
      </c>
      <c r="AV1404" s="18"/>
      <c r="AW1404" s="19" t="s">
        <v>199</v>
      </c>
      <c r="AX1404" s="18" t="s">
        <v>1819</v>
      </c>
      <c r="AY1404" s="18">
        <v>0</v>
      </c>
      <c r="AZ1404" s="18">
        <v>0</v>
      </c>
      <c r="BA1404" s="19" t="s">
        <v>200</v>
      </c>
      <c r="BB1404" s="19" t="s">
        <v>198</v>
      </c>
      <c r="BC1404" s="27">
        <v>0</v>
      </c>
      <c r="BD1404" s="27">
        <v>0</v>
      </c>
      <c r="BE1404" s="87" t="s">
        <v>2949</v>
      </c>
      <c r="BF1404" s="87" t="s">
        <v>2950</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64100001</v>
      </c>
      <c r="D1405" s="19" t="s">
        <v>2951</v>
      </c>
      <c r="E1405" s="19" t="s">
        <v>2952</v>
      </c>
      <c r="F1405" s="16">
        <v>1</v>
      </c>
      <c r="G1405" s="12">
        <v>0</v>
      </c>
      <c r="H1405" s="18">
        <v>0</v>
      </c>
      <c r="I1405" s="12">
        <v>0</v>
      </c>
      <c r="J1405" s="16">
        <v>0</v>
      </c>
      <c r="K1405" s="18">
        <v>0</v>
      </c>
      <c r="L1405" s="16">
        <v>0</v>
      </c>
      <c r="M1405" s="12">
        <v>0</v>
      </c>
      <c r="N1405" s="12">
        <v>0</v>
      </c>
      <c r="O1405" s="18">
        <v>2</v>
      </c>
      <c r="P1405" s="18">
        <v>3</v>
      </c>
      <c r="Q1405" s="18">
        <v>0.05</v>
      </c>
      <c r="R1405" s="12">
        <v>0</v>
      </c>
      <c r="S1405" s="12">
        <v>0</v>
      </c>
      <c r="T1405" s="12">
        <v>0</v>
      </c>
      <c r="U1405" s="16">
        <v>1</v>
      </c>
      <c r="V1405" s="12">
        <v>2</v>
      </c>
      <c r="W1405" s="12">
        <v>0</v>
      </c>
      <c r="X1405" s="18">
        <v>0</v>
      </c>
      <c r="Y1405" s="12">
        <v>0</v>
      </c>
      <c r="Z1405" s="18">
        <v>0</v>
      </c>
      <c r="AA1405" s="12">
        <v>0</v>
      </c>
      <c r="AB1405" s="12">
        <v>0</v>
      </c>
      <c r="AC1405" s="12">
        <v>0</v>
      </c>
      <c r="AD1405" s="18">
        <v>0</v>
      </c>
      <c r="AE1405" s="12">
        <v>0</v>
      </c>
      <c r="AF1405" s="18">
        <v>1</v>
      </c>
      <c r="AG1405" s="12">
        <v>1</v>
      </c>
      <c r="AH1405" s="12">
        <v>3</v>
      </c>
      <c r="AI1405" s="12">
        <v>2</v>
      </c>
      <c r="AJ1405" s="12">
        <v>1</v>
      </c>
      <c r="AK1405" s="12">
        <v>1</v>
      </c>
      <c r="AL1405" s="12">
        <v>6</v>
      </c>
      <c r="AM1405" s="12">
        <v>0</v>
      </c>
      <c r="AN1405" s="12">
        <v>0</v>
      </c>
      <c r="AO1405" s="12">
        <v>0</v>
      </c>
      <c r="AP1405" s="18">
        <v>0</v>
      </c>
      <c r="AQ1405" s="12">
        <v>3000</v>
      </c>
      <c r="AR1405" s="12">
        <v>0.1</v>
      </c>
      <c r="AS1405" s="12">
        <v>0</v>
      </c>
      <c r="AT1405" s="12">
        <v>0</v>
      </c>
      <c r="AU1405" s="18">
        <v>90610011</v>
      </c>
      <c r="AV1405" s="18"/>
      <c r="AW1405" s="13" t="s">
        <v>256</v>
      </c>
      <c r="AX1405" s="12" t="s">
        <v>1858</v>
      </c>
      <c r="AY1405" s="12" t="s">
        <v>198</v>
      </c>
      <c r="AZ1405" s="12">
        <v>0</v>
      </c>
      <c r="BA1405" s="13" t="s">
        <v>200</v>
      </c>
      <c r="BB1405" s="12">
        <v>0</v>
      </c>
      <c r="BC1405" s="12">
        <v>0</v>
      </c>
      <c r="BD1405" s="12">
        <v>0</v>
      </c>
      <c r="BE1405" s="42" t="s">
        <v>2953</v>
      </c>
      <c r="BF1405" s="42" t="s">
        <v>2954</v>
      </c>
      <c r="BG1405" s="12">
        <v>0</v>
      </c>
      <c r="BH1405" s="16">
        <v>0</v>
      </c>
      <c r="BI1405" s="12">
        <v>0</v>
      </c>
      <c r="BJ1405" s="12">
        <v>0</v>
      </c>
      <c r="BK1405" s="12">
        <v>0</v>
      </c>
      <c r="BL1405" s="12">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64100002</v>
      </c>
      <c r="D1406" s="19" t="s">
        <v>2955</v>
      </c>
      <c r="E1406" s="19" t="s">
        <v>2956</v>
      </c>
      <c r="F1406" s="16">
        <v>1</v>
      </c>
      <c r="G1406" s="12">
        <v>0</v>
      </c>
      <c r="H1406" s="18">
        <v>0</v>
      </c>
      <c r="I1406" s="12">
        <v>0</v>
      </c>
      <c r="J1406" s="16">
        <v>0</v>
      </c>
      <c r="K1406" s="18">
        <v>0</v>
      </c>
      <c r="L1406" s="16">
        <v>0</v>
      </c>
      <c r="M1406" s="12">
        <v>0</v>
      </c>
      <c r="N1406" s="12">
        <v>0</v>
      </c>
      <c r="O1406" s="18">
        <v>2</v>
      </c>
      <c r="P1406" s="18">
        <v>1</v>
      </c>
      <c r="Q1406" s="18">
        <v>1</v>
      </c>
      <c r="R1406" s="12">
        <v>0</v>
      </c>
      <c r="S1406" s="12">
        <v>0</v>
      </c>
      <c r="T1406" s="12">
        <v>0</v>
      </c>
      <c r="U1406" s="16">
        <v>1</v>
      </c>
      <c r="V1406" s="12">
        <v>2</v>
      </c>
      <c r="W1406" s="12">
        <v>0</v>
      </c>
      <c r="X1406" s="18">
        <v>0</v>
      </c>
      <c r="Y1406" s="12">
        <v>0</v>
      </c>
      <c r="Z1406" s="18">
        <v>0</v>
      </c>
      <c r="AA1406" s="12">
        <v>0</v>
      </c>
      <c r="AB1406" s="12">
        <v>0</v>
      </c>
      <c r="AC1406" s="12">
        <v>0</v>
      </c>
      <c r="AD1406" s="18">
        <v>0</v>
      </c>
      <c r="AE1406" s="12">
        <v>0</v>
      </c>
      <c r="AF1406" s="18">
        <v>30</v>
      </c>
      <c r="AG1406" s="12">
        <v>1</v>
      </c>
      <c r="AH1406" s="12">
        <v>3</v>
      </c>
      <c r="AI1406" s="12">
        <v>2</v>
      </c>
      <c r="AJ1406" s="12">
        <v>1</v>
      </c>
      <c r="AK1406" s="12">
        <v>1</v>
      </c>
      <c r="AL1406" s="12">
        <v>6</v>
      </c>
      <c r="AM1406" s="12">
        <v>0</v>
      </c>
      <c r="AN1406" s="12">
        <v>0</v>
      </c>
      <c r="AO1406" s="12">
        <v>0</v>
      </c>
      <c r="AP1406" s="18">
        <v>0</v>
      </c>
      <c r="AQ1406" s="12">
        <v>3000</v>
      </c>
      <c r="AR1406" s="12">
        <v>0.1</v>
      </c>
      <c r="AS1406" s="12">
        <v>0</v>
      </c>
      <c r="AT1406" s="12">
        <v>0</v>
      </c>
      <c r="AU1406" s="18">
        <v>90610021</v>
      </c>
      <c r="AV1406" s="18"/>
      <c r="AW1406" s="13" t="s">
        <v>256</v>
      </c>
      <c r="AX1406" s="12" t="s">
        <v>1858</v>
      </c>
      <c r="AY1406" s="12" t="s">
        <v>198</v>
      </c>
      <c r="AZ1406" s="12">
        <v>0</v>
      </c>
      <c r="BA1406" s="13" t="s">
        <v>200</v>
      </c>
      <c r="BB1406" s="12">
        <v>0</v>
      </c>
      <c r="BC1406" s="12">
        <v>0</v>
      </c>
      <c r="BD1406" s="12">
        <v>0</v>
      </c>
      <c r="BE1406" s="42" t="s">
        <v>2953</v>
      </c>
      <c r="BF1406" s="42" t="s">
        <v>2954</v>
      </c>
      <c r="BG1406" s="12">
        <v>0</v>
      </c>
      <c r="BH1406" s="16">
        <v>0</v>
      </c>
      <c r="BI1406" s="12">
        <v>0</v>
      </c>
      <c r="BJ1406" s="12">
        <v>0</v>
      </c>
      <c r="BK1406" s="12">
        <v>0</v>
      </c>
      <c r="BL1406" s="12">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64100003</v>
      </c>
      <c r="D1407" s="17" t="s">
        <v>2957</v>
      </c>
      <c r="E1407" s="17" t="s">
        <v>2958</v>
      </c>
      <c r="F1407" s="18">
        <v>1</v>
      </c>
      <c r="G1407" s="12">
        <v>0</v>
      </c>
      <c r="H1407" s="18">
        <v>0</v>
      </c>
      <c r="I1407" s="27">
        <v>0</v>
      </c>
      <c r="J1407" s="16">
        <v>0</v>
      </c>
      <c r="K1407" s="18">
        <v>0</v>
      </c>
      <c r="L1407" s="18">
        <v>0</v>
      </c>
      <c r="M1407" s="16">
        <v>0</v>
      </c>
      <c r="N1407" s="16">
        <v>0</v>
      </c>
      <c r="O1407" s="16">
        <v>2</v>
      </c>
      <c r="P1407" s="16">
        <v>3</v>
      </c>
      <c r="Q1407" s="16">
        <v>0.2</v>
      </c>
      <c r="R1407" s="16">
        <v>0</v>
      </c>
      <c r="S1407" s="12">
        <v>1</v>
      </c>
      <c r="T1407" s="16">
        <v>0</v>
      </c>
      <c r="U1407" s="16">
        <v>1</v>
      </c>
      <c r="V1407" s="16">
        <v>2</v>
      </c>
      <c r="W1407" s="16">
        <v>0</v>
      </c>
      <c r="X1407" s="16">
        <v>3</v>
      </c>
      <c r="Y1407" s="12">
        <v>0</v>
      </c>
      <c r="Z1407" s="16">
        <v>0</v>
      </c>
      <c r="AA1407" s="16">
        <v>1</v>
      </c>
      <c r="AB1407" s="16">
        <v>0</v>
      </c>
      <c r="AC1407" s="16">
        <v>0</v>
      </c>
      <c r="AD1407" s="16">
        <v>0</v>
      </c>
      <c r="AE1407" s="16">
        <v>0</v>
      </c>
      <c r="AF1407" s="16">
        <v>8</v>
      </c>
      <c r="AG1407" s="16">
        <v>1</v>
      </c>
      <c r="AH1407" s="16">
        <v>3</v>
      </c>
      <c r="AI1407" s="12">
        <v>1</v>
      </c>
      <c r="AJ1407" s="12">
        <v>1</v>
      </c>
      <c r="AK1407" s="12">
        <v>0</v>
      </c>
      <c r="AL1407" s="12">
        <v>1.5</v>
      </c>
      <c r="AM1407" s="16">
        <v>0</v>
      </c>
      <c r="AN1407" s="16">
        <v>0</v>
      </c>
      <c r="AO1407" s="16">
        <v>0</v>
      </c>
      <c r="AP1407" s="16">
        <v>0</v>
      </c>
      <c r="AQ1407" s="16">
        <v>5000</v>
      </c>
      <c r="AR1407" s="16">
        <v>3</v>
      </c>
      <c r="AS1407" s="16">
        <v>0</v>
      </c>
      <c r="AT1407" s="12">
        <v>0</v>
      </c>
      <c r="AU1407" s="16" t="s">
        <v>198</v>
      </c>
      <c r="AV1407" s="16"/>
      <c r="AW1407" s="19" t="s">
        <v>199</v>
      </c>
      <c r="AX1407" s="16" t="s">
        <v>534</v>
      </c>
      <c r="AY1407" s="18">
        <v>10000007</v>
      </c>
      <c r="AZ1407" s="18">
        <v>70103003</v>
      </c>
      <c r="BA1407" s="17" t="s">
        <v>200</v>
      </c>
      <c r="BB1407" s="16" t="s">
        <v>2959</v>
      </c>
      <c r="BC1407" s="27">
        <v>0</v>
      </c>
      <c r="BD1407" s="27">
        <v>0</v>
      </c>
      <c r="BE1407" s="44" t="s">
        <v>2960</v>
      </c>
      <c r="BF1407" s="44" t="s">
        <v>2961</v>
      </c>
      <c r="BG1407" s="16">
        <v>0</v>
      </c>
      <c r="BH1407" s="16">
        <v>0</v>
      </c>
      <c r="BI1407" s="16">
        <v>0</v>
      </c>
      <c r="BJ1407" s="16">
        <v>0</v>
      </c>
      <c r="BK1407" s="16">
        <v>0</v>
      </c>
      <c r="BL1407" s="16">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64100004</v>
      </c>
      <c r="D1408" s="19" t="s">
        <v>2962</v>
      </c>
      <c r="E1408" s="19" t="s">
        <v>2963</v>
      </c>
      <c r="F1408" s="16">
        <v>1</v>
      </c>
      <c r="G1408" s="12">
        <v>0</v>
      </c>
      <c r="H1408" s="18">
        <v>0</v>
      </c>
      <c r="I1408" s="12">
        <v>0</v>
      </c>
      <c r="J1408" s="16">
        <v>0</v>
      </c>
      <c r="K1408" s="18">
        <v>0</v>
      </c>
      <c r="L1408" s="16">
        <v>0</v>
      </c>
      <c r="M1408" s="12">
        <v>0</v>
      </c>
      <c r="N1408" s="12">
        <v>0</v>
      </c>
      <c r="O1408" s="18">
        <v>2</v>
      </c>
      <c r="P1408" s="18">
        <v>1</v>
      </c>
      <c r="Q1408" s="18">
        <v>1</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30</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8">
        <v>90610041</v>
      </c>
      <c r="AU1408" s="18">
        <v>90610041</v>
      </c>
      <c r="AV1408" s="18"/>
      <c r="AW1408" s="13" t="s">
        <v>256</v>
      </c>
      <c r="AX1408" s="12" t="s">
        <v>1858</v>
      </c>
      <c r="AY1408" s="12" t="s">
        <v>198</v>
      </c>
      <c r="AZ1408" s="12">
        <v>0</v>
      </c>
      <c r="BA1408" s="13" t="s">
        <v>200</v>
      </c>
      <c r="BB1408" s="12">
        <v>0</v>
      </c>
      <c r="BC1408" s="12">
        <v>0</v>
      </c>
      <c r="BD1408" s="12">
        <v>0</v>
      </c>
      <c r="BE1408" s="42" t="s">
        <v>2953</v>
      </c>
      <c r="BF1408" s="42" t="s">
        <v>2954</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spans="3:75" ht="20.25" customHeight="1">
      <c r="C1409" s="18">
        <v>64100005</v>
      </c>
      <c r="D1409" s="19" t="s">
        <v>2664</v>
      </c>
      <c r="E1409" s="19" t="s">
        <v>2665</v>
      </c>
      <c r="F1409" s="18">
        <v>1</v>
      </c>
      <c r="G1409" s="12">
        <v>0</v>
      </c>
      <c r="H1409" s="18">
        <v>0</v>
      </c>
      <c r="I1409" s="27">
        <v>0</v>
      </c>
      <c r="J1409" s="16">
        <v>0</v>
      </c>
      <c r="K1409" s="18">
        <v>0</v>
      </c>
      <c r="L1409" s="16">
        <v>0</v>
      </c>
      <c r="M1409" s="18">
        <v>0</v>
      </c>
      <c r="N1409" s="18">
        <v>0</v>
      </c>
      <c r="O1409" s="18">
        <v>2</v>
      </c>
      <c r="P1409" s="18">
        <v>2</v>
      </c>
      <c r="Q1409" s="18">
        <v>0.3</v>
      </c>
      <c r="R1409" s="18">
        <v>0</v>
      </c>
      <c r="S1409" s="12">
        <v>0</v>
      </c>
      <c r="T1409" s="27">
        <v>0</v>
      </c>
      <c r="U1409" s="16">
        <v>1</v>
      </c>
      <c r="V1409" s="18">
        <v>1</v>
      </c>
      <c r="W1409" s="18">
        <v>0</v>
      </c>
      <c r="X1409" s="18">
        <v>3</v>
      </c>
      <c r="Y1409" s="12">
        <v>0</v>
      </c>
      <c r="Z1409" s="18">
        <v>0</v>
      </c>
      <c r="AA1409" s="18">
        <v>0</v>
      </c>
      <c r="AB1409" s="18">
        <v>0</v>
      </c>
      <c r="AC1409" s="18">
        <v>0</v>
      </c>
      <c r="AD1409" s="18">
        <v>1</v>
      </c>
      <c r="AE1409" s="18">
        <v>0</v>
      </c>
      <c r="AF1409" s="18">
        <v>15</v>
      </c>
      <c r="AG1409" s="18">
        <v>0</v>
      </c>
      <c r="AH1409" s="18">
        <v>3</v>
      </c>
      <c r="AI1409" s="12">
        <v>7</v>
      </c>
      <c r="AJ1409" s="12">
        <v>0</v>
      </c>
      <c r="AK1409" s="12">
        <v>1</v>
      </c>
      <c r="AL1409" s="12">
        <v>6</v>
      </c>
      <c r="AM1409" s="18">
        <v>0</v>
      </c>
      <c r="AN1409" s="18">
        <v>0</v>
      </c>
      <c r="AO1409" s="18">
        <v>0</v>
      </c>
      <c r="AP1409" s="18">
        <v>0</v>
      </c>
      <c r="AQ1409" s="18">
        <v>3000</v>
      </c>
      <c r="AR1409" s="18">
        <v>0.5</v>
      </c>
      <c r="AS1409" s="18">
        <v>20</v>
      </c>
      <c r="AT1409" s="12">
        <v>0</v>
      </c>
      <c r="AU1409" s="247">
        <v>90610051</v>
      </c>
      <c r="AV1409" s="248"/>
      <c r="AW1409" s="17" t="s">
        <v>242</v>
      </c>
      <c r="AX1409" s="18" t="s">
        <v>1677</v>
      </c>
      <c r="AY1409" s="18">
        <v>10000011</v>
      </c>
      <c r="AZ1409" s="18">
        <v>20001010</v>
      </c>
      <c r="BA1409" s="19" t="s">
        <v>250</v>
      </c>
      <c r="BB1409" s="19" t="s">
        <v>198</v>
      </c>
      <c r="BC1409" s="27">
        <v>0</v>
      </c>
      <c r="BD1409" s="27">
        <v>0</v>
      </c>
      <c r="BE1409" s="44" t="s">
        <v>2964</v>
      </c>
      <c r="BF1409" s="44" t="s">
        <v>2965</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64100006</v>
      </c>
      <c r="D1410" s="19" t="s">
        <v>1324</v>
      </c>
      <c r="E1410" s="19" t="s">
        <v>1325</v>
      </c>
      <c r="F1410" s="18">
        <v>1</v>
      </c>
      <c r="G1410" s="18">
        <v>60010500</v>
      </c>
      <c r="H1410" s="18">
        <v>0</v>
      </c>
      <c r="I1410" s="27">
        <v>0</v>
      </c>
      <c r="J1410" s="16">
        <v>0</v>
      </c>
      <c r="K1410" s="18">
        <v>0</v>
      </c>
      <c r="L1410" s="18">
        <v>0</v>
      </c>
      <c r="M1410" s="18">
        <v>0</v>
      </c>
      <c r="N1410" s="18">
        <v>0</v>
      </c>
      <c r="O1410" s="16">
        <v>2</v>
      </c>
      <c r="P1410" s="18">
        <v>7</v>
      </c>
      <c r="Q1410" s="18">
        <v>0.1</v>
      </c>
      <c r="R1410" s="18">
        <v>0</v>
      </c>
      <c r="S1410" s="12">
        <v>0</v>
      </c>
      <c r="T1410" s="27">
        <v>0</v>
      </c>
      <c r="U1410" s="16">
        <v>1</v>
      </c>
      <c r="V1410" s="18">
        <v>1</v>
      </c>
      <c r="W1410" s="18">
        <v>0</v>
      </c>
      <c r="X1410" s="18">
        <v>1</v>
      </c>
      <c r="Y1410" s="12">
        <v>0</v>
      </c>
      <c r="Z1410" s="18">
        <v>0</v>
      </c>
      <c r="AA1410" s="18">
        <v>0</v>
      </c>
      <c r="AB1410" s="18">
        <v>0</v>
      </c>
      <c r="AC1410" s="18">
        <v>0</v>
      </c>
      <c r="AD1410" s="16">
        <v>0</v>
      </c>
      <c r="AE1410" s="18">
        <v>0</v>
      </c>
      <c r="AF1410" s="18">
        <v>15</v>
      </c>
      <c r="AG1410" s="18">
        <v>0</v>
      </c>
      <c r="AH1410" s="18">
        <v>0</v>
      </c>
      <c r="AI1410" s="12">
        <v>7</v>
      </c>
      <c r="AJ1410" s="12">
        <v>0</v>
      </c>
      <c r="AK1410" s="12">
        <v>0</v>
      </c>
      <c r="AL1410" s="12">
        <v>0</v>
      </c>
      <c r="AM1410" s="18">
        <v>0</v>
      </c>
      <c r="AN1410" s="18">
        <v>0</v>
      </c>
      <c r="AO1410" s="18">
        <v>0</v>
      </c>
      <c r="AP1410" s="18">
        <v>0</v>
      </c>
      <c r="AQ1410" s="18">
        <v>1000</v>
      </c>
      <c r="AR1410" s="18">
        <v>0.5</v>
      </c>
      <c r="AS1410" s="18">
        <v>0</v>
      </c>
      <c r="AT1410" s="12">
        <v>0</v>
      </c>
      <c r="AU1410" s="12">
        <v>90202001</v>
      </c>
      <c r="AV1410" s="12"/>
      <c r="AW1410" s="19" t="s">
        <v>741</v>
      </c>
      <c r="AX1410" s="18">
        <v>0</v>
      </c>
      <c r="AY1410" s="18">
        <v>10007001</v>
      </c>
      <c r="AZ1410" s="18">
        <v>0</v>
      </c>
      <c r="BA1410" s="19" t="s">
        <v>200</v>
      </c>
      <c r="BB1410" s="19" t="s">
        <v>198</v>
      </c>
      <c r="BC1410" s="27">
        <v>0</v>
      </c>
      <c r="BD1410" s="27">
        <v>0</v>
      </c>
      <c r="BE1410" s="87" t="s">
        <v>2966</v>
      </c>
      <c r="BF1410" s="87" t="s">
        <v>2967</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64100007</v>
      </c>
      <c r="D1411" s="17" t="s">
        <v>2957</v>
      </c>
      <c r="E1411" s="17" t="s">
        <v>2958</v>
      </c>
      <c r="F1411" s="18">
        <v>1</v>
      </c>
      <c r="G1411" s="12">
        <v>0</v>
      </c>
      <c r="H1411" s="18">
        <v>0</v>
      </c>
      <c r="I1411" s="27">
        <v>0</v>
      </c>
      <c r="J1411" s="16">
        <v>0</v>
      </c>
      <c r="K1411" s="18">
        <v>0</v>
      </c>
      <c r="L1411" s="18">
        <v>0</v>
      </c>
      <c r="M1411" s="16">
        <v>0</v>
      </c>
      <c r="N1411" s="16">
        <v>0</v>
      </c>
      <c r="O1411" s="16">
        <v>2</v>
      </c>
      <c r="P1411" s="16">
        <v>3</v>
      </c>
      <c r="Q1411" s="16">
        <v>0.2</v>
      </c>
      <c r="R1411" s="16">
        <v>0</v>
      </c>
      <c r="S1411" s="12">
        <v>0</v>
      </c>
      <c r="T1411" s="16">
        <v>0</v>
      </c>
      <c r="U1411" s="16">
        <v>1</v>
      </c>
      <c r="V1411" s="16">
        <v>2</v>
      </c>
      <c r="W1411" s="16">
        <v>0</v>
      </c>
      <c r="X1411" s="16">
        <v>3</v>
      </c>
      <c r="Y1411" s="12">
        <v>0</v>
      </c>
      <c r="Z1411" s="16">
        <v>0</v>
      </c>
      <c r="AA1411" s="16">
        <v>1</v>
      </c>
      <c r="AB1411" s="16">
        <v>0</v>
      </c>
      <c r="AC1411" s="16">
        <v>0</v>
      </c>
      <c r="AD1411" s="16">
        <v>0</v>
      </c>
      <c r="AE1411" s="16">
        <v>0</v>
      </c>
      <c r="AF1411" s="16">
        <v>8</v>
      </c>
      <c r="AG1411" s="16">
        <v>1</v>
      </c>
      <c r="AH1411" s="16">
        <v>3</v>
      </c>
      <c r="AI1411" s="12">
        <v>1</v>
      </c>
      <c r="AJ1411" s="12">
        <v>1</v>
      </c>
      <c r="AK1411" s="12">
        <v>0</v>
      </c>
      <c r="AL1411" s="12">
        <v>1.5</v>
      </c>
      <c r="AM1411" s="16">
        <v>0</v>
      </c>
      <c r="AN1411" s="16">
        <v>0</v>
      </c>
      <c r="AO1411" s="16">
        <v>0</v>
      </c>
      <c r="AP1411" s="16">
        <v>0</v>
      </c>
      <c r="AQ1411" s="16">
        <v>5000</v>
      </c>
      <c r="AR1411" s="16">
        <v>3</v>
      </c>
      <c r="AS1411" s="16">
        <v>0</v>
      </c>
      <c r="AT1411" s="12">
        <v>0</v>
      </c>
      <c r="AU1411" s="16" t="s">
        <v>198</v>
      </c>
      <c r="AV1411" s="16"/>
      <c r="AW1411" s="19" t="s">
        <v>199</v>
      </c>
      <c r="AX1411" s="16" t="s">
        <v>534</v>
      </c>
      <c r="AY1411" s="18">
        <v>10000011</v>
      </c>
      <c r="AZ1411" s="18">
        <v>70204001</v>
      </c>
      <c r="BA1411" s="17" t="s">
        <v>200</v>
      </c>
      <c r="BB1411" s="16" t="s">
        <v>2968</v>
      </c>
      <c r="BC1411" s="27">
        <v>0</v>
      </c>
      <c r="BD1411" s="27">
        <v>0</v>
      </c>
      <c r="BE1411" s="44" t="s">
        <v>2960</v>
      </c>
      <c r="BF1411" s="44" t="s">
        <v>2961</v>
      </c>
      <c r="BG1411" s="16">
        <v>0</v>
      </c>
      <c r="BH1411" s="16">
        <v>0</v>
      </c>
      <c r="BI1411" s="16">
        <v>0</v>
      </c>
      <c r="BJ1411" s="16">
        <v>0</v>
      </c>
      <c r="BK1411" s="16">
        <v>0</v>
      </c>
      <c r="BL1411" s="16">
        <v>0</v>
      </c>
      <c r="BM1411" s="15">
        <v>0</v>
      </c>
      <c r="BN1411" s="12">
        <v>0</v>
      </c>
      <c r="BO1411" s="12">
        <v>0</v>
      </c>
      <c r="BP1411" s="12">
        <v>0</v>
      </c>
      <c r="BQ1411" s="12">
        <v>0</v>
      </c>
      <c r="BR1411" s="12">
        <v>0</v>
      </c>
      <c r="BS1411" s="12">
        <v>0</v>
      </c>
      <c r="BT1411" s="12">
        <v>0</v>
      </c>
      <c r="BU1411" s="47">
        <v>0</v>
      </c>
      <c r="BV1411" s="47"/>
      <c r="BW1411" s="47"/>
    </row>
    <row r="1412" spans="3:75" ht="20.25" customHeight="1">
      <c r="C1412" s="18">
        <v>641000071</v>
      </c>
      <c r="D1412" s="19" t="s">
        <v>2664</v>
      </c>
      <c r="E1412" s="19" t="s">
        <v>2665</v>
      </c>
      <c r="F1412" s="18">
        <v>1</v>
      </c>
      <c r="G1412" s="12">
        <v>0</v>
      </c>
      <c r="H1412" s="18">
        <v>0</v>
      </c>
      <c r="I1412" s="27">
        <v>0</v>
      </c>
      <c r="J1412" s="16">
        <v>0</v>
      </c>
      <c r="K1412" s="18">
        <v>0</v>
      </c>
      <c r="L1412" s="16">
        <v>0</v>
      </c>
      <c r="M1412" s="18">
        <v>0</v>
      </c>
      <c r="N1412" s="18">
        <v>0</v>
      </c>
      <c r="O1412" s="18">
        <v>2</v>
      </c>
      <c r="P1412" s="18">
        <v>3</v>
      </c>
      <c r="Q1412" s="18">
        <v>0.3</v>
      </c>
      <c r="R1412" s="18">
        <v>0</v>
      </c>
      <c r="S1412" s="12">
        <v>1</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47">
        <v>0</v>
      </c>
      <c r="AV1412" s="248"/>
      <c r="AW1412" s="17" t="s">
        <v>242</v>
      </c>
      <c r="AX1412" s="18" t="s">
        <v>1677</v>
      </c>
      <c r="AY1412" s="18">
        <v>10000011</v>
      </c>
      <c r="AZ1412" s="18">
        <v>70204001</v>
      </c>
      <c r="BA1412" s="19" t="s">
        <v>250</v>
      </c>
      <c r="BB1412" s="19" t="s">
        <v>198</v>
      </c>
      <c r="BC1412" s="27">
        <v>0</v>
      </c>
      <c r="BD1412" s="27">
        <v>0</v>
      </c>
      <c r="BE1412" s="44" t="s">
        <v>2964</v>
      </c>
      <c r="BF1412" s="44" t="s">
        <v>2965</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64100008</v>
      </c>
      <c r="D1413" s="17" t="s">
        <v>2969</v>
      </c>
      <c r="E1413" s="17" t="s">
        <v>2970</v>
      </c>
      <c r="F1413" s="18">
        <v>1</v>
      </c>
      <c r="G1413" s="16">
        <v>62021501</v>
      </c>
      <c r="H1413" s="16">
        <v>0</v>
      </c>
      <c r="I1413" s="27">
        <v>0</v>
      </c>
      <c r="J1413" s="16">
        <v>0</v>
      </c>
      <c r="K1413" s="16">
        <v>0</v>
      </c>
      <c r="L1413" s="18">
        <v>0</v>
      </c>
      <c r="M1413" s="16">
        <v>0</v>
      </c>
      <c r="N1413" s="16">
        <v>0</v>
      </c>
      <c r="O1413" s="16">
        <v>2</v>
      </c>
      <c r="P1413" s="16">
        <v>1</v>
      </c>
      <c r="Q1413" s="16">
        <v>0.2</v>
      </c>
      <c r="R1413" s="16">
        <v>0</v>
      </c>
      <c r="S1413" s="12">
        <v>0</v>
      </c>
      <c r="T1413" s="16">
        <v>0</v>
      </c>
      <c r="U1413" s="16">
        <v>1</v>
      </c>
      <c r="V1413" s="16">
        <v>2</v>
      </c>
      <c r="W1413" s="16">
        <v>0</v>
      </c>
      <c r="X1413" s="16">
        <v>0</v>
      </c>
      <c r="Y1413" s="12">
        <v>0</v>
      </c>
      <c r="Z1413" s="16">
        <v>0</v>
      </c>
      <c r="AA1413" s="16">
        <v>0</v>
      </c>
      <c r="AB1413" s="16">
        <v>0</v>
      </c>
      <c r="AC1413" s="16">
        <v>0</v>
      </c>
      <c r="AD1413" s="16">
        <v>0</v>
      </c>
      <c r="AE1413" s="16">
        <v>0</v>
      </c>
      <c r="AF1413" s="16">
        <v>30</v>
      </c>
      <c r="AG1413" s="16">
        <v>0</v>
      </c>
      <c r="AH1413" s="16">
        <v>0</v>
      </c>
      <c r="AI1413" s="12">
        <v>2</v>
      </c>
      <c r="AJ1413" s="12">
        <v>2</v>
      </c>
      <c r="AK1413" s="12">
        <v>0</v>
      </c>
      <c r="AL1413" s="12">
        <v>1.5</v>
      </c>
      <c r="AM1413" s="16">
        <v>0</v>
      </c>
      <c r="AN1413" s="16">
        <v>0</v>
      </c>
      <c r="AO1413" s="16">
        <v>0</v>
      </c>
      <c r="AP1413" s="18">
        <v>0</v>
      </c>
      <c r="AQ1413" s="16">
        <v>3000</v>
      </c>
      <c r="AR1413" s="16">
        <v>0</v>
      </c>
      <c r="AS1413" s="16">
        <v>0</v>
      </c>
      <c r="AT1413" s="12">
        <v>0</v>
      </c>
      <c r="AU1413" s="16" t="s">
        <v>198</v>
      </c>
      <c r="AV1413" s="16"/>
      <c r="AW1413" s="17" t="s">
        <v>199</v>
      </c>
      <c r="AX1413" s="16" t="s">
        <v>545</v>
      </c>
      <c r="AY1413" s="18">
        <v>0</v>
      </c>
      <c r="AZ1413" s="18">
        <v>21101051</v>
      </c>
      <c r="BA1413" s="17" t="s">
        <v>1174</v>
      </c>
      <c r="BB1413" s="349" t="s">
        <v>2971</v>
      </c>
      <c r="BC1413" s="27">
        <v>0</v>
      </c>
      <c r="BD1413" s="27">
        <v>0</v>
      </c>
      <c r="BE1413" s="44" t="s">
        <v>2972</v>
      </c>
      <c r="BF1413" s="44" t="s">
        <v>2973</v>
      </c>
      <c r="BG1413" s="16">
        <v>0</v>
      </c>
      <c r="BH1413" s="16">
        <v>0</v>
      </c>
      <c r="BI1413" s="16">
        <v>0</v>
      </c>
      <c r="BJ1413" s="16">
        <v>0</v>
      </c>
      <c r="BK1413" s="16">
        <v>0</v>
      </c>
      <c r="BL1413" s="16">
        <v>0</v>
      </c>
      <c r="BM1413" s="15">
        <v>0</v>
      </c>
      <c r="BN1413" s="12">
        <v>0</v>
      </c>
      <c r="BO1413" s="12">
        <v>0</v>
      </c>
      <c r="BP1413" s="12">
        <v>0</v>
      </c>
      <c r="BQ1413" s="12">
        <v>0</v>
      </c>
      <c r="BR1413" s="12">
        <v>0</v>
      </c>
      <c r="BS1413" s="12">
        <v>0</v>
      </c>
      <c r="BT1413" s="12">
        <v>0</v>
      </c>
      <c r="BU1413" s="47">
        <v>0</v>
      </c>
      <c r="BV1413" s="47"/>
      <c r="BW1413" s="47"/>
    </row>
    <row r="1414" spans="3:75" ht="19.5" customHeight="1">
      <c r="C1414" s="18">
        <v>64100009</v>
      </c>
      <c r="D1414" s="19" t="s">
        <v>1763</v>
      </c>
      <c r="E1414" s="19" t="s">
        <v>1764</v>
      </c>
      <c r="F1414" s="16">
        <v>1</v>
      </c>
      <c r="G1414" s="18">
        <v>62021301</v>
      </c>
      <c r="H1414" s="18">
        <v>0</v>
      </c>
      <c r="I1414" s="27">
        <v>0</v>
      </c>
      <c r="J1414" s="16">
        <v>1</v>
      </c>
      <c r="K1414" s="18">
        <v>0</v>
      </c>
      <c r="L1414" s="16">
        <v>0</v>
      </c>
      <c r="M1414" s="18">
        <v>0</v>
      </c>
      <c r="N1414" s="18">
        <v>0</v>
      </c>
      <c r="O1414" s="18">
        <v>2</v>
      </c>
      <c r="P1414" s="18">
        <v>10</v>
      </c>
      <c r="Q1414" s="18">
        <v>0.8</v>
      </c>
      <c r="R1414" s="18">
        <v>0</v>
      </c>
      <c r="S1414" s="12">
        <v>0</v>
      </c>
      <c r="T1414" s="27">
        <v>0</v>
      </c>
      <c r="U1414" s="16">
        <v>1</v>
      </c>
      <c r="V1414" s="18">
        <v>2</v>
      </c>
      <c r="W1414" s="18">
        <v>0</v>
      </c>
      <c r="X1414" s="18">
        <v>2.5</v>
      </c>
      <c r="Y1414" s="12">
        <v>0</v>
      </c>
      <c r="Z1414" s="18">
        <v>1500</v>
      </c>
      <c r="AA1414" s="18">
        <v>0</v>
      </c>
      <c r="AB1414" s="18">
        <v>0</v>
      </c>
      <c r="AC1414" s="18">
        <v>0</v>
      </c>
      <c r="AD1414" s="18">
        <v>0</v>
      </c>
      <c r="AE1414" s="18">
        <v>0</v>
      </c>
      <c r="AF1414" s="18">
        <v>5</v>
      </c>
      <c r="AG1414" s="18">
        <v>1</v>
      </c>
      <c r="AH1414" s="18">
        <v>2</v>
      </c>
      <c r="AI1414" s="12">
        <v>2</v>
      </c>
      <c r="AJ1414" s="12">
        <v>2</v>
      </c>
      <c r="AK1414" s="12">
        <v>0</v>
      </c>
      <c r="AL1414" s="12">
        <v>4</v>
      </c>
      <c r="AM1414" s="18">
        <v>0</v>
      </c>
      <c r="AN1414" s="18">
        <v>0</v>
      </c>
      <c r="AO1414" s="18">
        <v>0</v>
      </c>
      <c r="AP1414" s="18">
        <v>0</v>
      </c>
      <c r="AQ1414" s="18">
        <v>30000</v>
      </c>
      <c r="AR1414" s="18">
        <v>0.5</v>
      </c>
      <c r="AS1414" s="18">
        <v>10</v>
      </c>
      <c r="AT1414" s="12">
        <v>0</v>
      </c>
      <c r="AU1414" s="18">
        <v>92002001</v>
      </c>
      <c r="AV1414" s="18"/>
      <c r="AW1414" s="19" t="s">
        <v>199</v>
      </c>
      <c r="AX1414" s="18" t="s">
        <v>545</v>
      </c>
      <c r="AY1414" s="18">
        <v>10003002</v>
      </c>
      <c r="AZ1414" s="18">
        <v>70204006</v>
      </c>
      <c r="BA1414" s="19" t="s">
        <v>586</v>
      </c>
      <c r="BB1414" s="19">
        <v>0</v>
      </c>
      <c r="BC1414" s="27">
        <v>0</v>
      </c>
      <c r="BD1414" s="27">
        <v>0</v>
      </c>
      <c r="BE1414" s="183" t="str">
        <f t="shared" ref="BE1414" si="145">"立即对指定前方区域释放冲击波,冲击波对触碰的怪物造成"&amp;X1414*100&amp;"%攻击伤害+"&amp;Z1414&amp;"点固定伤害"</f>
        <v>立即对指定前方区域释放冲击波,冲击波对触碰的怪物造成250%攻击伤害+1500点固定伤害</v>
      </c>
      <c r="BF1414" s="183" t="s">
        <v>1765</v>
      </c>
      <c r="BG1414" s="18">
        <v>0</v>
      </c>
      <c r="BH1414" s="16">
        <v>0</v>
      </c>
      <c r="BI1414" s="18">
        <v>0</v>
      </c>
      <c r="BJ1414" s="18">
        <v>0</v>
      </c>
      <c r="BK1414" s="18">
        <v>0</v>
      </c>
      <c r="BL1414" s="18">
        <v>0</v>
      </c>
      <c r="BM1414" s="15">
        <v>0</v>
      </c>
      <c r="BN1414" s="12">
        <v>0</v>
      </c>
      <c r="BO1414" s="12">
        <v>0</v>
      </c>
      <c r="BP1414" s="12">
        <v>0</v>
      </c>
      <c r="BQ1414" s="12">
        <v>0</v>
      </c>
      <c r="BR1414" s="12">
        <v>0</v>
      </c>
      <c r="BS1414" s="12">
        <v>0</v>
      </c>
      <c r="BT1414" s="12">
        <v>0</v>
      </c>
      <c r="BU1414" s="47">
        <v>0</v>
      </c>
      <c r="BV1414" s="47"/>
      <c r="BW1414" s="47"/>
    </row>
    <row r="1415" spans="3:75" ht="19.5" customHeight="1">
      <c r="C1415" s="18">
        <v>64100010</v>
      </c>
      <c r="D1415" s="19" t="s">
        <v>1766</v>
      </c>
      <c r="E1415" s="19" t="s">
        <v>1767</v>
      </c>
      <c r="F1415" s="16">
        <v>1</v>
      </c>
      <c r="G1415" s="18">
        <v>62011101</v>
      </c>
      <c r="H1415" s="16">
        <v>0</v>
      </c>
      <c r="I1415" s="27">
        <v>0</v>
      </c>
      <c r="J1415" s="16">
        <v>1</v>
      </c>
      <c r="K1415" s="16">
        <v>0</v>
      </c>
      <c r="L1415" s="16">
        <v>0</v>
      </c>
      <c r="M1415" s="18">
        <v>0</v>
      </c>
      <c r="N1415" s="18">
        <v>0</v>
      </c>
      <c r="O1415" s="18">
        <v>2</v>
      </c>
      <c r="P1415" s="18">
        <v>10</v>
      </c>
      <c r="Q1415" s="18">
        <v>0.8</v>
      </c>
      <c r="R1415" s="18">
        <v>0</v>
      </c>
      <c r="S1415" s="12">
        <v>0</v>
      </c>
      <c r="T1415" s="27">
        <v>0</v>
      </c>
      <c r="U1415" s="16">
        <v>1</v>
      </c>
      <c r="V1415" s="18">
        <v>2</v>
      </c>
      <c r="W1415" s="18">
        <v>0</v>
      </c>
      <c r="X1415" s="18">
        <v>2.5</v>
      </c>
      <c r="Y1415" s="12">
        <v>0</v>
      </c>
      <c r="Z1415" s="18">
        <v>1000</v>
      </c>
      <c r="AA1415" s="18">
        <v>0</v>
      </c>
      <c r="AB1415" s="18">
        <v>0</v>
      </c>
      <c r="AC1415" s="18">
        <v>0</v>
      </c>
      <c r="AD1415" s="18">
        <v>0</v>
      </c>
      <c r="AE1415" s="18">
        <v>0</v>
      </c>
      <c r="AF1415" s="18">
        <v>8</v>
      </c>
      <c r="AG1415" s="18">
        <v>1</v>
      </c>
      <c r="AH1415" s="18">
        <v>3</v>
      </c>
      <c r="AI1415" s="12">
        <v>2</v>
      </c>
      <c r="AJ1415" s="12">
        <v>1</v>
      </c>
      <c r="AK1415" s="12">
        <v>0</v>
      </c>
      <c r="AL1415" s="12">
        <v>6</v>
      </c>
      <c r="AM1415" s="18">
        <v>0</v>
      </c>
      <c r="AN1415" s="18">
        <v>0</v>
      </c>
      <c r="AO1415" s="18">
        <v>0</v>
      </c>
      <c r="AP1415" s="18">
        <v>0.25</v>
      </c>
      <c r="AQ1415" s="18">
        <v>3000</v>
      </c>
      <c r="AR1415" s="18">
        <v>0.5</v>
      </c>
      <c r="AS1415" s="18">
        <v>0</v>
      </c>
      <c r="AT1415" s="12">
        <v>0</v>
      </c>
      <c r="AU1415" s="18">
        <v>0</v>
      </c>
      <c r="AV1415" s="18"/>
      <c r="AW1415" s="19" t="s">
        <v>199</v>
      </c>
      <c r="AX1415" s="18" t="s">
        <v>1677</v>
      </c>
      <c r="AY1415" s="18">
        <v>10000006</v>
      </c>
      <c r="AZ1415" s="18">
        <v>21100010</v>
      </c>
      <c r="BA1415" s="19" t="s">
        <v>200</v>
      </c>
      <c r="BB1415" s="19">
        <v>0</v>
      </c>
      <c r="BC1415" s="27">
        <v>0</v>
      </c>
      <c r="BD1415" s="27">
        <v>0</v>
      </c>
      <c r="BE1415" s="183" t="str">
        <f t="shared" ref="BE1415" si="146">"立即对目标范围内的怪物造成"&amp;X1415*100&amp;"%攻击伤害+"&amp;Z1415&amp;"点固定伤害"</f>
        <v>立即对目标范围内的怪物造成250%攻击伤害+1000点固定伤害</v>
      </c>
      <c r="BF1415" s="183" t="s">
        <v>2974</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18">
        <v>64100011</v>
      </c>
      <c r="D1416" s="17" t="s">
        <v>2037</v>
      </c>
      <c r="E1416" s="17" t="s">
        <v>2038</v>
      </c>
      <c r="F1416" s="16">
        <v>1</v>
      </c>
      <c r="G1416" s="16">
        <v>60010500</v>
      </c>
      <c r="H1416" s="18">
        <v>0</v>
      </c>
      <c r="I1416" s="27">
        <v>0</v>
      </c>
      <c r="J1416" s="18">
        <v>1</v>
      </c>
      <c r="K1416" s="18">
        <v>0</v>
      </c>
      <c r="L1416" s="18">
        <v>0</v>
      </c>
      <c r="M1416" s="16">
        <v>0</v>
      </c>
      <c r="N1416" s="16">
        <v>0</v>
      </c>
      <c r="O1416" s="16">
        <v>5</v>
      </c>
      <c r="P1416" s="16">
        <v>0</v>
      </c>
      <c r="Q1416" s="16">
        <v>0</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9</v>
      </c>
      <c r="AG1416" s="16">
        <v>2</v>
      </c>
      <c r="AH1416" s="16" t="s">
        <v>213</v>
      </c>
      <c r="AI1416" s="12">
        <v>2</v>
      </c>
      <c r="AJ1416" s="12">
        <v>2</v>
      </c>
      <c r="AK1416" s="12">
        <v>0</v>
      </c>
      <c r="AL1416" s="12">
        <v>1.5</v>
      </c>
      <c r="AM1416" s="16">
        <v>0</v>
      </c>
      <c r="AN1416" s="16">
        <v>0</v>
      </c>
      <c r="AO1416" s="16">
        <v>0</v>
      </c>
      <c r="AP1416" s="16">
        <v>0</v>
      </c>
      <c r="AQ1416" s="16">
        <v>3000</v>
      </c>
      <c r="AR1416" s="16">
        <v>0.5</v>
      </c>
      <c r="AS1416" s="16">
        <v>0</v>
      </c>
      <c r="AT1416" s="12">
        <v>0</v>
      </c>
      <c r="AU1416" s="16" t="s">
        <v>198</v>
      </c>
      <c r="AV1416" s="16"/>
      <c r="AW1416" s="17" t="s">
        <v>199</v>
      </c>
      <c r="AX1416" s="16">
        <v>0</v>
      </c>
      <c r="AY1416" s="18">
        <v>0</v>
      </c>
      <c r="AZ1416" s="18">
        <v>0</v>
      </c>
      <c r="BA1416" s="17" t="s">
        <v>200</v>
      </c>
      <c r="BB1416" s="16" t="s">
        <v>2039</v>
      </c>
      <c r="BC1416" s="27">
        <v>0</v>
      </c>
      <c r="BD1416" s="27">
        <v>0</v>
      </c>
      <c r="BE1416" s="44" t="s">
        <v>2040</v>
      </c>
      <c r="BF1416" s="44" t="s">
        <v>2041</v>
      </c>
      <c r="BG1416" s="16"/>
      <c r="BH1416" s="16">
        <v>0</v>
      </c>
      <c r="BI1416" s="16"/>
      <c r="BJ1416" s="16"/>
      <c r="BK1416" s="16"/>
      <c r="BL1416" s="18"/>
      <c r="BM1416" s="16">
        <v>0</v>
      </c>
      <c r="BN1416" s="12">
        <v>0</v>
      </c>
      <c r="BO1416" s="12">
        <v>0</v>
      </c>
      <c r="BP1416" s="12">
        <v>0</v>
      </c>
      <c r="BQ1416" s="12">
        <v>0</v>
      </c>
      <c r="BR1416" s="12">
        <v>0</v>
      </c>
      <c r="BS1416" s="12">
        <v>0</v>
      </c>
      <c r="BT1416" s="12">
        <v>0</v>
      </c>
      <c r="BU1416" s="47">
        <v>0</v>
      </c>
      <c r="BV1416" s="47"/>
      <c r="BW1416" s="47"/>
    </row>
    <row r="1417" spans="3:75" ht="20.100000000000001" customHeight="1">
      <c r="C1417" s="18">
        <v>64100012</v>
      </c>
      <c r="D1417" s="17" t="s">
        <v>2042</v>
      </c>
      <c r="E1417" s="17" t="s">
        <v>2043</v>
      </c>
      <c r="F1417" s="16">
        <v>1</v>
      </c>
      <c r="G1417" s="16">
        <v>60010500</v>
      </c>
      <c r="H1417" s="18">
        <v>0</v>
      </c>
      <c r="I1417" s="27">
        <v>0</v>
      </c>
      <c r="J1417" s="18">
        <v>1</v>
      </c>
      <c r="K1417" s="18">
        <v>0</v>
      </c>
      <c r="L1417" s="18">
        <v>0</v>
      </c>
      <c r="M1417" s="16">
        <v>0</v>
      </c>
      <c r="N1417" s="16">
        <v>0</v>
      </c>
      <c r="O1417" s="16">
        <v>5</v>
      </c>
      <c r="P1417" s="16">
        <v>0</v>
      </c>
      <c r="Q1417" s="16">
        <v>0</v>
      </c>
      <c r="R1417" s="16">
        <v>0</v>
      </c>
      <c r="S1417" s="12">
        <v>0</v>
      </c>
      <c r="T1417" s="16">
        <v>0</v>
      </c>
      <c r="U1417" s="16">
        <v>1</v>
      </c>
      <c r="V1417" s="16">
        <v>2</v>
      </c>
      <c r="W1417" s="16">
        <v>0</v>
      </c>
      <c r="X1417" s="16">
        <v>0</v>
      </c>
      <c r="Y1417" s="12">
        <v>0</v>
      </c>
      <c r="Z1417" s="16">
        <v>0</v>
      </c>
      <c r="AA1417" s="16">
        <v>0</v>
      </c>
      <c r="AB1417" s="16">
        <v>0</v>
      </c>
      <c r="AC1417" s="16">
        <v>0</v>
      </c>
      <c r="AD1417" s="16">
        <v>0</v>
      </c>
      <c r="AE1417" s="16">
        <v>0</v>
      </c>
      <c r="AF1417" s="16">
        <v>9</v>
      </c>
      <c r="AG1417" s="16">
        <v>2</v>
      </c>
      <c r="AH1417" s="16" t="s">
        <v>213</v>
      </c>
      <c r="AI1417" s="12">
        <v>2</v>
      </c>
      <c r="AJ1417" s="12">
        <v>2</v>
      </c>
      <c r="AK1417" s="12">
        <v>0</v>
      </c>
      <c r="AL1417" s="12">
        <v>1.5</v>
      </c>
      <c r="AM1417" s="16">
        <v>0</v>
      </c>
      <c r="AN1417" s="16">
        <v>0</v>
      </c>
      <c r="AO1417" s="16">
        <v>0</v>
      </c>
      <c r="AP1417" s="16">
        <v>0</v>
      </c>
      <c r="AQ1417" s="16">
        <v>3000</v>
      </c>
      <c r="AR1417" s="16">
        <v>0.5</v>
      </c>
      <c r="AS1417" s="16">
        <v>0</v>
      </c>
      <c r="AT1417" s="12">
        <v>0</v>
      </c>
      <c r="AU1417" s="16" t="s">
        <v>198</v>
      </c>
      <c r="AV1417" s="16"/>
      <c r="AW1417" s="17" t="s">
        <v>199</v>
      </c>
      <c r="AX1417" s="16">
        <v>0</v>
      </c>
      <c r="AY1417" s="18">
        <v>0</v>
      </c>
      <c r="AZ1417" s="18">
        <v>0</v>
      </c>
      <c r="BA1417" s="17" t="s">
        <v>200</v>
      </c>
      <c r="BB1417" s="16" t="s">
        <v>2044</v>
      </c>
      <c r="BC1417" s="27">
        <v>0</v>
      </c>
      <c r="BD1417" s="27">
        <v>0</v>
      </c>
      <c r="BE1417" s="44" t="s">
        <v>2045</v>
      </c>
      <c r="BF1417" s="44" t="s">
        <v>2046</v>
      </c>
      <c r="BG1417" s="16"/>
      <c r="BH1417" s="16">
        <v>0</v>
      </c>
      <c r="BI1417" s="16"/>
      <c r="BJ1417" s="16"/>
      <c r="BK1417" s="16"/>
      <c r="BL1417" s="18"/>
      <c r="BM1417" s="16">
        <v>0</v>
      </c>
      <c r="BN1417" s="12">
        <v>0</v>
      </c>
      <c r="BO1417" s="12">
        <v>0</v>
      </c>
      <c r="BP1417" s="12">
        <v>0</v>
      </c>
      <c r="BQ1417" s="12">
        <v>0</v>
      </c>
      <c r="BR1417" s="12">
        <v>0</v>
      </c>
      <c r="BS1417" s="12">
        <v>0</v>
      </c>
      <c r="BT1417" s="12">
        <v>0</v>
      </c>
      <c r="BU1417" s="47">
        <v>0</v>
      </c>
      <c r="BV1417" s="47"/>
      <c r="BW1417" s="47"/>
    </row>
    <row r="1418" spans="3:75" ht="20.100000000000001" customHeight="1">
      <c r="C1418" s="18">
        <v>64100013</v>
      </c>
      <c r="D1418" s="17" t="s">
        <v>1769</v>
      </c>
      <c r="E1418" s="17" t="s">
        <v>1770</v>
      </c>
      <c r="F1418" s="16">
        <v>1</v>
      </c>
      <c r="G1418" s="16">
        <v>60010500</v>
      </c>
      <c r="H1418" s="18">
        <v>0</v>
      </c>
      <c r="I1418" s="27">
        <v>0</v>
      </c>
      <c r="J1418" s="18">
        <v>1</v>
      </c>
      <c r="K1418" s="18">
        <v>0</v>
      </c>
      <c r="L1418" s="18">
        <v>0</v>
      </c>
      <c r="M1418" s="16">
        <v>0</v>
      </c>
      <c r="N1418" s="16">
        <v>0</v>
      </c>
      <c r="O1418" s="16">
        <v>5</v>
      </c>
      <c r="P1418" s="16">
        <v>0</v>
      </c>
      <c r="Q1418" s="16">
        <v>0</v>
      </c>
      <c r="R1418" s="16">
        <v>0</v>
      </c>
      <c r="S1418" s="12">
        <v>0</v>
      </c>
      <c r="T1418" s="16">
        <v>0</v>
      </c>
      <c r="U1418" s="16">
        <v>1</v>
      </c>
      <c r="V1418" s="16">
        <v>2</v>
      </c>
      <c r="W1418" s="16">
        <v>0</v>
      </c>
      <c r="X1418" s="16">
        <v>0</v>
      </c>
      <c r="Y1418" s="12">
        <v>0</v>
      </c>
      <c r="Z1418" s="16">
        <v>0</v>
      </c>
      <c r="AA1418" s="16">
        <v>0</v>
      </c>
      <c r="AB1418" s="16">
        <v>0</v>
      </c>
      <c r="AC1418" s="16">
        <v>0</v>
      </c>
      <c r="AD1418" s="16">
        <v>0</v>
      </c>
      <c r="AE1418" s="16">
        <v>0</v>
      </c>
      <c r="AF1418" s="16">
        <v>9</v>
      </c>
      <c r="AG1418" s="16">
        <v>2</v>
      </c>
      <c r="AH1418" s="16" t="s">
        <v>213</v>
      </c>
      <c r="AI1418" s="12">
        <v>2</v>
      </c>
      <c r="AJ1418" s="12">
        <v>2</v>
      </c>
      <c r="AK1418" s="12">
        <v>0</v>
      </c>
      <c r="AL1418" s="12">
        <v>1.5</v>
      </c>
      <c r="AM1418" s="16">
        <v>0</v>
      </c>
      <c r="AN1418" s="16">
        <v>0</v>
      </c>
      <c r="AO1418" s="16">
        <v>0</v>
      </c>
      <c r="AP1418" s="16">
        <v>0</v>
      </c>
      <c r="AQ1418" s="16">
        <v>3000</v>
      </c>
      <c r="AR1418" s="16">
        <v>0</v>
      </c>
      <c r="AS1418" s="16">
        <v>0</v>
      </c>
      <c r="AT1418" s="12">
        <v>0</v>
      </c>
      <c r="AU1418" s="16" t="s">
        <v>198</v>
      </c>
      <c r="AV1418" s="16"/>
      <c r="AW1418" s="17" t="s">
        <v>199</v>
      </c>
      <c r="AX1418" s="16">
        <v>0</v>
      </c>
      <c r="AY1418" s="18">
        <v>0</v>
      </c>
      <c r="AZ1418" s="18">
        <v>0</v>
      </c>
      <c r="BA1418" s="17" t="s">
        <v>200</v>
      </c>
      <c r="BB1418" s="16" t="s">
        <v>2975</v>
      </c>
      <c r="BC1418" s="27">
        <v>0</v>
      </c>
      <c r="BD1418" s="27">
        <v>0</v>
      </c>
      <c r="BE1418" s="44" t="s">
        <v>1922</v>
      </c>
      <c r="BF1418" s="44" t="s">
        <v>1923</v>
      </c>
      <c r="BG1418" s="16"/>
      <c r="BH1418" s="16">
        <v>0</v>
      </c>
      <c r="BI1418" s="16"/>
      <c r="BJ1418" s="16"/>
      <c r="BK1418" s="16"/>
      <c r="BL1418" s="18"/>
      <c r="BM1418" s="16">
        <v>0</v>
      </c>
      <c r="BN1418" s="12">
        <v>0</v>
      </c>
      <c r="BO1418" s="12">
        <v>0</v>
      </c>
      <c r="BP1418" s="12">
        <v>0</v>
      </c>
      <c r="BQ1418" s="12">
        <v>0</v>
      </c>
      <c r="BR1418" s="12">
        <v>0</v>
      </c>
      <c r="BS1418" s="12">
        <v>0</v>
      </c>
      <c r="BT1418" s="12">
        <v>0</v>
      </c>
      <c r="BU1418" s="47">
        <v>0</v>
      </c>
      <c r="BV1418" s="47"/>
      <c r="BW1418" s="47"/>
    </row>
    <row r="1419" spans="3:75" ht="20.100000000000001" customHeight="1">
      <c r="C1419" s="18">
        <v>64100014</v>
      </c>
      <c r="D1419" s="17" t="s">
        <v>1769</v>
      </c>
      <c r="E1419" s="17" t="s">
        <v>1770</v>
      </c>
      <c r="F1419" s="16">
        <v>1</v>
      </c>
      <c r="G1419" s="16">
        <v>60011301</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v>
      </c>
      <c r="AS1419" s="16">
        <v>0</v>
      </c>
      <c r="AT1419" s="12">
        <v>0</v>
      </c>
      <c r="AU1419" s="16" t="s">
        <v>198</v>
      </c>
      <c r="AV1419" s="16"/>
      <c r="AW1419" s="17" t="s">
        <v>199</v>
      </c>
      <c r="AX1419" s="16">
        <v>0</v>
      </c>
      <c r="AY1419" s="18">
        <v>0</v>
      </c>
      <c r="AZ1419" s="18">
        <v>0</v>
      </c>
      <c r="BA1419" s="17" t="s">
        <v>200</v>
      </c>
      <c r="BB1419" s="16" t="s">
        <v>2976</v>
      </c>
      <c r="BC1419" s="27">
        <v>0</v>
      </c>
      <c r="BD1419" s="27">
        <v>0</v>
      </c>
      <c r="BE1419" s="44" t="s">
        <v>2155</v>
      </c>
      <c r="BF1419" s="44" t="s">
        <v>2156</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spans="3:75" ht="20.100000000000001" customHeight="1">
      <c r="C1420" s="30">
        <v>65000001</v>
      </c>
      <c r="D1420" s="38" t="s">
        <v>1448</v>
      </c>
      <c r="E1420" s="38" t="s">
        <v>1449</v>
      </c>
      <c r="F1420" s="30">
        <v>1</v>
      </c>
      <c r="G1420" s="30">
        <v>0</v>
      </c>
      <c r="H1420" s="30">
        <v>0</v>
      </c>
      <c r="I1420" s="30">
        <v>0</v>
      </c>
      <c r="J1420" s="30">
        <v>1</v>
      </c>
      <c r="K1420" s="30">
        <v>0</v>
      </c>
      <c r="L1420" s="30">
        <v>0</v>
      </c>
      <c r="M1420" s="30">
        <v>0</v>
      </c>
      <c r="N1420" s="30">
        <v>0</v>
      </c>
      <c r="O1420" s="30">
        <v>2</v>
      </c>
      <c r="P1420" s="30">
        <v>0</v>
      </c>
      <c r="Q1420" s="30">
        <v>0</v>
      </c>
      <c r="R1420" s="30">
        <v>0</v>
      </c>
      <c r="S1420" s="30">
        <v>0</v>
      </c>
      <c r="T1420" s="30">
        <v>0</v>
      </c>
      <c r="U1420" s="30">
        <v>1</v>
      </c>
      <c r="V1420" s="30">
        <v>2</v>
      </c>
      <c r="W1420" s="30">
        <v>0</v>
      </c>
      <c r="X1420" s="30">
        <v>0</v>
      </c>
      <c r="Y1420" s="12">
        <v>0</v>
      </c>
      <c r="Z1420" s="30">
        <v>0</v>
      </c>
      <c r="AA1420" s="30">
        <v>0</v>
      </c>
      <c r="AB1420" s="30">
        <v>0</v>
      </c>
      <c r="AC1420" s="30">
        <v>0</v>
      </c>
      <c r="AD1420" s="30">
        <v>1</v>
      </c>
      <c r="AE1420" s="30">
        <v>0</v>
      </c>
      <c r="AF1420" s="30">
        <v>18</v>
      </c>
      <c r="AG1420" s="30">
        <v>0</v>
      </c>
      <c r="AH1420" s="30">
        <v>0</v>
      </c>
      <c r="AI1420" s="30">
        <v>2</v>
      </c>
      <c r="AJ1420" s="30">
        <v>0</v>
      </c>
      <c r="AK1420" s="30">
        <v>0</v>
      </c>
      <c r="AL1420" s="30">
        <v>0</v>
      </c>
      <c r="AM1420" s="30">
        <v>0</v>
      </c>
      <c r="AN1420" s="30">
        <v>0</v>
      </c>
      <c r="AO1420" s="30">
        <v>0</v>
      </c>
      <c r="AP1420" s="30">
        <v>0</v>
      </c>
      <c r="AQ1420" s="30">
        <v>1000</v>
      </c>
      <c r="AR1420" s="30">
        <v>0</v>
      </c>
      <c r="AS1420" s="30">
        <v>0</v>
      </c>
      <c r="AT1420" s="30">
        <v>95000001</v>
      </c>
      <c r="AU1420" s="30" t="s">
        <v>198</v>
      </c>
      <c r="AV1420" s="30"/>
      <c r="AW1420" s="38" t="s">
        <v>199</v>
      </c>
      <c r="AX1420" s="30" t="s">
        <v>2977</v>
      </c>
      <c r="AY1420" s="30">
        <v>0</v>
      </c>
      <c r="AZ1420" s="30">
        <v>40000003</v>
      </c>
      <c r="BA1420" s="38" t="s">
        <v>200</v>
      </c>
      <c r="BB1420" s="38" t="s">
        <v>198</v>
      </c>
      <c r="BC1420" s="30">
        <v>0</v>
      </c>
      <c r="BD1420" s="30">
        <v>0</v>
      </c>
      <c r="BE1420" s="214"/>
      <c r="BF1420" s="214"/>
      <c r="BG1420" s="30">
        <v>0</v>
      </c>
      <c r="BH1420" s="30">
        <v>0</v>
      </c>
      <c r="BI1420" s="30">
        <v>0</v>
      </c>
      <c r="BJ1420" s="30">
        <v>0</v>
      </c>
      <c r="BK1420" s="30">
        <v>0</v>
      </c>
      <c r="BL1420" s="30">
        <v>0</v>
      </c>
      <c r="BM1420" s="21">
        <v>0</v>
      </c>
      <c r="BN1420" s="30">
        <v>0</v>
      </c>
      <c r="BO1420" s="12">
        <v>0</v>
      </c>
      <c r="BP1420" s="12">
        <v>0</v>
      </c>
      <c r="BQ1420" s="12">
        <v>0</v>
      </c>
      <c r="BR1420" s="12">
        <v>0</v>
      </c>
      <c r="BS1420" s="12">
        <v>0</v>
      </c>
      <c r="BT1420" s="12">
        <v>0</v>
      </c>
      <c r="BU1420" s="47">
        <v>0</v>
      </c>
      <c r="BV1420" s="47"/>
      <c r="BW1420" s="47"/>
    </row>
    <row r="1421" spans="3:75" ht="20.100000000000001" customHeight="1">
      <c r="C1421" s="30">
        <v>65000002</v>
      </c>
      <c r="D1421" s="38" t="s">
        <v>1448</v>
      </c>
      <c r="E1421" s="38" t="s">
        <v>1449</v>
      </c>
      <c r="F1421" s="30">
        <v>1</v>
      </c>
      <c r="G1421" s="30">
        <v>0</v>
      </c>
      <c r="H1421" s="30">
        <v>0</v>
      </c>
      <c r="I1421" s="30">
        <v>0</v>
      </c>
      <c r="J1421" s="30">
        <v>1</v>
      </c>
      <c r="K1421" s="30">
        <v>0</v>
      </c>
      <c r="L1421" s="30">
        <v>0</v>
      </c>
      <c r="M1421" s="30">
        <v>0</v>
      </c>
      <c r="N1421" s="30">
        <v>0</v>
      </c>
      <c r="O1421" s="30">
        <v>2</v>
      </c>
      <c r="P1421" s="30">
        <v>0</v>
      </c>
      <c r="Q1421" s="30">
        <v>0</v>
      </c>
      <c r="R1421" s="30">
        <v>0</v>
      </c>
      <c r="S1421" s="30">
        <v>0</v>
      </c>
      <c r="T1421" s="30">
        <v>0</v>
      </c>
      <c r="U1421" s="30">
        <v>1</v>
      </c>
      <c r="V1421" s="30">
        <v>2</v>
      </c>
      <c r="W1421" s="30">
        <v>0</v>
      </c>
      <c r="X1421" s="30">
        <v>0</v>
      </c>
      <c r="Y1421" s="12">
        <v>0</v>
      </c>
      <c r="Z1421" s="30">
        <v>0</v>
      </c>
      <c r="AA1421" s="30">
        <v>0</v>
      </c>
      <c r="AB1421" s="30">
        <v>0</v>
      </c>
      <c r="AC1421" s="30">
        <v>0</v>
      </c>
      <c r="AD1421" s="30">
        <v>1</v>
      </c>
      <c r="AE1421" s="30">
        <v>0</v>
      </c>
      <c r="AF1421" s="30">
        <v>18</v>
      </c>
      <c r="AG1421" s="30">
        <v>0</v>
      </c>
      <c r="AH1421" s="30">
        <v>0</v>
      </c>
      <c r="AI1421" s="30">
        <v>2</v>
      </c>
      <c r="AJ1421" s="30">
        <v>0</v>
      </c>
      <c r="AK1421" s="30">
        <v>0</v>
      </c>
      <c r="AL1421" s="30">
        <v>0</v>
      </c>
      <c r="AM1421" s="30">
        <v>0</v>
      </c>
      <c r="AN1421" s="30">
        <v>0</v>
      </c>
      <c r="AO1421" s="30">
        <v>0</v>
      </c>
      <c r="AP1421" s="30">
        <v>0</v>
      </c>
      <c r="AQ1421" s="30">
        <v>1000</v>
      </c>
      <c r="AR1421" s="30">
        <v>0</v>
      </c>
      <c r="AS1421" s="30">
        <v>0</v>
      </c>
      <c r="AT1421" s="30">
        <v>95000002</v>
      </c>
      <c r="AU1421" s="30" t="s">
        <v>198</v>
      </c>
      <c r="AV1421" s="30"/>
      <c r="AW1421" s="38" t="s">
        <v>199</v>
      </c>
      <c r="AX1421" s="30" t="s">
        <v>2977</v>
      </c>
      <c r="AY1421" s="30">
        <v>0</v>
      </c>
      <c r="AZ1421" s="30">
        <v>40000003</v>
      </c>
      <c r="BA1421" s="38" t="s">
        <v>200</v>
      </c>
      <c r="BB1421" s="38" t="s">
        <v>198</v>
      </c>
      <c r="BC1421" s="30">
        <v>0</v>
      </c>
      <c r="BD1421" s="30">
        <v>0</v>
      </c>
      <c r="BE1421" s="214"/>
      <c r="BF1421" s="214"/>
      <c r="BG1421" s="30">
        <v>0</v>
      </c>
      <c r="BH1421" s="30">
        <v>0</v>
      </c>
      <c r="BI1421" s="30">
        <v>0</v>
      </c>
      <c r="BJ1421" s="30">
        <v>0</v>
      </c>
      <c r="BK1421" s="30">
        <v>0</v>
      </c>
      <c r="BL1421" s="30">
        <v>0</v>
      </c>
      <c r="BM1421" s="21">
        <v>0</v>
      </c>
      <c r="BN1421" s="30">
        <v>0</v>
      </c>
      <c r="BO1421" s="12">
        <v>0</v>
      </c>
      <c r="BP1421" s="12">
        <v>0</v>
      </c>
      <c r="BQ1421" s="12">
        <v>0</v>
      </c>
      <c r="BR1421" s="12">
        <v>0</v>
      </c>
      <c r="BS1421" s="12">
        <v>0</v>
      </c>
      <c r="BT1421" s="12">
        <v>0</v>
      </c>
      <c r="BU1421" s="47">
        <v>0</v>
      </c>
      <c r="BV1421" s="47"/>
      <c r="BW1421" s="47"/>
    </row>
    <row r="1422" spans="3:75" ht="20.100000000000001" customHeight="1">
      <c r="C1422" s="30">
        <v>65000003</v>
      </c>
      <c r="D1422" s="38" t="s">
        <v>1448</v>
      </c>
      <c r="E1422" s="38" t="s">
        <v>1449</v>
      </c>
      <c r="F1422" s="30">
        <v>1</v>
      </c>
      <c r="G1422" s="30">
        <v>0</v>
      </c>
      <c r="H1422" s="30">
        <v>0</v>
      </c>
      <c r="I1422" s="30">
        <v>0</v>
      </c>
      <c r="J1422" s="30">
        <v>1</v>
      </c>
      <c r="K1422" s="30">
        <v>0</v>
      </c>
      <c r="L1422" s="30">
        <v>0</v>
      </c>
      <c r="M1422" s="30">
        <v>0</v>
      </c>
      <c r="N1422" s="30">
        <v>0</v>
      </c>
      <c r="O1422" s="30">
        <v>2</v>
      </c>
      <c r="P1422" s="30">
        <v>0</v>
      </c>
      <c r="Q1422" s="30">
        <v>0</v>
      </c>
      <c r="R1422" s="30">
        <v>0</v>
      </c>
      <c r="S1422" s="30">
        <v>0</v>
      </c>
      <c r="T1422" s="30">
        <v>0</v>
      </c>
      <c r="U1422" s="30">
        <v>1</v>
      </c>
      <c r="V1422" s="30">
        <v>2</v>
      </c>
      <c r="W1422" s="30">
        <v>0</v>
      </c>
      <c r="X1422" s="30">
        <v>0</v>
      </c>
      <c r="Y1422" s="12">
        <v>0</v>
      </c>
      <c r="Z1422" s="30">
        <v>0</v>
      </c>
      <c r="AA1422" s="30">
        <v>0</v>
      </c>
      <c r="AB1422" s="30">
        <v>0</v>
      </c>
      <c r="AC1422" s="30">
        <v>0</v>
      </c>
      <c r="AD1422" s="30">
        <v>1</v>
      </c>
      <c r="AE1422" s="30">
        <v>0</v>
      </c>
      <c r="AF1422" s="30">
        <v>18</v>
      </c>
      <c r="AG1422" s="30">
        <v>0</v>
      </c>
      <c r="AH1422" s="30">
        <v>0</v>
      </c>
      <c r="AI1422" s="30">
        <v>2</v>
      </c>
      <c r="AJ1422" s="30">
        <v>0</v>
      </c>
      <c r="AK1422" s="30">
        <v>0</v>
      </c>
      <c r="AL1422" s="30">
        <v>0</v>
      </c>
      <c r="AM1422" s="30">
        <v>0</v>
      </c>
      <c r="AN1422" s="30">
        <v>0</v>
      </c>
      <c r="AO1422" s="30">
        <v>0</v>
      </c>
      <c r="AP1422" s="30">
        <v>0</v>
      </c>
      <c r="AQ1422" s="30">
        <v>1000</v>
      </c>
      <c r="AR1422" s="30">
        <v>0</v>
      </c>
      <c r="AS1422" s="30">
        <v>0</v>
      </c>
      <c r="AT1422" s="30">
        <v>95000003</v>
      </c>
      <c r="AU1422" s="30" t="s">
        <v>198</v>
      </c>
      <c r="AV1422" s="30"/>
      <c r="AW1422" s="38" t="s">
        <v>199</v>
      </c>
      <c r="AX1422" s="30" t="s">
        <v>2977</v>
      </c>
      <c r="AY1422" s="30">
        <v>0</v>
      </c>
      <c r="AZ1422" s="30">
        <v>40000003</v>
      </c>
      <c r="BA1422" s="38" t="s">
        <v>200</v>
      </c>
      <c r="BB1422" s="38" t="s">
        <v>198</v>
      </c>
      <c r="BC1422" s="30">
        <v>0</v>
      </c>
      <c r="BD1422" s="30">
        <v>0</v>
      </c>
      <c r="BE1422" s="214"/>
      <c r="BF1422" s="214"/>
      <c r="BG1422" s="30">
        <v>0</v>
      </c>
      <c r="BH1422" s="30">
        <v>0</v>
      </c>
      <c r="BI1422" s="30">
        <v>0</v>
      </c>
      <c r="BJ1422" s="30">
        <v>0</v>
      </c>
      <c r="BK1422" s="30">
        <v>0</v>
      </c>
      <c r="BL1422" s="30">
        <v>0</v>
      </c>
      <c r="BM1422" s="21">
        <v>0</v>
      </c>
      <c r="BN1422" s="30">
        <v>0</v>
      </c>
      <c r="BO1422" s="12">
        <v>0</v>
      </c>
      <c r="BP1422" s="12">
        <v>0</v>
      </c>
      <c r="BQ1422" s="12">
        <v>0</v>
      </c>
      <c r="BR1422" s="12">
        <v>0</v>
      </c>
      <c r="BS1422" s="12">
        <v>0</v>
      </c>
      <c r="BT1422" s="12">
        <v>0</v>
      </c>
      <c r="BU1422" s="47">
        <v>0</v>
      </c>
      <c r="BV1422" s="47"/>
      <c r="BW1422" s="47"/>
    </row>
    <row r="1423" spans="3:75" ht="20.100000000000001" customHeight="1">
      <c r="C1423" s="30">
        <v>65000004</v>
      </c>
      <c r="D1423" s="38" t="s">
        <v>1448</v>
      </c>
      <c r="E1423" s="38" t="s">
        <v>1449</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95000004</v>
      </c>
      <c r="AU1423" s="30" t="s">
        <v>198</v>
      </c>
      <c r="AV1423" s="30"/>
      <c r="AW1423" s="38" t="s">
        <v>199</v>
      </c>
      <c r="AX1423" s="30" t="s">
        <v>2977</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spans="3:75" ht="20.100000000000001" customHeight="1">
      <c r="C1424" s="30">
        <v>65000005</v>
      </c>
      <c r="D1424" s="38" t="s">
        <v>1448</v>
      </c>
      <c r="E1424" s="38" t="s">
        <v>1449</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95000005</v>
      </c>
      <c r="AU1424" s="30" t="s">
        <v>198</v>
      </c>
      <c r="AV1424" s="30"/>
      <c r="AW1424" s="38" t="s">
        <v>199</v>
      </c>
      <c r="AX1424" s="30" t="s">
        <v>2977</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18">
        <v>65001001</v>
      </c>
      <c r="D1425" s="19" t="s">
        <v>2978</v>
      </c>
      <c r="E1425" s="19" t="s">
        <v>2979</v>
      </c>
      <c r="F1425" s="18">
        <v>1</v>
      </c>
      <c r="G1425" s="18">
        <v>0</v>
      </c>
      <c r="H1425" s="18">
        <v>0</v>
      </c>
      <c r="I1425" s="27">
        <v>0</v>
      </c>
      <c r="J1425" s="18">
        <v>1</v>
      </c>
      <c r="K1425" s="18">
        <v>0</v>
      </c>
      <c r="L1425" s="18">
        <v>0</v>
      </c>
      <c r="M1425" s="18">
        <v>0</v>
      </c>
      <c r="N1425" s="18">
        <v>0</v>
      </c>
      <c r="O1425" s="18">
        <v>1</v>
      </c>
      <c r="P1425" s="18">
        <v>0</v>
      </c>
      <c r="Q1425" s="18">
        <v>0</v>
      </c>
      <c r="R1425" s="18">
        <v>0</v>
      </c>
      <c r="S1425" s="12">
        <v>0</v>
      </c>
      <c r="T1425" s="27">
        <v>0</v>
      </c>
      <c r="U1425" s="16">
        <v>1</v>
      </c>
      <c r="V1425" s="18">
        <v>2</v>
      </c>
      <c r="W1425" s="18">
        <v>0</v>
      </c>
      <c r="X1425" s="18">
        <v>0</v>
      </c>
      <c r="Y1425" s="12">
        <v>0</v>
      </c>
      <c r="Z1425" s="18">
        <v>0</v>
      </c>
      <c r="AA1425" s="18">
        <v>0</v>
      </c>
      <c r="AB1425" s="18">
        <v>0</v>
      </c>
      <c r="AC1425" s="18">
        <v>0</v>
      </c>
      <c r="AD1425" s="18">
        <v>1</v>
      </c>
      <c r="AE1425" s="18">
        <v>0</v>
      </c>
      <c r="AF1425" s="18">
        <v>10</v>
      </c>
      <c r="AG1425" s="18">
        <v>0</v>
      </c>
      <c r="AH1425" s="18">
        <v>0</v>
      </c>
      <c r="AI1425" s="12">
        <v>2</v>
      </c>
      <c r="AJ1425" s="12">
        <v>0</v>
      </c>
      <c r="AK1425" s="12">
        <v>0</v>
      </c>
      <c r="AL1425" s="12">
        <v>0</v>
      </c>
      <c r="AM1425" s="18">
        <v>0</v>
      </c>
      <c r="AN1425" s="18">
        <v>0</v>
      </c>
      <c r="AO1425" s="18">
        <v>0</v>
      </c>
      <c r="AP1425" s="18">
        <v>0</v>
      </c>
      <c r="AQ1425" s="18">
        <v>1000</v>
      </c>
      <c r="AR1425" s="18">
        <v>0</v>
      </c>
      <c r="AS1425" s="18">
        <v>0</v>
      </c>
      <c r="AT1425" s="338" t="s">
        <v>2980</v>
      </c>
      <c r="AU1425" s="18" t="s">
        <v>198</v>
      </c>
      <c r="AV1425" s="18"/>
      <c r="AW1425" s="19" t="s">
        <v>199</v>
      </c>
      <c r="AX1425" s="18" t="s">
        <v>2977</v>
      </c>
      <c r="AY1425" s="18">
        <v>0</v>
      </c>
      <c r="AZ1425" s="18">
        <v>40000003</v>
      </c>
      <c r="BA1425" s="19" t="s">
        <v>200</v>
      </c>
      <c r="BB1425" s="19" t="s">
        <v>198</v>
      </c>
      <c r="BC1425" s="27">
        <v>0</v>
      </c>
      <c r="BD1425" s="27">
        <v>0</v>
      </c>
      <c r="BE1425" s="87"/>
      <c r="BF1425" s="87"/>
      <c r="BG1425" s="18">
        <v>0</v>
      </c>
      <c r="BH1425" s="16">
        <v>0</v>
      </c>
      <c r="BI1425" s="18">
        <v>0</v>
      </c>
      <c r="BJ1425" s="18">
        <v>0</v>
      </c>
      <c r="BK1425" s="18">
        <v>0</v>
      </c>
      <c r="BL1425" s="18">
        <v>0</v>
      </c>
      <c r="BM1425" s="15">
        <v>0</v>
      </c>
      <c r="BN1425" s="12">
        <v>1</v>
      </c>
      <c r="BO1425" s="12">
        <v>0</v>
      </c>
      <c r="BP1425" s="12">
        <v>0</v>
      </c>
      <c r="BQ1425" s="12">
        <v>0</v>
      </c>
      <c r="BR1425" s="12">
        <v>0</v>
      </c>
      <c r="BS1425" s="12">
        <v>0</v>
      </c>
      <c r="BT1425" s="12">
        <v>0</v>
      </c>
      <c r="BU1425" s="47">
        <v>0</v>
      </c>
      <c r="BV1425" s="47"/>
      <c r="BW1425" s="47"/>
    </row>
    <row r="1426" spans="3:75" ht="20.100000000000001" customHeight="1">
      <c r="C1426" s="18">
        <v>65001002</v>
      </c>
      <c r="D1426" s="19" t="s">
        <v>2981</v>
      </c>
      <c r="E1426" s="19" t="s">
        <v>2982</v>
      </c>
      <c r="F1426" s="18">
        <v>1</v>
      </c>
      <c r="G1426" s="18">
        <v>0</v>
      </c>
      <c r="H1426" s="18">
        <v>0</v>
      </c>
      <c r="I1426" s="27">
        <v>0</v>
      </c>
      <c r="J1426" s="18">
        <v>1</v>
      </c>
      <c r="K1426" s="18">
        <v>0</v>
      </c>
      <c r="L1426" s="18">
        <v>0</v>
      </c>
      <c r="M1426" s="18">
        <v>0</v>
      </c>
      <c r="N1426" s="18">
        <v>0</v>
      </c>
      <c r="O1426" s="18">
        <v>1</v>
      </c>
      <c r="P1426" s="18">
        <v>0</v>
      </c>
      <c r="Q1426" s="18">
        <v>0</v>
      </c>
      <c r="R1426" s="18">
        <v>0</v>
      </c>
      <c r="S1426" s="12">
        <v>0</v>
      </c>
      <c r="T1426" s="27">
        <v>0</v>
      </c>
      <c r="U1426" s="16">
        <v>1</v>
      </c>
      <c r="V1426" s="18">
        <v>2</v>
      </c>
      <c r="W1426" s="18">
        <v>0</v>
      </c>
      <c r="X1426" s="18">
        <v>0</v>
      </c>
      <c r="Y1426" s="12">
        <v>0</v>
      </c>
      <c r="Z1426" s="18">
        <v>0</v>
      </c>
      <c r="AA1426" s="18">
        <v>0</v>
      </c>
      <c r="AB1426" s="18">
        <v>0</v>
      </c>
      <c r="AC1426" s="18">
        <v>0</v>
      </c>
      <c r="AD1426" s="18">
        <v>1</v>
      </c>
      <c r="AE1426" s="18">
        <v>0</v>
      </c>
      <c r="AF1426" s="18">
        <v>18</v>
      </c>
      <c r="AG1426" s="18">
        <v>0</v>
      </c>
      <c r="AH1426" s="18">
        <v>0</v>
      </c>
      <c r="AI1426" s="12">
        <v>2</v>
      </c>
      <c r="AJ1426" s="12">
        <v>0</v>
      </c>
      <c r="AK1426" s="12">
        <v>0</v>
      </c>
      <c r="AL1426" s="12">
        <v>0</v>
      </c>
      <c r="AM1426" s="18">
        <v>0</v>
      </c>
      <c r="AN1426" s="18">
        <v>0</v>
      </c>
      <c r="AO1426" s="18">
        <v>0</v>
      </c>
      <c r="AP1426" s="18">
        <v>0</v>
      </c>
      <c r="AQ1426" s="18">
        <v>1000</v>
      </c>
      <c r="AR1426" s="18">
        <v>0</v>
      </c>
      <c r="AS1426" s="18">
        <v>0</v>
      </c>
      <c r="AT1426" s="12">
        <v>95001021</v>
      </c>
      <c r="AU1426" s="18" t="s">
        <v>198</v>
      </c>
      <c r="AV1426" s="18"/>
      <c r="AW1426" s="19" t="s">
        <v>199</v>
      </c>
      <c r="AX1426" s="18" t="s">
        <v>2977</v>
      </c>
      <c r="AY1426" s="18">
        <v>0</v>
      </c>
      <c r="AZ1426" s="18">
        <v>40000003</v>
      </c>
      <c r="BA1426" s="19" t="s">
        <v>200</v>
      </c>
      <c r="BB1426" s="19" t="s">
        <v>198</v>
      </c>
      <c r="BC1426" s="27">
        <v>0</v>
      </c>
      <c r="BD1426" s="27">
        <v>0</v>
      </c>
      <c r="BE1426" s="87"/>
      <c r="BF1426" s="87"/>
      <c r="BG1426" s="18">
        <v>0</v>
      </c>
      <c r="BH1426" s="16">
        <v>0</v>
      </c>
      <c r="BI1426" s="18">
        <v>0</v>
      </c>
      <c r="BJ1426" s="18">
        <v>0</v>
      </c>
      <c r="BK1426" s="18">
        <v>0</v>
      </c>
      <c r="BL1426" s="18">
        <v>0</v>
      </c>
      <c r="BM1426" s="15">
        <v>0</v>
      </c>
      <c r="BN1426" s="12">
        <v>1</v>
      </c>
      <c r="BO1426" s="12">
        <v>0</v>
      </c>
      <c r="BP1426" s="12">
        <v>0</v>
      </c>
      <c r="BQ1426" s="12">
        <v>0</v>
      </c>
      <c r="BR1426" s="12">
        <v>0</v>
      </c>
      <c r="BS1426" s="12">
        <v>0</v>
      </c>
      <c r="BT1426" s="12">
        <v>0</v>
      </c>
      <c r="BU1426" s="47">
        <v>0</v>
      </c>
      <c r="BV1426" s="47"/>
      <c r="BW1426" s="47"/>
    </row>
    <row r="1427" spans="3:75" ht="20.100000000000001" customHeight="1">
      <c r="C1427" s="18">
        <v>65001003</v>
      </c>
      <c r="D1427" s="19" t="s">
        <v>2983</v>
      </c>
      <c r="E1427" s="19" t="s">
        <v>2984</v>
      </c>
      <c r="F1427" s="18">
        <v>1</v>
      </c>
      <c r="G1427" s="18">
        <v>0</v>
      </c>
      <c r="H1427" s="18">
        <v>0</v>
      </c>
      <c r="I1427" s="27">
        <v>0</v>
      </c>
      <c r="J1427" s="18">
        <v>1</v>
      </c>
      <c r="K1427" s="18">
        <v>0</v>
      </c>
      <c r="L1427" s="18">
        <v>0</v>
      </c>
      <c r="M1427" s="18">
        <v>0</v>
      </c>
      <c r="N1427" s="18">
        <v>0</v>
      </c>
      <c r="O1427" s="18">
        <v>1</v>
      </c>
      <c r="P1427" s="18">
        <v>0</v>
      </c>
      <c r="Q1427" s="18">
        <v>0</v>
      </c>
      <c r="R1427" s="18">
        <v>0</v>
      </c>
      <c r="S1427" s="12">
        <v>0</v>
      </c>
      <c r="T1427" s="27">
        <v>0</v>
      </c>
      <c r="U1427" s="16">
        <v>1</v>
      </c>
      <c r="V1427" s="18">
        <v>2</v>
      </c>
      <c r="W1427" s="18">
        <v>0</v>
      </c>
      <c r="X1427" s="18">
        <v>0</v>
      </c>
      <c r="Y1427" s="12">
        <v>0</v>
      </c>
      <c r="Z1427" s="18">
        <v>0</v>
      </c>
      <c r="AA1427" s="18">
        <v>0</v>
      </c>
      <c r="AB1427" s="18">
        <v>0</v>
      </c>
      <c r="AC1427" s="18">
        <v>0</v>
      </c>
      <c r="AD1427" s="18">
        <v>1</v>
      </c>
      <c r="AE1427" s="18">
        <v>0</v>
      </c>
      <c r="AF1427" s="18">
        <v>18</v>
      </c>
      <c r="AG1427" s="18">
        <v>0</v>
      </c>
      <c r="AH1427" s="18">
        <v>0</v>
      </c>
      <c r="AI1427" s="12">
        <v>2</v>
      </c>
      <c r="AJ1427" s="12">
        <v>0</v>
      </c>
      <c r="AK1427" s="12">
        <v>0</v>
      </c>
      <c r="AL1427" s="12">
        <v>0</v>
      </c>
      <c r="AM1427" s="18">
        <v>0</v>
      </c>
      <c r="AN1427" s="18">
        <v>0</v>
      </c>
      <c r="AO1427" s="18">
        <v>0</v>
      </c>
      <c r="AP1427" s="18">
        <v>0</v>
      </c>
      <c r="AQ1427" s="18">
        <v>1000</v>
      </c>
      <c r="AR1427" s="18">
        <v>0</v>
      </c>
      <c r="AS1427" s="18">
        <v>0</v>
      </c>
      <c r="AT1427" s="12" t="s">
        <v>2985</v>
      </c>
      <c r="AU1427" s="18" t="s">
        <v>198</v>
      </c>
      <c r="AV1427" s="18"/>
      <c r="AW1427" s="19" t="s">
        <v>199</v>
      </c>
      <c r="AX1427" s="18" t="s">
        <v>2977</v>
      </c>
      <c r="AY1427" s="18">
        <v>0</v>
      </c>
      <c r="AZ1427" s="18">
        <v>40000003</v>
      </c>
      <c r="BA1427" s="19" t="s">
        <v>200</v>
      </c>
      <c r="BB1427" s="19" t="s">
        <v>198</v>
      </c>
      <c r="BC1427" s="27">
        <v>0</v>
      </c>
      <c r="BD1427" s="27">
        <v>0</v>
      </c>
      <c r="BE1427" s="87"/>
      <c r="BF1427" s="87"/>
      <c r="BG1427" s="18">
        <v>0</v>
      </c>
      <c r="BH1427" s="16">
        <v>0</v>
      </c>
      <c r="BI1427" s="18">
        <v>0</v>
      </c>
      <c r="BJ1427" s="18">
        <v>0</v>
      </c>
      <c r="BK1427" s="18">
        <v>0</v>
      </c>
      <c r="BL1427" s="18">
        <v>0</v>
      </c>
      <c r="BM1427" s="15">
        <v>0</v>
      </c>
      <c r="BN1427" s="12">
        <v>1</v>
      </c>
      <c r="BO1427" s="12">
        <v>0</v>
      </c>
      <c r="BP1427" s="12">
        <v>0</v>
      </c>
      <c r="BQ1427" s="12">
        <v>0</v>
      </c>
      <c r="BR1427" s="12">
        <v>0</v>
      </c>
      <c r="BS1427" s="12">
        <v>0</v>
      </c>
      <c r="BT1427" s="12">
        <v>0</v>
      </c>
      <c r="BU1427" s="47">
        <v>0</v>
      </c>
      <c r="BV1427" s="47"/>
      <c r="BW1427" s="47"/>
    </row>
    <row r="1428" spans="3:75" ht="20.100000000000001" customHeight="1">
      <c r="C1428" s="18">
        <v>65001004</v>
      </c>
      <c r="D1428" s="19" t="s">
        <v>2986</v>
      </c>
      <c r="E1428" s="19" t="s">
        <v>2987</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18</v>
      </c>
      <c r="AG1428" s="18">
        <v>0</v>
      </c>
      <c r="AH1428" s="18">
        <v>0</v>
      </c>
      <c r="AI1428" s="12">
        <v>2</v>
      </c>
      <c r="AJ1428" s="12">
        <v>0</v>
      </c>
      <c r="AK1428" s="12">
        <v>0</v>
      </c>
      <c r="AL1428" s="12">
        <v>0</v>
      </c>
      <c r="AM1428" s="18">
        <v>0</v>
      </c>
      <c r="AN1428" s="18">
        <v>0</v>
      </c>
      <c r="AO1428" s="18">
        <v>0</v>
      </c>
      <c r="AP1428" s="18">
        <v>0</v>
      </c>
      <c r="AQ1428" s="18">
        <v>1000</v>
      </c>
      <c r="AR1428" s="18">
        <v>0</v>
      </c>
      <c r="AS1428" s="18">
        <v>0</v>
      </c>
      <c r="AT1428" s="12">
        <v>95001041</v>
      </c>
      <c r="AU1428" s="18" t="s">
        <v>198</v>
      </c>
      <c r="AV1428" s="18"/>
      <c r="AW1428" s="19" t="s">
        <v>199</v>
      </c>
      <c r="AX1428" s="18" t="s">
        <v>2977</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65001005</v>
      </c>
      <c r="D1429" s="19" t="s">
        <v>2988</v>
      </c>
      <c r="E1429" s="19" t="s">
        <v>2982</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95001051</v>
      </c>
      <c r="AU1429" s="18" t="s">
        <v>198</v>
      </c>
      <c r="AV1429" s="18"/>
      <c r="AW1429" s="19" t="s">
        <v>199</v>
      </c>
      <c r="AX1429" s="18" t="s">
        <v>2977</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65001006</v>
      </c>
      <c r="D1430" s="19" t="s">
        <v>2989</v>
      </c>
      <c r="E1430" s="19" t="s">
        <v>2990</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2991</v>
      </c>
      <c r="AU1430" s="18" t="s">
        <v>198</v>
      </c>
      <c r="AV1430" s="18"/>
      <c r="AW1430" s="19" t="s">
        <v>199</v>
      </c>
      <c r="AX1430" s="18" t="s">
        <v>2977</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65001101</v>
      </c>
      <c r="D1431" s="19" t="s">
        <v>2992</v>
      </c>
      <c r="E1431" s="19" t="s">
        <v>2993</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95001101</v>
      </c>
      <c r="AU1431" s="18" t="s">
        <v>198</v>
      </c>
      <c r="AV1431" s="18"/>
      <c r="AW1431" s="19" t="s">
        <v>199</v>
      </c>
      <c r="AX1431" s="18" t="s">
        <v>2977</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65001102</v>
      </c>
      <c r="D1432" s="19" t="s">
        <v>2994</v>
      </c>
      <c r="E1432" s="19" t="s">
        <v>2995</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95001102</v>
      </c>
      <c r="AU1432" s="18" t="s">
        <v>198</v>
      </c>
      <c r="AV1432" s="18"/>
      <c r="AW1432" s="19" t="s">
        <v>199</v>
      </c>
      <c r="AX1432" s="18" t="s">
        <v>2977</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65001103</v>
      </c>
      <c r="D1433" s="19" t="s">
        <v>2996</v>
      </c>
      <c r="E1433" s="19" t="s">
        <v>2997</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95001103</v>
      </c>
      <c r="AU1433" s="18" t="s">
        <v>198</v>
      </c>
      <c r="AV1433" s="18"/>
      <c r="AW1433" s="19" t="s">
        <v>199</v>
      </c>
      <c r="AX1433" s="18" t="s">
        <v>2977</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65001104</v>
      </c>
      <c r="D1434" s="19" t="s">
        <v>2998</v>
      </c>
      <c r="E1434" s="19" t="s">
        <v>2999</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95001104</v>
      </c>
      <c r="AU1434" s="18" t="s">
        <v>198</v>
      </c>
      <c r="AV1434" s="18"/>
      <c r="AW1434" s="19" t="s">
        <v>199</v>
      </c>
      <c r="AX1434" s="18" t="s">
        <v>2977</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65001105</v>
      </c>
      <c r="D1435" s="19" t="s">
        <v>3000</v>
      </c>
      <c r="E1435" s="19" t="s">
        <v>3001</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95001105</v>
      </c>
      <c r="AU1435" s="18" t="s">
        <v>198</v>
      </c>
      <c r="AV1435" s="18"/>
      <c r="AW1435" s="19" t="s">
        <v>199</v>
      </c>
      <c r="AX1435" s="18" t="s">
        <v>2977</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65002001</v>
      </c>
      <c r="D1436" s="19" t="s">
        <v>3002</v>
      </c>
      <c r="E1436" s="19" t="s">
        <v>3003</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10</v>
      </c>
      <c r="AG1436" s="18">
        <v>0</v>
      </c>
      <c r="AH1436" s="18">
        <v>0</v>
      </c>
      <c r="AI1436" s="12">
        <v>2</v>
      </c>
      <c r="AJ1436" s="12">
        <v>0</v>
      </c>
      <c r="AK1436" s="12">
        <v>0</v>
      </c>
      <c r="AL1436" s="12">
        <v>0</v>
      </c>
      <c r="AM1436" s="18">
        <v>0</v>
      </c>
      <c r="AN1436" s="18">
        <v>0</v>
      </c>
      <c r="AO1436" s="18">
        <v>0</v>
      </c>
      <c r="AP1436" s="18">
        <v>0</v>
      </c>
      <c r="AQ1436" s="18">
        <v>1000</v>
      </c>
      <c r="AR1436" s="18">
        <v>0</v>
      </c>
      <c r="AS1436" s="18">
        <v>0</v>
      </c>
      <c r="AT1436" s="338" t="s">
        <v>3004</v>
      </c>
      <c r="AU1436" s="18" t="s">
        <v>198</v>
      </c>
      <c r="AV1436" s="18"/>
      <c r="AW1436" s="19" t="s">
        <v>199</v>
      </c>
      <c r="AX1436" s="18" t="s">
        <v>2977</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65002002</v>
      </c>
      <c r="D1437" s="19" t="s">
        <v>3005</v>
      </c>
      <c r="E1437" s="19" t="s">
        <v>3006</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95002021</v>
      </c>
      <c r="AU1437" s="18" t="s">
        <v>198</v>
      </c>
      <c r="AV1437" s="18"/>
      <c r="AW1437" s="19" t="s">
        <v>199</v>
      </c>
      <c r="AX1437" s="18" t="s">
        <v>2977</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65002003</v>
      </c>
      <c r="D1438" s="19" t="s">
        <v>3007</v>
      </c>
      <c r="E1438" s="19" t="s">
        <v>3008</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t="s">
        <v>3009</v>
      </c>
      <c r="AU1438" s="18" t="s">
        <v>198</v>
      </c>
      <c r="AV1438" s="18"/>
      <c r="AW1438" s="19" t="s">
        <v>199</v>
      </c>
      <c r="AX1438" s="18" t="s">
        <v>2977</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65002004</v>
      </c>
      <c r="D1439" s="19" t="s">
        <v>3010</v>
      </c>
      <c r="E1439" s="19" t="s">
        <v>3011</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95002041</v>
      </c>
      <c r="AU1439" s="18" t="s">
        <v>198</v>
      </c>
      <c r="AV1439" s="18"/>
      <c r="AW1439" s="19" t="s">
        <v>199</v>
      </c>
      <c r="AX1439" s="18" t="s">
        <v>2977</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65002005</v>
      </c>
      <c r="D1440" s="19" t="s">
        <v>3012</v>
      </c>
      <c r="E1440" s="19" t="s">
        <v>3013</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95002051</v>
      </c>
      <c r="AU1440" s="18" t="s">
        <v>198</v>
      </c>
      <c r="AV1440" s="18"/>
      <c r="AW1440" s="19" t="s">
        <v>199</v>
      </c>
      <c r="AX1440" s="18" t="s">
        <v>2977</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65002006</v>
      </c>
      <c r="D1441" s="19" t="s">
        <v>3014</v>
      </c>
      <c r="E1441" s="19" t="s">
        <v>3015</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3016</v>
      </c>
      <c r="AU1441" s="18" t="s">
        <v>198</v>
      </c>
      <c r="AV1441" s="18"/>
      <c r="AW1441" s="19" t="s">
        <v>199</v>
      </c>
      <c r="AX1441" s="18" t="s">
        <v>2977</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65002101</v>
      </c>
      <c r="D1442" s="19" t="s">
        <v>3017</v>
      </c>
      <c r="E1442" s="19" t="s">
        <v>3018</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95002101</v>
      </c>
      <c r="AU1442" s="18" t="s">
        <v>198</v>
      </c>
      <c r="AV1442" s="18"/>
      <c r="AW1442" s="19" t="s">
        <v>199</v>
      </c>
      <c r="AX1442" s="18" t="s">
        <v>2977</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65002102</v>
      </c>
      <c r="D1443" s="19" t="s">
        <v>3019</v>
      </c>
      <c r="E1443" s="19" t="s">
        <v>3020</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95002102</v>
      </c>
      <c r="AU1443" s="18" t="s">
        <v>198</v>
      </c>
      <c r="AV1443" s="18"/>
      <c r="AW1443" s="19" t="s">
        <v>199</v>
      </c>
      <c r="AX1443" s="18" t="s">
        <v>2977</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65002103</v>
      </c>
      <c r="D1444" s="19" t="s">
        <v>3021</v>
      </c>
      <c r="E1444" s="19" t="s">
        <v>3022</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95002103</v>
      </c>
      <c r="AU1444" s="18" t="s">
        <v>198</v>
      </c>
      <c r="AV1444" s="18"/>
      <c r="AW1444" s="19" t="s">
        <v>199</v>
      </c>
      <c r="AX1444" s="18" t="s">
        <v>2977</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65002104</v>
      </c>
      <c r="D1445" s="19" t="s">
        <v>3023</v>
      </c>
      <c r="E1445" s="19" t="s">
        <v>3024</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95002104</v>
      </c>
      <c r="AU1445" s="18" t="s">
        <v>198</v>
      </c>
      <c r="AV1445" s="18"/>
      <c r="AW1445" s="19" t="s">
        <v>199</v>
      </c>
      <c r="AX1445" s="18" t="s">
        <v>2977</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65002105</v>
      </c>
      <c r="D1446" s="19" t="s">
        <v>3025</v>
      </c>
      <c r="E1446" s="19" t="s">
        <v>3026</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95002105</v>
      </c>
      <c r="AU1446" s="18" t="s">
        <v>198</v>
      </c>
      <c r="AV1446" s="18"/>
      <c r="AW1446" s="19" t="s">
        <v>199</v>
      </c>
      <c r="AX1446" s="18" t="s">
        <v>2977</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65003001</v>
      </c>
      <c r="D1447" s="19" t="s">
        <v>3027</v>
      </c>
      <c r="E1447" s="19" t="s">
        <v>3028</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10</v>
      </c>
      <c r="AG1447" s="18">
        <v>0</v>
      </c>
      <c r="AH1447" s="18">
        <v>0</v>
      </c>
      <c r="AI1447" s="12">
        <v>2</v>
      </c>
      <c r="AJ1447" s="12">
        <v>0</v>
      </c>
      <c r="AK1447" s="12">
        <v>0</v>
      </c>
      <c r="AL1447" s="12">
        <v>0</v>
      </c>
      <c r="AM1447" s="18">
        <v>0</v>
      </c>
      <c r="AN1447" s="18">
        <v>0</v>
      </c>
      <c r="AO1447" s="18">
        <v>0</v>
      </c>
      <c r="AP1447" s="18">
        <v>0</v>
      </c>
      <c r="AQ1447" s="18">
        <v>1000</v>
      </c>
      <c r="AR1447" s="18">
        <v>0</v>
      </c>
      <c r="AS1447" s="18">
        <v>0</v>
      </c>
      <c r="AT1447" s="338" t="s">
        <v>3029</v>
      </c>
      <c r="AU1447" s="18" t="s">
        <v>198</v>
      </c>
      <c r="AV1447" s="18"/>
      <c r="AW1447" s="19" t="s">
        <v>199</v>
      </c>
      <c r="AX1447" s="18" t="s">
        <v>2977</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65003002</v>
      </c>
      <c r="D1448" s="19" t="s">
        <v>3030</v>
      </c>
      <c r="E1448" s="19" t="s">
        <v>3031</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95003021</v>
      </c>
      <c r="AU1448" s="18" t="s">
        <v>198</v>
      </c>
      <c r="AV1448" s="18"/>
      <c r="AW1448" s="19" t="s">
        <v>199</v>
      </c>
      <c r="AX1448" s="18" t="s">
        <v>2977</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65003003</v>
      </c>
      <c r="D1449" s="19" t="s">
        <v>3032</v>
      </c>
      <c r="E1449" s="19" t="s">
        <v>3033</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t="s">
        <v>3034</v>
      </c>
      <c r="AU1449" s="18" t="s">
        <v>198</v>
      </c>
      <c r="AV1449" s="18"/>
      <c r="AW1449" s="19" t="s">
        <v>199</v>
      </c>
      <c r="AX1449" s="18" t="s">
        <v>2977</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65003004</v>
      </c>
      <c r="D1450" s="19" t="s">
        <v>3035</v>
      </c>
      <c r="E1450" s="19" t="s">
        <v>3036</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95003041</v>
      </c>
      <c r="AU1450" s="18" t="s">
        <v>198</v>
      </c>
      <c r="AV1450" s="18"/>
      <c r="AW1450" s="19" t="s">
        <v>199</v>
      </c>
      <c r="AX1450" s="18" t="s">
        <v>2977</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65003005</v>
      </c>
      <c r="D1451" s="19" t="s">
        <v>3037</v>
      </c>
      <c r="E1451" s="19" t="s">
        <v>3038</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95003051</v>
      </c>
      <c r="AU1451" s="18" t="s">
        <v>198</v>
      </c>
      <c r="AV1451" s="18"/>
      <c r="AW1451" s="19" t="s">
        <v>199</v>
      </c>
      <c r="AX1451" s="18" t="s">
        <v>2977</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65003006</v>
      </c>
      <c r="D1452" s="19" t="s">
        <v>3039</v>
      </c>
      <c r="E1452" s="19" t="s">
        <v>3040</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3041</v>
      </c>
      <c r="AU1452" s="18" t="s">
        <v>198</v>
      </c>
      <c r="AV1452" s="18"/>
      <c r="AW1452" s="19" t="s">
        <v>199</v>
      </c>
      <c r="AX1452" s="18" t="s">
        <v>2977</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65003101</v>
      </c>
      <c r="D1453" s="19" t="s">
        <v>3042</v>
      </c>
      <c r="E1453" s="19" t="s">
        <v>3043</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95003101</v>
      </c>
      <c r="AU1453" s="18" t="s">
        <v>198</v>
      </c>
      <c r="AV1453" s="18"/>
      <c r="AW1453" s="19" t="s">
        <v>199</v>
      </c>
      <c r="AX1453" s="18" t="s">
        <v>2977</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65003102</v>
      </c>
      <c r="D1454" s="19" t="s">
        <v>3044</v>
      </c>
      <c r="E1454" s="19" t="s">
        <v>3045</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95003102</v>
      </c>
      <c r="AU1454" s="18" t="s">
        <v>198</v>
      </c>
      <c r="AV1454" s="18"/>
      <c r="AW1454" s="19" t="s">
        <v>199</v>
      </c>
      <c r="AX1454" s="18" t="s">
        <v>2977</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65003103</v>
      </c>
      <c r="D1455" s="19" t="s">
        <v>3046</v>
      </c>
      <c r="E1455" s="19" t="s">
        <v>3047</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95003103</v>
      </c>
      <c r="AU1455" s="18" t="s">
        <v>198</v>
      </c>
      <c r="AV1455" s="18"/>
      <c r="AW1455" s="19" t="s">
        <v>199</v>
      </c>
      <c r="AX1455" s="18" t="s">
        <v>2977</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65003104</v>
      </c>
      <c r="D1456" s="19" t="s">
        <v>3048</v>
      </c>
      <c r="E1456" s="19" t="s">
        <v>3049</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95003104</v>
      </c>
      <c r="AU1456" s="18" t="s">
        <v>198</v>
      </c>
      <c r="AV1456" s="18"/>
      <c r="AW1456" s="19" t="s">
        <v>199</v>
      </c>
      <c r="AX1456" s="18" t="s">
        <v>2977</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65003105</v>
      </c>
      <c r="D1457" s="19" t="s">
        <v>3050</v>
      </c>
      <c r="E1457" s="19" t="s">
        <v>3051</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95003105</v>
      </c>
      <c r="AU1457" s="18" t="s">
        <v>198</v>
      </c>
      <c r="AV1457" s="18"/>
      <c r="AW1457" s="19" t="s">
        <v>199</v>
      </c>
      <c r="AX1457" s="18" t="s">
        <v>2977</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65004001</v>
      </c>
      <c r="D1458" s="19" t="s">
        <v>3052</v>
      </c>
      <c r="E1458" s="19" t="s">
        <v>3053</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10</v>
      </c>
      <c r="AG1458" s="18">
        <v>0</v>
      </c>
      <c r="AH1458" s="18">
        <v>0</v>
      </c>
      <c r="AI1458" s="12">
        <v>2</v>
      </c>
      <c r="AJ1458" s="12">
        <v>0</v>
      </c>
      <c r="AK1458" s="12">
        <v>0</v>
      </c>
      <c r="AL1458" s="12">
        <v>0</v>
      </c>
      <c r="AM1458" s="18">
        <v>0</v>
      </c>
      <c r="AN1458" s="18">
        <v>0</v>
      </c>
      <c r="AO1458" s="18">
        <v>0</v>
      </c>
      <c r="AP1458" s="18">
        <v>0</v>
      </c>
      <c r="AQ1458" s="18">
        <v>1000</v>
      </c>
      <c r="AR1458" s="18">
        <v>0</v>
      </c>
      <c r="AS1458" s="18">
        <v>0</v>
      </c>
      <c r="AT1458" s="338" t="s">
        <v>3054</v>
      </c>
      <c r="AU1458" s="18" t="s">
        <v>198</v>
      </c>
      <c r="AV1458" s="18"/>
      <c r="AW1458" s="19" t="s">
        <v>199</v>
      </c>
      <c r="AX1458" s="18" t="s">
        <v>2977</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65004002</v>
      </c>
      <c r="D1459" s="19" t="s">
        <v>3055</v>
      </c>
      <c r="E1459" s="19" t="s">
        <v>3056</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95004021</v>
      </c>
      <c r="AU1459" s="18" t="s">
        <v>198</v>
      </c>
      <c r="AV1459" s="18"/>
      <c r="AW1459" s="19" t="s">
        <v>199</v>
      </c>
      <c r="AX1459" s="18" t="s">
        <v>2977</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65004003</v>
      </c>
      <c r="D1460" s="19" t="s">
        <v>3057</v>
      </c>
      <c r="E1460" s="19" t="s">
        <v>3058</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t="s">
        <v>3059</v>
      </c>
      <c r="AU1460" s="18" t="s">
        <v>198</v>
      </c>
      <c r="AV1460" s="18"/>
      <c r="AW1460" s="19" t="s">
        <v>199</v>
      </c>
      <c r="AX1460" s="18" t="s">
        <v>2977</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65004004</v>
      </c>
      <c r="D1461" s="19" t="s">
        <v>3060</v>
      </c>
      <c r="E1461" s="19" t="s">
        <v>3061</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95004041</v>
      </c>
      <c r="AU1461" s="18" t="s">
        <v>198</v>
      </c>
      <c r="AV1461" s="18"/>
      <c r="AW1461" s="19" t="s">
        <v>199</v>
      </c>
      <c r="AX1461" s="18" t="s">
        <v>2977</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65004005</v>
      </c>
      <c r="D1462" s="19" t="s">
        <v>3062</v>
      </c>
      <c r="E1462" s="19" t="s">
        <v>3063</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95004051</v>
      </c>
      <c r="AU1462" s="18" t="s">
        <v>198</v>
      </c>
      <c r="AV1462" s="18"/>
      <c r="AW1462" s="19" t="s">
        <v>199</v>
      </c>
      <c r="AX1462" s="18" t="s">
        <v>2977</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65004006</v>
      </c>
      <c r="D1463" s="19" t="s">
        <v>3064</v>
      </c>
      <c r="E1463" s="19" t="s">
        <v>3065</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3066</v>
      </c>
      <c r="AU1463" s="18" t="s">
        <v>198</v>
      </c>
      <c r="AV1463" s="18"/>
      <c r="AW1463" s="19" t="s">
        <v>199</v>
      </c>
      <c r="AX1463" s="18" t="s">
        <v>2977</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65004101</v>
      </c>
      <c r="D1464" s="19" t="s">
        <v>3067</v>
      </c>
      <c r="E1464" s="19" t="s">
        <v>3068</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95004101</v>
      </c>
      <c r="AU1464" s="18" t="s">
        <v>198</v>
      </c>
      <c r="AV1464" s="18"/>
      <c r="AW1464" s="19" t="s">
        <v>199</v>
      </c>
      <c r="AX1464" s="18" t="s">
        <v>2977</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65004102</v>
      </c>
      <c r="D1465" s="19" t="s">
        <v>3069</v>
      </c>
      <c r="E1465" s="19" t="s">
        <v>3070</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95004102</v>
      </c>
      <c r="AU1465" s="18" t="s">
        <v>198</v>
      </c>
      <c r="AV1465" s="18"/>
      <c r="AW1465" s="19" t="s">
        <v>199</v>
      </c>
      <c r="AX1465" s="18" t="s">
        <v>2977</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65004103</v>
      </c>
      <c r="D1466" s="19" t="s">
        <v>3071</v>
      </c>
      <c r="E1466" s="19" t="s">
        <v>3047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95004103</v>
      </c>
      <c r="AU1466" s="18" t="s">
        <v>198</v>
      </c>
      <c r="AV1466" s="18"/>
      <c r="AW1466" s="19" t="s">
        <v>199</v>
      </c>
      <c r="AX1466" s="18" t="s">
        <v>2977</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65004104</v>
      </c>
      <c r="D1467" s="19" t="s">
        <v>3072</v>
      </c>
      <c r="E1467" s="19" t="s">
        <v>3073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95004104</v>
      </c>
      <c r="AU1467" s="18" t="s">
        <v>198</v>
      </c>
      <c r="AV1467" s="18"/>
      <c r="AW1467" s="19" t="s">
        <v>199</v>
      </c>
      <c r="AX1467" s="18" t="s">
        <v>2977</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65004105</v>
      </c>
      <c r="D1468" s="19" t="s">
        <v>3074</v>
      </c>
      <c r="E1468" s="19" t="s">
        <v>3075</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95004105</v>
      </c>
      <c r="AU1468" s="18" t="s">
        <v>198</v>
      </c>
      <c r="AV1468" s="18"/>
      <c r="AW1468" s="19" t="s">
        <v>199</v>
      </c>
      <c r="AX1468" s="18" t="s">
        <v>2977</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65005001</v>
      </c>
      <c r="D1469" s="19" t="s">
        <v>3076</v>
      </c>
      <c r="E1469" s="19" t="s">
        <v>3077</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10</v>
      </c>
      <c r="AG1469" s="18">
        <v>0</v>
      </c>
      <c r="AH1469" s="18">
        <v>0</v>
      </c>
      <c r="AI1469" s="12">
        <v>2</v>
      </c>
      <c r="AJ1469" s="12">
        <v>0</v>
      </c>
      <c r="AK1469" s="12">
        <v>0</v>
      </c>
      <c r="AL1469" s="12">
        <v>0</v>
      </c>
      <c r="AM1469" s="18">
        <v>0</v>
      </c>
      <c r="AN1469" s="18">
        <v>0</v>
      </c>
      <c r="AO1469" s="18">
        <v>0</v>
      </c>
      <c r="AP1469" s="18">
        <v>0</v>
      </c>
      <c r="AQ1469" s="18">
        <v>1000</v>
      </c>
      <c r="AR1469" s="18">
        <v>0</v>
      </c>
      <c r="AS1469" s="18">
        <v>0</v>
      </c>
      <c r="AT1469" s="338" t="s">
        <v>3078</v>
      </c>
      <c r="AU1469" s="18" t="s">
        <v>198</v>
      </c>
      <c r="AV1469" s="18"/>
      <c r="AW1469" s="19" t="s">
        <v>199</v>
      </c>
      <c r="AX1469" s="18" t="s">
        <v>2977</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65005002</v>
      </c>
      <c r="D1470" s="19" t="s">
        <v>3079</v>
      </c>
      <c r="E1470" s="19" t="s">
        <v>3080</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95005021</v>
      </c>
      <c r="AU1470" s="18" t="s">
        <v>198</v>
      </c>
      <c r="AV1470" s="18"/>
      <c r="AW1470" s="19" t="s">
        <v>199</v>
      </c>
      <c r="AX1470" s="18" t="s">
        <v>2977</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65005003</v>
      </c>
      <c r="D1471" s="19" t="s">
        <v>3081</v>
      </c>
      <c r="E1471" s="19" t="s">
        <v>3082</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t="s">
        <v>3083</v>
      </c>
      <c r="AU1471" s="18" t="s">
        <v>198</v>
      </c>
      <c r="AV1471" s="18"/>
      <c r="AW1471" s="19" t="s">
        <v>199</v>
      </c>
      <c r="AX1471" s="18" t="s">
        <v>2977</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65005004</v>
      </c>
      <c r="D1472" s="19" t="s">
        <v>3084</v>
      </c>
      <c r="E1472" s="19" t="s">
        <v>3085</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95005041</v>
      </c>
      <c r="AU1472" s="18" t="s">
        <v>198</v>
      </c>
      <c r="AV1472" s="18"/>
      <c r="AW1472" s="19" t="s">
        <v>199</v>
      </c>
      <c r="AX1472" s="18" t="s">
        <v>2977</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65005005</v>
      </c>
      <c r="D1473" s="19" t="s">
        <v>3086</v>
      </c>
      <c r="E1473" s="19" t="s">
        <v>3087</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95005051</v>
      </c>
      <c r="AU1473" s="18" t="s">
        <v>198</v>
      </c>
      <c r="AV1473" s="18"/>
      <c r="AW1473" s="19" t="s">
        <v>199</v>
      </c>
      <c r="AX1473" s="18" t="s">
        <v>2977</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65005006</v>
      </c>
      <c r="D1474" s="19" t="s">
        <v>3088</v>
      </c>
      <c r="E1474" s="19" t="s">
        <v>3089</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3090</v>
      </c>
      <c r="AU1474" s="18" t="s">
        <v>198</v>
      </c>
      <c r="AV1474" s="18"/>
      <c r="AW1474" s="19" t="s">
        <v>199</v>
      </c>
      <c r="AX1474" s="18" t="s">
        <v>2977</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65005101</v>
      </c>
      <c r="D1475" s="19" t="s">
        <v>3091</v>
      </c>
      <c r="E1475" s="19" t="s">
        <v>3092</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95005101</v>
      </c>
      <c r="AU1475" s="18" t="s">
        <v>198</v>
      </c>
      <c r="AV1475" s="18"/>
      <c r="AW1475" s="19" t="s">
        <v>199</v>
      </c>
      <c r="AX1475" s="18" t="s">
        <v>2977</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65005102</v>
      </c>
      <c r="D1476" s="19" t="s">
        <v>3093</v>
      </c>
      <c r="E1476" s="19" t="s">
        <v>3094</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95005102</v>
      </c>
      <c r="AU1476" s="18" t="s">
        <v>198</v>
      </c>
      <c r="AV1476" s="18"/>
      <c r="AW1476" s="19" t="s">
        <v>199</v>
      </c>
      <c r="AX1476" s="18" t="s">
        <v>2977</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65005103</v>
      </c>
      <c r="D1477" s="19" t="s">
        <v>3095</v>
      </c>
      <c r="E1477" s="19" t="s">
        <v>3096</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95005103</v>
      </c>
      <c r="AU1477" s="18" t="s">
        <v>198</v>
      </c>
      <c r="AV1477" s="18"/>
      <c r="AW1477" s="19" t="s">
        <v>199</v>
      </c>
      <c r="AX1477" s="18" t="s">
        <v>2977</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65005104</v>
      </c>
      <c r="D1478" s="19" t="s">
        <v>3097</v>
      </c>
      <c r="E1478" s="19" t="s">
        <v>3098</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95005104</v>
      </c>
      <c r="AU1478" s="18" t="s">
        <v>198</v>
      </c>
      <c r="AV1478" s="18"/>
      <c r="AW1478" s="19" t="s">
        <v>199</v>
      </c>
      <c r="AX1478" s="18" t="s">
        <v>2977</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65005105</v>
      </c>
      <c r="D1479" s="19" t="s">
        <v>3099</v>
      </c>
      <c r="E1479" s="19" t="s">
        <v>3100</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95005105</v>
      </c>
      <c r="AU1479" s="18" t="s">
        <v>198</v>
      </c>
      <c r="AV1479" s="18"/>
      <c r="AW1479" s="19" t="s">
        <v>199</v>
      </c>
      <c r="AX1479" s="18" t="s">
        <v>2977</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65006001</v>
      </c>
      <c r="D1480" s="19" t="s">
        <v>3101</v>
      </c>
      <c r="E1480" s="19" t="s">
        <v>3102</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38" t="s">
        <v>3103</v>
      </c>
      <c r="AU1480" s="18" t="s">
        <v>198</v>
      </c>
      <c r="AV1480" s="18"/>
      <c r="AW1480" s="19" t="s">
        <v>199</v>
      </c>
      <c r="AX1480" s="18" t="s">
        <v>2977</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65006002</v>
      </c>
      <c r="D1481" s="19" t="s">
        <v>3104</v>
      </c>
      <c r="E1481" s="19" t="s">
        <v>3105</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10</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95006021</v>
      </c>
      <c r="AU1481" s="18" t="s">
        <v>198</v>
      </c>
      <c r="AV1481" s="18"/>
      <c r="AW1481" s="19" t="s">
        <v>199</v>
      </c>
      <c r="AX1481" s="18" t="s">
        <v>2977</v>
      </c>
      <c r="AY1481" s="18">
        <v>0</v>
      </c>
      <c r="AZ1481" s="18">
        <v>40000003</v>
      </c>
      <c r="BA1481" s="19" t="s">
        <v>200</v>
      </c>
      <c r="BB1481" s="19" t="s">
        <v>198</v>
      </c>
      <c r="BC1481" s="27">
        <v>0</v>
      </c>
      <c r="BD1481" s="27">
        <v>0</v>
      </c>
      <c r="BE1481" s="87" t="s">
        <v>3106</v>
      </c>
      <c r="BF1481" s="87" t="s">
        <v>3107</v>
      </c>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19.5" customHeight="1">
      <c r="C1482" s="18">
        <v>65006003</v>
      </c>
      <c r="D1482" s="17" t="s">
        <v>3108</v>
      </c>
      <c r="E1482" s="17" t="s">
        <v>3109</v>
      </c>
      <c r="F1482" s="18">
        <v>1</v>
      </c>
      <c r="G1482" s="16">
        <v>60010100</v>
      </c>
      <c r="H1482" s="18">
        <v>0</v>
      </c>
      <c r="I1482" s="27">
        <v>0</v>
      </c>
      <c r="J1482" s="18">
        <v>1</v>
      </c>
      <c r="K1482" s="18">
        <v>0</v>
      </c>
      <c r="L1482" s="18">
        <v>0</v>
      </c>
      <c r="M1482" s="16">
        <v>0</v>
      </c>
      <c r="N1482" s="16">
        <v>0</v>
      </c>
      <c r="O1482" s="16">
        <v>1</v>
      </c>
      <c r="P1482" s="16">
        <v>0</v>
      </c>
      <c r="Q1482" s="16">
        <v>0</v>
      </c>
      <c r="R1482" s="16">
        <v>0</v>
      </c>
      <c r="S1482" s="12">
        <v>0</v>
      </c>
      <c r="T1482" s="16">
        <v>0</v>
      </c>
      <c r="U1482" s="16">
        <v>1</v>
      </c>
      <c r="V1482" s="16">
        <v>2</v>
      </c>
      <c r="W1482" s="16">
        <v>0</v>
      </c>
      <c r="X1482" s="16">
        <v>2.5</v>
      </c>
      <c r="Y1482" s="12">
        <v>0</v>
      </c>
      <c r="Z1482" s="16">
        <v>0</v>
      </c>
      <c r="AA1482" s="16">
        <v>1</v>
      </c>
      <c r="AB1482" s="16">
        <v>0</v>
      </c>
      <c r="AC1482" s="16">
        <v>0</v>
      </c>
      <c r="AD1482" s="16">
        <v>0</v>
      </c>
      <c r="AE1482" s="16">
        <v>0</v>
      </c>
      <c r="AF1482" s="16">
        <v>10</v>
      </c>
      <c r="AG1482" s="16">
        <v>1</v>
      </c>
      <c r="AH1482" s="16">
        <v>3</v>
      </c>
      <c r="AI1482" s="12">
        <v>2</v>
      </c>
      <c r="AJ1482" s="12">
        <v>1</v>
      </c>
      <c r="AK1482" s="12">
        <v>0</v>
      </c>
      <c r="AL1482" s="12">
        <v>6</v>
      </c>
      <c r="AM1482" s="16">
        <v>0</v>
      </c>
      <c r="AN1482" s="16">
        <v>0</v>
      </c>
      <c r="AO1482" s="16">
        <v>0</v>
      </c>
      <c r="AP1482" s="16">
        <v>0</v>
      </c>
      <c r="AQ1482" s="16">
        <v>1000</v>
      </c>
      <c r="AR1482" s="16">
        <v>0.5</v>
      </c>
      <c r="AS1482" s="16">
        <v>0</v>
      </c>
      <c r="AT1482" s="12">
        <v>0</v>
      </c>
      <c r="AU1482" s="16">
        <v>0</v>
      </c>
      <c r="AV1482" s="16"/>
      <c r="AW1482" s="19" t="s">
        <v>199</v>
      </c>
      <c r="AX1482" s="60" t="s">
        <v>215</v>
      </c>
      <c r="AY1482" s="18">
        <v>10000007</v>
      </c>
      <c r="AZ1482" s="18">
        <v>70203006</v>
      </c>
      <c r="BA1482" s="17" t="s">
        <v>200</v>
      </c>
      <c r="BB1482" s="16">
        <v>0</v>
      </c>
      <c r="BC1482" s="27">
        <v>0</v>
      </c>
      <c r="BD1482" s="27">
        <v>0</v>
      </c>
      <c r="BE1482" s="44" t="s">
        <v>3110</v>
      </c>
      <c r="BF1482" s="44" t="s">
        <v>3111</v>
      </c>
      <c r="BG1482" s="16">
        <v>0</v>
      </c>
      <c r="BH1482" s="16">
        <v>0</v>
      </c>
      <c r="BI1482" s="16">
        <v>0</v>
      </c>
      <c r="BJ1482" s="16">
        <v>0</v>
      </c>
      <c r="BK1482" s="16">
        <v>0</v>
      </c>
      <c r="BL1482" s="16">
        <v>0</v>
      </c>
      <c r="BM1482" s="15">
        <v>0</v>
      </c>
      <c r="BN1482" s="12">
        <v>1</v>
      </c>
      <c r="BO1482" s="12">
        <v>0</v>
      </c>
      <c r="BP1482" s="12">
        <v>0</v>
      </c>
      <c r="BQ1482" s="12">
        <v>0</v>
      </c>
      <c r="BR1482" s="12">
        <v>0</v>
      </c>
      <c r="BS1482" s="12">
        <v>0</v>
      </c>
      <c r="BT1482" s="12">
        <v>0</v>
      </c>
      <c r="BU1482" s="47">
        <v>0</v>
      </c>
      <c r="BV1482" s="47"/>
      <c r="BW1482" s="47"/>
    </row>
    <row r="1483" spans="3:75" ht="19.5" customHeight="1">
      <c r="C1483" s="18">
        <v>65006004</v>
      </c>
      <c r="D1483" s="17" t="s">
        <v>3112</v>
      </c>
      <c r="E1483" s="17" t="s">
        <v>3113</v>
      </c>
      <c r="F1483" s="18">
        <v>1</v>
      </c>
      <c r="G1483" s="16">
        <v>60010100</v>
      </c>
      <c r="H1483" s="18">
        <v>0</v>
      </c>
      <c r="I1483" s="27">
        <v>0</v>
      </c>
      <c r="J1483" s="18">
        <v>1</v>
      </c>
      <c r="K1483" s="18">
        <v>0</v>
      </c>
      <c r="L1483" s="18">
        <v>0</v>
      </c>
      <c r="M1483" s="16">
        <v>0</v>
      </c>
      <c r="N1483" s="16">
        <v>0</v>
      </c>
      <c r="O1483" s="16">
        <v>1</v>
      </c>
      <c r="P1483" s="16">
        <v>0</v>
      </c>
      <c r="Q1483" s="16">
        <v>0</v>
      </c>
      <c r="R1483" s="16">
        <v>0</v>
      </c>
      <c r="S1483" s="12">
        <v>0</v>
      </c>
      <c r="T1483" s="16">
        <v>0</v>
      </c>
      <c r="U1483" s="16">
        <v>1</v>
      </c>
      <c r="V1483" s="16">
        <v>2</v>
      </c>
      <c r="W1483" s="16">
        <v>0</v>
      </c>
      <c r="X1483" s="16">
        <v>0.8</v>
      </c>
      <c r="Y1483" s="12">
        <v>0</v>
      </c>
      <c r="Z1483" s="16">
        <v>0</v>
      </c>
      <c r="AA1483" s="16">
        <v>1</v>
      </c>
      <c r="AB1483" s="16">
        <v>0</v>
      </c>
      <c r="AC1483" s="16">
        <v>0</v>
      </c>
      <c r="AD1483" s="16">
        <v>0</v>
      </c>
      <c r="AE1483" s="16">
        <v>0</v>
      </c>
      <c r="AF1483" s="16">
        <v>15</v>
      </c>
      <c r="AG1483" s="16">
        <v>1</v>
      </c>
      <c r="AH1483" s="16">
        <v>3</v>
      </c>
      <c r="AI1483" s="12">
        <v>2</v>
      </c>
      <c r="AJ1483" s="12">
        <v>1</v>
      </c>
      <c r="AK1483" s="12">
        <v>0</v>
      </c>
      <c r="AL1483" s="12">
        <v>6</v>
      </c>
      <c r="AM1483" s="16">
        <v>0</v>
      </c>
      <c r="AN1483" s="16">
        <v>0</v>
      </c>
      <c r="AO1483" s="16">
        <v>0</v>
      </c>
      <c r="AP1483" s="16">
        <v>0</v>
      </c>
      <c r="AQ1483" s="16">
        <v>6000</v>
      </c>
      <c r="AR1483" s="16">
        <v>0.5</v>
      </c>
      <c r="AS1483" s="16">
        <v>0</v>
      </c>
      <c r="AT1483" s="12">
        <v>0</v>
      </c>
      <c r="AU1483" s="16">
        <v>95006031</v>
      </c>
      <c r="AV1483" s="16"/>
      <c r="AW1483" s="19" t="s">
        <v>617</v>
      </c>
      <c r="AX1483" s="12" t="s">
        <v>1677</v>
      </c>
      <c r="AY1483" s="18">
        <v>10000007</v>
      </c>
      <c r="AZ1483" s="18">
        <v>70203007</v>
      </c>
      <c r="BA1483" s="19" t="s">
        <v>315</v>
      </c>
      <c r="BB1483" s="19" t="s">
        <v>371</v>
      </c>
      <c r="BC1483" s="27">
        <v>0</v>
      </c>
      <c r="BD1483" s="27">
        <v>0</v>
      </c>
      <c r="BE1483" s="44" t="s">
        <v>3114</v>
      </c>
      <c r="BF1483" s="44" t="s">
        <v>3115</v>
      </c>
      <c r="BG1483" s="16">
        <v>0</v>
      </c>
      <c r="BH1483" s="16">
        <v>0</v>
      </c>
      <c r="BI1483" s="16">
        <v>0</v>
      </c>
      <c r="BJ1483" s="16">
        <v>0</v>
      </c>
      <c r="BK1483" s="16">
        <v>0</v>
      </c>
      <c r="BL1483" s="16">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66001001</v>
      </c>
      <c r="D1484" s="19" t="s">
        <v>381</v>
      </c>
      <c r="E1484" s="19" t="s">
        <v>382</v>
      </c>
      <c r="F1484" s="18">
        <v>1</v>
      </c>
      <c r="G1484" s="18">
        <v>66001001</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0</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t="s">
        <v>3116</v>
      </c>
      <c r="AU1484" s="18" t="s">
        <v>198</v>
      </c>
      <c r="AV1484" s="18"/>
      <c r="AW1484" s="19" t="s">
        <v>199</v>
      </c>
      <c r="AX1484" s="18" t="s">
        <v>2977</v>
      </c>
      <c r="AY1484" s="18">
        <v>0</v>
      </c>
      <c r="AZ1484" s="18">
        <v>66001001</v>
      </c>
      <c r="BA1484" s="19" t="s">
        <v>200</v>
      </c>
      <c r="BB1484" s="19" t="s">
        <v>198</v>
      </c>
      <c r="BC1484" s="27">
        <v>0</v>
      </c>
      <c r="BD1484" s="27">
        <v>0</v>
      </c>
      <c r="BE1484" s="87" t="s">
        <v>3117</v>
      </c>
      <c r="BF1484" s="87" t="s">
        <v>3118</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66001002</v>
      </c>
      <c r="D1485" s="19" t="s">
        <v>3119</v>
      </c>
      <c r="E1485" s="19" t="s">
        <v>3120</v>
      </c>
      <c r="F1485" s="16">
        <v>1</v>
      </c>
      <c r="G1485" s="18">
        <v>66001002</v>
      </c>
      <c r="H1485" s="18">
        <v>0</v>
      </c>
      <c r="I1485" s="27">
        <v>0</v>
      </c>
      <c r="J1485" s="18">
        <v>1</v>
      </c>
      <c r="K1485" s="18">
        <v>0</v>
      </c>
      <c r="L1485" s="16">
        <v>0</v>
      </c>
      <c r="M1485" s="18">
        <v>0</v>
      </c>
      <c r="N1485" s="18">
        <v>0</v>
      </c>
      <c r="O1485" s="18">
        <v>1</v>
      </c>
      <c r="P1485" s="18">
        <v>0</v>
      </c>
      <c r="Q1485" s="18">
        <v>0</v>
      </c>
      <c r="R1485" s="18">
        <v>0</v>
      </c>
      <c r="S1485" s="12">
        <v>0</v>
      </c>
      <c r="T1485" s="27">
        <v>0</v>
      </c>
      <c r="U1485" s="16">
        <v>1</v>
      </c>
      <c r="V1485" s="18">
        <v>2</v>
      </c>
      <c r="W1485" s="18">
        <v>0</v>
      </c>
      <c r="X1485" s="18">
        <v>0.75</v>
      </c>
      <c r="Y1485" s="12">
        <v>0</v>
      </c>
      <c r="Z1485" s="18">
        <v>0</v>
      </c>
      <c r="AA1485" s="18">
        <v>0</v>
      </c>
      <c r="AB1485" s="18">
        <v>0</v>
      </c>
      <c r="AC1485" s="18">
        <v>0</v>
      </c>
      <c r="AD1485" s="18">
        <v>0</v>
      </c>
      <c r="AE1485" s="18">
        <v>0</v>
      </c>
      <c r="AF1485" s="18">
        <v>24</v>
      </c>
      <c r="AG1485" s="18">
        <v>1</v>
      </c>
      <c r="AH1485" s="18">
        <v>4</v>
      </c>
      <c r="AI1485" s="12">
        <v>2</v>
      </c>
      <c r="AJ1485" s="12">
        <v>1</v>
      </c>
      <c r="AK1485" s="12">
        <v>0</v>
      </c>
      <c r="AL1485" s="12">
        <v>6</v>
      </c>
      <c r="AM1485" s="18">
        <v>0</v>
      </c>
      <c r="AN1485" s="18">
        <v>0</v>
      </c>
      <c r="AO1485" s="18">
        <v>0</v>
      </c>
      <c r="AP1485" s="18">
        <v>0.5</v>
      </c>
      <c r="AQ1485" s="18">
        <v>9000</v>
      </c>
      <c r="AR1485" s="18">
        <v>0.5</v>
      </c>
      <c r="AS1485" s="18">
        <v>0</v>
      </c>
      <c r="AT1485" s="12">
        <v>0</v>
      </c>
      <c r="AU1485" s="18" t="s">
        <v>198</v>
      </c>
      <c r="AV1485" s="18"/>
      <c r="AW1485" s="19" t="s">
        <v>1539</v>
      </c>
      <c r="AX1485" s="18" t="s">
        <v>1408</v>
      </c>
      <c r="AY1485" s="18">
        <v>10002001</v>
      </c>
      <c r="AZ1485" s="18">
        <v>66001002</v>
      </c>
      <c r="BA1485" s="19" t="s">
        <v>315</v>
      </c>
      <c r="BB1485" s="19" t="s">
        <v>371</v>
      </c>
      <c r="BC1485" s="27">
        <v>0</v>
      </c>
      <c r="BD1485" s="27">
        <v>0</v>
      </c>
      <c r="BE1485" s="87" t="s">
        <v>3121</v>
      </c>
      <c r="BF1485" s="87" t="s">
        <v>3122</v>
      </c>
      <c r="BG1485" s="18">
        <v>0</v>
      </c>
      <c r="BH1485" s="16">
        <v>0</v>
      </c>
      <c r="BI1485" s="18">
        <v>0</v>
      </c>
      <c r="BJ1485" s="18">
        <v>0</v>
      </c>
      <c r="BK1485" s="18">
        <v>0</v>
      </c>
      <c r="BL1485" s="18">
        <v>0</v>
      </c>
      <c r="BM1485" s="15">
        <v>0</v>
      </c>
      <c r="BN1485" s="12">
        <v>0</v>
      </c>
      <c r="BO1485" s="12">
        <v>0</v>
      </c>
      <c r="BP1485" s="12">
        <v>0</v>
      </c>
      <c r="BQ1485" s="12">
        <v>0</v>
      </c>
      <c r="BR1485" s="12">
        <v>0</v>
      </c>
      <c r="BS1485" s="12">
        <v>0</v>
      </c>
      <c r="BT1485" s="12">
        <v>0</v>
      </c>
      <c r="BU1485" s="47">
        <v>0</v>
      </c>
      <c r="BV1485" s="47"/>
      <c r="BW1485" s="47"/>
    </row>
    <row r="1486" spans="3:75" ht="20.100000000000001" customHeight="1">
      <c r="C1486" s="18">
        <v>66001003</v>
      </c>
      <c r="D1486" s="19" t="s">
        <v>3123</v>
      </c>
      <c r="E1486" s="19" t="s">
        <v>3124</v>
      </c>
      <c r="F1486" s="18">
        <v>1</v>
      </c>
      <c r="G1486" s="18">
        <v>66001003</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0</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96001003</v>
      </c>
      <c r="AU1486" s="18" t="s">
        <v>198</v>
      </c>
      <c r="AV1486" s="18"/>
      <c r="AW1486" s="19" t="s">
        <v>199</v>
      </c>
      <c r="AX1486" s="18" t="s">
        <v>2977</v>
      </c>
      <c r="AY1486" s="18">
        <v>0</v>
      </c>
      <c r="AZ1486" s="18">
        <v>66001003</v>
      </c>
      <c r="BA1486" s="19" t="s">
        <v>200</v>
      </c>
      <c r="BB1486" s="19" t="s">
        <v>198</v>
      </c>
      <c r="BC1486" s="27">
        <v>0</v>
      </c>
      <c r="BD1486" s="27">
        <v>0</v>
      </c>
      <c r="BE1486" s="87" t="s">
        <v>3125</v>
      </c>
      <c r="BF1486" s="87" t="s">
        <v>3126</v>
      </c>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66001004</v>
      </c>
      <c r="D1487" s="19" t="s">
        <v>3127</v>
      </c>
      <c r="E1487" s="19" t="s">
        <v>3128</v>
      </c>
      <c r="F1487" s="18">
        <v>1</v>
      </c>
      <c r="G1487" s="18">
        <v>66001004</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96001004</v>
      </c>
      <c r="AU1487" s="18" t="s">
        <v>198</v>
      </c>
      <c r="AV1487" s="18"/>
      <c r="AW1487" s="19" t="s">
        <v>199</v>
      </c>
      <c r="AX1487" s="18" t="s">
        <v>2977</v>
      </c>
      <c r="AY1487" s="18">
        <v>0</v>
      </c>
      <c r="AZ1487" s="18">
        <v>66001004</v>
      </c>
      <c r="BA1487" s="19" t="s">
        <v>200</v>
      </c>
      <c r="BB1487" s="19" t="s">
        <v>198</v>
      </c>
      <c r="BC1487" s="27">
        <v>0</v>
      </c>
      <c r="BD1487" s="27">
        <v>0</v>
      </c>
      <c r="BE1487" s="87" t="s">
        <v>3129</v>
      </c>
      <c r="BF1487" s="87" t="s">
        <v>3130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2">
        <v>66001005</v>
      </c>
      <c r="D1488" s="13" t="s">
        <v>3131</v>
      </c>
      <c r="E1488" s="13" t="s">
        <v>3132</v>
      </c>
      <c r="F1488" s="12">
        <v>1</v>
      </c>
      <c r="G1488" s="12">
        <v>66001005</v>
      </c>
      <c r="H1488" s="12">
        <v>0</v>
      </c>
      <c r="I1488" s="12">
        <v>0</v>
      </c>
      <c r="J1488" s="18">
        <v>1</v>
      </c>
      <c r="K1488" s="18">
        <v>0</v>
      </c>
      <c r="L1488" s="12">
        <v>0</v>
      </c>
      <c r="M1488" s="12">
        <v>0</v>
      </c>
      <c r="N1488" s="12">
        <v>0</v>
      </c>
      <c r="O1488" s="12">
        <v>1</v>
      </c>
      <c r="P1488" s="12">
        <v>0</v>
      </c>
      <c r="Q1488" s="12">
        <v>0</v>
      </c>
      <c r="R1488" s="12">
        <v>0</v>
      </c>
      <c r="S1488" s="12">
        <v>0</v>
      </c>
      <c r="T1488" s="12">
        <v>0</v>
      </c>
      <c r="U1488" s="16">
        <v>1</v>
      </c>
      <c r="V1488" s="12">
        <v>2</v>
      </c>
      <c r="W1488" s="12">
        <v>0</v>
      </c>
      <c r="X1488" s="12">
        <v>0</v>
      </c>
      <c r="Y1488" s="12">
        <v>0</v>
      </c>
      <c r="Z1488" s="12">
        <v>0</v>
      </c>
      <c r="AA1488" s="12">
        <v>1</v>
      </c>
      <c r="AB1488" s="12">
        <v>0</v>
      </c>
      <c r="AC1488" s="12">
        <v>0</v>
      </c>
      <c r="AD1488" s="18">
        <v>0</v>
      </c>
      <c r="AE1488" s="12">
        <v>0</v>
      </c>
      <c r="AF1488" s="12">
        <v>18</v>
      </c>
      <c r="AG1488" s="12">
        <v>1</v>
      </c>
      <c r="AH1488" s="12">
        <v>3</v>
      </c>
      <c r="AI1488" s="12">
        <v>2</v>
      </c>
      <c r="AJ1488" s="12">
        <v>0</v>
      </c>
      <c r="AK1488" s="12">
        <v>1</v>
      </c>
      <c r="AL1488" s="12">
        <v>1.6</v>
      </c>
      <c r="AM1488" s="12">
        <v>0</v>
      </c>
      <c r="AN1488" s="12">
        <v>0</v>
      </c>
      <c r="AO1488" s="12">
        <v>0</v>
      </c>
      <c r="AP1488" s="12">
        <v>0.25</v>
      </c>
      <c r="AQ1488" s="12">
        <v>3000</v>
      </c>
      <c r="AR1488" s="12">
        <v>0.1</v>
      </c>
      <c r="AS1488" s="12">
        <v>0</v>
      </c>
      <c r="AT1488" s="12">
        <v>0</v>
      </c>
      <c r="AU1488" s="12">
        <v>96001005</v>
      </c>
      <c r="AV1488" s="12"/>
      <c r="AW1488" s="13" t="s">
        <v>256</v>
      </c>
      <c r="AX1488" s="18" t="s">
        <v>2977</v>
      </c>
      <c r="AY1488" s="12" t="s">
        <v>198</v>
      </c>
      <c r="AZ1488" s="12">
        <v>66001005</v>
      </c>
      <c r="BA1488" s="13" t="s">
        <v>200</v>
      </c>
      <c r="BB1488" s="12">
        <v>0</v>
      </c>
      <c r="BC1488" s="12">
        <v>0</v>
      </c>
      <c r="BD1488" s="12">
        <v>0</v>
      </c>
      <c r="BE1488" s="42" t="s">
        <v>3133</v>
      </c>
      <c r="BF1488" s="42" t="s">
        <v>3134</v>
      </c>
      <c r="BG1488" s="12">
        <v>0</v>
      </c>
      <c r="BH1488" s="16">
        <v>0</v>
      </c>
      <c r="BI1488" s="12">
        <v>0</v>
      </c>
      <c r="BJ1488" s="12">
        <v>0</v>
      </c>
      <c r="BK1488" s="12">
        <v>0</v>
      </c>
      <c r="BL1488" s="12">
        <v>0</v>
      </c>
      <c r="BM1488" s="15">
        <v>0</v>
      </c>
      <c r="BN1488" s="12">
        <v>1</v>
      </c>
      <c r="BO1488" s="12">
        <v>0</v>
      </c>
      <c r="BP1488" s="12">
        <v>0</v>
      </c>
      <c r="BQ1488" s="12">
        <v>0</v>
      </c>
      <c r="BR1488" s="12">
        <v>0</v>
      </c>
      <c r="BS1488" s="12">
        <v>0</v>
      </c>
      <c r="BT1488" s="12">
        <v>0</v>
      </c>
      <c r="BU1488" s="47">
        <v>0</v>
      </c>
      <c r="BV1488" s="47"/>
      <c r="BW1488" s="47"/>
    </row>
    <row r="1489" spans="3:75" ht="20.100000000000001" customHeight="1">
      <c r="C1489" s="18">
        <v>66001006</v>
      </c>
      <c r="D1489" s="19" t="s">
        <v>3135</v>
      </c>
      <c r="E1489" s="19" t="s">
        <v>3136</v>
      </c>
      <c r="F1489" s="18">
        <v>1</v>
      </c>
      <c r="G1489" s="18">
        <v>66001006</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96001006</v>
      </c>
      <c r="AU1489" s="18" t="s">
        <v>198</v>
      </c>
      <c r="AV1489" s="18"/>
      <c r="AW1489" s="19" t="s">
        <v>199</v>
      </c>
      <c r="AX1489" s="18" t="s">
        <v>2977</v>
      </c>
      <c r="AY1489" s="18">
        <v>0</v>
      </c>
      <c r="AZ1489" s="18">
        <v>66001006</v>
      </c>
      <c r="BA1489" s="19" t="s">
        <v>200</v>
      </c>
      <c r="BB1489" s="19" t="s">
        <v>198</v>
      </c>
      <c r="BC1489" s="27">
        <v>0</v>
      </c>
      <c r="BD1489" s="27">
        <v>0</v>
      </c>
      <c r="BE1489" s="87" t="s">
        <v>3137</v>
      </c>
      <c r="BF1489" s="87" t="s">
        <v>3138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66001007</v>
      </c>
      <c r="D1490" s="13" t="s">
        <v>3139</v>
      </c>
      <c r="E1490" s="13" t="s">
        <v>3140</v>
      </c>
      <c r="F1490" s="18">
        <v>1</v>
      </c>
      <c r="G1490" s="18">
        <v>66001007</v>
      </c>
      <c r="H1490" s="12">
        <v>0</v>
      </c>
      <c r="I1490" s="12">
        <v>0</v>
      </c>
      <c r="J1490" s="18">
        <v>1</v>
      </c>
      <c r="K1490" s="18">
        <v>0</v>
      </c>
      <c r="L1490" s="12">
        <v>0</v>
      </c>
      <c r="M1490" s="12">
        <v>0</v>
      </c>
      <c r="N1490" s="12">
        <v>0</v>
      </c>
      <c r="O1490" s="12">
        <v>1</v>
      </c>
      <c r="P1490" s="12">
        <v>0</v>
      </c>
      <c r="Q1490" s="12">
        <v>0</v>
      </c>
      <c r="R1490" s="12">
        <v>0</v>
      </c>
      <c r="S1490" s="12">
        <v>0</v>
      </c>
      <c r="T1490" s="12">
        <v>0</v>
      </c>
      <c r="U1490" s="16">
        <v>1</v>
      </c>
      <c r="V1490" s="12">
        <v>2</v>
      </c>
      <c r="W1490" s="12">
        <v>0</v>
      </c>
      <c r="X1490" s="12">
        <v>2.75</v>
      </c>
      <c r="Y1490" s="12">
        <v>0</v>
      </c>
      <c r="Z1490" s="12">
        <v>0</v>
      </c>
      <c r="AA1490" s="12">
        <v>0</v>
      </c>
      <c r="AB1490" s="12">
        <v>0</v>
      </c>
      <c r="AC1490" s="12">
        <v>0</v>
      </c>
      <c r="AD1490" s="18">
        <v>0</v>
      </c>
      <c r="AE1490" s="12">
        <v>0</v>
      </c>
      <c r="AF1490" s="12">
        <v>15</v>
      </c>
      <c r="AG1490" s="12">
        <v>0</v>
      </c>
      <c r="AH1490" s="12">
        <v>0</v>
      </c>
      <c r="AI1490" s="12">
        <v>7</v>
      </c>
      <c r="AJ1490" s="12">
        <v>0</v>
      </c>
      <c r="AK1490" s="12">
        <v>0</v>
      </c>
      <c r="AL1490" s="12">
        <v>6</v>
      </c>
      <c r="AM1490" s="12">
        <v>0</v>
      </c>
      <c r="AN1490" s="12">
        <v>0</v>
      </c>
      <c r="AO1490" s="12">
        <v>0</v>
      </c>
      <c r="AP1490" s="12">
        <v>0.25</v>
      </c>
      <c r="AQ1490" s="12">
        <v>1000</v>
      </c>
      <c r="AR1490" s="12">
        <v>0</v>
      </c>
      <c r="AS1490" s="12">
        <v>0</v>
      </c>
      <c r="AT1490" s="12">
        <v>0</v>
      </c>
      <c r="AU1490" s="12" t="s">
        <v>198</v>
      </c>
      <c r="AV1490" s="12"/>
      <c r="AW1490" s="13" t="s">
        <v>256</v>
      </c>
      <c r="AX1490" s="12" t="s">
        <v>1677</v>
      </c>
      <c r="AY1490" s="12" t="s">
        <v>198</v>
      </c>
      <c r="AZ1490" s="12" t="s">
        <v>1911</v>
      </c>
      <c r="BA1490" s="13" t="s">
        <v>200</v>
      </c>
      <c r="BB1490" s="12">
        <v>0</v>
      </c>
      <c r="BC1490" s="27">
        <v>0</v>
      </c>
      <c r="BD1490" s="27">
        <v>0</v>
      </c>
      <c r="BE1490" s="42" t="s">
        <v>3141</v>
      </c>
      <c r="BF1490" s="42" t="s">
        <v>3142</v>
      </c>
      <c r="BG1490" s="12">
        <v>0</v>
      </c>
      <c r="BH1490" s="16">
        <v>0</v>
      </c>
      <c r="BI1490" s="12">
        <v>0</v>
      </c>
      <c r="BJ1490" s="12">
        <v>0</v>
      </c>
      <c r="BK1490" s="12">
        <v>0</v>
      </c>
      <c r="BL1490" s="12">
        <v>0</v>
      </c>
      <c r="BM1490" s="15">
        <v>0</v>
      </c>
      <c r="BN1490" s="12">
        <v>0</v>
      </c>
      <c r="BO1490" s="12">
        <v>0</v>
      </c>
      <c r="BP1490" s="12">
        <v>0</v>
      </c>
      <c r="BQ1490" s="12">
        <v>0</v>
      </c>
      <c r="BR1490" s="12">
        <v>0</v>
      </c>
      <c r="BS1490" s="12">
        <v>0</v>
      </c>
      <c r="BT1490" s="12">
        <v>0</v>
      </c>
      <c r="BU1490" s="47">
        <v>0</v>
      </c>
      <c r="BV1490" s="47"/>
      <c r="BW1490" s="47"/>
    </row>
    <row r="1491" spans="3:75" ht="19.5" customHeight="1">
      <c r="C1491" s="18">
        <v>66001008</v>
      </c>
      <c r="D1491" s="19" t="s">
        <v>3143</v>
      </c>
      <c r="E1491" s="19" t="s">
        <v>3144</v>
      </c>
      <c r="F1491" s="16">
        <v>1</v>
      </c>
      <c r="G1491" s="18">
        <v>66001008</v>
      </c>
      <c r="H1491" s="18">
        <v>0</v>
      </c>
      <c r="I1491" s="27">
        <v>0</v>
      </c>
      <c r="J1491" s="18">
        <v>1</v>
      </c>
      <c r="K1491" s="18">
        <v>0</v>
      </c>
      <c r="L1491" s="16">
        <v>0</v>
      </c>
      <c r="M1491" s="18">
        <v>0</v>
      </c>
      <c r="N1491" s="18">
        <v>0</v>
      </c>
      <c r="O1491" s="18">
        <v>1</v>
      </c>
      <c r="P1491" s="18">
        <v>0</v>
      </c>
      <c r="Q1491" s="18">
        <v>0</v>
      </c>
      <c r="R1491" s="18">
        <v>0</v>
      </c>
      <c r="S1491" s="12">
        <v>0</v>
      </c>
      <c r="T1491" s="27">
        <v>0</v>
      </c>
      <c r="U1491" s="16">
        <v>1</v>
      </c>
      <c r="V1491" s="18">
        <v>2</v>
      </c>
      <c r="W1491" s="18">
        <v>0</v>
      </c>
      <c r="X1491" s="18">
        <v>2.5</v>
      </c>
      <c r="Y1491" s="12">
        <v>0</v>
      </c>
      <c r="Z1491" s="18">
        <v>0</v>
      </c>
      <c r="AA1491" s="18">
        <v>0</v>
      </c>
      <c r="AB1491" s="18">
        <v>0</v>
      </c>
      <c r="AC1491" s="18">
        <v>0</v>
      </c>
      <c r="AD1491" s="18">
        <v>0</v>
      </c>
      <c r="AE1491" s="18">
        <v>0</v>
      </c>
      <c r="AF1491" s="18">
        <v>15</v>
      </c>
      <c r="AG1491" s="18">
        <v>1</v>
      </c>
      <c r="AH1491" s="18">
        <v>3</v>
      </c>
      <c r="AI1491" s="12">
        <v>2</v>
      </c>
      <c r="AJ1491" s="12">
        <v>1</v>
      </c>
      <c r="AK1491" s="12">
        <v>0</v>
      </c>
      <c r="AL1491" s="12">
        <v>6</v>
      </c>
      <c r="AM1491" s="18">
        <v>0</v>
      </c>
      <c r="AN1491" s="18">
        <v>0</v>
      </c>
      <c r="AO1491" s="18">
        <v>0</v>
      </c>
      <c r="AP1491" s="18">
        <v>0.75</v>
      </c>
      <c r="AQ1491" s="18">
        <v>3000</v>
      </c>
      <c r="AR1491" s="18">
        <v>0.75</v>
      </c>
      <c r="AS1491" s="18">
        <v>0</v>
      </c>
      <c r="AT1491" s="12">
        <v>0</v>
      </c>
      <c r="AU1491" s="18" t="s">
        <v>198</v>
      </c>
      <c r="AV1491" s="18"/>
      <c r="AW1491" s="19" t="s">
        <v>1529</v>
      </c>
      <c r="AX1491" s="18" t="s">
        <v>1530</v>
      </c>
      <c r="AY1491" s="18">
        <v>10000006</v>
      </c>
      <c r="AZ1491" s="18">
        <v>66001008</v>
      </c>
      <c r="BA1491" s="19" t="s">
        <v>200</v>
      </c>
      <c r="BB1491" s="19">
        <v>0</v>
      </c>
      <c r="BC1491" s="27">
        <v>0</v>
      </c>
      <c r="BD1491" s="27">
        <v>0</v>
      </c>
      <c r="BE1491" s="87" t="s">
        <v>3145</v>
      </c>
      <c r="BF1491" s="87" t="s">
        <v>3146</v>
      </c>
      <c r="BG1491" s="18">
        <v>0</v>
      </c>
      <c r="BH1491" s="16">
        <v>0</v>
      </c>
      <c r="BI1491" s="18">
        <v>0</v>
      </c>
      <c r="BJ1491" s="18">
        <v>0</v>
      </c>
      <c r="BK1491" s="18">
        <v>0</v>
      </c>
      <c r="BL1491" s="18">
        <v>0</v>
      </c>
      <c r="BM1491" s="15">
        <v>0</v>
      </c>
      <c r="BN1491" s="12">
        <v>0</v>
      </c>
      <c r="BO1491" s="12">
        <v>0</v>
      </c>
      <c r="BP1491" s="12">
        <v>0</v>
      </c>
      <c r="BQ1491" s="12">
        <v>0</v>
      </c>
      <c r="BR1491" s="12">
        <v>0</v>
      </c>
      <c r="BS1491" s="12">
        <v>0</v>
      </c>
      <c r="BT1491" s="12">
        <v>0</v>
      </c>
      <c r="BU1491" s="47">
        <v>0</v>
      </c>
      <c r="BV1491" s="47"/>
      <c r="BW1491" s="47"/>
    </row>
    <row r="1492" spans="3:75" ht="19.5" customHeight="1">
      <c r="C1492" s="18">
        <v>66001009</v>
      </c>
      <c r="D1492" s="19" t="s">
        <v>3147</v>
      </c>
      <c r="E1492" s="19" t="s">
        <v>3148</v>
      </c>
      <c r="F1492" s="16">
        <v>1</v>
      </c>
      <c r="G1492" s="18">
        <v>66001009</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2</v>
      </c>
      <c r="Y1492" s="12">
        <v>0</v>
      </c>
      <c r="Z1492" s="18">
        <v>0</v>
      </c>
      <c r="AA1492" s="18">
        <v>0</v>
      </c>
      <c r="AB1492" s="18">
        <v>0</v>
      </c>
      <c r="AC1492" s="18">
        <v>0</v>
      </c>
      <c r="AD1492" s="18">
        <v>0</v>
      </c>
      <c r="AE1492" s="18">
        <v>0</v>
      </c>
      <c r="AF1492" s="18">
        <v>15</v>
      </c>
      <c r="AG1492" s="18">
        <v>1</v>
      </c>
      <c r="AH1492" s="18">
        <v>3</v>
      </c>
      <c r="AI1492" s="12">
        <v>2</v>
      </c>
      <c r="AJ1492" s="12">
        <v>1</v>
      </c>
      <c r="AK1492" s="12">
        <v>0</v>
      </c>
      <c r="AL1492" s="12">
        <v>6</v>
      </c>
      <c r="AM1492" s="18">
        <v>0</v>
      </c>
      <c r="AN1492" s="18">
        <v>0</v>
      </c>
      <c r="AO1492" s="18">
        <v>0</v>
      </c>
      <c r="AP1492" s="18">
        <v>0.75</v>
      </c>
      <c r="AQ1492" s="18">
        <v>3000</v>
      </c>
      <c r="AR1492" s="18">
        <v>0.75</v>
      </c>
      <c r="AS1492" s="18">
        <v>0</v>
      </c>
      <c r="AT1492" s="12">
        <v>0</v>
      </c>
      <c r="AU1492" s="18">
        <v>96001009</v>
      </c>
      <c r="AV1492" s="18"/>
      <c r="AW1492" s="19" t="s">
        <v>1529</v>
      </c>
      <c r="AX1492" s="18" t="s">
        <v>1530</v>
      </c>
      <c r="AY1492" s="18">
        <v>10000006</v>
      </c>
      <c r="AZ1492" s="18">
        <v>66001009</v>
      </c>
      <c r="BA1492" s="19" t="s">
        <v>200</v>
      </c>
      <c r="BB1492" s="19">
        <v>0</v>
      </c>
      <c r="BC1492" s="27">
        <v>0</v>
      </c>
      <c r="BD1492" s="27">
        <v>0</v>
      </c>
      <c r="BE1492" s="87" t="s">
        <v>3149</v>
      </c>
      <c r="BF1492" s="87" t="s">
        <v>3150</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66001010</v>
      </c>
      <c r="D1493" s="19" t="s">
        <v>907</v>
      </c>
      <c r="E1493" s="19" t="s">
        <v>382</v>
      </c>
      <c r="F1493" s="18">
        <v>1</v>
      </c>
      <c r="G1493" s="18">
        <v>66001010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96001010</v>
      </c>
      <c r="AU1493" s="18" t="s">
        <v>198</v>
      </c>
      <c r="AV1493" s="18"/>
      <c r="AW1493" s="19" t="s">
        <v>199</v>
      </c>
      <c r="AX1493" s="18" t="s">
        <v>2977</v>
      </c>
      <c r="AY1493" s="18">
        <v>0</v>
      </c>
      <c r="AZ1493" s="18">
        <v>66001010</v>
      </c>
      <c r="BA1493" s="19" t="s">
        <v>200</v>
      </c>
      <c r="BB1493" s="19" t="s">
        <v>198</v>
      </c>
      <c r="BC1493" s="27">
        <v>0</v>
      </c>
      <c r="BD1493" s="27">
        <v>0</v>
      </c>
      <c r="BE1493" s="87" t="s">
        <v>3151</v>
      </c>
      <c r="BF1493" s="87" t="s">
        <v>3152</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66001011</v>
      </c>
      <c r="D1494" s="17" t="s">
        <v>3153</v>
      </c>
      <c r="E1494" s="17" t="s">
        <v>3154</v>
      </c>
      <c r="F1494" s="16">
        <v>1</v>
      </c>
      <c r="G1494" s="18">
        <v>66001011</v>
      </c>
      <c r="H1494" s="16">
        <v>0</v>
      </c>
      <c r="I1494" s="27">
        <v>0</v>
      </c>
      <c r="J1494" s="18">
        <v>1</v>
      </c>
      <c r="K1494" s="18">
        <v>0</v>
      </c>
      <c r="L1494" s="16">
        <v>0</v>
      </c>
      <c r="M1494" s="16">
        <v>0</v>
      </c>
      <c r="N1494" s="16">
        <v>0</v>
      </c>
      <c r="O1494" s="16">
        <v>1</v>
      </c>
      <c r="P1494" s="16">
        <v>0</v>
      </c>
      <c r="Q1494" s="16">
        <v>0</v>
      </c>
      <c r="R1494" s="16">
        <v>0</v>
      </c>
      <c r="S1494" s="12">
        <v>0</v>
      </c>
      <c r="T1494" s="16">
        <v>0</v>
      </c>
      <c r="U1494" s="16">
        <v>1</v>
      </c>
      <c r="V1494" s="16">
        <v>2</v>
      </c>
      <c r="W1494" s="16">
        <v>0</v>
      </c>
      <c r="X1494" s="16">
        <v>3</v>
      </c>
      <c r="Y1494" s="12">
        <v>0</v>
      </c>
      <c r="Z1494" s="16">
        <v>0</v>
      </c>
      <c r="AA1494" s="16">
        <v>0</v>
      </c>
      <c r="AB1494" s="16">
        <v>0</v>
      </c>
      <c r="AC1494" s="16">
        <v>0</v>
      </c>
      <c r="AD1494" s="18">
        <v>0</v>
      </c>
      <c r="AE1494" s="16">
        <v>0</v>
      </c>
      <c r="AF1494" s="16">
        <v>18</v>
      </c>
      <c r="AG1494" s="16">
        <v>2</v>
      </c>
      <c r="AH1494" s="16" t="s">
        <v>1479</v>
      </c>
      <c r="AI1494" s="12">
        <v>2</v>
      </c>
      <c r="AJ1494" s="12">
        <v>2</v>
      </c>
      <c r="AK1494" s="12">
        <v>0</v>
      </c>
      <c r="AL1494" s="12">
        <v>1.5</v>
      </c>
      <c r="AM1494" s="16">
        <v>0</v>
      </c>
      <c r="AN1494" s="16">
        <v>0</v>
      </c>
      <c r="AO1494" s="16">
        <v>0</v>
      </c>
      <c r="AP1494" s="16">
        <v>0.25</v>
      </c>
      <c r="AQ1494" s="16">
        <v>3000</v>
      </c>
      <c r="AR1494" s="16">
        <v>0.25</v>
      </c>
      <c r="AS1494" s="16">
        <v>0</v>
      </c>
      <c r="AT1494" s="12">
        <v>0</v>
      </c>
      <c r="AU1494" s="16" t="s">
        <v>198</v>
      </c>
      <c r="AV1494" s="16"/>
      <c r="AW1494" s="17" t="s">
        <v>287</v>
      </c>
      <c r="AX1494" s="16" t="s">
        <v>1480</v>
      </c>
      <c r="AY1494" s="18">
        <v>10001007</v>
      </c>
      <c r="AZ1494" s="18">
        <v>66001011</v>
      </c>
      <c r="BA1494" s="17" t="s">
        <v>200</v>
      </c>
      <c r="BB1494" s="16">
        <v>0</v>
      </c>
      <c r="BC1494" s="27">
        <v>0</v>
      </c>
      <c r="BD1494" s="27">
        <v>0</v>
      </c>
      <c r="BE1494" s="44" t="s">
        <v>3155</v>
      </c>
      <c r="BF1494" s="44" t="s">
        <v>3156</v>
      </c>
      <c r="BG1494" s="16">
        <v>0</v>
      </c>
      <c r="BH1494" s="16">
        <v>0</v>
      </c>
      <c r="BI1494" s="16">
        <v>0</v>
      </c>
      <c r="BJ1494" s="16">
        <v>0</v>
      </c>
      <c r="BK1494" s="16">
        <v>0</v>
      </c>
      <c r="BL1494" s="16">
        <v>0</v>
      </c>
      <c r="BM1494" s="15">
        <v>0</v>
      </c>
      <c r="BN1494" s="12">
        <v>0</v>
      </c>
      <c r="BO1494" s="12">
        <v>0</v>
      </c>
      <c r="BP1494" s="12">
        <v>0</v>
      </c>
      <c r="BQ1494" s="12">
        <v>0</v>
      </c>
      <c r="BR1494" s="12">
        <v>0</v>
      </c>
      <c r="BS1494" s="12">
        <v>0</v>
      </c>
      <c r="BT1494" s="12">
        <v>0</v>
      </c>
      <c r="BU1494" s="47">
        <v>0</v>
      </c>
      <c r="BV1494" s="47"/>
      <c r="BW1494" s="47"/>
    </row>
    <row r="1495" spans="3:75" ht="19.5" customHeight="1">
      <c r="C1495" s="64">
        <v>66001012</v>
      </c>
      <c r="D1495" s="63" t="s">
        <v>951</v>
      </c>
      <c r="E1495" s="63" t="s">
        <v>952</v>
      </c>
      <c r="F1495" s="60">
        <v>1</v>
      </c>
      <c r="G1495" s="64">
        <v>66001012</v>
      </c>
      <c r="H1495" s="64">
        <v>0</v>
      </c>
      <c r="I1495" s="66">
        <v>0</v>
      </c>
      <c r="J1495" s="64">
        <v>1</v>
      </c>
      <c r="K1495" s="64">
        <v>0</v>
      </c>
      <c r="L1495" s="60">
        <v>0</v>
      </c>
      <c r="M1495" s="64">
        <v>0</v>
      </c>
      <c r="N1495" s="64">
        <v>0</v>
      </c>
      <c r="O1495" s="64">
        <v>1</v>
      </c>
      <c r="P1495" s="64">
        <v>0</v>
      </c>
      <c r="Q1495" s="64">
        <v>0</v>
      </c>
      <c r="R1495" s="64">
        <v>0</v>
      </c>
      <c r="S1495" s="68">
        <v>0</v>
      </c>
      <c r="T1495" s="66">
        <v>0</v>
      </c>
      <c r="U1495" s="60">
        <v>1</v>
      </c>
      <c r="V1495" s="64">
        <v>2</v>
      </c>
      <c r="W1495" s="64">
        <v>0</v>
      </c>
      <c r="X1495" s="64">
        <v>2.75</v>
      </c>
      <c r="Y1495" s="12">
        <v>0</v>
      </c>
      <c r="Z1495" s="64">
        <v>0</v>
      </c>
      <c r="AA1495" s="64">
        <v>0</v>
      </c>
      <c r="AB1495" s="64">
        <v>0</v>
      </c>
      <c r="AC1495" s="64">
        <v>0</v>
      </c>
      <c r="AD1495" s="64">
        <v>0</v>
      </c>
      <c r="AE1495" s="64">
        <v>0</v>
      </c>
      <c r="AF1495" s="64">
        <v>15</v>
      </c>
      <c r="AG1495" s="64">
        <v>1</v>
      </c>
      <c r="AH1495" s="64">
        <v>3</v>
      </c>
      <c r="AI1495" s="68">
        <v>2</v>
      </c>
      <c r="AJ1495" s="68">
        <v>1</v>
      </c>
      <c r="AK1495" s="12">
        <v>0</v>
      </c>
      <c r="AL1495" s="68">
        <v>6</v>
      </c>
      <c r="AM1495" s="64">
        <v>0</v>
      </c>
      <c r="AN1495" s="64">
        <v>0</v>
      </c>
      <c r="AO1495" s="64">
        <v>0</v>
      </c>
      <c r="AP1495" s="64">
        <v>0.75</v>
      </c>
      <c r="AQ1495" s="64">
        <v>3000</v>
      </c>
      <c r="AR1495" s="64">
        <v>1.5</v>
      </c>
      <c r="AS1495" s="64">
        <v>0</v>
      </c>
      <c r="AT1495" s="68">
        <v>0</v>
      </c>
      <c r="AU1495" s="64" t="s">
        <v>198</v>
      </c>
      <c r="AV1495" s="64"/>
      <c r="AW1495" s="63" t="s">
        <v>1529</v>
      </c>
      <c r="AX1495" s="64" t="s">
        <v>1530</v>
      </c>
      <c r="AY1495" s="64">
        <v>10000006</v>
      </c>
      <c r="AZ1495" s="64">
        <v>70405004</v>
      </c>
      <c r="BA1495" s="63" t="s">
        <v>200</v>
      </c>
      <c r="BB1495" s="63">
        <v>0</v>
      </c>
      <c r="BC1495" s="66">
        <v>0</v>
      </c>
      <c r="BD1495" s="66">
        <v>0</v>
      </c>
      <c r="BE1495" s="92" t="s">
        <v>3157</v>
      </c>
      <c r="BF1495" s="92" t="s">
        <v>3158</v>
      </c>
      <c r="BG1495" s="64">
        <v>0</v>
      </c>
      <c r="BH1495" s="60">
        <v>0</v>
      </c>
      <c r="BI1495" s="64">
        <v>0</v>
      </c>
      <c r="BJ1495" s="64">
        <v>0</v>
      </c>
      <c r="BK1495" s="64">
        <v>0</v>
      </c>
      <c r="BL1495" s="64">
        <v>0</v>
      </c>
      <c r="BM1495" s="93">
        <v>0</v>
      </c>
      <c r="BN1495" s="12">
        <v>0</v>
      </c>
      <c r="BO1495" s="12">
        <v>0</v>
      </c>
      <c r="BP1495" s="12">
        <v>0</v>
      </c>
      <c r="BQ1495" s="12">
        <v>0</v>
      </c>
      <c r="BR1495" s="12">
        <v>0</v>
      </c>
      <c r="BS1495" s="12">
        <v>0</v>
      </c>
      <c r="BT1495" s="12">
        <v>0</v>
      </c>
      <c r="BU1495" s="47">
        <v>0</v>
      </c>
      <c r="BV1495" s="47"/>
      <c r="BW1495" s="47"/>
    </row>
    <row r="1496" spans="3:75" ht="20.100000000000001" customHeight="1">
      <c r="C1496" s="64">
        <v>66001013</v>
      </c>
      <c r="D1496" s="63" t="s">
        <v>3159</v>
      </c>
      <c r="E1496" s="63" t="s">
        <v>1064</v>
      </c>
      <c r="F1496" s="60">
        <v>1</v>
      </c>
      <c r="G1496" s="64">
        <v>66001013</v>
      </c>
      <c r="H1496" s="64">
        <v>0</v>
      </c>
      <c r="I1496" s="66">
        <v>0</v>
      </c>
      <c r="J1496" s="64">
        <v>1</v>
      </c>
      <c r="K1496" s="64">
        <v>0</v>
      </c>
      <c r="L1496" s="60">
        <v>0</v>
      </c>
      <c r="M1496" s="64">
        <v>0</v>
      </c>
      <c r="N1496" s="64">
        <v>0</v>
      </c>
      <c r="O1496" s="64">
        <v>1</v>
      </c>
      <c r="P1496" s="64">
        <v>1</v>
      </c>
      <c r="Q1496" s="64">
        <v>0</v>
      </c>
      <c r="R1496" s="64">
        <v>0</v>
      </c>
      <c r="S1496" s="68">
        <v>0</v>
      </c>
      <c r="T1496" s="66">
        <v>0</v>
      </c>
      <c r="U1496" s="60">
        <v>1</v>
      </c>
      <c r="V1496" s="64">
        <v>2</v>
      </c>
      <c r="W1496" s="64">
        <v>0</v>
      </c>
      <c r="X1496" s="64">
        <v>0.5</v>
      </c>
      <c r="Y1496" s="12">
        <v>0</v>
      </c>
      <c r="Z1496" s="64">
        <v>0</v>
      </c>
      <c r="AA1496" s="64">
        <v>0</v>
      </c>
      <c r="AB1496" s="64">
        <v>0</v>
      </c>
      <c r="AC1496" s="64">
        <v>0</v>
      </c>
      <c r="AD1496" s="64">
        <v>0</v>
      </c>
      <c r="AE1496" s="64">
        <v>0</v>
      </c>
      <c r="AF1496" s="64">
        <v>9</v>
      </c>
      <c r="AG1496" s="64">
        <v>1</v>
      </c>
      <c r="AH1496" s="64">
        <v>4</v>
      </c>
      <c r="AI1496" s="68">
        <v>9</v>
      </c>
      <c r="AJ1496" s="68">
        <v>0</v>
      </c>
      <c r="AK1496" s="12">
        <v>0</v>
      </c>
      <c r="AL1496" s="68">
        <v>6</v>
      </c>
      <c r="AM1496" s="64">
        <v>0</v>
      </c>
      <c r="AN1496" s="64">
        <v>0</v>
      </c>
      <c r="AO1496" s="64">
        <v>0</v>
      </c>
      <c r="AP1496" s="64">
        <v>0.5</v>
      </c>
      <c r="AQ1496" s="64">
        <v>30000</v>
      </c>
      <c r="AR1496" s="64">
        <v>0.5</v>
      </c>
      <c r="AS1496" s="64">
        <v>0</v>
      </c>
      <c r="AT1496" s="68">
        <v>0</v>
      </c>
      <c r="AU1496" s="64">
        <v>96001013</v>
      </c>
      <c r="AV1496" s="64"/>
      <c r="AW1496" s="63" t="s">
        <v>199</v>
      </c>
      <c r="AX1496" s="64" t="s">
        <v>1408</v>
      </c>
      <c r="AY1496" s="64">
        <v>10000009</v>
      </c>
      <c r="AZ1496" s="64">
        <v>70405005</v>
      </c>
      <c r="BA1496" s="63" t="s">
        <v>315</v>
      </c>
      <c r="BB1496" s="63" t="s">
        <v>371</v>
      </c>
      <c r="BC1496" s="66">
        <v>0</v>
      </c>
      <c r="BD1496" s="66">
        <v>0</v>
      </c>
      <c r="BE1496" s="207" t="s">
        <v>3160</v>
      </c>
      <c r="BF1496" s="207" t="s">
        <v>3161</v>
      </c>
      <c r="BG1496" s="64">
        <v>0</v>
      </c>
      <c r="BH1496" s="60">
        <v>0</v>
      </c>
      <c r="BI1496" s="64">
        <v>0</v>
      </c>
      <c r="BJ1496" s="64">
        <v>0</v>
      </c>
      <c r="BK1496" s="64">
        <v>0</v>
      </c>
      <c r="BL1496" s="64">
        <v>0</v>
      </c>
      <c r="BM1496" s="93">
        <v>0</v>
      </c>
      <c r="BN1496" s="12">
        <v>0</v>
      </c>
      <c r="BO1496" s="12">
        <v>0</v>
      </c>
      <c r="BP1496" s="12">
        <v>0</v>
      </c>
      <c r="BQ1496" s="12">
        <v>0</v>
      </c>
      <c r="BR1496" s="12">
        <v>0</v>
      </c>
      <c r="BS1496" s="12">
        <v>0</v>
      </c>
      <c r="BT1496" s="12">
        <v>0</v>
      </c>
      <c r="BU1496" s="47">
        <v>0</v>
      </c>
      <c r="BV1496" s="47"/>
      <c r="BW1496" s="47"/>
    </row>
    <row r="1497" spans="3:75" ht="20.100000000000001" customHeight="1">
      <c r="C1497" s="64">
        <v>66001014</v>
      </c>
      <c r="D1497" s="63" t="s">
        <v>3162</v>
      </c>
      <c r="E1497" s="63" t="s">
        <v>3163</v>
      </c>
      <c r="F1497" s="60">
        <v>1</v>
      </c>
      <c r="G1497" s="64">
        <v>66001014</v>
      </c>
      <c r="H1497" s="64">
        <v>0</v>
      </c>
      <c r="I1497" s="66">
        <v>0</v>
      </c>
      <c r="J1497" s="64">
        <v>1</v>
      </c>
      <c r="K1497" s="64">
        <v>0</v>
      </c>
      <c r="L1497" s="60">
        <v>0</v>
      </c>
      <c r="M1497" s="64">
        <v>0</v>
      </c>
      <c r="N1497" s="64">
        <v>0</v>
      </c>
      <c r="O1497" s="64">
        <v>1</v>
      </c>
      <c r="P1497" s="64">
        <v>0</v>
      </c>
      <c r="Q1497" s="64">
        <v>0</v>
      </c>
      <c r="R1497" s="64">
        <v>0</v>
      </c>
      <c r="S1497" s="68">
        <v>0</v>
      </c>
      <c r="T1497" s="66">
        <v>0</v>
      </c>
      <c r="U1497" s="60">
        <v>1</v>
      </c>
      <c r="V1497" s="64">
        <v>2</v>
      </c>
      <c r="W1497" s="64">
        <v>0</v>
      </c>
      <c r="X1497" s="64">
        <v>2</v>
      </c>
      <c r="Y1497" s="12">
        <v>0</v>
      </c>
      <c r="Z1497" s="64">
        <v>0</v>
      </c>
      <c r="AA1497" s="64">
        <v>0</v>
      </c>
      <c r="AB1497" s="64">
        <v>0</v>
      </c>
      <c r="AC1497" s="64">
        <v>0</v>
      </c>
      <c r="AD1497" s="64">
        <v>0</v>
      </c>
      <c r="AE1497" s="64">
        <v>0</v>
      </c>
      <c r="AF1497" s="64">
        <v>12</v>
      </c>
      <c r="AG1497" s="64">
        <v>1</v>
      </c>
      <c r="AH1497" s="64">
        <v>3.5</v>
      </c>
      <c r="AI1497" s="68">
        <v>0</v>
      </c>
      <c r="AJ1497" s="68">
        <v>0</v>
      </c>
      <c r="AK1497" s="12">
        <v>0</v>
      </c>
      <c r="AL1497" s="68">
        <v>4</v>
      </c>
      <c r="AM1497" s="64">
        <v>0</v>
      </c>
      <c r="AN1497" s="64">
        <v>0</v>
      </c>
      <c r="AO1497" s="64">
        <v>0</v>
      </c>
      <c r="AP1497" s="64">
        <v>0.5</v>
      </c>
      <c r="AQ1497" s="64">
        <v>3000</v>
      </c>
      <c r="AR1497" s="64">
        <v>0</v>
      </c>
      <c r="AS1497" s="64">
        <v>0</v>
      </c>
      <c r="AT1497" s="68">
        <v>0</v>
      </c>
      <c r="AU1497" s="64">
        <v>92005001</v>
      </c>
      <c r="AV1497" s="64"/>
      <c r="AW1497" s="63" t="s">
        <v>199</v>
      </c>
      <c r="AX1497" s="64" t="s">
        <v>534</v>
      </c>
      <c r="AY1497" s="64">
        <v>10000009</v>
      </c>
      <c r="AZ1497" s="64">
        <v>70405006</v>
      </c>
      <c r="BA1497" s="63" t="s">
        <v>200</v>
      </c>
      <c r="BB1497" s="63">
        <v>0</v>
      </c>
      <c r="BC1497" s="66">
        <v>0</v>
      </c>
      <c r="BD1497" s="66">
        <v>0</v>
      </c>
      <c r="BE1497" s="207" t="s">
        <v>3164</v>
      </c>
      <c r="BF1497" s="207" t="s">
        <v>3165</v>
      </c>
      <c r="BG1497" s="64">
        <v>0</v>
      </c>
      <c r="BH1497" s="60">
        <v>0</v>
      </c>
      <c r="BI1497" s="64">
        <v>0</v>
      </c>
      <c r="BJ1497" s="64">
        <v>0</v>
      </c>
      <c r="BK1497" s="64">
        <v>0</v>
      </c>
      <c r="BL1497" s="64">
        <v>0</v>
      </c>
      <c r="BM1497" s="93">
        <v>0</v>
      </c>
      <c r="BN1497" s="12">
        <v>0</v>
      </c>
      <c r="BO1497" s="12">
        <v>0</v>
      </c>
      <c r="BP1497" s="12">
        <v>0</v>
      </c>
      <c r="BQ1497" s="12">
        <v>0</v>
      </c>
      <c r="BR1497" s="12">
        <v>0</v>
      </c>
      <c r="BS1497" s="12">
        <v>0</v>
      </c>
      <c r="BT1497" s="12">
        <v>0</v>
      </c>
      <c r="BU1497" s="47">
        <v>0</v>
      </c>
      <c r="BV1497" s="47"/>
      <c r="BW1497" s="47"/>
    </row>
    <row r="1498" spans="3:75" ht="20.100000000000001" customHeight="1">
      <c r="C1498" s="64">
        <v>66001015</v>
      </c>
      <c r="D1498" s="63" t="s">
        <v>3166</v>
      </c>
      <c r="E1498" s="63" t="s">
        <v>3167</v>
      </c>
      <c r="F1498" s="60">
        <v>1</v>
      </c>
      <c r="G1498" s="64">
        <v>66001015</v>
      </c>
      <c r="H1498" s="64">
        <v>0</v>
      </c>
      <c r="I1498" s="66">
        <v>0</v>
      </c>
      <c r="J1498" s="64">
        <v>1</v>
      </c>
      <c r="K1498" s="64">
        <v>0</v>
      </c>
      <c r="L1498" s="60">
        <v>0</v>
      </c>
      <c r="M1498" s="64">
        <v>0</v>
      </c>
      <c r="N1498" s="64">
        <v>0</v>
      </c>
      <c r="O1498" s="64">
        <v>2</v>
      </c>
      <c r="P1498" s="64">
        <v>1</v>
      </c>
      <c r="Q1498" s="64">
        <v>0.05</v>
      </c>
      <c r="R1498" s="64">
        <v>0</v>
      </c>
      <c r="S1498" s="68">
        <v>0</v>
      </c>
      <c r="T1498" s="66">
        <v>0</v>
      </c>
      <c r="U1498" s="60">
        <v>1</v>
      </c>
      <c r="V1498" s="64">
        <v>2</v>
      </c>
      <c r="W1498" s="64">
        <v>0</v>
      </c>
      <c r="X1498" s="64">
        <v>1.8</v>
      </c>
      <c r="Y1498" s="12">
        <v>0</v>
      </c>
      <c r="Z1498" s="64">
        <v>700</v>
      </c>
      <c r="AA1498" s="64">
        <v>0</v>
      </c>
      <c r="AB1498" s="64">
        <v>0</v>
      </c>
      <c r="AC1498" s="64">
        <v>0</v>
      </c>
      <c r="AD1498" s="64">
        <v>1</v>
      </c>
      <c r="AE1498" s="64">
        <v>0</v>
      </c>
      <c r="AF1498" s="64">
        <v>10</v>
      </c>
      <c r="AG1498" s="64">
        <v>1</v>
      </c>
      <c r="AH1498" s="64">
        <v>1</v>
      </c>
      <c r="AI1498" s="68">
        <v>2</v>
      </c>
      <c r="AJ1498" s="68">
        <v>2</v>
      </c>
      <c r="AK1498" s="12">
        <v>0</v>
      </c>
      <c r="AL1498" s="68">
        <v>4</v>
      </c>
      <c r="AM1498" s="64">
        <v>0</v>
      </c>
      <c r="AN1498" s="64">
        <v>0</v>
      </c>
      <c r="AO1498" s="64">
        <v>0</v>
      </c>
      <c r="AP1498" s="64">
        <v>0.5</v>
      </c>
      <c r="AQ1498" s="64">
        <v>30000</v>
      </c>
      <c r="AR1498" s="64">
        <v>0.5</v>
      </c>
      <c r="AS1498" s="64">
        <v>5</v>
      </c>
      <c r="AT1498" s="68">
        <v>0</v>
      </c>
      <c r="AU1498" s="64">
        <v>92003001</v>
      </c>
      <c r="AV1498" s="64"/>
      <c r="AW1498" s="63" t="s">
        <v>199</v>
      </c>
      <c r="AX1498" s="64" t="s">
        <v>545</v>
      </c>
      <c r="AY1498" s="64">
        <v>10003002</v>
      </c>
      <c r="AZ1498" s="64">
        <v>70405009</v>
      </c>
      <c r="BA1498" s="63" t="s">
        <v>586</v>
      </c>
      <c r="BB1498" s="63">
        <v>0</v>
      </c>
      <c r="BC1498" s="66">
        <v>0</v>
      </c>
      <c r="BD1498" s="66">
        <v>0</v>
      </c>
      <c r="BE1498" s="207" t="s">
        <v>3168</v>
      </c>
      <c r="BF1498" s="207" t="s">
        <v>3169</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spans="3:75" ht="20.100000000000001" customHeight="1">
      <c r="C1499" s="64">
        <v>66001016</v>
      </c>
      <c r="D1499" s="63" t="s">
        <v>3170</v>
      </c>
      <c r="E1499" s="63" t="s">
        <v>3171</v>
      </c>
      <c r="F1499" s="60">
        <v>1</v>
      </c>
      <c r="G1499" s="64">
        <v>66001016</v>
      </c>
      <c r="H1499" s="64">
        <v>0</v>
      </c>
      <c r="I1499" s="66">
        <v>0</v>
      </c>
      <c r="J1499" s="64">
        <v>1</v>
      </c>
      <c r="K1499" s="64">
        <v>0</v>
      </c>
      <c r="L1499" s="60">
        <v>0</v>
      </c>
      <c r="M1499" s="64">
        <v>0</v>
      </c>
      <c r="N1499" s="64">
        <v>0</v>
      </c>
      <c r="O1499" s="64">
        <v>1</v>
      </c>
      <c r="P1499" s="64">
        <v>0</v>
      </c>
      <c r="Q1499" s="64">
        <v>0</v>
      </c>
      <c r="R1499" s="64">
        <v>0</v>
      </c>
      <c r="S1499" s="68">
        <v>0</v>
      </c>
      <c r="T1499" s="66">
        <v>0</v>
      </c>
      <c r="U1499" s="60">
        <v>1</v>
      </c>
      <c r="V1499" s="64">
        <v>2</v>
      </c>
      <c r="W1499" s="64">
        <v>0</v>
      </c>
      <c r="X1499" s="64">
        <v>0.75</v>
      </c>
      <c r="Y1499" s="12">
        <v>0</v>
      </c>
      <c r="Z1499" s="64">
        <v>0</v>
      </c>
      <c r="AA1499" s="64">
        <v>0</v>
      </c>
      <c r="AB1499" s="64">
        <v>0</v>
      </c>
      <c r="AC1499" s="64">
        <v>0</v>
      </c>
      <c r="AD1499" s="64">
        <v>0</v>
      </c>
      <c r="AE1499" s="64">
        <v>0</v>
      </c>
      <c r="AF1499" s="64">
        <v>24</v>
      </c>
      <c r="AG1499" s="64">
        <v>1</v>
      </c>
      <c r="AH1499" s="64">
        <v>4</v>
      </c>
      <c r="AI1499" s="68">
        <v>2</v>
      </c>
      <c r="AJ1499" s="68">
        <v>1</v>
      </c>
      <c r="AK1499" s="12">
        <v>0</v>
      </c>
      <c r="AL1499" s="68">
        <v>6</v>
      </c>
      <c r="AM1499" s="64">
        <v>0</v>
      </c>
      <c r="AN1499" s="64">
        <v>0</v>
      </c>
      <c r="AO1499" s="64">
        <v>0</v>
      </c>
      <c r="AP1499" s="64">
        <v>0.5</v>
      </c>
      <c r="AQ1499" s="64">
        <v>9000</v>
      </c>
      <c r="AR1499" s="64">
        <v>0.5</v>
      </c>
      <c r="AS1499" s="64">
        <v>0</v>
      </c>
      <c r="AT1499" s="68">
        <v>0</v>
      </c>
      <c r="AU1499" s="64">
        <v>92002002</v>
      </c>
      <c r="AV1499" s="64"/>
      <c r="AW1499" s="63" t="s">
        <v>1539</v>
      </c>
      <c r="AX1499" s="64" t="s">
        <v>1408</v>
      </c>
      <c r="AY1499" s="64">
        <v>10002001</v>
      </c>
      <c r="AZ1499" s="64">
        <v>70405008</v>
      </c>
      <c r="BA1499" s="63" t="s">
        <v>315</v>
      </c>
      <c r="BB1499" s="63" t="s">
        <v>371</v>
      </c>
      <c r="BC1499" s="66">
        <v>0</v>
      </c>
      <c r="BD1499" s="66">
        <v>0</v>
      </c>
      <c r="BE1499" s="92" t="s">
        <v>3172</v>
      </c>
      <c r="BF1499" s="92" t="s">
        <v>3173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66001017</v>
      </c>
      <c r="D1500" s="59" t="s">
        <v>3174</v>
      </c>
      <c r="E1500" s="59" t="s">
        <v>3175</v>
      </c>
      <c r="F1500" s="64">
        <v>1</v>
      </c>
      <c r="G1500" s="64">
        <v>66001017</v>
      </c>
      <c r="H1500" s="64">
        <v>0</v>
      </c>
      <c r="I1500" s="66">
        <v>0</v>
      </c>
      <c r="J1500" s="64">
        <v>1</v>
      </c>
      <c r="K1500" s="64">
        <v>0</v>
      </c>
      <c r="L1500" s="64">
        <v>0</v>
      </c>
      <c r="M1500" s="60">
        <v>0</v>
      </c>
      <c r="N1500" s="60">
        <v>0</v>
      </c>
      <c r="O1500" s="60">
        <v>1</v>
      </c>
      <c r="P1500" s="60">
        <v>0</v>
      </c>
      <c r="Q1500" s="60">
        <v>0</v>
      </c>
      <c r="R1500" s="60">
        <v>0</v>
      </c>
      <c r="S1500" s="68">
        <v>0</v>
      </c>
      <c r="T1500" s="60">
        <v>0</v>
      </c>
      <c r="U1500" s="60">
        <v>1</v>
      </c>
      <c r="V1500" s="60">
        <v>2</v>
      </c>
      <c r="W1500" s="60">
        <v>0</v>
      </c>
      <c r="X1500" s="60">
        <v>0</v>
      </c>
      <c r="Y1500" s="12">
        <v>0</v>
      </c>
      <c r="Z1500" s="60">
        <v>0</v>
      </c>
      <c r="AA1500" s="60">
        <v>0</v>
      </c>
      <c r="AB1500" s="60">
        <v>0</v>
      </c>
      <c r="AC1500" s="60">
        <v>0</v>
      </c>
      <c r="AD1500" s="60">
        <v>0</v>
      </c>
      <c r="AE1500" s="60">
        <v>0</v>
      </c>
      <c r="AF1500" s="60">
        <v>15</v>
      </c>
      <c r="AG1500" s="60">
        <v>0</v>
      </c>
      <c r="AH1500" s="60">
        <v>0</v>
      </c>
      <c r="AI1500" s="68">
        <v>0</v>
      </c>
      <c r="AJ1500" s="68">
        <v>0</v>
      </c>
      <c r="AK1500" s="12">
        <v>0</v>
      </c>
      <c r="AL1500" s="68">
        <f>H67+AL7763</f>
        <v>60010602</v>
      </c>
      <c r="AM1500" s="60">
        <v>0</v>
      </c>
      <c r="AN1500" s="60">
        <v>0</v>
      </c>
      <c r="AO1500" s="60">
        <v>0</v>
      </c>
      <c r="AP1500" s="64">
        <v>0.5</v>
      </c>
      <c r="AQ1500" s="60">
        <v>3000</v>
      </c>
      <c r="AR1500" s="60">
        <v>0.5</v>
      </c>
      <c r="AS1500" s="60">
        <v>0</v>
      </c>
      <c r="AT1500" s="68">
        <v>0</v>
      </c>
      <c r="AU1500" s="60" t="s">
        <v>198</v>
      </c>
      <c r="AV1500" s="60"/>
      <c r="AW1500" s="59" t="s">
        <v>199</v>
      </c>
      <c r="AX1500" s="60" t="s">
        <v>545</v>
      </c>
      <c r="AY1500" s="64">
        <v>0</v>
      </c>
      <c r="AZ1500" s="64">
        <v>21101051</v>
      </c>
      <c r="BA1500" s="59" t="s">
        <v>1174</v>
      </c>
      <c r="BB1500" s="362" t="s">
        <v>3176</v>
      </c>
      <c r="BC1500" s="66">
        <v>0</v>
      </c>
      <c r="BD1500" s="66">
        <v>0</v>
      </c>
      <c r="BE1500" s="90" t="s">
        <v>3177</v>
      </c>
      <c r="BF1500" s="90" t="s">
        <v>3178</v>
      </c>
      <c r="BG1500" s="60">
        <v>0</v>
      </c>
      <c r="BH1500" s="60">
        <v>0</v>
      </c>
      <c r="BI1500" s="60">
        <v>0</v>
      </c>
      <c r="BJ1500" s="60">
        <v>0</v>
      </c>
      <c r="BK1500" s="60">
        <v>0</v>
      </c>
      <c r="BL1500" s="60">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66001018</v>
      </c>
      <c r="D1501" s="63" t="s">
        <v>3179</v>
      </c>
      <c r="E1501" s="63" t="s">
        <v>3180</v>
      </c>
      <c r="F1501" s="60">
        <v>1</v>
      </c>
      <c r="G1501" s="64">
        <v>66001018</v>
      </c>
      <c r="H1501" s="64">
        <v>0</v>
      </c>
      <c r="I1501" s="66">
        <v>0</v>
      </c>
      <c r="J1501" s="64">
        <v>1</v>
      </c>
      <c r="K1501" s="64">
        <v>0</v>
      </c>
      <c r="L1501" s="60">
        <v>0</v>
      </c>
      <c r="M1501" s="64">
        <v>0</v>
      </c>
      <c r="N1501" s="64">
        <v>0</v>
      </c>
      <c r="O1501" s="64">
        <v>2</v>
      </c>
      <c r="P1501" s="64">
        <v>3</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10</v>
      </c>
      <c r="AT1501" s="68">
        <v>0</v>
      </c>
      <c r="AU1501" s="64">
        <v>93000208</v>
      </c>
      <c r="AV1501" s="64"/>
      <c r="AW1501" s="63" t="s">
        <v>199</v>
      </c>
      <c r="AX1501" s="64" t="s">
        <v>545</v>
      </c>
      <c r="AY1501" s="64">
        <v>10003002</v>
      </c>
      <c r="AZ1501" s="64">
        <v>21100020</v>
      </c>
      <c r="BA1501" s="63" t="s">
        <v>586</v>
      </c>
      <c r="BB1501" s="63">
        <v>0</v>
      </c>
      <c r="BC1501" s="66">
        <v>0</v>
      </c>
      <c r="BD1501" s="66">
        <v>0</v>
      </c>
      <c r="BE1501" s="207" t="s">
        <v>3181</v>
      </c>
      <c r="BF1501" s="207" t="s">
        <v>3182</v>
      </c>
      <c r="BG1501" s="64">
        <v>0</v>
      </c>
      <c r="BH1501" s="60">
        <v>0</v>
      </c>
      <c r="BI1501" s="64">
        <v>0</v>
      </c>
      <c r="BJ1501" s="64">
        <v>0</v>
      </c>
      <c r="BK1501" s="64">
        <v>0</v>
      </c>
      <c r="BL1501" s="64">
        <v>0</v>
      </c>
      <c r="BM1501" s="93">
        <v>0</v>
      </c>
      <c r="BN1501" s="12">
        <v>1</v>
      </c>
      <c r="BO1501" s="12">
        <v>0</v>
      </c>
      <c r="BP1501" s="12">
        <v>0</v>
      </c>
      <c r="BQ1501" s="12">
        <v>0</v>
      </c>
      <c r="BR1501" s="12">
        <v>0</v>
      </c>
      <c r="BS1501" s="12">
        <v>0</v>
      </c>
      <c r="BT1501" s="12">
        <v>0</v>
      </c>
      <c r="BU1501" s="47">
        <v>0</v>
      </c>
      <c r="BV1501" s="47"/>
      <c r="BW1501" s="47"/>
    </row>
    <row r="1502" spans="3:75" ht="20.100000000000001" customHeight="1">
      <c r="C1502" s="64">
        <v>66001019</v>
      </c>
      <c r="D1502" s="59" t="s">
        <v>3183</v>
      </c>
      <c r="E1502" s="59" t="s">
        <v>3184</v>
      </c>
      <c r="F1502" s="60">
        <v>1</v>
      </c>
      <c r="G1502" s="64">
        <v>66001019</v>
      </c>
      <c r="H1502" s="60">
        <v>0</v>
      </c>
      <c r="I1502" s="66">
        <v>0</v>
      </c>
      <c r="J1502" s="64">
        <v>1</v>
      </c>
      <c r="K1502" s="64">
        <v>0</v>
      </c>
      <c r="L1502" s="60">
        <v>0</v>
      </c>
      <c r="M1502" s="60">
        <v>0</v>
      </c>
      <c r="N1502" s="60">
        <v>0</v>
      </c>
      <c r="O1502" s="60">
        <v>2</v>
      </c>
      <c r="P1502" s="60">
        <v>12</v>
      </c>
      <c r="Q1502" s="60">
        <v>1</v>
      </c>
      <c r="R1502" s="60">
        <v>0</v>
      </c>
      <c r="S1502" s="68">
        <v>0</v>
      </c>
      <c r="T1502" s="60">
        <v>0</v>
      </c>
      <c r="U1502" s="60">
        <v>1</v>
      </c>
      <c r="V1502" s="60">
        <v>2</v>
      </c>
      <c r="W1502" s="60">
        <v>0</v>
      </c>
      <c r="X1502" s="64">
        <v>0</v>
      </c>
      <c r="Y1502" s="12">
        <v>0</v>
      </c>
      <c r="Z1502" s="64">
        <v>0</v>
      </c>
      <c r="AA1502" s="60">
        <v>0</v>
      </c>
      <c r="AB1502" s="60">
        <v>0</v>
      </c>
      <c r="AC1502" s="60">
        <v>0</v>
      </c>
      <c r="AD1502" s="60">
        <v>1</v>
      </c>
      <c r="AE1502" s="60">
        <v>0</v>
      </c>
      <c r="AF1502" s="60">
        <v>60</v>
      </c>
      <c r="AG1502" s="60">
        <v>1</v>
      </c>
      <c r="AH1502" s="60">
        <v>10</v>
      </c>
      <c r="AI1502" s="68">
        <v>0</v>
      </c>
      <c r="AJ1502" s="68">
        <v>0</v>
      </c>
      <c r="AK1502" s="12">
        <v>0</v>
      </c>
      <c r="AL1502" s="68">
        <v>0</v>
      </c>
      <c r="AM1502" s="60">
        <v>0</v>
      </c>
      <c r="AN1502" s="60">
        <v>0</v>
      </c>
      <c r="AO1502" s="60">
        <v>0</v>
      </c>
      <c r="AP1502" s="60">
        <v>1</v>
      </c>
      <c r="AQ1502" s="60">
        <v>50000</v>
      </c>
      <c r="AR1502" s="60">
        <v>0</v>
      </c>
      <c r="AS1502" s="60">
        <v>0</v>
      </c>
      <c r="AT1502" s="68">
        <v>90503002</v>
      </c>
      <c r="AU1502" s="60">
        <v>90503002</v>
      </c>
      <c r="AV1502" s="60"/>
      <c r="AW1502" s="59" t="s">
        <v>198</v>
      </c>
      <c r="AX1502" s="60">
        <v>0</v>
      </c>
      <c r="AY1502" s="64">
        <v>0</v>
      </c>
      <c r="AZ1502" s="64">
        <v>0</v>
      </c>
      <c r="BA1502" s="59" t="s">
        <v>2710</v>
      </c>
      <c r="BB1502" s="60">
        <v>0</v>
      </c>
      <c r="BC1502" s="66">
        <v>0</v>
      </c>
      <c r="BD1502" s="66">
        <v>0</v>
      </c>
      <c r="BE1502" s="90" t="s">
        <v>3185</v>
      </c>
      <c r="BF1502" s="90" t="s">
        <v>3186</v>
      </c>
      <c r="BG1502" s="60">
        <v>0</v>
      </c>
      <c r="BH1502" s="60">
        <v>0</v>
      </c>
      <c r="BI1502" s="60">
        <v>0</v>
      </c>
      <c r="BJ1502" s="60">
        <v>0</v>
      </c>
      <c r="BK1502" s="60">
        <v>0</v>
      </c>
      <c r="BL1502" s="60">
        <v>0</v>
      </c>
      <c r="BM1502" s="93">
        <v>0</v>
      </c>
      <c r="BN1502" s="12">
        <v>1</v>
      </c>
      <c r="BO1502" s="12">
        <v>0</v>
      </c>
      <c r="BP1502" s="12">
        <v>0</v>
      </c>
      <c r="BQ1502" s="12">
        <v>0</v>
      </c>
      <c r="BR1502" s="12">
        <v>0</v>
      </c>
      <c r="BS1502" s="12">
        <v>0</v>
      </c>
      <c r="BT1502" s="12">
        <v>0</v>
      </c>
      <c r="BU1502" s="47">
        <v>0</v>
      </c>
      <c r="BV1502" s="47"/>
      <c r="BW1502" s="47"/>
    </row>
    <row r="1503" spans="3:75" ht="19.5" customHeight="1">
      <c r="C1503" s="18">
        <v>66001020</v>
      </c>
      <c r="D1503" s="19" t="s">
        <v>3187</v>
      </c>
      <c r="E1503" s="19" t="s">
        <v>3188</v>
      </c>
      <c r="F1503" s="16">
        <v>0</v>
      </c>
      <c r="G1503" s="18">
        <v>62022401</v>
      </c>
      <c r="H1503" s="18">
        <v>0</v>
      </c>
      <c r="I1503" s="27">
        <v>0</v>
      </c>
      <c r="J1503" s="16">
        <v>1</v>
      </c>
      <c r="K1503" s="18">
        <v>0</v>
      </c>
      <c r="L1503" s="16">
        <v>0</v>
      </c>
      <c r="M1503" s="18">
        <v>0</v>
      </c>
      <c r="N1503" s="18">
        <v>0</v>
      </c>
      <c r="O1503" s="18">
        <v>2</v>
      </c>
      <c r="P1503" s="18">
        <v>1</v>
      </c>
      <c r="Q1503" s="18">
        <v>1</v>
      </c>
      <c r="R1503" s="18">
        <v>0</v>
      </c>
      <c r="S1503" s="12">
        <v>0</v>
      </c>
      <c r="T1503" s="27">
        <v>0</v>
      </c>
      <c r="U1503" s="16">
        <v>1</v>
      </c>
      <c r="V1503" s="18">
        <v>2</v>
      </c>
      <c r="W1503" s="18">
        <v>0</v>
      </c>
      <c r="X1503" s="18">
        <v>3</v>
      </c>
      <c r="Y1503" s="12">
        <v>0</v>
      </c>
      <c r="Z1503" s="18">
        <v>0</v>
      </c>
      <c r="AA1503" s="18">
        <v>0</v>
      </c>
      <c r="AB1503" s="18">
        <v>0</v>
      </c>
      <c r="AC1503" s="18">
        <v>0</v>
      </c>
      <c r="AD1503" s="18">
        <v>0</v>
      </c>
      <c r="AE1503" s="18">
        <v>0</v>
      </c>
      <c r="AF1503" s="18">
        <v>1</v>
      </c>
      <c r="AG1503" s="18">
        <v>1</v>
      </c>
      <c r="AH1503" s="18">
        <v>3</v>
      </c>
      <c r="AI1503" s="12">
        <v>2</v>
      </c>
      <c r="AJ1503" s="12">
        <v>1</v>
      </c>
      <c r="AK1503" s="12">
        <v>0</v>
      </c>
      <c r="AL1503" s="12">
        <v>6</v>
      </c>
      <c r="AM1503" s="18">
        <v>0</v>
      </c>
      <c r="AN1503" s="18">
        <v>0</v>
      </c>
      <c r="AO1503" s="18">
        <v>0</v>
      </c>
      <c r="AP1503" s="18">
        <v>0</v>
      </c>
      <c r="AQ1503" s="18">
        <v>30000</v>
      </c>
      <c r="AR1503" s="18">
        <v>0</v>
      </c>
      <c r="AS1503" s="18">
        <v>0</v>
      </c>
      <c r="AT1503" s="12">
        <v>96001014</v>
      </c>
      <c r="AU1503" s="18">
        <v>0</v>
      </c>
      <c r="AV1503" s="18"/>
      <c r="AW1503" s="19" t="s">
        <v>199</v>
      </c>
      <c r="AX1503" s="18" t="s">
        <v>1808</v>
      </c>
      <c r="AY1503" s="18">
        <v>10003002</v>
      </c>
      <c r="AZ1503" s="18">
        <v>21102031</v>
      </c>
      <c r="BA1503" s="19" t="s">
        <v>200</v>
      </c>
      <c r="BB1503" s="19">
        <v>0</v>
      </c>
      <c r="BC1503" s="27">
        <v>0</v>
      </c>
      <c r="BD1503" s="27">
        <v>0</v>
      </c>
      <c r="BE1503" s="183"/>
      <c r="BF1503" s="183"/>
      <c r="BG1503" s="18">
        <v>0</v>
      </c>
      <c r="BH1503" s="16">
        <v>0</v>
      </c>
      <c r="BI1503" s="18">
        <v>0</v>
      </c>
      <c r="BJ1503" s="18">
        <v>0</v>
      </c>
      <c r="BK1503" s="18">
        <v>0</v>
      </c>
      <c r="BL1503" s="18">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18">
        <v>68000001</v>
      </c>
      <c r="D1504" s="19" t="s">
        <v>431</v>
      </c>
      <c r="E1504" s="19" t="s">
        <v>3189</v>
      </c>
      <c r="F1504" s="18">
        <v>1</v>
      </c>
      <c r="G1504" s="18">
        <v>68000001</v>
      </c>
      <c r="H1504" s="18">
        <v>0</v>
      </c>
      <c r="I1504" s="27">
        <v>0</v>
      </c>
      <c r="J1504" s="18">
        <v>1</v>
      </c>
      <c r="K1504" s="18">
        <v>0</v>
      </c>
      <c r="L1504" s="18">
        <v>0</v>
      </c>
      <c r="M1504" s="18">
        <v>0</v>
      </c>
      <c r="N1504" s="18">
        <v>0</v>
      </c>
      <c r="O1504" s="18">
        <v>5</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0</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v>0</v>
      </c>
      <c r="AU1504" s="18" t="s">
        <v>198</v>
      </c>
      <c r="AV1504" s="18"/>
      <c r="AW1504" s="19" t="s">
        <v>199</v>
      </c>
      <c r="AX1504" s="18">
        <v>0</v>
      </c>
      <c r="AY1504" s="18">
        <v>0</v>
      </c>
      <c r="AZ1504" s="18">
        <v>0</v>
      </c>
      <c r="BA1504" s="19" t="s">
        <v>200</v>
      </c>
      <c r="BB1504" s="19" t="s">
        <v>3190</v>
      </c>
      <c r="BC1504" s="27">
        <v>0</v>
      </c>
      <c r="BD1504" s="27">
        <v>0</v>
      </c>
      <c r="BE1504" s="87" t="s">
        <v>3191</v>
      </c>
      <c r="BF1504" s="87" t="s">
        <v>3192</v>
      </c>
      <c r="BG1504" s="18">
        <v>0</v>
      </c>
      <c r="BH1504" s="16">
        <v>0</v>
      </c>
      <c r="BI1504" s="18">
        <v>0</v>
      </c>
      <c r="BJ1504" s="18">
        <v>0</v>
      </c>
      <c r="BK1504" s="18">
        <v>0</v>
      </c>
      <c r="BL1504" s="18">
        <v>0</v>
      </c>
      <c r="BM1504" s="15">
        <v>0</v>
      </c>
      <c r="BN1504" s="12">
        <v>0</v>
      </c>
      <c r="BO1504" s="12">
        <v>0</v>
      </c>
      <c r="BP1504" s="12">
        <v>0</v>
      </c>
      <c r="BQ1504" s="12">
        <v>0</v>
      </c>
      <c r="BR1504" s="12">
        <v>0</v>
      </c>
      <c r="BS1504" s="12">
        <v>0</v>
      </c>
      <c r="BT1504" s="12">
        <v>0</v>
      </c>
      <c r="BU1504" s="47">
        <v>0</v>
      </c>
      <c r="BV1504" s="47"/>
      <c r="BW1504" s="47"/>
    </row>
    <row r="1505" spans="3:75" ht="20.100000000000001" customHeight="1">
      <c r="C1505" s="18">
        <v>68000002</v>
      </c>
      <c r="D1505" s="19" t="s">
        <v>3193</v>
      </c>
      <c r="E1505" s="19" t="s">
        <v>3194</v>
      </c>
      <c r="F1505" s="18">
        <v>1</v>
      </c>
      <c r="G1505" s="18">
        <v>68000002</v>
      </c>
      <c r="H1505" s="18">
        <v>0</v>
      </c>
      <c r="I1505" s="27">
        <v>0</v>
      </c>
      <c r="J1505" s="18">
        <v>1</v>
      </c>
      <c r="K1505" s="18">
        <v>0</v>
      </c>
      <c r="L1505" s="18">
        <v>0</v>
      </c>
      <c r="M1505" s="18">
        <v>0</v>
      </c>
      <c r="N1505" s="18">
        <v>0</v>
      </c>
      <c r="O1505" s="18">
        <v>2</v>
      </c>
      <c r="P1505" s="18">
        <v>2</v>
      </c>
      <c r="Q1505" s="18">
        <v>0.1</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0</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98000020</v>
      </c>
      <c r="AU1505" s="18" t="s">
        <v>198</v>
      </c>
      <c r="AV1505" s="18"/>
      <c r="AW1505" s="19" t="s">
        <v>199</v>
      </c>
      <c r="AX1505" s="18">
        <v>0</v>
      </c>
      <c r="AY1505" s="18">
        <v>0</v>
      </c>
      <c r="AZ1505" s="18">
        <v>0</v>
      </c>
      <c r="BA1505" s="19" t="s">
        <v>200</v>
      </c>
      <c r="BB1505" s="19" t="s">
        <v>198</v>
      </c>
      <c r="BC1505" s="27">
        <v>0</v>
      </c>
      <c r="BD1505" s="27">
        <v>0</v>
      </c>
      <c r="BE1505" s="87" t="s">
        <v>3195</v>
      </c>
      <c r="BF1505" s="87" t="s">
        <v>3196</v>
      </c>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row>
    <row r="1506" spans="3:75" ht="20.100000000000001" customHeight="1">
      <c r="C1506" s="18">
        <v>68000003</v>
      </c>
      <c r="D1506" s="19" t="s">
        <v>3197</v>
      </c>
      <c r="E1506" s="19" t="s">
        <v>3198</v>
      </c>
      <c r="F1506" s="16">
        <v>1</v>
      </c>
      <c r="G1506" s="18">
        <v>68000003</v>
      </c>
      <c r="H1506" s="16">
        <v>0</v>
      </c>
      <c r="I1506" s="27">
        <v>0</v>
      </c>
      <c r="J1506" s="18">
        <v>1</v>
      </c>
      <c r="K1506" s="18">
        <v>0</v>
      </c>
      <c r="L1506" s="16">
        <v>0</v>
      </c>
      <c r="M1506" s="16">
        <v>0</v>
      </c>
      <c r="N1506" s="16">
        <v>0</v>
      </c>
      <c r="O1506" s="16">
        <v>2</v>
      </c>
      <c r="P1506" s="16">
        <v>1</v>
      </c>
      <c r="Q1506" s="16">
        <v>1</v>
      </c>
      <c r="R1506" s="16">
        <v>0</v>
      </c>
      <c r="S1506" s="12">
        <v>0</v>
      </c>
      <c r="T1506" s="16">
        <v>0</v>
      </c>
      <c r="U1506" s="16">
        <v>0</v>
      </c>
      <c r="V1506" s="16">
        <v>1</v>
      </c>
      <c r="W1506" s="16">
        <v>0</v>
      </c>
      <c r="X1506" s="16">
        <v>0.2</v>
      </c>
      <c r="Y1506" s="12">
        <v>0</v>
      </c>
      <c r="Z1506" s="18">
        <v>0</v>
      </c>
      <c r="AA1506" s="16">
        <v>0</v>
      </c>
      <c r="AB1506" s="16">
        <v>0</v>
      </c>
      <c r="AC1506" s="16">
        <v>0</v>
      </c>
      <c r="AD1506" s="16">
        <v>1</v>
      </c>
      <c r="AE1506" s="16">
        <v>0</v>
      </c>
      <c r="AF1506" s="16">
        <v>0</v>
      </c>
      <c r="AG1506" s="16">
        <v>2</v>
      </c>
      <c r="AH1506" s="16" t="s">
        <v>231</v>
      </c>
      <c r="AI1506" s="12">
        <v>2</v>
      </c>
      <c r="AJ1506" s="12">
        <v>0</v>
      </c>
      <c r="AK1506" s="12">
        <v>0</v>
      </c>
      <c r="AL1506" s="12">
        <v>3</v>
      </c>
      <c r="AM1506" s="16">
        <v>0</v>
      </c>
      <c r="AN1506" s="16">
        <v>0</v>
      </c>
      <c r="AO1506" s="16">
        <v>0</v>
      </c>
      <c r="AP1506" s="16">
        <v>0</v>
      </c>
      <c r="AQ1506" s="16">
        <v>1000</v>
      </c>
      <c r="AR1506" s="16">
        <v>0</v>
      </c>
      <c r="AS1506" s="16">
        <v>0</v>
      </c>
      <c r="AT1506" s="12">
        <v>0</v>
      </c>
      <c r="AU1506" s="16" t="s">
        <v>198</v>
      </c>
      <c r="AV1506" s="16"/>
      <c r="AW1506" s="19" t="s">
        <v>199</v>
      </c>
      <c r="AX1506" s="16">
        <v>0</v>
      </c>
      <c r="AY1506" s="18">
        <v>0</v>
      </c>
      <c r="AZ1506" s="26">
        <v>0</v>
      </c>
      <c r="BA1506" s="17" t="s">
        <v>200</v>
      </c>
      <c r="BB1506" s="16">
        <v>0</v>
      </c>
      <c r="BC1506" s="27">
        <v>0</v>
      </c>
      <c r="BD1506" s="27">
        <v>0</v>
      </c>
      <c r="BE1506" s="87" t="s">
        <v>3199</v>
      </c>
      <c r="BF1506" s="87" t="s">
        <v>3200</v>
      </c>
      <c r="BG1506" s="16">
        <v>0</v>
      </c>
      <c r="BH1506" s="16">
        <v>0</v>
      </c>
      <c r="BI1506" s="16">
        <v>0</v>
      </c>
      <c r="BJ1506" s="16">
        <v>0</v>
      </c>
      <c r="BK1506" s="16">
        <v>0</v>
      </c>
      <c r="BL1506" s="16">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68000004</v>
      </c>
      <c r="D1507" s="19" t="s">
        <v>3201</v>
      </c>
      <c r="E1507" s="19" t="s">
        <v>3202</v>
      </c>
      <c r="F1507" s="18">
        <v>1</v>
      </c>
      <c r="G1507" s="18">
        <v>68000004</v>
      </c>
      <c r="H1507" s="16">
        <v>0</v>
      </c>
      <c r="I1507" s="27">
        <v>0</v>
      </c>
      <c r="J1507" s="18">
        <v>1</v>
      </c>
      <c r="K1507" s="18">
        <v>0</v>
      </c>
      <c r="L1507" s="18">
        <v>0</v>
      </c>
      <c r="M1507" s="16">
        <v>0</v>
      </c>
      <c r="N1507" s="16">
        <v>0</v>
      </c>
      <c r="O1507" s="16">
        <v>1</v>
      </c>
      <c r="P1507" s="16">
        <v>1</v>
      </c>
      <c r="Q1507" s="16">
        <v>0.05</v>
      </c>
      <c r="R1507" s="16">
        <v>0</v>
      </c>
      <c r="S1507" s="12">
        <v>0</v>
      </c>
      <c r="T1507" s="16">
        <v>0</v>
      </c>
      <c r="U1507" s="16">
        <v>1</v>
      </c>
      <c r="V1507" s="16">
        <v>2</v>
      </c>
      <c r="W1507" s="16">
        <v>0</v>
      </c>
      <c r="X1507" s="16">
        <v>0</v>
      </c>
      <c r="Y1507" s="12">
        <v>0</v>
      </c>
      <c r="Z1507" s="16">
        <v>0</v>
      </c>
      <c r="AA1507" s="16">
        <v>0</v>
      </c>
      <c r="AB1507" s="16">
        <v>0</v>
      </c>
      <c r="AC1507" s="16">
        <v>0</v>
      </c>
      <c r="AD1507" s="16">
        <v>1</v>
      </c>
      <c r="AE1507" s="16">
        <v>68000008</v>
      </c>
      <c r="AF1507" s="16">
        <v>30</v>
      </c>
      <c r="AG1507" s="16">
        <v>0</v>
      </c>
      <c r="AH1507" s="16">
        <v>0</v>
      </c>
      <c r="AI1507" s="12">
        <v>2</v>
      </c>
      <c r="AJ1507" s="12">
        <v>2</v>
      </c>
      <c r="AK1507" s="12">
        <v>0</v>
      </c>
      <c r="AL1507" s="12">
        <v>1.5</v>
      </c>
      <c r="AM1507" s="16">
        <v>0</v>
      </c>
      <c r="AN1507" s="16">
        <v>0</v>
      </c>
      <c r="AO1507" s="16">
        <v>0</v>
      </c>
      <c r="AP1507" s="16">
        <v>0.5</v>
      </c>
      <c r="AQ1507" s="16">
        <v>3000</v>
      </c>
      <c r="AR1507" s="16">
        <v>0.5</v>
      </c>
      <c r="AS1507" s="16">
        <v>0</v>
      </c>
      <c r="AT1507" s="12">
        <v>0</v>
      </c>
      <c r="AU1507" s="16" t="s">
        <v>198</v>
      </c>
      <c r="AV1507" s="16"/>
      <c r="AW1507" s="17" t="s">
        <v>199</v>
      </c>
      <c r="AX1507" s="16" t="s">
        <v>545</v>
      </c>
      <c r="AY1507" s="18">
        <v>0</v>
      </c>
      <c r="AZ1507" s="18">
        <v>21101051</v>
      </c>
      <c r="BA1507" s="17" t="s">
        <v>1174</v>
      </c>
      <c r="BB1507" s="349" t="s">
        <v>3203</v>
      </c>
      <c r="BC1507" s="27">
        <v>0</v>
      </c>
      <c r="BD1507" s="27">
        <v>0</v>
      </c>
      <c r="BE1507" s="44" t="s">
        <v>3204</v>
      </c>
      <c r="BF1507" s="44" t="s">
        <v>3205</v>
      </c>
      <c r="BG1507" s="16">
        <v>0</v>
      </c>
      <c r="BH1507" s="16">
        <v>0</v>
      </c>
      <c r="BI1507" s="16">
        <v>0</v>
      </c>
      <c r="BJ1507" s="16">
        <v>0</v>
      </c>
      <c r="BK1507" s="16">
        <v>0</v>
      </c>
      <c r="BL1507" s="16">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68000005</v>
      </c>
      <c r="D1508" s="19" t="s">
        <v>3206</v>
      </c>
      <c r="E1508" s="19" t="s">
        <v>3207</v>
      </c>
      <c r="F1508" s="18">
        <v>1</v>
      </c>
      <c r="G1508" s="18">
        <v>68000005</v>
      </c>
      <c r="H1508" s="18">
        <v>0</v>
      </c>
      <c r="I1508" s="27">
        <v>0</v>
      </c>
      <c r="J1508" s="18">
        <v>1</v>
      </c>
      <c r="K1508" s="18">
        <v>0</v>
      </c>
      <c r="L1508" s="18">
        <v>0</v>
      </c>
      <c r="M1508" s="18">
        <v>0</v>
      </c>
      <c r="N1508" s="18">
        <v>0</v>
      </c>
      <c r="O1508" s="18">
        <v>2</v>
      </c>
      <c r="P1508" s="18">
        <v>3</v>
      </c>
      <c r="Q1508" s="18">
        <v>0.05</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98000050</v>
      </c>
      <c r="AU1508" s="18" t="s">
        <v>198</v>
      </c>
      <c r="AV1508" s="18"/>
      <c r="AW1508" s="19" t="s">
        <v>199</v>
      </c>
      <c r="AX1508" s="18">
        <v>0</v>
      </c>
      <c r="AY1508" s="18">
        <v>0</v>
      </c>
      <c r="AZ1508" s="18">
        <v>0</v>
      </c>
      <c r="BA1508" s="19" t="s">
        <v>200</v>
      </c>
      <c r="BB1508" s="19" t="s">
        <v>198</v>
      </c>
      <c r="BC1508" s="27">
        <v>0</v>
      </c>
      <c r="BD1508" s="27">
        <v>0</v>
      </c>
      <c r="BE1508" s="87" t="s">
        <v>3208</v>
      </c>
      <c r="BF1508" s="87" t="s">
        <v>3209</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spans="3:75" ht="20.100000000000001" customHeight="1">
      <c r="C1509" s="18">
        <v>68000006</v>
      </c>
      <c r="D1509" s="19" t="s">
        <v>3210</v>
      </c>
      <c r="E1509" s="19" t="s">
        <v>3211</v>
      </c>
      <c r="F1509" s="18">
        <v>1</v>
      </c>
      <c r="G1509" s="18">
        <v>68000006</v>
      </c>
      <c r="H1509" s="18">
        <v>0</v>
      </c>
      <c r="I1509" s="27">
        <v>0</v>
      </c>
      <c r="J1509" s="18">
        <v>1</v>
      </c>
      <c r="K1509" s="18">
        <v>0</v>
      </c>
      <c r="L1509" s="18">
        <v>0</v>
      </c>
      <c r="M1509" s="18">
        <v>0</v>
      </c>
      <c r="N1509" s="18">
        <v>0</v>
      </c>
      <c r="O1509" s="18">
        <v>2</v>
      </c>
      <c r="P1509" s="18">
        <v>1</v>
      </c>
      <c r="Q1509" s="18">
        <v>0.05</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7</v>
      </c>
      <c r="AJ1509" s="12">
        <v>0</v>
      </c>
      <c r="AK1509" s="12">
        <v>0</v>
      </c>
      <c r="AL1509" s="12">
        <v>0</v>
      </c>
      <c r="AM1509" s="18">
        <v>0</v>
      </c>
      <c r="AN1509" s="18">
        <v>0</v>
      </c>
      <c r="AO1509" s="18">
        <v>0</v>
      </c>
      <c r="AP1509" s="18">
        <v>0</v>
      </c>
      <c r="AQ1509" s="18">
        <v>1000</v>
      </c>
      <c r="AR1509" s="18">
        <v>0</v>
      </c>
      <c r="AS1509" s="18">
        <v>0</v>
      </c>
      <c r="AT1509" s="12">
        <v>0</v>
      </c>
      <c r="AU1509" s="12">
        <v>98000060</v>
      </c>
      <c r="AV1509" s="12"/>
      <c r="AW1509" s="19" t="s">
        <v>199</v>
      </c>
      <c r="AX1509" s="18">
        <v>0</v>
      </c>
      <c r="AY1509" s="18">
        <v>0</v>
      </c>
      <c r="AZ1509" s="18">
        <v>0</v>
      </c>
      <c r="BA1509" s="19" t="s">
        <v>200</v>
      </c>
      <c r="BB1509" s="19" t="s">
        <v>198</v>
      </c>
      <c r="BC1509" s="27">
        <v>0</v>
      </c>
      <c r="BD1509" s="27">
        <v>0</v>
      </c>
      <c r="BE1509" s="87" t="s">
        <v>3212</v>
      </c>
      <c r="BF1509" s="87" t="s">
        <v>3213</v>
      </c>
      <c r="BG1509" s="18">
        <v>0</v>
      </c>
      <c r="BH1509" s="16">
        <v>0</v>
      </c>
      <c r="BI1509" s="18">
        <v>0</v>
      </c>
      <c r="BJ1509" s="18">
        <v>0</v>
      </c>
      <c r="BK1509" s="18">
        <v>0</v>
      </c>
      <c r="BL1509" s="18">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68000007</v>
      </c>
      <c r="D1510" s="19" t="s">
        <v>413</v>
      </c>
      <c r="E1510" s="19" t="s">
        <v>3214</v>
      </c>
      <c r="F1510" s="18">
        <v>1</v>
      </c>
      <c r="G1510" s="18">
        <v>68000007</v>
      </c>
      <c r="H1510" s="18">
        <v>0</v>
      </c>
      <c r="I1510" s="27">
        <v>0</v>
      </c>
      <c r="J1510" s="18">
        <v>1</v>
      </c>
      <c r="K1510" s="18">
        <v>0</v>
      </c>
      <c r="L1510" s="18">
        <v>0</v>
      </c>
      <c r="M1510" s="18">
        <v>0</v>
      </c>
      <c r="N1510" s="18">
        <v>0</v>
      </c>
      <c r="O1510" s="18">
        <v>2</v>
      </c>
      <c r="P1510" s="18">
        <v>1</v>
      </c>
      <c r="Q1510" s="18">
        <v>0.05</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98000070</v>
      </c>
      <c r="AU1510" s="18" t="s">
        <v>198</v>
      </c>
      <c r="AV1510" s="18"/>
      <c r="AW1510" s="19" t="s">
        <v>199</v>
      </c>
      <c r="AX1510" s="18">
        <v>0</v>
      </c>
      <c r="AY1510" s="18">
        <v>0</v>
      </c>
      <c r="AZ1510" s="18">
        <v>0</v>
      </c>
      <c r="BA1510" s="19" t="s">
        <v>200</v>
      </c>
      <c r="BB1510" s="19" t="s">
        <v>198</v>
      </c>
      <c r="BC1510" s="27">
        <v>0</v>
      </c>
      <c r="BD1510" s="27">
        <v>0</v>
      </c>
      <c r="BE1510" s="87" t="s">
        <v>3215</v>
      </c>
      <c r="BF1510" s="87" t="s">
        <v>3216</v>
      </c>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68000008</v>
      </c>
      <c r="D1511" s="19" t="s">
        <v>3217</v>
      </c>
      <c r="E1511" s="19" t="s">
        <v>2942</v>
      </c>
      <c r="F1511" s="16">
        <v>1</v>
      </c>
      <c r="G1511" s="18">
        <v>68000008</v>
      </c>
      <c r="H1511" s="18">
        <v>0</v>
      </c>
      <c r="I1511" s="27">
        <v>0</v>
      </c>
      <c r="J1511" s="18">
        <v>1</v>
      </c>
      <c r="K1511" s="18">
        <v>0</v>
      </c>
      <c r="L1511" s="18">
        <v>0</v>
      </c>
      <c r="M1511" s="16">
        <v>0</v>
      </c>
      <c r="N1511" s="16">
        <v>0</v>
      </c>
      <c r="O1511" s="16">
        <v>5</v>
      </c>
      <c r="P1511" s="16">
        <v>0</v>
      </c>
      <c r="Q1511" s="16">
        <v>0</v>
      </c>
      <c r="R1511" s="16">
        <v>0</v>
      </c>
      <c r="S1511" s="12">
        <v>0</v>
      </c>
      <c r="T1511" s="16">
        <v>0</v>
      </c>
      <c r="U1511" s="16">
        <v>1</v>
      </c>
      <c r="V1511" s="16">
        <v>2</v>
      </c>
      <c r="W1511" s="16">
        <v>0</v>
      </c>
      <c r="X1511" s="18">
        <v>0</v>
      </c>
      <c r="Y1511" s="12">
        <v>0</v>
      </c>
      <c r="Z1511" s="18">
        <v>0</v>
      </c>
      <c r="AA1511" s="16">
        <v>0</v>
      </c>
      <c r="AB1511" s="16">
        <v>0</v>
      </c>
      <c r="AC1511" s="16">
        <v>0</v>
      </c>
      <c r="AD1511" s="16">
        <v>0</v>
      </c>
      <c r="AE1511" s="16">
        <v>0</v>
      </c>
      <c r="AF1511" s="16">
        <v>9</v>
      </c>
      <c r="AG1511" s="16">
        <v>2</v>
      </c>
      <c r="AH1511" s="16" t="s">
        <v>213</v>
      </c>
      <c r="AI1511" s="12">
        <v>2</v>
      </c>
      <c r="AJ1511" s="12">
        <v>0</v>
      </c>
      <c r="AK1511" s="12">
        <v>0</v>
      </c>
      <c r="AL1511" s="12">
        <v>0</v>
      </c>
      <c r="AM1511" s="16">
        <v>0</v>
      </c>
      <c r="AN1511" s="16">
        <v>0</v>
      </c>
      <c r="AO1511" s="16">
        <v>0</v>
      </c>
      <c r="AP1511" s="16">
        <v>0.5</v>
      </c>
      <c r="AQ1511" s="16">
        <v>3000</v>
      </c>
      <c r="AR1511" s="16">
        <v>0</v>
      </c>
      <c r="AS1511" s="16">
        <v>0</v>
      </c>
      <c r="AT1511" s="12">
        <v>0</v>
      </c>
      <c r="AU1511" s="16" t="s">
        <v>198</v>
      </c>
      <c r="AV1511" s="16"/>
      <c r="AW1511" s="19" t="s">
        <v>199</v>
      </c>
      <c r="AX1511" s="16">
        <v>0</v>
      </c>
      <c r="AY1511" s="18">
        <v>0</v>
      </c>
      <c r="AZ1511" s="18">
        <v>0</v>
      </c>
      <c r="BA1511" s="17" t="s">
        <v>200</v>
      </c>
      <c r="BB1511" s="16" t="s">
        <v>3218</v>
      </c>
      <c r="BC1511" s="27">
        <v>0</v>
      </c>
      <c r="BD1511" s="27">
        <v>0</v>
      </c>
      <c r="BE1511" s="87" t="s">
        <v>3219</v>
      </c>
      <c r="BF1511" s="87" t="s">
        <v>3220</v>
      </c>
      <c r="BG1511" s="16">
        <v>0</v>
      </c>
      <c r="BH1511" s="16">
        <v>0</v>
      </c>
      <c r="BI1511" s="16">
        <v>0</v>
      </c>
      <c r="BJ1511" s="16">
        <v>0</v>
      </c>
      <c r="BK1511" s="16">
        <v>0</v>
      </c>
      <c r="BL1511" s="16">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68000009</v>
      </c>
      <c r="D1512" s="19" t="s">
        <v>3221</v>
      </c>
      <c r="E1512" s="19" t="s">
        <v>3222</v>
      </c>
      <c r="F1512" s="16">
        <v>1</v>
      </c>
      <c r="G1512" s="18">
        <v>68000009</v>
      </c>
      <c r="H1512" s="18">
        <v>0</v>
      </c>
      <c r="I1512" s="27">
        <v>0</v>
      </c>
      <c r="J1512" s="18">
        <v>1</v>
      </c>
      <c r="K1512" s="18">
        <v>0</v>
      </c>
      <c r="L1512" s="18">
        <v>0</v>
      </c>
      <c r="M1512" s="16">
        <v>0</v>
      </c>
      <c r="N1512" s="16">
        <v>0</v>
      </c>
      <c r="O1512" s="16">
        <v>5</v>
      </c>
      <c r="P1512" s="16">
        <v>0</v>
      </c>
      <c r="Q1512" s="16">
        <v>0</v>
      </c>
      <c r="R1512" s="16">
        <v>0</v>
      </c>
      <c r="S1512" s="12">
        <v>0</v>
      </c>
      <c r="T1512" s="16">
        <v>0</v>
      </c>
      <c r="U1512" s="16">
        <v>1</v>
      </c>
      <c r="V1512" s="16">
        <v>2</v>
      </c>
      <c r="W1512" s="16">
        <v>0</v>
      </c>
      <c r="X1512" s="18">
        <v>0</v>
      </c>
      <c r="Y1512" s="12">
        <v>0</v>
      </c>
      <c r="Z1512" s="18">
        <v>0</v>
      </c>
      <c r="AA1512" s="16">
        <v>0</v>
      </c>
      <c r="AB1512" s="16">
        <v>0</v>
      </c>
      <c r="AC1512" s="16">
        <v>0</v>
      </c>
      <c r="AD1512" s="16">
        <v>0</v>
      </c>
      <c r="AE1512" s="16">
        <v>0</v>
      </c>
      <c r="AF1512" s="16">
        <v>9</v>
      </c>
      <c r="AG1512" s="16">
        <v>2</v>
      </c>
      <c r="AH1512" s="16" t="s">
        <v>213</v>
      </c>
      <c r="AI1512" s="12">
        <v>2</v>
      </c>
      <c r="AJ1512" s="12">
        <v>0</v>
      </c>
      <c r="AK1512" s="12">
        <v>0</v>
      </c>
      <c r="AL1512" s="12">
        <v>0</v>
      </c>
      <c r="AM1512" s="16">
        <v>0</v>
      </c>
      <c r="AN1512" s="16">
        <v>0</v>
      </c>
      <c r="AO1512" s="16">
        <v>0</v>
      </c>
      <c r="AP1512" s="16">
        <v>0.5</v>
      </c>
      <c r="AQ1512" s="16">
        <v>3000</v>
      </c>
      <c r="AR1512" s="16">
        <v>0</v>
      </c>
      <c r="AS1512" s="16">
        <v>0</v>
      </c>
      <c r="AT1512" s="12">
        <v>0</v>
      </c>
      <c r="AU1512" s="16" t="s">
        <v>198</v>
      </c>
      <c r="AV1512" s="16"/>
      <c r="AW1512" s="19" t="s">
        <v>199</v>
      </c>
      <c r="AX1512" s="16">
        <v>0</v>
      </c>
      <c r="AY1512" s="18">
        <v>0</v>
      </c>
      <c r="AZ1512" s="18">
        <v>0</v>
      </c>
      <c r="BA1512" s="17" t="s">
        <v>200</v>
      </c>
      <c r="BB1512" s="16"/>
      <c r="BC1512" s="27">
        <v>0</v>
      </c>
      <c r="BD1512" s="27">
        <v>0</v>
      </c>
      <c r="BE1512" s="87" t="s">
        <v>3223</v>
      </c>
      <c r="BF1512" s="87" t="s">
        <v>3224</v>
      </c>
      <c r="BG1512" s="16">
        <v>0</v>
      </c>
      <c r="BH1512" s="16">
        <v>0</v>
      </c>
      <c r="BI1512" s="16">
        <v>0</v>
      </c>
      <c r="BJ1512" s="16">
        <v>0</v>
      </c>
      <c r="BK1512" s="16">
        <v>0</v>
      </c>
      <c r="BL1512" s="16">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68000010</v>
      </c>
      <c r="D1513" s="19" t="s">
        <v>3225</v>
      </c>
      <c r="E1513" s="19" t="s">
        <v>3226</v>
      </c>
      <c r="F1513" s="18">
        <v>1</v>
      </c>
      <c r="G1513" s="18">
        <v>68000010</v>
      </c>
      <c r="H1513" s="18">
        <v>0</v>
      </c>
      <c r="I1513" s="27">
        <v>0</v>
      </c>
      <c r="J1513" s="18">
        <v>1</v>
      </c>
      <c r="K1513" s="18">
        <v>0</v>
      </c>
      <c r="L1513" s="18">
        <v>0</v>
      </c>
      <c r="M1513" s="18">
        <v>0</v>
      </c>
      <c r="N1513" s="18">
        <v>0</v>
      </c>
      <c r="O1513" s="18">
        <v>5</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0</v>
      </c>
      <c r="AU1513" s="18" t="s">
        <v>198</v>
      </c>
      <c r="AV1513" s="18"/>
      <c r="AW1513" s="19" t="s">
        <v>199</v>
      </c>
      <c r="AX1513" s="18">
        <v>0</v>
      </c>
      <c r="AY1513" s="18">
        <v>0</v>
      </c>
      <c r="AZ1513" s="18">
        <v>0</v>
      </c>
      <c r="BA1513" s="19" t="s">
        <v>200</v>
      </c>
      <c r="BB1513" s="19" t="s">
        <v>3227</v>
      </c>
      <c r="BC1513" s="27">
        <v>0</v>
      </c>
      <c r="BD1513" s="27">
        <v>0</v>
      </c>
      <c r="BE1513" s="87" t="s">
        <v>3228</v>
      </c>
      <c r="BF1513" s="87" t="s">
        <v>3229</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68000011</v>
      </c>
      <c r="D1514" s="19" t="s">
        <v>3230</v>
      </c>
      <c r="E1514" s="19" t="s">
        <v>3231</v>
      </c>
      <c r="F1514" s="18">
        <v>1</v>
      </c>
      <c r="G1514" s="18">
        <v>68000011</v>
      </c>
      <c r="H1514" s="18">
        <v>0</v>
      </c>
      <c r="I1514" s="27">
        <v>0</v>
      </c>
      <c r="J1514" s="18">
        <v>1</v>
      </c>
      <c r="K1514" s="18">
        <v>0</v>
      </c>
      <c r="L1514" s="18">
        <v>0</v>
      </c>
      <c r="M1514" s="18">
        <v>0</v>
      </c>
      <c r="N1514" s="18">
        <v>0</v>
      </c>
      <c r="O1514" s="18">
        <v>2</v>
      </c>
      <c r="P1514" s="18">
        <v>1</v>
      </c>
      <c r="Q1514" s="18">
        <v>0.05</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98000080</v>
      </c>
      <c r="AU1514" s="18" t="s">
        <v>198</v>
      </c>
      <c r="AV1514" s="18"/>
      <c r="AW1514" s="19" t="s">
        <v>199</v>
      </c>
      <c r="AX1514" s="18">
        <v>0</v>
      </c>
      <c r="AY1514" s="18">
        <v>0</v>
      </c>
      <c r="AZ1514" s="18">
        <v>0</v>
      </c>
      <c r="BA1514" s="19" t="s">
        <v>200</v>
      </c>
      <c r="BB1514" s="19" t="s">
        <v>198</v>
      </c>
      <c r="BC1514" s="27">
        <v>0</v>
      </c>
      <c r="BD1514" s="27">
        <v>0</v>
      </c>
      <c r="BE1514" s="87" t="s">
        <v>3232</v>
      </c>
      <c r="BF1514" s="87" t="s">
        <v>3233</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68000012</v>
      </c>
      <c r="D1515" s="19" t="s">
        <v>3234</v>
      </c>
      <c r="E1515" s="19" t="s">
        <v>295</v>
      </c>
      <c r="F1515" s="18">
        <v>1</v>
      </c>
      <c r="G1515" s="18">
        <v>68000012</v>
      </c>
      <c r="H1515" s="18">
        <v>0</v>
      </c>
      <c r="I1515" s="27">
        <v>0</v>
      </c>
      <c r="J1515" s="18">
        <v>1</v>
      </c>
      <c r="K1515" s="18">
        <v>0</v>
      </c>
      <c r="L1515" s="18">
        <v>0</v>
      </c>
      <c r="M1515" s="18">
        <v>0</v>
      </c>
      <c r="N1515" s="18">
        <v>0</v>
      </c>
      <c r="O1515" s="18">
        <v>5</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c r="AU1515" s="18" t="s">
        <v>198</v>
      </c>
      <c r="AV1515" s="18"/>
      <c r="AW1515" s="19" t="s">
        <v>199</v>
      </c>
      <c r="AX1515" s="18">
        <v>0</v>
      </c>
      <c r="AY1515" s="18">
        <v>0</v>
      </c>
      <c r="AZ1515" s="18">
        <v>0</v>
      </c>
      <c r="BA1515" s="19" t="s">
        <v>200</v>
      </c>
      <c r="BB1515" s="19" t="s">
        <v>3235</v>
      </c>
      <c r="BC1515" s="27">
        <v>0</v>
      </c>
      <c r="BD1515" s="27">
        <v>0</v>
      </c>
      <c r="BE1515" s="87" t="s">
        <v>3236</v>
      </c>
      <c r="BF1515" s="87" t="s">
        <v>3237</v>
      </c>
      <c r="BG1515" s="18">
        <v>0</v>
      </c>
      <c r="BH1515" s="16">
        <v>0</v>
      </c>
      <c r="BI1515" s="18">
        <v>0</v>
      </c>
      <c r="BJ1515" s="18">
        <v>0</v>
      </c>
      <c r="BK1515" s="18">
        <v>0</v>
      </c>
      <c r="BL1515" s="18">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68000013</v>
      </c>
      <c r="D1516" s="19" t="s">
        <v>3238</v>
      </c>
      <c r="E1516" s="19" t="s">
        <v>3239</v>
      </c>
      <c r="F1516" s="18">
        <v>1</v>
      </c>
      <c r="G1516" s="18">
        <v>68000013</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c r="AU1516" s="18" t="s">
        <v>198</v>
      </c>
      <c r="AV1516" s="18"/>
      <c r="AW1516" s="19" t="s">
        <v>199</v>
      </c>
      <c r="AX1516" s="18">
        <v>0</v>
      </c>
      <c r="AY1516" s="18">
        <v>0</v>
      </c>
      <c r="AZ1516" s="18">
        <v>0</v>
      </c>
      <c r="BA1516" s="19" t="s">
        <v>200</v>
      </c>
      <c r="BB1516" s="19" t="s">
        <v>3240</v>
      </c>
      <c r="BC1516" s="27">
        <v>0</v>
      </c>
      <c r="BD1516" s="27">
        <v>0</v>
      </c>
      <c r="BE1516" s="87" t="s">
        <v>3241</v>
      </c>
      <c r="BF1516" s="87" t="s">
        <v>3242</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68000014</v>
      </c>
      <c r="D1517" s="19" t="s">
        <v>3243</v>
      </c>
      <c r="E1517" s="19" t="s">
        <v>3244</v>
      </c>
      <c r="F1517" s="18">
        <v>1</v>
      </c>
      <c r="G1517" s="18">
        <v>68000014</v>
      </c>
      <c r="H1517" s="18">
        <v>0</v>
      </c>
      <c r="I1517" s="27">
        <v>0</v>
      </c>
      <c r="J1517" s="18">
        <v>1</v>
      </c>
      <c r="K1517" s="18">
        <v>0</v>
      </c>
      <c r="L1517" s="18">
        <v>0</v>
      </c>
      <c r="M1517" s="18">
        <v>0</v>
      </c>
      <c r="N1517" s="18">
        <v>0</v>
      </c>
      <c r="O1517" s="18">
        <v>5</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c r="AU1517" s="18" t="s">
        <v>198</v>
      </c>
      <c r="AV1517" s="18"/>
      <c r="AW1517" s="19" t="s">
        <v>199</v>
      </c>
      <c r="AX1517" s="18">
        <v>0</v>
      </c>
      <c r="AY1517" s="18">
        <v>0</v>
      </c>
      <c r="AZ1517" s="18">
        <v>0</v>
      </c>
      <c r="BA1517" s="19" t="s">
        <v>200</v>
      </c>
      <c r="BB1517" s="19" t="s">
        <v>3245</v>
      </c>
      <c r="BC1517" s="27">
        <v>0</v>
      </c>
      <c r="BD1517" s="27">
        <v>0</v>
      </c>
      <c r="BE1517" s="87" t="s">
        <v>3246</v>
      </c>
      <c r="BF1517" s="87" t="s">
        <v>3247</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68000015</v>
      </c>
      <c r="D1518" s="19" t="s">
        <v>3248</v>
      </c>
      <c r="E1518" s="19" t="s">
        <v>3249</v>
      </c>
      <c r="F1518" s="18">
        <v>1</v>
      </c>
      <c r="G1518" s="18">
        <v>68000015</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3250</v>
      </c>
      <c r="BC1518" s="27">
        <v>0</v>
      </c>
      <c r="BD1518" s="27">
        <v>0</v>
      </c>
      <c r="BE1518" s="87" t="s">
        <v>3251</v>
      </c>
      <c r="BF1518" s="87" t="s">
        <v>3252</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68000016</v>
      </c>
      <c r="D1519" s="19" t="s">
        <v>3253</v>
      </c>
      <c r="E1519" s="19" t="s">
        <v>3254</v>
      </c>
      <c r="F1519" s="18">
        <v>1</v>
      </c>
      <c r="G1519" s="18">
        <v>68000016</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3255</v>
      </c>
      <c r="BC1519" s="27">
        <v>0</v>
      </c>
      <c r="BD1519" s="27">
        <v>0</v>
      </c>
      <c r="BE1519" s="87" t="s">
        <v>3256</v>
      </c>
      <c r="BF1519" s="87" t="s">
        <v>3257</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68000017</v>
      </c>
      <c r="D1520" s="19" t="s">
        <v>3258</v>
      </c>
      <c r="E1520" s="19" t="s">
        <v>3259</v>
      </c>
      <c r="F1520" s="18">
        <v>1</v>
      </c>
      <c r="G1520" s="18">
        <v>68000017</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3260</v>
      </c>
      <c r="BC1520" s="27">
        <v>0</v>
      </c>
      <c r="BD1520" s="27">
        <v>0</v>
      </c>
      <c r="BE1520" s="87" t="s">
        <v>3261</v>
      </c>
      <c r="BF1520" s="87" t="s">
        <v>3262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68000018</v>
      </c>
      <c r="D1521" s="19" t="s">
        <v>3263</v>
      </c>
      <c r="E1521" s="19" t="s">
        <v>3264</v>
      </c>
      <c r="F1521" s="18">
        <v>1</v>
      </c>
      <c r="G1521" s="18">
        <v>68000004</v>
      </c>
      <c r="H1521" s="16">
        <v>0</v>
      </c>
      <c r="I1521" s="27">
        <v>0</v>
      </c>
      <c r="J1521" s="18">
        <v>1</v>
      </c>
      <c r="K1521" s="18">
        <v>0</v>
      </c>
      <c r="L1521" s="18">
        <v>0</v>
      </c>
      <c r="M1521" s="16">
        <v>0</v>
      </c>
      <c r="N1521" s="16">
        <v>0</v>
      </c>
      <c r="O1521" s="16">
        <v>2</v>
      </c>
      <c r="P1521" s="16">
        <v>1</v>
      </c>
      <c r="Q1521" s="16">
        <v>7.4999999999999997E-2</v>
      </c>
      <c r="R1521" s="16">
        <v>0</v>
      </c>
      <c r="S1521" s="12">
        <v>0</v>
      </c>
      <c r="T1521" s="16">
        <v>0</v>
      </c>
      <c r="U1521" s="16">
        <v>1</v>
      </c>
      <c r="V1521" s="16">
        <v>2</v>
      </c>
      <c r="W1521" s="16">
        <v>0</v>
      </c>
      <c r="X1521" s="16">
        <v>0</v>
      </c>
      <c r="Y1521" s="12">
        <v>0</v>
      </c>
      <c r="Z1521" s="16">
        <v>0</v>
      </c>
      <c r="AA1521" s="16">
        <v>0</v>
      </c>
      <c r="AB1521" s="16">
        <v>0</v>
      </c>
      <c r="AC1521" s="16">
        <v>0</v>
      </c>
      <c r="AD1521" s="16">
        <v>1</v>
      </c>
      <c r="AE1521" s="16">
        <v>0</v>
      </c>
      <c r="AF1521" s="16">
        <v>20</v>
      </c>
      <c r="AG1521" s="16">
        <v>0</v>
      </c>
      <c r="AH1521" s="16">
        <v>0</v>
      </c>
      <c r="AI1521" s="12">
        <v>2</v>
      </c>
      <c r="AJ1521" s="12">
        <v>2</v>
      </c>
      <c r="AK1521" s="12">
        <v>0</v>
      </c>
      <c r="AL1521" s="12">
        <v>1.5</v>
      </c>
      <c r="AM1521" s="16">
        <v>0</v>
      </c>
      <c r="AN1521" s="16">
        <v>0</v>
      </c>
      <c r="AO1521" s="16">
        <v>0</v>
      </c>
      <c r="AP1521" s="16">
        <v>0</v>
      </c>
      <c r="AQ1521" s="16">
        <v>3000</v>
      </c>
      <c r="AR1521" s="16">
        <v>0</v>
      </c>
      <c r="AS1521" s="16">
        <v>0</v>
      </c>
      <c r="AT1521" s="12">
        <v>0</v>
      </c>
      <c r="AU1521" s="16" t="s">
        <v>198</v>
      </c>
      <c r="AV1521" s="16"/>
      <c r="AW1521" s="17" t="s">
        <v>199</v>
      </c>
      <c r="AX1521" s="16" t="s">
        <v>545</v>
      </c>
      <c r="AY1521" s="18">
        <v>0</v>
      </c>
      <c r="AZ1521" s="18">
        <v>21101051</v>
      </c>
      <c r="BA1521" s="17" t="s">
        <v>528</v>
      </c>
      <c r="BB1521" s="16" t="s">
        <v>3265</v>
      </c>
      <c r="BC1521" s="27">
        <v>0</v>
      </c>
      <c r="BD1521" s="27">
        <v>0</v>
      </c>
      <c r="BE1521" s="44" t="s">
        <v>3266</v>
      </c>
      <c r="BF1521" s="44" t="s">
        <v>3267</v>
      </c>
      <c r="BG1521" s="16">
        <v>0</v>
      </c>
      <c r="BH1521" s="16">
        <v>0</v>
      </c>
      <c r="BI1521" s="16">
        <v>0</v>
      </c>
      <c r="BJ1521" s="16">
        <v>0</v>
      </c>
      <c r="BK1521" s="16">
        <v>0</v>
      </c>
      <c r="BL1521" s="16">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68000101</v>
      </c>
      <c r="D1522" s="19" t="s">
        <v>3268</v>
      </c>
      <c r="E1522" s="19" t="s">
        <v>3269</v>
      </c>
      <c r="F1522" s="18">
        <v>1</v>
      </c>
      <c r="G1522" s="18">
        <v>68000101</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3270</v>
      </c>
      <c r="BC1522" s="27">
        <v>0</v>
      </c>
      <c r="BD1522" s="27">
        <v>0</v>
      </c>
      <c r="BE1522" s="87" t="s">
        <v>3271</v>
      </c>
      <c r="BF1522" s="87" t="s">
        <v>3272</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68000102</v>
      </c>
      <c r="D1523" s="19" t="s">
        <v>3273</v>
      </c>
      <c r="E1523" s="19" t="s">
        <v>3274</v>
      </c>
      <c r="F1523" s="18">
        <v>1</v>
      </c>
      <c r="G1523" s="18">
        <v>68000102</v>
      </c>
      <c r="H1523" s="18">
        <v>0</v>
      </c>
      <c r="I1523" s="27">
        <v>0</v>
      </c>
      <c r="J1523" s="18">
        <v>1</v>
      </c>
      <c r="K1523" s="18">
        <v>0</v>
      </c>
      <c r="L1523" s="18">
        <v>0</v>
      </c>
      <c r="M1523" s="18">
        <v>0</v>
      </c>
      <c r="N1523" s="18">
        <v>0</v>
      </c>
      <c r="O1523" s="18">
        <v>2</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198</v>
      </c>
      <c r="BC1523" s="27">
        <v>0</v>
      </c>
      <c r="BD1523" s="27">
        <v>0</v>
      </c>
      <c r="BE1523" s="87" t="s">
        <v>3275</v>
      </c>
      <c r="BF1523" s="87" t="s">
        <v>3276</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68000103</v>
      </c>
      <c r="D1524" s="19" t="s">
        <v>3277</v>
      </c>
      <c r="E1524" s="19" t="s">
        <v>3278</v>
      </c>
      <c r="F1524" s="18">
        <v>1</v>
      </c>
      <c r="G1524" s="18">
        <v>68000103</v>
      </c>
      <c r="H1524" s="18">
        <v>0</v>
      </c>
      <c r="I1524" s="27">
        <v>0</v>
      </c>
      <c r="J1524" s="18">
        <v>1</v>
      </c>
      <c r="K1524" s="18">
        <v>0</v>
      </c>
      <c r="L1524" s="18">
        <v>0</v>
      </c>
      <c r="M1524" s="18">
        <v>0</v>
      </c>
      <c r="N1524" s="18">
        <v>0</v>
      </c>
      <c r="O1524" s="18">
        <v>2</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198</v>
      </c>
      <c r="BC1524" s="27">
        <v>0</v>
      </c>
      <c r="BD1524" s="27">
        <v>0</v>
      </c>
      <c r="BE1524" s="87" t="s">
        <v>3279</v>
      </c>
      <c r="BF1524" s="87" t="s">
        <v>3280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68000104</v>
      </c>
      <c r="D1525" s="19" t="s">
        <v>3281</v>
      </c>
      <c r="E1525" s="19" t="s">
        <v>3282</v>
      </c>
      <c r="F1525" s="18">
        <v>1</v>
      </c>
      <c r="G1525" s="18">
        <v>68000104</v>
      </c>
      <c r="H1525" s="18">
        <v>0</v>
      </c>
      <c r="I1525" s="27">
        <v>0</v>
      </c>
      <c r="J1525" s="18">
        <v>1</v>
      </c>
      <c r="K1525" s="18">
        <v>0</v>
      </c>
      <c r="L1525" s="18">
        <v>0</v>
      </c>
      <c r="M1525" s="18">
        <v>0</v>
      </c>
      <c r="N1525" s="18">
        <v>0</v>
      </c>
      <c r="O1525" s="18">
        <v>2</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198</v>
      </c>
      <c r="BC1525" s="27">
        <v>0</v>
      </c>
      <c r="BD1525" s="27">
        <v>0</v>
      </c>
      <c r="BE1525" s="87" t="s">
        <v>3283</v>
      </c>
      <c r="BF1525" s="87" t="s">
        <v>3284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68000105</v>
      </c>
      <c r="D1526" s="19" t="s">
        <v>3285</v>
      </c>
      <c r="E1526" s="19" t="s">
        <v>3286</v>
      </c>
      <c r="F1526" s="18">
        <v>1</v>
      </c>
      <c r="G1526" s="18">
        <v>68000105</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3287</v>
      </c>
      <c r="BF1526" s="87" t="s">
        <v>3288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68000106</v>
      </c>
      <c r="D1527" s="19" t="s">
        <v>3289</v>
      </c>
      <c r="E1527" s="19" t="s">
        <v>3290</v>
      </c>
      <c r="F1527" s="18">
        <v>1</v>
      </c>
      <c r="G1527" s="18">
        <v>68000106</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3291</v>
      </c>
      <c r="BF1527" s="87" t="s">
        <v>3292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68000107</v>
      </c>
      <c r="D1528" s="19" t="s">
        <v>3293</v>
      </c>
      <c r="E1528" s="19" t="s">
        <v>3294</v>
      </c>
      <c r="F1528" s="18">
        <v>1</v>
      </c>
      <c r="G1528" s="18">
        <v>68000107</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3295</v>
      </c>
      <c r="BF1528" s="87" t="s">
        <v>3296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68000108</v>
      </c>
      <c r="D1529" s="19" t="s">
        <v>3297</v>
      </c>
      <c r="E1529" s="19" t="s">
        <v>3298</v>
      </c>
      <c r="F1529" s="18">
        <v>1</v>
      </c>
      <c r="G1529" s="18">
        <v>68000108</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3299</v>
      </c>
      <c r="BF1529" s="87" t="s">
        <v>3300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68000109</v>
      </c>
      <c r="D1530" s="19" t="s">
        <v>3301</v>
      </c>
      <c r="E1530" s="19" t="s">
        <v>3302</v>
      </c>
      <c r="F1530" s="18">
        <v>1</v>
      </c>
      <c r="G1530" s="18">
        <v>68000109</v>
      </c>
      <c r="H1530" s="18">
        <v>0</v>
      </c>
      <c r="I1530" s="27">
        <v>0</v>
      </c>
      <c r="J1530" s="18">
        <v>1</v>
      </c>
      <c r="K1530" s="18">
        <v>0</v>
      </c>
      <c r="L1530" s="18">
        <v>0</v>
      </c>
      <c r="M1530" s="18">
        <v>0</v>
      </c>
      <c r="N1530" s="18">
        <v>0</v>
      </c>
      <c r="O1530" s="18">
        <v>5</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3303</v>
      </c>
      <c r="BC1530" s="27">
        <v>0</v>
      </c>
      <c r="BD1530" s="27">
        <v>0</v>
      </c>
      <c r="BE1530" s="87" t="s">
        <v>3304</v>
      </c>
      <c r="BF1530" s="87" t="s">
        <v>3305</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68000110</v>
      </c>
      <c r="D1531" s="19" t="s">
        <v>3306</v>
      </c>
      <c r="E1531" s="19" t="s">
        <v>3307</v>
      </c>
      <c r="F1531" s="18">
        <v>1</v>
      </c>
      <c r="G1531" s="18">
        <v>68000110</v>
      </c>
      <c r="H1531" s="18">
        <v>0</v>
      </c>
      <c r="I1531" s="27">
        <v>0</v>
      </c>
      <c r="J1531" s="18">
        <v>1</v>
      </c>
      <c r="K1531" s="18">
        <v>0</v>
      </c>
      <c r="L1531" s="18">
        <v>0</v>
      </c>
      <c r="M1531" s="18">
        <v>0</v>
      </c>
      <c r="N1531" s="18">
        <v>0</v>
      </c>
      <c r="O1531" s="18">
        <v>2</v>
      </c>
      <c r="P1531" s="18">
        <v>1</v>
      </c>
      <c r="Q1531" s="18">
        <v>0.05</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365" t="s">
        <v>3308</v>
      </c>
      <c r="AU1531" s="18" t="s">
        <v>198</v>
      </c>
      <c r="AV1531" s="18"/>
      <c r="AW1531" s="19" t="s">
        <v>199</v>
      </c>
      <c r="AX1531" s="18">
        <v>0</v>
      </c>
      <c r="AY1531" s="18">
        <v>0</v>
      </c>
      <c r="AZ1531" s="18">
        <v>0</v>
      </c>
      <c r="BA1531" s="19" t="s">
        <v>200</v>
      </c>
      <c r="BB1531" s="19" t="s">
        <v>198</v>
      </c>
      <c r="BC1531" s="27">
        <v>0</v>
      </c>
      <c r="BD1531" s="27">
        <v>0</v>
      </c>
      <c r="BE1531" s="87" t="s">
        <v>3309</v>
      </c>
      <c r="BF1531" s="87" t="s">
        <v>3310</v>
      </c>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row>
    <row r="1532" spans="3:75" ht="20.100000000000001" customHeight="1">
      <c r="C1532" s="18">
        <v>68000111</v>
      </c>
      <c r="D1532" s="19" t="s">
        <v>3311</v>
      </c>
      <c r="E1532" s="19" t="s">
        <v>3312</v>
      </c>
      <c r="F1532" s="18">
        <v>1</v>
      </c>
      <c r="G1532" s="18">
        <v>68000111</v>
      </c>
      <c r="H1532" s="18">
        <v>0</v>
      </c>
      <c r="I1532" s="27">
        <v>0</v>
      </c>
      <c r="J1532" s="18">
        <v>1</v>
      </c>
      <c r="K1532" s="18">
        <v>0</v>
      </c>
      <c r="L1532" s="18">
        <v>0</v>
      </c>
      <c r="M1532" s="18">
        <v>0</v>
      </c>
      <c r="N1532" s="18">
        <v>0</v>
      </c>
      <c r="O1532" s="18">
        <v>2</v>
      </c>
      <c r="P1532" s="18">
        <v>3</v>
      </c>
      <c r="Q1532" s="18">
        <v>0.05</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365" t="s">
        <v>3308</v>
      </c>
      <c r="AU1532" s="18" t="s">
        <v>198</v>
      </c>
      <c r="AV1532" s="18"/>
      <c r="AW1532" s="19" t="s">
        <v>199</v>
      </c>
      <c r="AX1532" s="18">
        <v>0</v>
      </c>
      <c r="AY1532" s="18">
        <v>0</v>
      </c>
      <c r="AZ1532" s="18">
        <v>0</v>
      </c>
      <c r="BA1532" s="19" t="s">
        <v>200</v>
      </c>
      <c r="BB1532" s="19" t="s">
        <v>198</v>
      </c>
      <c r="BC1532" s="27">
        <v>0</v>
      </c>
      <c r="BD1532" s="27">
        <v>0</v>
      </c>
      <c r="BE1532" s="87" t="s">
        <v>3313</v>
      </c>
      <c r="BF1532" s="87" t="s">
        <v>3314</v>
      </c>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row>
    <row r="1533" spans="3:75" ht="20.100000000000001" customHeight="1">
      <c r="C1533" s="18">
        <v>68000112</v>
      </c>
      <c r="D1533" s="19" t="s">
        <v>3315</v>
      </c>
      <c r="E1533" s="19" t="s">
        <v>3316</v>
      </c>
      <c r="F1533" s="18">
        <v>1</v>
      </c>
      <c r="G1533" s="18">
        <v>68000112</v>
      </c>
      <c r="H1533" s="18">
        <v>0</v>
      </c>
      <c r="I1533" s="27">
        <v>0</v>
      </c>
      <c r="J1533" s="18">
        <v>1</v>
      </c>
      <c r="K1533" s="18">
        <v>0</v>
      </c>
      <c r="L1533" s="18">
        <v>0</v>
      </c>
      <c r="M1533" s="18">
        <v>0</v>
      </c>
      <c r="N1533" s="18">
        <v>0</v>
      </c>
      <c r="O1533" s="18">
        <v>2</v>
      </c>
      <c r="P1533" s="18">
        <v>2</v>
      </c>
      <c r="Q1533" s="18">
        <v>0.5</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30</v>
      </c>
      <c r="AG1533" s="18">
        <v>0</v>
      </c>
      <c r="AH1533" s="18">
        <v>0</v>
      </c>
      <c r="AI1533" s="12">
        <v>2</v>
      </c>
      <c r="AJ1533" s="12">
        <v>0</v>
      </c>
      <c r="AK1533" s="12">
        <v>0</v>
      </c>
      <c r="AL1533" s="12">
        <v>0</v>
      </c>
      <c r="AM1533" s="18">
        <v>0</v>
      </c>
      <c r="AN1533" s="18">
        <v>0</v>
      </c>
      <c r="AO1533" s="18">
        <v>0</v>
      </c>
      <c r="AP1533" s="18">
        <v>0</v>
      </c>
      <c r="AQ1533" s="18">
        <v>1000</v>
      </c>
      <c r="AR1533" s="18">
        <v>0</v>
      </c>
      <c r="AS1533" s="18">
        <v>0</v>
      </c>
      <c r="AT1533" s="365" t="s">
        <v>3308</v>
      </c>
      <c r="AU1533" s="18" t="s">
        <v>198</v>
      </c>
      <c r="AV1533" s="18"/>
      <c r="AW1533" s="19" t="s">
        <v>199</v>
      </c>
      <c r="AX1533" s="18">
        <v>0</v>
      </c>
      <c r="AY1533" s="18">
        <v>0</v>
      </c>
      <c r="AZ1533" s="18">
        <v>0</v>
      </c>
      <c r="BA1533" s="19" t="s">
        <v>200</v>
      </c>
      <c r="BB1533" s="19" t="s">
        <v>198</v>
      </c>
      <c r="BC1533" s="27">
        <v>0</v>
      </c>
      <c r="BD1533" s="27">
        <v>0</v>
      </c>
      <c r="BE1533" s="87" t="s">
        <v>3317</v>
      </c>
      <c r="BF1533" s="87" t="s">
        <v>3318</v>
      </c>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row>
    <row r="1534" spans="3:75" ht="20.100000000000001" customHeight="1">
      <c r="C1534" s="18">
        <v>68000113</v>
      </c>
      <c r="D1534" s="19" t="s">
        <v>2920</v>
      </c>
      <c r="E1534" s="19" t="s">
        <v>3319</v>
      </c>
      <c r="F1534" s="18">
        <v>1</v>
      </c>
      <c r="G1534" s="18">
        <v>68000113</v>
      </c>
      <c r="H1534" s="18">
        <v>0</v>
      </c>
      <c r="I1534" s="27">
        <v>0</v>
      </c>
      <c r="J1534" s="18">
        <v>1</v>
      </c>
      <c r="K1534" s="18">
        <v>0</v>
      </c>
      <c r="L1534" s="18">
        <v>0</v>
      </c>
      <c r="M1534" s="18">
        <v>0</v>
      </c>
      <c r="N1534" s="18">
        <v>0</v>
      </c>
      <c r="O1534" s="18">
        <v>2</v>
      </c>
      <c r="P1534" s="18">
        <v>20</v>
      </c>
      <c r="Q1534" s="18">
        <v>1</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6</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98001104</v>
      </c>
      <c r="AU1534" s="18" t="s">
        <v>198</v>
      </c>
      <c r="AV1534" s="18"/>
      <c r="AW1534" s="19" t="s">
        <v>199</v>
      </c>
      <c r="AX1534" s="18">
        <v>0</v>
      </c>
      <c r="AY1534" s="18">
        <v>0</v>
      </c>
      <c r="AZ1534" s="18">
        <v>0</v>
      </c>
      <c r="BA1534" s="19" t="s">
        <v>200</v>
      </c>
      <c r="BB1534" s="19" t="s">
        <v>198</v>
      </c>
      <c r="BC1534" s="27">
        <v>0</v>
      </c>
      <c r="BD1534" s="27">
        <v>0</v>
      </c>
      <c r="BE1534" s="87" t="s">
        <v>3320</v>
      </c>
      <c r="BF1534" s="87" t="s">
        <v>3321</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69000001</v>
      </c>
      <c r="D1535" s="94" t="s">
        <v>3322</v>
      </c>
      <c r="E1535" s="94" t="s">
        <v>3323</v>
      </c>
      <c r="F1535" s="15">
        <v>1</v>
      </c>
      <c r="G1535" s="18">
        <v>60090002</v>
      </c>
      <c r="H1535" s="15">
        <v>0</v>
      </c>
      <c r="I1535" s="26">
        <v>0</v>
      </c>
      <c r="J1535" s="15">
        <v>1</v>
      </c>
      <c r="K1535" s="15">
        <v>0</v>
      </c>
      <c r="L1535" s="26">
        <v>0</v>
      </c>
      <c r="M1535" s="26">
        <v>0</v>
      </c>
      <c r="N1535" s="15" t="s">
        <v>3324</v>
      </c>
      <c r="O1535" s="15">
        <v>3</v>
      </c>
      <c r="P1535" s="15">
        <v>0</v>
      </c>
      <c r="Q1535" s="15">
        <v>0</v>
      </c>
      <c r="R1535" s="15">
        <v>0</v>
      </c>
      <c r="S1535" s="12">
        <v>0</v>
      </c>
      <c r="T1535" s="15">
        <v>0</v>
      </c>
      <c r="U1535" s="16">
        <v>1</v>
      </c>
      <c r="V1535" s="15">
        <v>0</v>
      </c>
      <c r="W1535" s="26">
        <v>0</v>
      </c>
      <c r="X1535" s="15">
        <v>0</v>
      </c>
      <c r="Y1535" s="12">
        <v>0</v>
      </c>
      <c r="Z1535" s="15">
        <v>0</v>
      </c>
      <c r="AA1535" s="15">
        <v>0</v>
      </c>
      <c r="AB1535" s="15">
        <v>0</v>
      </c>
      <c r="AC1535" s="26">
        <v>0</v>
      </c>
      <c r="AD1535" s="15">
        <v>0</v>
      </c>
      <c r="AE1535" s="15">
        <v>0</v>
      </c>
      <c r="AF1535" s="15">
        <v>0</v>
      </c>
      <c r="AG1535" s="15">
        <v>0</v>
      </c>
      <c r="AH1535" s="15">
        <v>0</v>
      </c>
      <c r="AI1535" s="26">
        <v>0</v>
      </c>
      <c r="AJ1535" s="69">
        <v>0</v>
      </c>
      <c r="AK1535" s="12">
        <v>0</v>
      </c>
      <c r="AL1535" s="15">
        <v>0</v>
      </c>
      <c r="AM1535" s="33">
        <v>0</v>
      </c>
      <c r="AN1535" s="15">
        <v>0</v>
      </c>
      <c r="AO1535" s="15">
        <v>0</v>
      </c>
      <c r="AP1535" s="15">
        <v>0</v>
      </c>
      <c r="AQ1535" s="15">
        <v>0</v>
      </c>
      <c r="AR1535" s="15">
        <v>0</v>
      </c>
      <c r="AS1535" s="15">
        <v>0</v>
      </c>
      <c r="AT1535" s="12">
        <v>0</v>
      </c>
      <c r="AU1535" s="36">
        <v>0</v>
      </c>
      <c r="AV1535" s="36"/>
      <c r="AW1535" s="15">
        <v>0</v>
      </c>
      <c r="AX1535" s="26">
        <v>0</v>
      </c>
      <c r="AY1535" s="26">
        <v>0</v>
      </c>
      <c r="AZ1535" s="26">
        <v>0</v>
      </c>
      <c r="BA1535" s="19" t="s">
        <v>200</v>
      </c>
      <c r="BB1535" s="81">
        <v>0</v>
      </c>
      <c r="BC1535" s="27">
        <v>0</v>
      </c>
      <c r="BD1535" s="27">
        <v>1</v>
      </c>
      <c r="BE1535" s="253" t="s">
        <v>3325</v>
      </c>
      <c r="BF1535" s="253" t="s">
        <v>3326</v>
      </c>
      <c r="BG1535" s="15">
        <v>0</v>
      </c>
      <c r="BH1535" s="15">
        <v>0</v>
      </c>
      <c r="BI1535" s="18">
        <v>0</v>
      </c>
      <c r="BJ1535" s="15">
        <v>0</v>
      </c>
      <c r="BK1535" s="15">
        <v>0</v>
      </c>
      <c r="BL1535" s="33">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69000002</v>
      </c>
      <c r="D1536" s="19" t="s">
        <v>3327</v>
      </c>
      <c r="E1536" s="19" t="s">
        <v>3328</v>
      </c>
      <c r="F1536" s="18">
        <v>1</v>
      </c>
      <c r="G1536" s="18">
        <v>68000110</v>
      </c>
      <c r="H1536" s="18">
        <v>0</v>
      </c>
      <c r="I1536" s="27">
        <v>0</v>
      </c>
      <c r="J1536" s="15">
        <v>1</v>
      </c>
      <c r="K1536" s="18">
        <v>0</v>
      </c>
      <c r="L1536" s="18">
        <v>0</v>
      </c>
      <c r="M1536" s="18">
        <v>0</v>
      </c>
      <c r="N1536" s="18">
        <v>0</v>
      </c>
      <c r="O1536" s="18">
        <v>2</v>
      </c>
      <c r="P1536" s="18">
        <v>1</v>
      </c>
      <c r="Q1536" s="18">
        <v>0.05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252">
        <v>69000021</v>
      </c>
      <c r="AU1536" s="18" t="s">
        <v>198</v>
      </c>
      <c r="AV1536" s="18"/>
      <c r="AW1536" s="19" t="s">
        <v>199</v>
      </c>
      <c r="AX1536" s="18">
        <v>0</v>
      </c>
      <c r="AY1536" s="18">
        <v>0</v>
      </c>
      <c r="AZ1536" s="18">
        <v>0</v>
      </c>
      <c r="BA1536" s="19" t="s">
        <v>200</v>
      </c>
      <c r="BB1536" s="19" t="s">
        <v>198</v>
      </c>
      <c r="BC1536" s="27">
        <v>0</v>
      </c>
      <c r="BD1536" s="27">
        <v>1</v>
      </c>
      <c r="BE1536" s="87" t="s">
        <v>3329</v>
      </c>
      <c r="BF1536" s="87" t="s">
        <v>3330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69000003</v>
      </c>
      <c r="D1537" s="94" t="s">
        <v>3331</v>
      </c>
      <c r="E1537" s="94" t="s">
        <v>3332</v>
      </c>
      <c r="F1537" s="15">
        <v>1</v>
      </c>
      <c r="G1537" s="18">
        <v>60090002</v>
      </c>
      <c r="H1537" s="15">
        <v>0</v>
      </c>
      <c r="I1537" s="26">
        <v>0</v>
      </c>
      <c r="J1537" s="15">
        <v>1</v>
      </c>
      <c r="K1537" s="15">
        <v>0</v>
      </c>
      <c r="L1537" s="26">
        <v>0</v>
      </c>
      <c r="M1537" s="26">
        <v>0</v>
      </c>
      <c r="N1537" s="15" t="s">
        <v>3333</v>
      </c>
      <c r="O1537" s="15">
        <v>3</v>
      </c>
      <c r="P1537" s="15">
        <v>0</v>
      </c>
      <c r="Q1537" s="15">
        <v>0</v>
      </c>
      <c r="R1537" s="15">
        <v>0</v>
      </c>
      <c r="S1537" s="12">
        <v>0</v>
      </c>
      <c r="T1537" s="15">
        <v>0</v>
      </c>
      <c r="U1537" s="16">
        <v>1</v>
      </c>
      <c r="V1537" s="15">
        <v>0</v>
      </c>
      <c r="W1537" s="26">
        <v>0</v>
      </c>
      <c r="X1537" s="15">
        <v>0</v>
      </c>
      <c r="Y1537" s="12">
        <v>0</v>
      </c>
      <c r="Z1537" s="15">
        <v>0</v>
      </c>
      <c r="AA1537" s="15">
        <v>0</v>
      </c>
      <c r="AB1537" s="15">
        <v>0</v>
      </c>
      <c r="AC1537" s="26">
        <v>0</v>
      </c>
      <c r="AD1537" s="15">
        <v>0</v>
      </c>
      <c r="AE1537" s="15">
        <v>0</v>
      </c>
      <c r="AF1537" s="15">
        <v>0</v>
      </c>
      <c r="AG1537" s="15">
        <v>0</v>
      </c>
      <c r="AH1537" s="15">
        <v>0</v>
      </c>
      <c r="AI1537" s="26">
        <v>0</v>
      </c>
      <c r="AJ1537" s="69">
        <v>0</v>
      </c>
      <c r="AK1537" s="12">
        <v>0</v>
      </c>
      <c r="AL1537" s="15">
        <v>0</v>
      </c>
      <c r="AM1537" s="33">
        <v>0</v>
      </c>
      <c r="AN1537" s="15">
        <v>0</v>
      </c>
      <c r="AO1537" s="15">
        <v>0</v>
      </c>
      <c r="AP1537" s="15">
        <v>0</v>
      </c>
      <c r="AQ1537" s="15">
        <v>0</v>
      </c>
      <c r="AR1537" s="15">
        <v>0</v>
      </c>
      <c r="AS1537" s="15">
        <v>0</v>
      </c>
      <c r="AT1537" s="12">
        <v>0</v>
      </c>
      <c r="AU1537" s="36">
        <v>0</v>
      </c>
      <c r="AV1537" s="36"/>
      <c r="AW1537" s="15">
        <v>0</v>
      </c>
      <c r="AX1537" s="26">
        <v>0</v>
      </c>
      <c r="AY1537" s="26">
        <v>0</v>
      </c>
      <c r="AZ1537" s="26">
        <v>0</v>
      </c>
      <c r="BA1537" s="19" t="s">
        <v>200</v>
      </c>
      <c r="BB1537" s="81">
        <v>0</v>
      </c>
      <c r="BC1537" s="27">
        <v>0</v>
      </c>
      <c r="BD1537" s="27">
        <v>1</v>
      </c>
      <c r="BE1537" s="253" t="s">
        <v>3325</v>
      </c>
      <c r="BF1537" s="253" t="s">
        <v>3326</v>
      </c>
      <c r="BG1537" s="15">
        <v>0</v>
      </c>
      <c r="BH1537" s="15">
        <v>0</v>
      </c>
      <c r="BI1537" s="18">
        <v>0</v>
      </c>
      <c r="BJ1537" s="15">
        <v>0</v>
      </c>
      <c r="BK1537" s="15">
        <v>0</v>
      </c>
      <c r="BL1537" s="33">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69000004</v>
      </c>
      <c r="D1538" s="19" t="s">
        <v>3334</v>
      </c>
      <c r="E1538" s="19" t="s">
        <v>3335</v>
      </c>
      <c r="F1538" s="18">
        <v>1</v>
      </c>
      <c r="G1538" s="18">
        <v>68000110</v>
      </c>
      <c r="H1538" s="18">
        <v>0</v>
      </c>
      <c r="I1538" s="27">
        <v>0</v>
      </c>
      <c r="J1538" s="15">
        <v>1</v>
      </c>
      <c r="K1538" s="18">
        <v>0</v>
      </c>
      <c r="L1538" s="18">
        <v>0</v>
      </c>
      <c r="M1538" s="18">
        <v>0</v>
      </c>
      <c r="N1538" s="18">
        <v>0</v>
      </c>
      <c r="O1538" s="18">
        <v>2</v>
      </c>
      <c r="P1538" s="18">
        <v>3</v>
      </c>
      <c r="Q1538" s="18">
        <v>0.2</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252">
        <v>69000041</v>
      </c>
      <c r="AU1538" s="18" t="s">
        <v>198</v>
      </c>
      <c r="AV1538" s="18"/>
      <c r="AW1538" s="19" t="s">
        <v>199</v>
      </c>
      <c r="AX1538" s="18">
        <v>0</v>
      </c>
      <c r="AY1538" s="18">
        <v>0</v>
      </c>
      <c r="AZ1538" s="18">
        <v>0</v>
      </c>
      <c r="BA1538" s="19" t="s">
        <v>200</v>
      </c>
      <c r="BB1538" s="19" t="s">
        <v>198</v>
      </c>
      <c r="BC1538" s="27">
        <v>0</v>
      </c>
      <c r="BD1538" s="27">
        <v>1</v>
      </c>
      <c r="BE1538" s="42" t="s">
        <v>3336</v>
      </c>
      <c r="BF1538" s="42" t="s">
        <v>3337</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69000005</v>
      </c>
      <c r="D1539" s="94" t="s">
        <v>3338</v>
      </c>
      <c r="E1539" s="94" t="s">
        <v>3339</v>
      </c>
      <c r="F1539" s="15">
        <v>1</v>
      </c>
      <c r="G1539" s="18">
        <v>60090002</v>
      </c>
      <c r="H1539" s="15">
        <v>0</v>
      </c>
      <c r="I1539" s="26">
        <v>0</v>
      </c>
      <c r="J1539" s="15">
        <v>1</v>
      </c>
      <c r="K1539" s="15">
        <v>0</v>
      </c>
      <c r="L1539" s="26">
        <v>0</v>
      </c>
      <c r="M1539" s="26">
        <v>0</v>
      </c>
      <c r="N1539" s="15" t="s">
        <v>3340</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53" t="s">
        <v>3325</v>
      </c>
      <c r="BF1539" s="253" t="s">
        <v>3326</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69000006</v>
      </c>
      <c r="D1540" s="13" t="s">
        <v>3341</v>
      </c>
      <c r="E1540" s="13" t="s">
        <v>3342</v>
      </c>
      <c r="F1540" s="18">
        <v>1</v>
      </c>
      <c r="G1540" s="18">
        <v>66001007</v>
      </c>
      <c r="H1540" s="12">
        <v>0</v>
      </c>
      <c r="I1540" s="12">
        <v>0</v>
      </c>
      <c r="J1540" s="15">
        <v>1</v>
      </c>
      <c r="K1540" s="18">
        <v>0</v>
      </c>
      <c r="L1540" s="12">
        <v>0</v>
      </c>
      <c r="M1540" s="12">
        <v>0</v>
      </c>
      <c r="N1540" s="12">
        <v>0</v>
      </c>
      <c r="O1540" s="12">
        <v>2</v>
      </c>
      <c r="P1540" s="12">
        <v>3</v>
      </c>
      <c r="Q1540" s="12">
        <v>0.05</v>
      </c>
      <c r="R1540" s="12">
        <v>0</v>
      </c>
      <c r="S1540" s="12">
        <v>0</v>
      </c>
      <c r="T1540" s="12">
        <v>0</v>
      </c>
      <c r="U1540" s="16">
        <v>1</v>
      </c>
      <c r="V1540" s="12">
        <v>2</v>
      </c>
      <c r="W1540" s="12">
        <v>1000</v>
      </c>
      <c r="X1540" s="12">
        <v>0</v>
      </c>
      <c r="Y1540" s="12">
        <v>0</v>
      </c>
      <c r="Z1540" s="12">
        <v>0</v>
      </c>
      <c r="AA1540" s="12">
        <v>0</v>
      </c>
      <c r="AB1540" s="12">
        <v>0</v>
      </c>
      <c r="AC1540" s="12">
        <v>0</v>
      </c>
      <c r="AD1540" s="18">
        <v>0</v>
      </c>
      <c r="AE1540" s="12">
        <v>0</v>
      </c>
      <c r="AF1540" s="12">
        <v>15</v>
      </c>
      <c r="AG1540" s="12">
        <v>0</v>
      </c>
      <c r="AH1540" s="12">
        <v>0</v>
      </c>
      <c r="AI1540" s="12">
        <v>7</v>
      </c>
      <c r="AJ1540" s="12">
        <v>0</v>
      </c>
      <c r="AK1540" s="12">
        <v>0</v>
      </c>
      <c r="AL1540" s="12">
        <v>6</v>
      </c>
      <c r="AM1540" s="12">
        <v>0</v>
      </c>
      <c r="AN1540" s="12">
        <v>0</v>
      </c>
      <c r="AO1540" s="12">
        <v>0</v>
      </c>
      <c r="AP1540" s="12">
        <v>0.5</v>
      </c>
      <c r="AQ1540" s="12">
        <v>1000</v>
      </c>
      <c r="AR1540" s="12">
        <v>0</v>
      </c>
      <c r="AS1540" s="12">
        <v>0</v>
      </c>
      <c r="AT1540" s="12">
        <v>0</v>
      </c>
      <c r="AU1540" s="12" t="s">
        <v>198</v>
      </c>
      <c r="AV1540" s="12"/>
      <c r="AW1540" s="13" t="s">
        <v>256</v>
      </c>
      <c r="AX1540" s="12" t="s">
        <v>1677</v>
      </c>
      <c r="AY1540" s="12" t="s">
        <v>198</v>
      </c>
      <c r="AZ1540" s="12" t="s">
        <v>1911</v>
      </c>
      <c r="BA1540" s="13" t="s">
        <v>200</v>
      </c>
      <c r="BB1540" s="12">
        <v>0</v>
      </c>
      <c r="BC1540" s="27">
        <v>0</v>
      </c>
      <c r="BD1540" s="27">
        <v>1</v>
      </c>
      <c r="BE1540" s="42" t="s">
        <v>3343</v>
      </c>
      <c r="BF1540" s="42" t="s">
        <v>3344</v>
      </c>
      <c r="BG1540" s="12">
        <v>0</v>
      </c>
      <c r="BH1540" s="16">
        <v>0</v>
      </c>
      <c r="BI1540" s="12">
        <v>0</v>
      </c>
      <c r="BJ1540" s="12">
        <v>0</v>
      </c>
      <c r="BK1540" s="12">
        <v>0</v>
      </c>
      <c r="BL1540" s="12">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69000007</v>
      </c>
      <c r="D1541" s="13" t="s">
        <v>3345</v>
      </c>
      <c r="E1541" s="13" t="s">
        <v>3346</v>
      </c>
      <c r="F1541" s="18">
        <v>1</v>
      </c>
      <c r="G1541" s="18">
        <v>68000110</v>
      </c>
      <c r="H1541" s="18">
        <v>0</v>
      </c>
      <c r="I1541" s="27">
        <v>0</v>
      </c>
      <c r="J1541" s="15">
        <v>1</v>
      </c>
      <c r="K1541" s="18">
        <v>0</v>
      </c>
      <c r="L1541" s="18">
        <v>0</v>
      </c>
      <c r="M1541" s="18">
        <v>0</v>
      </c>
      <c r="N1541" s="18">
        <v>0</v>
      </c>
      <c r="O1541" s="18">
        <v>2</v>
      </c>
      <c r="P1541" s="18">
        <v>1</v>
      </c>
      <c r="Q1541" s="18">
        <v>0.05</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69000071</v>
      </c>
      <c r="AU1541" s="18" t="s">
        <v>198</v>
      </c>
      <c r="AV1541" s="18"/>
      <c r="AW1541" s="19" t="s">
        <v>199</v>
      </c>
      <c r="AX1541" s="18">
        <v>0</v>
      </c>
      <c r="AY1541" s="18">
        <v>0</v>
      </c>
      <c r="AZ1541" s="18">
        <v>0</v>
      </c>
      <c r="BA1541" s="19" t="s">
        <v>200</v>
      </c>
      <c r="BB1541" s="19" t="s">
        <v>198</v>
      </c>
      <c r="BC1541" s="27">
        <v>0</v>
      </c>
      <c r="BD1541" s="27">
        <v>1</v>
      </c>
      <c r="BE1541" s="42" t="s">
        <v>3347</v>
      </c>
      <c r="BF1541" s="42" t="s">
        <v>3348</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69000008</v>
      </c>
      <c r="D1542" s="94" t="s">
        <v>3349</v>
      </c>
      <c r="E1542" s="94" t="s">
        <v>3350</v>
      </c>
      <c r="F1542" s="15">
        <v>1</v>
      </c>
      <c r="G1542" s="18">
        <v>60090002</v>
      </c>
      <c r="H1542" s="15">
        <v>0</v>
      </c>
      <c r="I1542" s="26">
        <v>0</v>
      </c>
      <c r="J1542" s="15">
        <v>1</v>
      </c>
      <c r="K1542" s="15">
        <v>0</v>
      </c>
      <c r="L1542" s="26">
        <v>0</v>
      </c>
      <c r="M1542" s="26">
        <v>0</v>
      </c>
      <c r="N1542" s="15" t="s">
        <v>3351</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53" t="s">
        <v>3325</v>
      </c>
      <c r="BF1542" s="253" t="s">
        <v>3326</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69000009</v>
      </c>
      <c r="D1543" s="94" t="s">
        <v>3352</v>
      </c>
      <c r="E1543" s="94" t="s">
        <v>3353</v>
      </c>
      <c r="F1543" s="15">
        <v>1</v>
      </c>
      <c r="G1543" s="18">
        <v>60090002</v>
      </c>
      <c r="H1543" s="15">
        <v>0</v>
      </c>
      <c r="I1543" s="26">
        <v>0</v>
      </c>
      <c r="J1543" s="15">
        <v>1</v>
      </c>
      <c r="K1543" s="15">
        <v>0</v>
      </c>
      <c r="L1543" s="26">
        <v>0</v>
      </c>
      <c r="M1543" s="26">
        <v>0</v>
      </c>
      <c r="N1543" s="15" t="s">
        <v>3351</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53" t="s">
        <v>3325</v>
      </c>
      <c r="BF1543" s="253" t="s">
        <v>3326</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69000010</v>
      </c>
      <c r="D1544" s="19" t="s">
        <v>3354</v>
      </c>
      <c r="E1544" s="19" t="s">
        <v>3355</v>
      </c>
      <c r="F1544" s="18">
        <v>1</v>
      </c>
      <c r="G1544" s="18">
        <v>68000110</v>
      </c>
      <c r="H1544" s="18">
        <v>0</v>
      </c>
      <c r="I1544" s="27">
        <v>0</v>
      </c>
      <c r="J1544" s="15">
        <v>1</v>
      </c>
      <c r="K1544" s="18">
        <v>0</v>
      </c>
      <c r="L1544" s="18">
        <v>0</v>
      </c>
      <c r="M1544" s="18">
        <v>0</v>
      </c>
      <c r="N1544" s="18">
        <v>0</v>
      </c>
      <c r="O1544" s="18">
        <v>2</v>
      </c>
      <c r="P1544" s="18">
        <v>3</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2">
        <v>69000101</v>
      </c>
      <c r="AU1544" s="18" t="s">
        <v>198</v>
      </c>
      <c r="AV1544" s="18"/>
      <c r="AW1544" s="19" t="s">
        <v>199</v>
      </c>
      <c r="AX1544" s="18">
        <v>0</v>
      </c>
      <c r="AY1544" s="18">
        <v>0</v>
      </c>
      <c r="AZ1544" s="18">
        <v>0</v>
      </c>
      <c r="BA1544" s="19" t="s">
        <v>200</v>
      </c>
      <c r="BB1544" s="19" t="s">
        <v>198</v>
      </c>
      <c r="BC1544" s="27">
        <v>0</v>
      </c>
      <c r="BD1544" s="27">
        <v>1</v>
      </c>
      <c r="BE1544" s="87" t="s">
        <v>3329</v>
      </c>
      <c r="BF1544" s="87" t="s">
        <v>3330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69000011</v>
      </c>
      <c r="D1545" s="13" t="s">
        <v>3356</v>
      </c>
      <c r="E1545" s="13" t="s">
        <v>3357</v>
      </c>
      <c r="F1545" s="18">
        <v>1</v>
      </c>
      <c r="G1545" s="18">
        <v>68000110</v>
      </c>
      <c r="H1545" s="18">
        <v>0</v>
      </c>
      <c r="I1545" s="27">
        <v>0</v>
      </c>
      <c r="J1545" s="15">
        <v>1</v>
      </c>
      <c r="K1545" s="18">
        <v>0</v>
      </c>
      <c r="L1545" s="18">
        <v>0</v>
      </c>
      <c r="M1545" s="18">
        <v>0</v>
      </c>
      <c r="N1545" s="18">
        <v>0</v>
      </c>
      <c r="O1545" s="18">
        <v>2</v>
      </c>
      <c r="P1545" s="18">
        <v>1</v>
      </c>
      <c r="Q1545" s="18">
        <v>0.05</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2">
        <v>69000111</v>
      </c>
      <c r="AU1545" s="18" t="s">
        <v>198</v>
      </c>
      <c r="AV1545" s="18"/>
      <c r="AW1545" s="19" t="s">
        <v>199</v>
      </c>
      <c r="AX1545" s="18">
        <v>0</v>
      </c>
      <c r="AY1545" s="18">
        <v>0</v>
      </c>
      <c r="AZ1545" s="18">
        <v>0</v>
      </c>
      <c r="BA1545" s="19" t="s">
        <v>200</v>
      </c>
      <c r="BB1545" s="19" t="s">
        <v>198</v>
      </c>
      <c r="BC1545" s="27">
        <v>0</v>
      </c>
      <c r="BD1545" s="27">
        <v>1</v>
      </c>
      <c r="BE1545" s="42" t="s">
        <v>3347</v>
      </c>
      <c r="BF1545" s="42" t="s">
        <v>3348</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69000012</v>
      </c>
      <c r="D1546" s="13" t="s">
        <v>3358</v>
      </c>
      <c r="E1546" s="13" t="s">
        <v>3359</v>
      </c>
      <c r="F1546" s="18">
        <v>1</v>
      </c>
      <c r="G1546" s="18">
        <v>66001007</v>
      </c>
      <c r="H1546" s="12">
        <v>0</v>
      </c>
      <c r="I1546" s="12">
        <v>0</v>
      </c>
      <c r="J1546" s="18">
        <v>1</v>
      </c>
      <c r="K1546" s="18">
        <v>0</v>
      </c>
      <c r="L1546" s="12">
        <v>0</v>
      </c>
      <c r="M1546" s="12">
        <v>0</v>
      </c>
      <c r="N1546" s="12">
        <v>0</v>
      </c>
      <c r="O1546" s="12">
        <v>2</v>
      </c>
      <c r="P1546" s="12">
        <v>3</v>
      </c>
      <c r="Q1546" s="12">
        <v>0.15</v>
      </c>
      <c r="R1546" s="12">
        <v>0</v>
      </c>
      <c r="S1546" s="12">
        <v>0</v>
      </c>
      <c r="T1546" s="12">
        <v>0</v>
      </c>
      <c r="U1546" s="16">
        <v>1</v>
      </c>
      <c r="V1546" s="12">
        <v>2</v>
      </c>
      <c r="W1546" s="12">
        <v>0</v>
      </c>
      <c r="X1546" s="12">
        <v>0</v>
      </c>
      <c r="Y1546" s="12">
        <v>0</v>
      </c>
      <c r="Z1546" s="12">
        <v>0</v>
      </c>
      <c r="AA1546" s="12">
        <v>0</v>
      </c>
      <c r="AB1546" s="12">
        <v>0</v>
      </c>
      <c r="AC1546" s="12">
        <v>0</v>
      </c>
      <c r="AD1546" s="18">
        <v>0</v>
      </c>
      <c r="AE1546" s="12">
        <v>0</v>
      </c>
      <c r="AF1546" s="12">
        <v>15</v>
      </c>
      <c r="AG1546" s="12">
        <v>0</v>
      </c>
      <c r="AH1546" s="12">
        <v>0</v>
      </c>
      <c r="AI1546" s="12">
        <v>7</v>
      </c>
      <c r="AJ1546" s="12">
        <v>0</v>
      </c>
      <c r="AK1546" s="12">
        <v>0</v>
      </c>
      <c r="AL1546" s="12">
        <v>6</v>
      </c>
      <c r="AM1546" s="12">
        <v>0</v>
      </c>
      <c r="AN1546" s="12">
        <v>0</v>
      </c>
      <c r="AO1546" s="12">
        <v>0</v>
      </c>
      <c r="AP1546" s="12">
        <v>0.5</v>
      </c>
      <c r="AQ1546" s="12">
        <v>1000</v>
      </c>
      <c r="AR1546" s="12">
        <v>0</v>
      </c>
      <c r="AS1546" s="12">
        <v>0</v>
      </c>
      <c r="AT1546" s="252">
        <v>0</v>
      </c>
      <c r="AU1546" s="12">
        <v>69000121</v>
      </c>
      <c r="AV1546" s="12"/>
      <c r="AW1546" s="13" t="s">
        <v>256</v>
      </c>
      <c r="AX1546" s="12" t="s">
        <v>1677</v>
      </c>
      <c r="AY1546" s="12" t="s">
        <v>198</v>
      </c>
      <c r="AZ1546" s="12" t="s">
        <v>1911</v>
      </c>
      <c r="BA1546" s="13" t="s">
        <v>200</v>
      </c>
      <c r="BB1546" s="12">
        <v>0</v>
      </c>
      <c r="BC1546" s="27">
        <v>0</v>
      </c>
      <c r="BD1546" s="27">
        <v>1</v>
      </c>
      <c r="BE1546" s="42" t="s">
        <v>3360</v>
      </c>
      <c r="BF1546" s="42" t="s">
        <v>3361</v>
      </c>
      <c r="BG1546" s="12">
        <v>0</v>
      </c>
      <c r="BH1546" s="16">
        <v>0</v>
      </c>
      <c r="BI1546" s="12">
        <v>0</v>
      </c>
      <c r="BJ1546" s="12">
        <v>0</v>
      </c>
      <c r="BK1546" s="12">
        <v>0</v>
      </c>
      <c r="BL1546" s="12">
        <v>0</v>
      </c>
      <c r="BM1546" s="15">
        <v>0</v>
      </c>
      <c r="BN1546" s="12">
        <v>1</v>
      </c>
      <c r="BO1546" s="12">
        <v>0</v>
      </c>
      <c r="BP1546" s="12">
        <v>0</v>
      </c>
      <c r="BQ1546" s="12">
        <v>0</v>
      </c>
      <c r="BR1546" s="12">
        <v>0</v>
      </c>
      <c r="BS1546" s="12">
        <v>0</v>
      </c>
      <c r="BT1546" s="12">
        <v>0</v>
      </c>
      <c r="BU1546" s="47">
        <v>0</v>
      </c>
      <c r="BV1546" s="47"/>
      <c r="BW1546" s="47"/>
    </row>
    <row r="1547" spans="3:75" ht="20.100000000000001" customHeight="1">
      <c r="C1547" s="18">
        <v>69000013</v>
      </c>
      <c r="D1547" s="254" t="s">
        <v>3362</v>
      </c>
      <c r="E1547" s="254" t="s">
        <v>3363</v>
      </c>
      <c r="F1547" s="15">
        <v>1</v>
      </c>
      <c r="G1547" s="18">
        <v>60090002</v>
      </c>
      <c r="H1547" s="15">
        <v>0</v>
      </c>
      <c r="I1547" s="26">
        <v>0</v>
      </c>
      <c r="J1547" s="15">
        <v>1</v>
      </c>
      <c r="K1547" s="15">
        <v>0</v>
      </c>
      <c r="L1547" s="26">
        <v>0</v>
      </c>
      <c r="M1547" s="26">
        <v>0</v>
      </c>
      <c r="N1547" s="15" t="s">
        <v>3364</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53" t="s">
        <v>3325</v>
      </c>
      <c r="BF1547" s="253" t="s">
        <v>3326</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18">
        <v>69000014</v>
      </c>
      <c r="D1548" s="254" t="s">
        <v>3365</v>
      </c>
      <c r="E1548" s="254" t="s">
        <v>3366</v>
      </c>
      <c r="F1548" s="15">
        <v>1</v>
      </c>
      <c r="G1548" s="18">
        <v>60090002</v>
      </c>
      <c r="H1548" s="15">
        <v>0</v>
      </c>
      <c r="I1548" s="26">
        <v>0</v>
      </c>
      <c r="J1548" s="15">
        <v>1</v>
      </c>
      <c r="K1548" s="15">
        <v>0</v>
      </c>
      <c r="L1548" s="26">
        <v>0</v>
      </c>
      <c r="M1548" s="26">
        <v>0</v>
      </c>
      <c r="N1548" s="15" t="s">
        <v>3367</v>
      </c>
      <c r="O1548" s="15">
        <v>3</v>
      </c>
      <c r="P1548" s="15">
        <v>0</v>
      </c>
      <c r="Q1548" s="15">
        <v>0</v>
      </c>
      <c r="R1548" s="15">
        <v>0</v>
      </c>
      <c r="S1548" s="12">
        <v>0</v>
      </c>
      <c r="T1548" s="15">
        <v>0</v>
      </c>
      <c r="U1548" s="16">
        <v>1</v>
      </c>
      <c r="V1548" s="15">
        <v>0</v>
      </c>
      <c r="W1548" s="26">
        <v>0</v>
      </c>
      <c r="X1548" s="15">
        <v>0</v>
      </c>
      <c r="Y1548" s="12">
        <v>0</v>
      </c>
      <c r="Z1548" s="15">
        <v>0</v>
      </c>
      <c r="AA1548" s="15">
        <v>0</v>
      </c>
      <c r="AB1548" s="15">
        <v>0</v>
      </c>
      <c r="AC1548" s="26">
        <v>0</v>
      </c>
      <c r="AD1548" s="15">
        <v>0</v>
      </c>
      <c r="AE1548" s="15">
        <v>0</v>
      </c>
      <c r="AF1548" s="15">
        <v>0</v>
      </c>
      <c r="AG1548" s="15">
        <v>0</v>
      </c>
      <c r="AH1548" s="15">
        <v>0</v>
      </c>
      <c r="AI1548" s="26">
        <v>0</v>
      </c>
      <c r="AJ1548" s="69">
        <v>0</v>
      </c>
      <c r="AK1548" s="12">
        <v>0</v>
      </c>
      <c r="AL1548" s="15">
        <v>0</v>
      </c>
      <c r="AM1548" s="33">
        <v>0</v>
      </c>
      <c r="AN1548" s="15">
        <v>0</v>
      </c>
      <c r="AO1548" s="15">
        <v>0</v>
      </c>
      <c r="AP1548" s="15">
        <v>0</v>
      </c>
      <c r="AQ1548" s="15">
        <v>0</v>
      </c>
      <c r="AR1548" s="15">
        <v>0</v>
      </c>
      <c r="AS1548" s="15">
        <v>0</v>
      </c>
      <c r="AT1548" s="12">
        <v>0</v>
      </c>
      <c r="AU1548" s="36">
        <v>0</v>
      </c>
      <c r="AV1548" s="36"/>
      <c r="AW1548" s="15">
        <v>0</v>
      </c>
      <c r="AX1548" s="26">
        <v>0</v>
      </c>
      <c r="AY1548" s="26">
        <v>0</v>
      </c>
      <c r="AZ1548" s="26">
        <v>0</v>
      </c>
      <c r="BA1548" s="19" t="s">
        <v>200</v>
      </c>
      <c r="BB1548" s="81">
        <v>0</v>
      </c>
      <c r="BC1548" s="27">
        <v>0</v>
      </c>
      <c r="BD1548" s="27">
        <v>1</v>
      </c>
      <c r="BE1548" s="253" t="s">
        <v>3325</v>
      </c>
      <c r="BF1548" s="253" t="s">
        <v>3326</v>
      </c>
      <c r="BG1548" s="15">
        <v>0</v>
      </c>
      <c r="BH1548" s="15">
        <v>0</v>
      </c>
      <c r="BI1548" s="18">
        <v>0</v>
      </c>
      <c r="BJ1548" s="15">
        <v>0</v>
      </c>
      <c r="BK1548" s="15">
        <v>0</v>
      </c>
      <c r="BL1548" s="33">
        <v>0</v>
      </c>
      <c r="BM1548" s="15">
        <v>0</v>
      </c>
      <c r="BN1548" s="12">
        <v>0</v>
      </c>
      <c r="BO1548" s="12">
        <v>0</v>
      </c>
      <c r="BP1548" s="12">
        <v>0</v>
      </c>
      <c r="BQ1548" s="12">
        <v>0</v>
      </c>
      <c r="BR1548" s="12">
        <v>0</v>
      </c>
      <c r="BS1548" s="12">
        <v>0</v>
      </c>
      <c r="BT1548" s="12">
        <v>0</v>
      </c>
      <c r="BU1548" s="47">
        <v>0</v>
      </c>
      <c r="BV1548" s="47"/>
      <c r="BW1548" s="47"/>
    </row>
    <row r="1549" spans="3:75" ht="20.100000000000001" customHeight="1">
      <c r="C1549" s="18">
        <v>69000015</v>
      </c>
      <c r="D1549" s="254" t="s">
        <v>3368</v>
      </c>
      <c r="E1549" s="254" t="s">
        <v>3369</v>
      </c>
      <c r="F1549" s="15">
        <v>1</v>
      </c>
      <c r="G1549" s="18">
        <v>60090002</v>
      </c>
      <c r="H1549" s="15">
        <v>0</v>
      </c>
      <c r="I1549" s="26">
        <v>0</v>
      </c>
      <c r="J1549" s="15">
        <v>1</v>
      </c>
      <c r="K1549" s="15">
        <v>0</v>
      </c>
      <c r="L1549" s="26">
        <v>0</v>
      </c>
      <c r="M1549" s="26">
        <v>0</v>
      </c>
      <c r="N1549" s="15" t="s">
        <v>3370</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53" t="s">
        <v>3325</v>
      </c>
      <c r="BF1549" s="253" t="s">
        <v>3326</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69000016</v>
      </c>
      <c r="D1550" s="254" t="s">
        <v>3371</v>
      </c>
      <c r="E1550" s="254" t="s">
        <v>3372</v>
      </c>
      <c r="F1550" s="15">
        <v>1</v>
      </c>
      <c r="G1550" s="18">
        <v>60090002</v>
      </c>
      <c r="H1550" s="15">
        <v>0</v>
      </c>
      <c r="I1550" s="26">
        <v>0</v>
      </c>
      <c r="J1550" s="15">
        <v>1</v>
      </c>
      <c r="K1550" s="15">
        <v>0</v>
      </c>
      <c r="L1550" s="26">
        <v>0</v>
      </c>
      <c r="M1550" s="26">
        <v>0</v>
      </c>
      <c r="N1550" s="15" t="s">
        <v>3373</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53" t="s">
        <v>3325</v>
      </c>
      <c r="BF1550" s="253" t="s">
        <v>3326</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69000017</v>
      </c>
      <c r="D1551" s="254" t="s">
        <v>3374</v>
      </c>
      <c r="E1551" s="254" t="s">
        <v>3375</v>
      </c>
      <c r="F1551" s="15">
        <v>1</v>
      </c>
      <c r="G1551" s="18">
        <v>60090002</v>
      </c>
      <c r="H1551" s="15">
        <v>0</v>
      </c>
      <c r="I1551" s="26">
        <v>0</v>
      </c>
      <c r="J1551" s="15">
        <v>1</v>
      </c>
      <c r="K1551" s="15">
        <v>0</v>
      </c>
      <c r="L1551" s="26">
        <v>0</v>
      </c>
      <c r="M1551" s="26">
        <v>0</v>
      </c>
      <c r="N1551" s="15" t="s">
        <v>3376</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53" t="s">
        <v>3325</v>
      </c>
      <c r="BF1551" s="253" t="s">
        <v>3326</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64">
        <v>69000018</v>
      </c>
      <c r="D1552" s="255" t="s">
        <v>3377</v>
      </c>
      <c r="E1552" s="255" t="s">
        <v>3378</v>
      </c>
      <c r="F1552" s="93">
        <v>1</v>
      </c>
      <c r="G1552" s="64">
        <v>60090002</v>
      </c>
      <c r="H1552" s="93">
        <v>0</v>
      </c>
      <c r="I1552" s="125">
        <v>0</v>
      </c>
      <c r="J1552" s="93">
        <v>1</v>
      </c>
      <c r="K1552" s="93">
        <v>0</v>
      </c>
      <c r="L1552" s="125">
        <v>0</v>
      </c>
      <c r="M1552" s="125">
        <v>0</v>
      </c>
      <c r="N1552" s="93" t="s">
        <v>3379</v>
      </c>
      <c r="O1552" s="93">
        <v>3</v>
      </c>
      <c r="P1552" s="93">
        <v>0</v>
      </c>
      <c r="Q1552" s="93">
        <v>0</v>
      </c>
      <c r="R1552" s="93">
        <v>0</v>
      </c>
      <c r="S1552" s="68">
        <v>0</v>
      </c>
      <c r="T1552" s="93">
        <v>0</v>
      </c>
      <c r="U1552" s="60">
        <v>1</v>
      </c>
      <c r="V1552" s="93">
        <v>0</v>
      </c>
      <c r="W1552" s="125">
        <v>0</v>
      </c>
      <c r="X1552" s="93">
        <v>0</v>
      </c>
      <c r="Y1552" s="12">
        <v>0</v>
      </c>
      <c r="Z1552" s="93">
        <v>0</v>
      </c>
      <c r="AA1552" s="93">
        <v>0</v>
      </c>
      <c r="AB1552" s="93">
        <v>0</v>
      </c>
      <c r="AC1552" s="125">
        <v>0</v>
      </c>
      <c r="AD1552" s="93">
        <v>0</v>
      </c>
      <c r="AE1552" s="93">
        <v>0</v>
      </c>
      <c r="AF1552" s="93">
        <v>0</v>
      </c>
      <c r="AG1552" s="93">
        <v>0</v>
      </c>
      <c r="AH1552" s="93">
        <v>0</v>
      </c>
      <c r="AI1552" s="125">
        <v>0</v>
      </c>
      <c r="AJ1552" s="126">
        <v>0</v>
      </c>
      <c r="AK1552" s="68">
        <v>0</v>
      </c>
      <c r="AL1552" s="93">
        <v>0</v>
      </c>
      <c r="AM1552" s="127">
        <v>0</v>
      </c>
      <c r="AN1552" s="93">
        <v>0</v>
      </c>
      <c r="AO1552" s="93">
        <v>0</v>
      </c>
      <c r="AP1552" s="93">
        <v>0</v>
      </c>
      <c r="AQ1552" s="93">
        <v>0</v>
      </c>
      <c r="AR1552" s="93">
        <v>0</v>
      </c>
      <c r="AS1552" s="93">
        <v>0</v>
      </c>
      <c r="AT1552" s="68">
        <v>0</v>
      </c>
      <c r="AU1552" s="260">
        <v>0</v>
      </c>
      <c r="AV1552" s="260"/>
      <c r="AW1552" s="93">
        <v>0</v>
      </c>
      <c r="AX1552" s="125">
        <v>0</v>
      </c>
      <c r="AY1552" s="125">
        <v>0</v>
      </c>
      <c r="AZ1552" s="125">
        <v>0</v>
      </c>
      <c r="BA1552" s="63" t="s">
        <v>200</v>
      </c>
      <c r="BB1552" s="262">
        <v>0</v>
      </c>
      <c r="BC1552" s="66">
        <v>0</v>
      </c>
      <c r="BD1552" s="66">
        <v>1</v>
      </c>
      <c r="BE1552" s="264" t="s">
        <v>3325</v>
      </c>
      <c r="BF1552" s="264" t="s">
        <v>3326</v>
      </c>
      <c r="BG1552" s="93">
        <v>0</v>
      </c>
      <c r="BH1552" s="93">
        <v>0</v>
      </c>
      <c r="BI1552" s="64">
        <v>0</v>
      </c>
      <c r="BJ1552" s="93">
        <v>0</v>
      </c>
      <c r="BK1552" s="93">
        <v>0</v>
      </c>
      <c r="BL1552" s="127">
        <v>0</v>
      </c>
      <c r="BM1552" s="93">
        <v>0</v>
      </c>
      <c r="BN1552" s="68">
        <v>0</v>
      </c>
      <c r="BO1552" s="68">
        <v>0</v>
      </c>
      <c r="BP1552" s="68">
        <v>0</v>
      </c>
      <c r="BQ1552" s="68">
        <v>0</v>
      </c>
      <c r="BR1552" s="68">
        <v>0</v>
      </c>
      <c r="BS1552" s="68">
        <v>0</v>
      </c>
      <c r="BT1552" s="12">
        <v>0</v>
      </c>
      <c r="BU1552" s="47">
        <v>0</v>
      </c>
      <c r="BV1552" s="47"/>
      <c r="BW1552" s="47"/>
    </row>
    <row r="1553" spans="3:75" ht="20.100000000000001" customHeight="1">
      <c r="C1553" s="18">
        <v>69011001</v>
      </c>
      <c r="D1553" s="256" t="s">
        <v>3380</v>
      </c>
      <c r="E1553" s="256" t="s">
        <v>3381</v>
      </c>
      <c r="F1553" s="74">
        <v>1</v>
      </c>
      <c r="G1553" s="74">
        <v>60090002</v>
      </c>
      <c r="H1553" s="72">
        <v>0</v>
      </c>
      <c r="I1553" s="72">
        <v>0</v>
      </c>
      <c r="J1553" s="74">
        <v>1</v>
      </c>
      <c r="K1553" s="74">
        <v>0</v>
      </c>
      <c r="L1553" s="72">
        <v>0</v>
      </c>
      <c r="M1553" s="72">
        <v>0</v>
      </c>
      <c r="N1553" s="72" t="s">
        <v>3382</v>
      </c>
      <c r="O1553" s="72">
        <v>3</v>
      </c>
      <c r="P1553" s="72">
        <v>0</v>
      </c>
      <c r="Q1553" s="72">
        <v>0</v>
      </c>
      <c r="R1553" s="72">
        <v>0</v>
      </c>
      <c r="S1553" s="12">
        <v>0</v>
      </c>
      <c r="T1553" s="72">
        <v>0</v>
      </c>
      <c r="U1553" s="16">
        <v>1</v>
      </c>
      <c r="V1553" s="72">
        <v>0</v>
      </c>
      <c r="W1553" s="72">
        <v>0</v>
      </c>
      <c r="X1553" s="72">
        <v>0</v>
      </c>
      <c r="Y1553" s="12">
        <v>0</v>
      </c>
      <c r="Z1553" s="72">
        <v>0</v>
      </c>
      <c r="AA1553" s="72">
        <v>0</v>
      </c>
      <c r="AB1553" s="72">
        <v>0</v>
      </c>
      <c r="AC1553" s="72">
        <v>0</v>
      </c>
      <c r="AD1553" s="74">
        <v>0</v>
      </c>
      <c r="AE1553" s="72">
        <v>0</v>
      </c>
      <c r="AF1553" s="72">
        <v>0</v>
      </c>
      <c r="AG1553" s="72">
        <v>0</v>
      </c>
      <c r="AH1553" s="72">
        <v>0</v>
      </c>
      <c r="AI1553" s="72">
        <v>0</v>
      </c>
      <c r="AJ1553" s="72">
        <v>0</v>
      </c>
      <c r="AK1553" s="12">
        <v>0</v>
      </c>
      <c r="AL1553" s="72">
        <v>0</v>
      </c>
      <c r="AM1553" s="72">
        <v>0</v>
      </c>
      <c r="AN1553" s="72">
        <v>0</v>
      </c>
      <c r="AO1553" s="72">
        <v>0</v>
      </c>
      <c r="AP1553" s="72">
        <v>0</v>
      </c>
      <c r="AQ1553" s="72">
        <v>0</v>
      </c>
      <c r="AR1553" s="72">
        <v>0</v>
      </c>
      <c r="AS1553" s="72">
        <v>0</v>
      </c>
      <c r="AT1553" s="261">
        <v>0</v>
      </c>
      <c r="AU1553" s="72">
        <v>0</v>
      </c>
      <c r="AV1553" s="72"/>
      <c r="AW1553" s="256">
        <v>0</v>
      </c>
      <c r="AX1553" s="72">
        <v>0</v>
      </c>
      <c r="AY1553" s="72">
        <v>0</v>
      </c>
      <c r="AZ1553" s="72">
        <v>0</v>
      </c>
      <c r="BA1553" s="13" t="s">
        <v>200</v>
      </c>
      <c r="BB1553" s="72">
        <v>0</v>
      </c>
      <c r="BC1553" s="263">
        <v>0</v>
      </c>
      <c r="BD1553" s="27">
        <v>1</v>
      </c>
      <c r="BE1553" s="256" t="s">
        <v>3380</v>
      </c>
      <c r="BF1553" s="256" t="s">
        <v>3381</v>
      </c>
      <c r="BG1553" s="72">
        <v>0</v>
      </c>
      <c r="BH1553" s="75">
        <v>0</v>
      </c>
      <c r="BI1553" s="12">
        <v>0</v>
      </c>
      <c r="BJ1553" s="72">
        <v>0</v>
      </c>
      <c r="BK1553" s="72">
        <v>0</v>
      </c>
      <c r="BL1553" s="72">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69011002</v>
      </c>
      <c r="D1554" s="256" t="s">
        <v>3383</v>
      </c>
      <c r="E1554" s="256" t="s">
        <v>3384</v>
      </c>
      <c r="F1554" s="74">
        <v>1</v>
      </c>
      <c r="G1554" s="74">
        <v>60090002</v>
      </c>
      <c r="H1554" s="72">
        <v>0</v>
      </c>
      <c r="I1554" s="72">
        <v>0</v>
      </c>
      <c r="J1554" s="74">
        <v>1</v>
      </c>
      <c r="K1554" s="74">
        <v>0</v>
      </c>
      <c r="L1554" s="72">
        <v>0</v>
      </c>
      <c r="M1554" s="72">
        <v>0</v>
      </c>
      <c r="N1554" s="72" t="s">
        <v>3351</v>
      </c>
      <c r="O1554" s="72">
        <v>3</v>
      </c>
      <c r="P1554" s="72">
        <v>0</v>
      </c>
      <c r="Q1554" s="72">
        <v>0</v>
      </c>
      <c r="R1554" s="72">
        <v>0</v>
      </c>
      <c r="S1554" s="12">
        <v>0</v>
      </c>
      <c r="T1554" s="72">
        <v>0</v>
      </c>
      <c r="U1554" s="16">
        <v>1</v>
      </c>
      <c r="V1554" s="72">
        <v>0</v>
      </c>
      <c r="W1554" s="72">
        <v>0</v>
      </c>
      <c r="X1554" s="72">
        <v>0</v>
      </c>
      <c r="Y1554" s="12">
        <v>0</v>
      </c>
      <c r="Z1554" s="72">
        <v>0</v>
      </c>
      <c r="AA1554" s="72">
        <v>0</v>
      </c>
      <c r="AB1554" s="72">
        <v>0</v>
      </c>
      <c r="AC1554" s="72">
        <v>0</v>
      </c>
      <c r="AD1554" s="74">
        <v>0</v>
      </c>
      <c r="AE1554" s="72">
        <v>0</v>
      </c>
      <c r="AF1554" s="72">
        <v>0</v>
      </c>
      <c r="AG1554" s="72">
        <v>0</v>
      </c>
      <c r="AH1554" s="72">
        <v>0</v>
      </c>
      <c r="AI1554" s="72">
        <v>0</v>
      </c>
      <c r="AJ1554" s="72">
        <v>0</v>
      </c>
      <c r="AK1554" s="12">
        <v>0</v>
      </c>
      <c r="AL1554" s="72">
        <v>0</v>
      </c>
      <c r="AM1554" s="72">
        <v>0</v>
      </c>
      <c r="AN1554" s="72">
        <v>0</v>
      </c>
      <c r="AO1554" s="72">
        <v>0</v>
      </c>
      <c r="AP1554" s="72">
        <v>0</v>
      </c>
      <c r="AQ1554" s="72">
        <v>0</v>
      </c>
      <c r="AR1554" s="72">
        <v>0</v>
      </c>
      <c r="AS1554" s="72">
        <v>0</v>
      </c>
      <c r="AT1554" s="261">
        <v>0</v>
      </c>
      <c r="AU1554" s="72">
        <v>0</v>
      </c>
      <c r="AV1554" s="72"/>
      <c r="AW1554" s="256">
        <v>0</v>
      </c>
      <c r="AX1554" s="72">
        <v>0</v>
      </c>
      <c r="AY1554" s="72">
        <v>0</v>
      </c>
      <c r="AZ1554" s="72">
        <v>0</v>
      </c>
      <c r="BA1554" s="13" t="s">
        <v>200</v>
      </c>
      <c r="BB1554" s="72">
        <v>0</v>
      </c>
      <c r="BC1554" s="263">
        <v>0</v>
      </c>
      <c r="BD1554" s="27">
        <v>1</v>
      </c>
      <c r="BE1554" s="256" t="s">
        <v>3383</v>
      </c>
      <c r="BF1554" s="256" t="s">
        <v>3384</v>
      </c>
      <c r="BG1554" s="72">
        <v>0</v>
      </c>
      <c r="BH1554" s="75">
        <v>0</v>
      </c>
      <c r="BI1554" s="12">
        <v>0</v>
      </c>
      <c r="BJ1554" s="72">
        <v>0</v>
      </c>
      <c r="BK1554" s="72">
        <v>0</v>
      </c>
      <c r="BL1554" s="72">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69011003</v>
      </c>
      <c r="D1555" s="256" t="s">
        <v>3385</v>
      </c>
      <c r="E1555" s="256" t="s">
        <v>3386</v>
      </c>
      <c r="F1555" s="74">
        <v>1</v>
      </c>
      <c r="G1555" s="74">
        <v>60090002</v>
      </c>
      <c r="H1555" s="72">
        <v>0</v>
      </c>
      <c r="I1555" s="72">
        <v>0</v>
      </c>
      <c r="J1555" s="74">
        <v>1</v>
      </c>
      <c r="K1555" s="74">
        <v>0</v>
      </c>
      <c r="L1555" s="72">
        <v>0</v>
      </c>
      <c r="M1555" s="72">
        <v>0</v>
      </c>
      <c r="N1555" s="72" t="s">
        <v>3387</v>
      </c>
      <c r="O1555" s="72">
        <v>3</v>
      </c>
      <c r="P1555" s="72">
        <v>0</v>
      </c>
      <c r="Q1555" s="72">
        <v>0</v>
      </c>
      <c r="R1555" s="72">
        <v>0</v>
      </c>
      <c r="S1555" s="12">
        <v>0</v>
      </c>
      <c r="T1555" s="72">
        <v>0</v>
      </c>
      <c r="U1555" s="16">
        <v>1</v>
      </c>
      <c r="V1555" s="72">
        <v>0</v>
      </c>
      <c r="W1555" s="72">
        <v>0</v>
      </c>
      <c r="X1555" s="72">
        <v>0</v>
      </c>
      <c r="Y1555" s="12">
        <v>0</v>
      </c>
      <c r="Z1555" s="72">
        <v>0</v>
      </c>
      <c r="AA1555" s="72">
        <v>0</v>
      </c>
      <c r="AB1555" s="72">
        <v>0</v>
      </c>
      <c r="AC1555" s="72">
        <v>0</v>
      </c>
      <c r="AD1555" s="74">
        <v>0</v>
      </c>
      <c r="AE1555" s="72">
        <v>0</v>
      </c>
      <c r="AF1555" s="72">
        <v>0</v>
      </c>
      <c r="AG1555" s="72">
        <v>0</v>
      </c>
      <c r="AH1555" s="72">
        <v>0</v>
      </c>
      <c r="AI1555" s="72">
        <v>0</v>
      </c>
      <c r="AJ1555" s="72">
        <v>0</v>
      </c>
      <c r="AK1555" s="12">
        <v>0</v>
      </c>
      <c r="AL1555" s="72">
        <v>0</v>
      </c>
      <c r="AM1555" s="72">
        <v>0</v>
      </c>
      <c r="AN1555" s="72">
        <v>0</v>
      </c>
      <c r="AO1555" s="72">
        <v>0</v>
      </c>
      <c r="AP1555" s="72">
        <v>0</v>
      </c>
      <c r="AQ1555" s="72">
        <v>0</v>
      </c>
      <c r="AR1555" s="72">
        <v>0</v>
      </c>
      <c r="AS1555" s="72">
        <v>0</v>
      </c>
      <c r="AT1555" s="261">
        <v>0</v>
      </c>
      <c r="AU1555" s="72">
        <v>0</v>
      </c>
      <c r="AV1555" s="72"/>
      <c r="AW1555" s="256">
        <v>0</v>
      </c>
      <c r="AX1555" s="72">
        <v>0</v>
      </c>
      <c r="AY1555" s="72">
        <v>0</v>
      </c>
      <c r="AZ1555" s="72">
        <v>0</v>
      </c>
      <c r="BA1555" s="13" t="s">
        <v>200</v>
      </c>
      <c r="BB1555" s="72">
        <v>0</v>
      </c>
      <c r="BC1555" s="263">
        <v>0</v>
      </c>
      <c r="BD1555" s="27">
        <v>1</v>
      </c>
      <c r="BE1555" s="256" t="s">
        <v>3385</v>
      </c>
      <c r="BF1555" s="256" t="s">
        <v>3386</v>
      </c>
      <c r="BG1555" s="72">
        <v>0</v>
      </c>
      <c r="BH1555" s="75">
        <v>0</v>
      </c>
      <c r="BI1555" s="12">
        <v>0</v>
      </c>
      <c r="BJ1555" s="72">
        <v>0</v>
      </c>
      <c r="BK1555" s="72">
        <v>0</v>
      </c>
      <c r="BL1555" s="72">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69011004</v>
      </c>
      <c r="D1556" s="256" t="s">
        <v>3388</v>
      </c>
      <c r="E1556" s="256" t="s">
        <v>3389</v>
      </c>
      <c r="F1556" s="74">
        <v>1</v>
      </c>
      <c r="G1556" s="74">
        <v>60090002</v>
      </c>
      <c r="H1556" s="72">
        <v>0</v>
      </c>
      <c r="I1556" s="72">
        <v>0</v>
      </c>
      <c r="J1556" s="74">
        <v>1</v>
      </c>
      <c r="K1556" s="74">
        <v>0</v>
      </c>
      <c r="L1556" s="72">
        <v>0</v>
      </c>
      <c r="M1556" s="72">
        <v>0</v>
      </c>
      <c r="N1556" s="72" t="s">
        <v>3390</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3388</v>
      </c>
      <c r="BF1556" s="256" t="s">
        <v>3389</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69011005</v>
      </c>
      <c r="D1557" s="256" t="s">
        <v>3391</v>
      </c>
      <c r="E1557" s="256" t="s">
        <v>3392</v>
      </c>
      <c r="F1557" s="74">
        <v>1</v>
      </c>
      <c r="G1557" s="74">
        <v>60090002</v>
      </c>
      <c r="H1557" s="72">
        <v>0</v>
      </c>
      <c r="I1557" s="72">
        <v>0</v>
      </c>
      <c r="J1557" s="74">
        <v>1</v>
      </c>
      <c r="K1557" s="74">
        <v>0</v>
      </c>
      <c r="L1557" s="72">
        <v>0</v>
      </c>
      <c r="M1557" s="72">
        <v>0</v>
      </c>
      <c r="N1557" s="72" t="s">
        <v>3324</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3391</v>
      </c>
      <c r="BF1557" s="256" t="s">
        <v>3392</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69011006</v>
      </c>
      <c r="D1558" s="256" t="s">
        <v>3393</v>
      </c>
      <c r="E1558" s="256" t="s">
        <v>3394</v>
      </c>
      <c r="F1558" s="74">
        <v>1</v>
      </c>
      <c r="G1558" s="74">
        <v>60090002</v>
      </c>
      <c r="H1558" s="72">
        <v>0</v>
      </c>
      <c r="I1558" s="72">
        <v>0</v>
      </c>
      <c r="J1558" s="74">
        <v>1</v>
      </c>
      <c r="K1558" s="74">
        <v>0</v>
      </c>
      <c r="L1558" s="72">
        <v>0</v>
      </c>
      <c r="M1558" s="72">
        <v>0</v>
      </c>
      <c r="N1558" s="72" t="s">
        <v>3364</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3393</v>
      </c>
      <c r="BF1558" s="256" t="s">
        <v>3394</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69011101</v>
      </c>
      <c r="D1559" s="256" t="s">
        <v>3395</v>
      </c>
      <c r="E1559" s="256" t="s">
        <v>3396</v>
      </c>
      <c r="F1559" s="74">
        <v>1</v>
      </c>
      <c r="G1559" s="74">
        <v>60090002</v>
      </c>
      <c r="H1559" s="72">
        <v>0</v>
      </c>
      <c r="I1559" s="72">
        <v>0</v>
      </c>
      <c r="J1559" s="74">
        <v>1</v>
      </c>
      <c r="K1559" s="74">
        <v>0</v>
      </c>
      <c r="L1559" s="72">
        <v>0</v>
      </c>
      <c r="M1559" s="72">
        <v>0</v>
      </c>
      <c r="N1559" s="72" t="s">
        <v>3397</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3395</v>
      </c>
      <c r="BF1559" s="256" t="s">
        <v>3396</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69011102</v>
      </c>
      <c r="D1560" s="256" t="s">
        <v>3398</v>
      </c>
      <c r="E1560" s="256" t="s">
        <v>3399</v>
      </c>
      <c r="F1560" s="74">
        <v>1</v>
      </c>
      <c r="G1560" s="74">
        <v>60090002</v>
      </c>
      <c r="H1560" s="72">
        <v>0</v>
      </c>
      <c r="I1560" s="72">
        <v>0</v>
      </c>
      <c r="J1560" s="74">
        <v>1</v>
      </c>
      <c r="K1560" s="74">
        <v>0</v>
      </c>
      <c r="L1560" s="72">
        <v>0</v>
      </c>
      <c r="M1560" s="72">
        <v>0</v>
      </c>
      <c r="N1560" s="72" t="s">
        <v>3400</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3398</v>
      </c>
      <c r="BF1560" s="256" t="s">
        <v>3399</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69011103</v>
      </c>
      <c r="D1561" s="256" t="s">
        <v>3401</v>
      </c>
      <c r="E1561" s="256" t="s">
        <v>3402</v>
      </c>
      <c r="F1561" s="74">
        <v>1</v>
      </c>
      <c r="G1561" s="74">
        <v>60090002</v>
      </c>
      <c r="H1561" s="72">
        <v>0</v>
      </c>
      <c r="I1561" s="72">
        <v>0</v>
      </c>
      <c r="J1561" s="74">
        <v>1</v>
      </c>
      <c r="K1561" s="74">
        <v>0</v>
      </c>
      <c r="L1561" s="72">
        <v>0</v>
      </c>
      <c r="M1561" s="72">
        <v>0</v>
      </c>
      <c r="N1561" s="72" t="s">
        <v>3403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3401</v>
      </c>
      <c r="BF1561" s="256" t="s">
        <v>3402</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69011104</v>
      </c>
      <c r="D1562" s="256" t="s">
        <v>3404</v>
      </c>
      <c r="E1562" s="256" t="s">
        <v>3405</v>
      </c>
      <c r="F1562" s="74">
        <v>1</v>
      </c>
      <c r="G1562" s="74">
        <v>60090002</v>
      </c>
      <c r="H1562" s="72">
        <v>0</v>
      </c>
      <c r="I1562" s="72">
        <v>0</v>
      </c>
      <c r="J1562" s="74">
        <v>1</v>
      </c>
      <c r="K1562" s="74">
        <v>0</v>
      </c>
      <c r="L1562" s="72">
        <v>0</v>
      </c>
      <c r="M1562" s="72">
        <v>0</v>
      </c>
      <c r="N1562" s="72" t="s">
        <v>3406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3404</v>
      </c>
      <c r="BF1562" s="256" t="s">
        <v>3405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69011201</v>
      </c>
      <c r="D1563" s="256" t="s">
        <v>3407</v>
      </c>
      <c r="E1563" s="256" t="s">
        <v>3408</v>
      </c>
      <c r="F1563" s="74">
        <v>1</v>
      </c>
      <c r="G1563" s="74">
        <v>60090002</v>
      </c>
      <c r="H1563" s="72">
        <v>0</v>
      </c>
      <c r="I1563" s="72">
        <v>0</v>
      </c>
      <c r="J1563" s="74">
        <v>1</v>
      </c>
      <c r="K1563" s="74">
        <v>0</v>
      </c>
      <c r="L1563" s="72">
        <v>0</v>
      </c>
      <c r="M1563" s="72">
        <v>0</v>
      </c>
      <c r="N1563" s="72" t="s">
        <v>3409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3407</v>
      </c>
      <c r="BF1563" s="256" t="s">
        <v>3408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69011202</v>
      </c>
      <c r="D1564" s="256" t="s">
        <v>3410</v>
      </c>
      <c r="E1564" s="256" t="s">
        <v>3411</v>
      </c>
      <c r="F1564" s="74">
        <v>1</v>
      </c>
      <c r="G1564" s="74">
        <v>60090002</v>
      </c>
      <c r="H1564" s="72">
        <v>0</v>
      </c>
      <c r="I1564" s="72">
        <v>0</v>
      </c>
      <c r="J1564" s="74">
        <v>1</v>
      </c>
      <c r="K1564" s="74">
        <v>0</v>
      </c>
      <c r="L1564" s="72">
        <v>0</v>
      </c>
      <c r="M1564" s="72">
        <v>0</v>
      </c>
      <c r="N1564" s="72" t="s">
        <v>3412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3410</v>
      </c>
      <c r="BF1564" s="256" t="s">
        <v>3411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69011203</v>
      </c>
      <c r="D1565" s="256" t="s">
        <v>3413</v>
      </c>
      <c r="E1565" s="256" t="s">
        <v>3414</v>
      </c>
      <c r="F1565" s="74">
        <v>1</v>
      </c>
      <c r="G1565" s="74">
        <v>60090002</v>
      </c>
      <c r="H1565" s="72">
        <v>0</v>
      </c>
      <c r="I1565" s="72">
        <v>0</v>
      </c>
      <c r="J1565" s="74">
        <v>1</v>
      </c>
      <c r="K1565" s="74">
        <v>0</v>
      </c>
      <c r="L1565" s="72">
        <v>0</v>
      </c>
      <c r="M1565" s="72">
        <v>0</v>
      </c>
      <c r="N1565" s="72" t="s">
        <v>3415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3413</v>
      </c>
      <c r="BF1565" s="256" t="s">
        <v>3414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69011204</v>
      </c>
      <c r="D1566" s="256" t="s">
        <v>3416</v>
      </c>
      <c r="E1566" s="256" t="s">
        <v>3417</v>
      </c>
      <c r="F1566" s="74">
        <v>1</v>
      </c>
      <c r="G1566" s="74">
        <v>60090002</v>
      </c>
      <c r="H1566" s="72">
        <v>0</v>
      </c>
      <c r="I1566" s="72">
        <v>0</v>
      </c>
      <c r="J1566" s="74">
        <v>1</v>
      </c>
      <c r="K1566" s="74">
        <v>0</v>
      </c>
      <c r="L1566" s="72">
        <v>0</v>
      </c>
      <c r="M1566" s="72">
        <v>0</v>
      </c>
      <c r="N1566" s="72" t="s">
        <v>3418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3416</v>
      </c>
      <c r="BF1566" s="256" t="s">
        <v>3417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69011301</v>
      </c>
      <c r="D1567" s="256" t="s">
        <v>3419</v>
      </c>
      <c r="E1567" s="256" t="s">
        <v>3420</v>
      </c>
      <c r="F1567" s="74">
        <v>1</v>
      </c>
      <c r="G1567" s="74">
        <v>60090002</v>
      </c>
      <c r="H1567" s="72">
        <v>0</v>
      </c>
      <c r="I1567" s="72">
        <v>0</v>
      </c>
      <c r="J1567" s="74">
        <v>1</v>
      </c>
      <c r="K1567" s="74">
        <v>0</v>
      </c>
      <c r="L1567" s="72">
        <v>0</v>
      </c>
      <c r="M1567" s="72">
        <v>0</v>
      </c>
      <c r="N1567" s="72" t="s">
        <v>3421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3419</v>
      </c>
      <c r="BF1567" s="256" t="s">
        <v>3420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69011302</v>
      </c>
      <c r="D1568" s="256" t="s">
        <v>3422</v>
      </c>
      <c r="E1568" s="256" t="s">
        <v>3423</v>
      </c>
      <c r="F1568" s="74">
        <v>1</v>
      </c>
      <c r="G1568" s="74">
        <v>60090002</v>
      </c>
      <c r="H1568" s="72">
        <v>0</v>
      </c>
      <c r="I1568" s="72">
        <v>0</v>
      </c>
      <c r="J1568" s="74">
        <v>1</v>
      </c>
      <c r="K1568" s="74">
        <v>0</v>
      </c>
      <c r="L1568" s="72">
        <v>0</v>
      </c>
      <c r="M1568" s="72">
        <v>0</v>
      </c>
      <c r="N1568" s="72" t="s">
        <v>3424</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3422</v>
      </c>
      <c r="BF1568" s="256" t="s">
        <v>3423</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69011303</v>
      </c>
      <c r="D1569" s="256" t="s">
        <v>3425</v>
      </c>
      <c r="E1569" s="256" t="s">
        <v>3426</v>
      </c>
      <c r="F1569" s="74">
        <v>1</v>
      </c>
      <c r="G1569" s="74">
        <v>60090002</v>
      </c>
      <c r="H1569" s="72">
        <v>0</v>
      </c>
      <c r="I1569" s="72">
        <v>0</v>
      </c>
      <c r="J1569" s="74">
        <v>1</v>
      </c>
      <c r="K1569" s="74">
        <v>0</v>
      </c>
      <c r="L1569" s="72">
        <v>0</v>
      </c>
      <c r="M1569" s="72">
        <v>0</v>
      </c>
      <c r="N1569" s="72" t="s">
        <v>3427</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3425</v>
      </c>
      <c r="BF1569" s="256" t="s">
        <v>3426</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69011304</v>
      </c>
      <c r="D1570" s="256" t="s">
        <v>3428</v>
      </c>
      <c r="E1570" s="256" t="s">
        <v>3429</v>
      </c>
      <c r="F1570" s="74">
        <v>1</v>
      </c>
      <c r="G1570" s="74">
        <v>60090002</v>
      </c>
      <c r="H1570" s="72">
        <v>0</v>
      </c>
      <c r="I1570" s="72">
        <v>0</v>
      </c>
      <c r="J1570" s="74">
        <v>1</v>
      </c>
      <c r="K1570" s="74">
        <v>0</v>
      </c>
      <c r="L1570" s="72">
        <v>0</v>
      </c>
      <c r="M1570" s="72">
        <v>0</v>
      </c>
      <c r="N1570" s="72" t="s">
        <v>3430</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3428</v>
      </c>
      <c r="BF1570" s="256" t="s">
        <v>3429</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69012001</v>
      </c>
      <c r="D1571" s="256" t="s">
        <v>3431</v>
      </c>
      <c r="E1571" s="256" t="s">
        <v>3432</v>
      </c>
      <c r="F1571" s="74">
        <v>1</v>
      </c>
      <c r="G1571" s="74">
        <v>60090002</v>
      </c>
      <c r="H1571" s="72">
        <v>0</v>
      </c>
      <c r="I1571" s="72">
        <v>0</v>
      </c>
      <c r="J1571" s="74">
        <v>1</v>
      </c>
      <c r="K1571" s="74">
        <v>0</v>
      </c>
      <c r="L1571" s="72">
        <v>0</v>
      </c>
      <c r="M1571" s="72">
        <v>0</v>
      </c>
      <c r="N1571" s="72" t="s">
        <v>3379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3431</v>
      </c>
      <c r="BF1571" s="256" t="s">
        <v>3432</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69012002</v>
      </c>
      <c r="D1572" s="256" t="s">
        <v>3433</v>
      </c>
      <c r="E1572" s="256" t="s">
        <v>3434</v>
      </c>
      <c r="F1572" s="74">
        <v>1</v>
      </c>
      <c r="G1572" s="74">
        <v>60090002</v>
      </c>
      <c r="H1572" s="72">
        <v>0</v>
      </c>
      <c r="I1572" s="72">
        <v>0</v>
      </c>
      <c r="J1572" s="74">
        <v>1</v>
      </c>
      <c r="K1572" s="74">
        <v>0</v>
      </c>
      <c r="L1572" s="72">
        <v>0</v>
      </c>
      <c r="M1572" s="72">
        <v>0</v>
      </c>
      <c r="N1572" s="72" t="s">
        <v>3340</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3433</v>
      </c>
      <c r="BF1572" s="256" t="s">
        <v>3434</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69012003</v>
      </c>
      <c r="D1573" s="256" t="s">
        <v>3435</v>
      </c>
      <c r="E1573" s="256" t="s">
        <v>3436</v>
      </c>
      <c r="F1573" s="74">
        <v>1</v>
      </c>
      <c r="G1573" s="74">
        <v>60090002</v>
      </c>
      <c r="H1573" s="72">
        <v>0</v>
      </c>
      <c r="I1573" s="72">
        <v>0</v>
      </c>
      <c r="J1573" s="74">
        <v>1</v>
      </c>
      <c r="K1573" s="74">
        <v>0</v>
      </c>
      <c r="L1573" s="72">
        <v>0</v>
      </c>
      <c r="M1573" s="72">
        <v>0</v>
      </c>
      <c r="N1573" s="72" t="s">
        <v>3437</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3435</v>
      </c>
      <c r="BF1573" s="256" t="s">
        <v>3436</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69012004</v>
      </c>
      <c r="D1574" s="256" t="s">
        <v>3438</v>
      </c>
      <c r="E1574" s="256" t="s">
        <v>3439</v>
      </c>
      <c r="F1574" s="74">
        <v>1</v>
      </c>
      <c r="G1574" s="74">
        <v>60090002</v>
      </c>
      <c r="H1574" s="72">
        <v>0</v>
      </c>
      <c r="I1574" s="72">
        <v>0</v>
      </c>
      <c r="J1574" s="74">
        <v>1</v>
      </c>
      <c r="K1574" s="74">
        <v>0</v>
      </c>
      <c r="L1574" s="72">
        <v>0</v>
      </c>
      <c r="M1574" s="72">
        <v>0</v>
      </c>
      <c r="N1574" s="72" t="s">
        <v>3440</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3438</v>
      </c>
      <c r="BF1574" s="256" t="s">
        <v>3439</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69012005</v>
      </c>
      <c r="D1575" s="256" t="s">
        <v>3441</v>
      </c>
      <c r="E1575" s="256" t="s">
        <v>3442</v>
      </c>
      <c r="F1575" s="74">
        <v>1</v>
      </c>
      <c r="G1575" s="74">
        <v>60090002</v>
      </c>
      <c r="H1575" s="72">
        <v>0</v>
      </c>
      <c r="I1575" s="72">
        <v>0</v>
      </c>
      <c r="J1575" s="74">
        <v>1</v>
      </c>
      <c r="K1575" s="74">
        <v>0</v>
      </c>
      <c r="L1575" s="72">
        <v>0</v>
      </c>
      <c r="M1575" s="72">
        <v>0</v>
      </c>
      <c r="N1575" s="72" t="s">
        <v>3333</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3441</v>
      </c>
      <c r="BF1575" s="256" t="s">
        <v>3442</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69012006</v>
      </c>
      <c r="D1576" s="256" t="s">
        <v>3443</v>
      </c>
      <c r="E1576" s="256" t="s">
        <v>3444</v>
      </c>
      <c r="F1576" s="74">
        <v>1</v>
      </c>
      <c r="G1576" s="74">
        <v>60090002</v>
      </c>
      <c r="H1576" s="72">
        <v>0</v>
      </c>
      <c r="I1576" s="72">
        <v>0</v>
      </c>
      <c r="J1576" s="74">
        <v>1</v>
      </c>
      <c r="K1576" s="74">
        <v>0</v>
      </c>
      <c r="L1576" s="72">
        <v>0</v>
      </c>
      <c r="M1576" s="72">
        <v>0</v>
      </c>
      <c r="N1576" s="72" t="s">
        <v>3445</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3443</v>
      </c>
      <c r="BF1576" s="256" t="s">
        <v>3444</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69012101</v>
      </c>
      <c r="D1577" s="256" t="s">
        <v>3446</v>
      </c>
      <c r="E1577" s="256" t="s">
        <v>3447</v>
      </c>
      <c r="F1577" s="74">
        <v>1</v>
      </c>
      <c r="G1577" s="74">
        <v>60090002</v>
      </c>
      <c r="H1577" s="72">
        <v>0</v>
      </c>
      <c r="I1577" s="72">
        <v>0</v>
      </c>
      <c r="J1577" s="74">
        <v>1</v>
      </c>
      <c r="K1577" s="74">
        <v>0</v>
      </c>
      <c r="L1577" s="72">
        <v>0</v>
      </c>
      <c r="M1577" s="72">
        <v>0</v>
      </c>
      <c r="N1577" s="72" t="s">
        <v>3448</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3446</v>
      </c>
      <c r="BF1577" s="256" t="s">
        <v>3447</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69012102</v>
      </c>
      <c r="D1578" s="256" t="s">
        <v>3449</v>
      </c>
      <c r="E1578" s="256" t="s">
        <v>3450</v>
      </c>
      <c r="F1578" s="74">
        <v>1</v>
      </c>
      <c r="G1578" s="74">
        <v>60090002</v>
      </c>
      <c r="H1578" s="72">
        <v>0</v>
      </c>
      <c r="I1578" s="72">
        <v>0</v>
      </c>
      <c r="J1578" s="74">
        <v>1</v>
      </c>
      <c r="K1578" s="74">
        <v>0</v>
      </c>
      <c r="L1578" s="72">
        <v>0</v>
      </c>
      <c r="M1578" s="72">
        <v>0</v>
      </c>
      <c r="N1578" s="72" t="s">
        <v>3451</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3449</v>
      </c>
      <c r="BF1578" s="256" t="s">
        <v>3450</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69012103</v>
      </c>
      <c r="D1579" s="256" t="s">
        <v>3452</v>
      </c>
      <c r="E1579" s="256" t="s">
        <v>3453</v>
      </c>
      <c r="F1579" s="74">
        <v>1</v>
      </c>
      <c r="G1579" s="74">
        <v>60090002</v>
      </c>
      <c r="H1579" s="72">
        <v>0</v>
      </c>
      <c r="I1579" s="72">
        <v>0</v>
      </c>
      <c r="J1579" s="74">
        <v>1</v>
      </c>
      <c r="K1579" s="74">
        <v>0</v>
      </c>
      <c r="L1579" s="72">
        <v>0</v>
      </c>
      <c r="M1579" s="72">
        <v>0</v>
      </c>
      <c r="N1579" s="72" t="s">
        <v>3454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3452</v>
      </c>
      <c r="BF1579" s="256" t="s">
        <v>3453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69012104</v>
      </c>
      <c r="D1580" s="256" t="s">
        <v>3455</v>
      </c>
      <c r="E1580" s="256" t="s">
        <v>3456</v>
      </c>
      <c r="F1580" s="74">
        <v>1</v>
      </c>
      <c r="G1580" s="74">
        <v>60090002</v>
      </c>
      <c r="H1580" s="72">
        <v>0</v>
      </c>
      <c r="I1580" s="72">
        <v>0</v>
      </c>
      <c r="J1580" s="74">
        <v>1</v>
      </c>
      <c r="K1580" s="74">
        <v>0</v>
      </c>
      <c r="L1580" s="72">
        <v>0</v>
      </c>
      <c r="M1580" s="72">
        <v>0</v>
      </c>
      <c r="N1580" s="72" t="s">
        <v>3457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3455</v>
      </c>
      <c r="BF1580" s="256" t="s">
        <v>3456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69012201</v>
      </c>
      <c r="D1581" s="256" t="s">
        <v>3458</v>
      </c>
      <c r="E1581" s="256" t="s">
        <v>3459</v>
      </c>
      <c r="F1581" s="74">
        <v>1</v>
      </c>
      <c r="G1581" s="74">
        <v>60090002</v>
      </c>
      <c r="H1581" s="72">
        <v>0</v>
      </c>
      <c r="I1581" s="72">
        <v>0</v>
      </c>
      <c r="J1581" s="74">
        <v>1</v>
      </c>
      <c r="K1581" s="74">
        <v>0</v>
      </c>
      <c r="L1581" s="72">
        <v>0</v>
      </c>
      <c r="M1581" s="72">
        <v>0</v>
      </c>
      <c r="N1581" s="72" t="s">
        <v>3460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3458</v>
      </c>
      <c r="BF1581" s="256" t="s">
        <v>3459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69012202</v>
      </c>
      <c r="D1582" s="256" t="s">
        <v>3461</v>
      </c>
      <c r="E1582" s="256" t="s">
        <v>3462</v>
      </c>
      <c r="F1582" s="74">
        <v>1</v>
      </c>
      <c r="G1582" s="74">
        <v>60090002</v>
      </c>
      <c r="H1582" s="72">
        <v>0</v>
      </c>
      <c r="I1582" s="72">
        <v>0</v>
      </c>
      <c r="J1582" s="74">
        <v>1</v>
      </c>
      <c r="K1582" s="74">
        <v>0</v>
      </c>
      <c r="L1582" s="72">
        <v>0</v>
      </c>
      <c r="M1582" s="72">
        <v>0</v>
      </c>
      <c r="N1582" s="72" t="s">
        <v>3463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3461</v>
      </c>
      <c r="BF1582" s="256" t="s">
        <v>3462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69012203</v>
      </c>
      <c r="D1583" s="256" t="s">
        <v>3464</v>
      </c>
      <c r="E1583" s="256" t="s">
        <v>3465</v>
      </c>
      <c r="F1583" s="74">
        <v>1</v>
      </c>
      <c r="G1583" s="74">
        <v>60090002</v>
      </c>
      <c r="H1583" s="72">
        <v>0</v>
      </c>
      <c r="I1583" s="72">
        <v>0</v>
      </c>
      <c r="J1583" s="74">
        <v>1</v>
      </c>
      <c r="K1583" s="74">
        <v>0</v>
      </c>
      <c r="L1583" s="72">
        <v>0</v>
      </c>
      <c r="M1583" s="72">
        <v>0</v>
      </c>
      <c r="N1583" s="72" t="s">
        <v>3466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3464</v>
      </c>
      <c r="BF1583" s="256" t="s">
        <v>3465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69012204</v>
      </c>
      <c r="D1584" s="256" t="s">
        <v>3467</v>
      </c>
      <c r="E1584" s="256" t="s">
        <v>3468</v>
      </c>
      <c r="F1584" s="74">
        <v>1</v>
      </c>
      <c r="G1584" s="74">
        <v>60090002</v>
      </c>
      <c r="H1584" s="72">
        <v>0</v>
      </c>
      <c r="I1584" s="72">
        <v>0</v>
      </c>
      <c r="J1584" s="74">
        <v>1</v>
      </c>
      <c r="K1584" s="74">
        <v>0</v>
      </c>
      <c r="L1584" s="72">
        <v>0</v>
      </c>
      <c r="M1584" s="72">
        <v>0</v>
      </c>
      <c r="N1584" s="72" t="s">
        <v>3469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3467</v>
      </c>
      <c r="BF1584" s="256" t="s">
        <v>3468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69012301</v>
      </c>
      <c r="D1585" s="256" t="s">
        <v>3470</v>
      </c>
      <c r="E1585" s="256" t="s">
        <v>3471</v>
      </c>
      <c r="F1585" s="74">
        <v>1</v>
      </c>
      <c r="G1585" s="74">
        <v>60090002</v>
      </c>
      <c r="H1585" s="72">
        <v>0</v>
      </c>
      <c r="I1585" s="72">
        <v>0</v>
      </c>
      <c r="J1585" s="74">
        <v>1</v>
      </c>
      <c r="K1585" s="74">
        <v>0</v>
      </c>
      <c r="L1585" s="72">
        <v>0</v>
      </c>
      <c r="M1585" s="72">
        <v>0</v>
      </c>
      <c r="N1585" s="72" t="s">
        <v>3472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3470</v>
      </c>
      <c r="BF1585" s="256" t="s">
        <v>3471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69012302</v>
      </c>
      <c r="D1586" s="256" t="s">
        <v>3473</v>
      </c>
      <c r="E1586" s="256" t="s">
        <v>3474</v>
      </c>
      <c r="F1586" s="74">
        <v>1</v>
      </c>
      <c r="G1586" s="74">
        <v>60090002</v>
      </c>
      <c r="H1586" s="72">
        <v>0</v>
      </c>
      <c r="I1586" s="72">
        <v>0</v>
      </c>
      <c r="J1586" s="74">
        <v>1</v>
      </c>
      <c r="K1586" s="74">
        <v>0</v>
      </c>
      <c r="L1586" s="72">
        <v>0</v>
      </c>
      <c r="M1586" s="72">
        <v>0</v>
      </c>
      <c r="N1586" s="72" t="s">
        <v>3475</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3473</v>
      </c>
      <c r="BF1586" s="256" t="s">
        <v>3474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69012303</v>
      </c>
      <c r="D1587" s="256" t="s">
        <v>3476</v>
      </c>
      <c r="E1587" s="256" t="s">
        <v>3477</v>
      </c>
      <c r="F1587" s="74">
        <v>1</v>
      </c>
      <c r="G1587" s="74">
        <v>60090002</v>
      </c>
      <c r="H1587" s="72">
        <v>0</v>
      </c>
      <c r="I1587" s="72">
        <v>0</v>
      </c>
      <c r="J1587" s="74">
        <v>1</v>
      </c>
      <c r="K1587" s="74">
        <v>0</v>
      </c>
      <c r="L1587" s="72">
        <v>0</v>
      </c>
      <c r="M1587" s="72">
        <v>0</v>
      </c>
      <c r="N1587" s="72" t="s">
        <v>3478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3476</v>
      </c>
      <c r="BF1587" s="256" t="s">
        <v>3477</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69012304</v>
      </c>
      <c r="D1588" s="256" t="s">
        <v>3479</v>
      </c>
      <c r="E1588" s="256" t="s">
        <v>3480</v>
      </c>
      <c r="F1588" s="74">
        <v>1</v>
      </c>
      <c r="G1588" s="74">
        <v>60090002</v>
      </c>
      <c r="H1588" s="72">
        <v>0</v>
      </c>
      <c r="I1588" s="72">
        <v>0</v>
      </c>
      <c r="J1588" s="74">
        <v>1</v>
      </c>
      <c r="K1588" s="74">
        <v>0</v>
      </c>
      <c r="L1588" s="72">
        <v>0</v>
      </c>
      <c r="M1588" s="72">
        <v>0</v>
      </c>
      <c r="N1588" s="72" t="s">
        <v>3481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3479</v>
      </c>
      <c r="BF1588" s="256" t="s">
        <v>3480</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64">
        <v>69013001</v>
      </c>
      <c r="D1589" s="257" t="s">
        <v>3482</v>
      </c>
      <c r="E1589" s="257" t="s">
        <v>3483</v>
      </c>
      <c r="F1589" s="258">
        <v>1</v>
      </c>
      <c r="G1589" s="258">
        <v>60090002</v>
      </c>
      <c r="H1589" s="259">
        <v>0</v>
      </c>
      <c r="I1589" s="259">
        <v>0</v>
      </c>
      <c r="J1589" s="258">
        <v>1</v>
      </c>
      <c r="K1589" s="258">
        <v>0</v>
      </c>
      <c r="L1589" s="259">
        <v>0</v>
      </c>
      <c r="M1589" s="259">
        <v>0</v>
      </c>
      <c r="N1589" s="259" t="s">
        <v>3484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3482</v>
      </c>
      <c r="BF1589" s="256" t="s">
        <v>3483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64">
        <v>69013002</v>
      </c>
      <c r="D1590" s="257" t="s">
        <v>3485</v>
      </c>
      <c r="E1590" s="257" t="s">
        <v>3486</v>
      </c>
      <c r="F1590" s="258">
        <v>1</v>
      </c>
      <c r="G1590" s="258">
        <v>60090002</v>
      </c>
      <c r="H1590" s="259">
        <v>0</v>
      </c>
      <c r="I1590" s="259">
        <v>0</v>
      </c>
      <c r="J1590" s="258">
        <v>1</v>
      </c>
      <c r="K1590" s="258">
        <v>0</v>
      </c>
      <c r="L1590" s="259">
        <v>0</v>
      </c>
      <c r="M1590" s="259">
        <v>0</v>
      </c>
      <c r="N1590" s="259" t="s">
        <v>3370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3485</v>
      </c>
      <c r="BF1590" s="256" t="s">
        <v>3486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64">
        <v>69013003</v>
      </c>
      <c r="D1591" s="257" t="s">
        <v>3487</v>
      </c>
      <c r="E1591" s="257" t="s">
        <v>3488</v>
      </c>
      <c r="F1591" s="258">
        <v>1</v>
      </c>
      <c r="G1591" s="258">
        <v>60090002</v>
      </c>
      <c r="H1591" s="259">
        <v>0</v>
      </c>
      <c r="I1591" s="259">
        <v>0</v>
      </c>
      <c r="J1591" s="258">
        <v>1</v>
      </c>
      <c r="K1591" s="258">
        <v>0</v>
      </c>
      <c r="L1591" s="259">
        <v>0</v>
      </c>
      <c r="M1591" s="259">
        <v>0</v>
      </c>
      <c r="N1591" s="259" t="s">
        <v>3367</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3487</v>
      </c>
      <c r="BF1591" s="256" t="s">
        <v>3488</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69013004</v>
      </c>
      <c r="D1592" s="257" t="s">
        <v>3489</v>
      </c>
      <c r="E1592" s="257" t="s">
        <v>3490</v>
      </c>
      <c r="F1592" s="258">
        <v>1</v>
      </c>
      <c r="G1592" s="258">
        <v>60090002</v>
      </c>
      <c r="H1592" s="259">
        <v>0</v>
      </c>
      <c r="I1592" s="259">
        <v>0</v>
      </c>
      <c r="J1592" s="258">
        <v>1</v>
      </c>
      <c r="K1592" s="258">
        <v>0</v>
      </c>
      <c r="L1592" s="259">
        <v>0</v>
      </c>
      <c r="M1592" s="259">
        <v>0</v>
      </c>
      <c r="N1592" s="259" t="s">
        <v>3373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3489</v>
      </c>
      <c r="BF1592" s="256" t="s">
        <v>3490</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69013005</v>
      </c>
      <c r="D1593" s="257" t="s">
        <v>3491</v>
      </c>
      <c r="E1593" s="257" t="s">
        <v>3492</v>
      </c>
      <c r="F1593" s="258">
        <v>1</v>
      </c>
      <c r="G1593" s="258">
        <v>60090002</v>
      </c>
      <c r="H1593" s="259">
        <v>0</v>
      </c>
      <c r="I1593" s="259">
        <v>0</v>
      </c>
      <c r="J1593" s="258">
        <v>1</v>
      </c>
      <c r="K1593" s="258">
        <v>0</v>
      </c>
      <c r="L1593" s="259">
        <v>0</v>
      </c>
      <c r="M1593" s="259">
        <v>0</v>
      </c>
      <c r="N1593" s="259" t="s">
        <v>3493</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3491</v>
      </c>
      <c r="BF1593" s="256" t="s">
        <v>3492</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69013006</v>
      </c>
      <c r="D1594" s="257" t="s">
        <v>3494</v>
      </c>
      <c r="E1594" s="257" t="s">
        <v>3495</v>
      </c>
      <c r="F1594" s="258">
        <v>1</v>
      </c>
      <c r="G1594" s="258">
        <v>60090002</v>
      </c>
      <c r="H1594" s="259">
        <v>0</v>
      </c>
      <c r="I1594" s="259">
        <v>0</v>
      </c>
      <c r="J1594" s="258">
        <v>1</v>
      </c>
      <c r="K1594" s="258">
        <v>0</v>
      </c>
      <c r="L1594" s="259">
        <v>0</v>
      </c>
      <c r="M1594" s="259">
        <v>0</v>
      </c>
      <c r="N1594" s="259" t="s">
        <v>3376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3494</v>
      </c>
      <c r="BF1594" s="256" t="s">
        <v>3495</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69013101</v>
      </c>
      <c r="D1595" s="257" t="s">
        <v>3496</v>
      </c>
      <c r="E1595" s="257" t="s">
        <v>3497</v>
      </c>
      <c r="F1595" s="258">
        <v>1</v>
      </c>
      <c r="G1595" s="258">
        <v>60090002</v>
      </c>
      <c r="H1595" s="259">
        <v>0</v>
      </c>
      <c r="I1595" s="259">
        <v>0</v>
      </c>
      <c r="J1595" s="258">
        <v>1</v>
      </c>
      <c r="K1595" s="258">
        <v>0</v>
      </c>
      <c r="L1595" s="259">
        <v>0</v>
      </c>
      <c r="M1595" s="259">
        <v>0</v>
      </c>
      <c r="N1595" s="259" t="s">
        <v>3498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3496</v>
      </c>
      <c r="BF1595" s="256" t="s">
        <v>3497</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69013102</v>
      </c>
      <c r="D1596" s="257" t="s">
        <v>3499</v>
      </c>
      <c r="E1596" s="257" t="s">
        <v>3500</v>
      </c>
      <c r="F1596" s="258">
        <v>1</v>
      </c>
      <c r="G1596" s="258">
        <v>60090002</v>
      </c>
      <c r="H1596" s="259">
        <v>0</v>
      </c>
      <c r="I1596" s="259">
        <v>0</v>
      </c>
      <c r="J1596" s="258">
        <v>1</v>
      </c>
      <c r="K1596" s="258">
        <v>0</v>
      </c>
      <c r="L1596" s="259">
        <v>0</v>
      </c>
      <c r="M1596" s="259">
        <v>0</v>
      </c>
      <c r="N1596" s="259" t="s">
        <v>3501</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3499</v>
      </c>
      <c r="BF1596" s="256" t="s">
        <v>3500</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69013103</v>
      </c>
      <c r="D1597" s="257" t="s">
        <v>3502</v>
      </c>
      <c r="E1597" s="257" t="s">
        <v>3503</v>
      </c>
      <c r="F1597" s="258">
        <v>1</v>
      </c>
      <c r="G1597" s="258">
        <v>60090002</v>
      </c>
      <c r="H1597" s="259">
        <v>0</v>
      </c>
      <c r="I1597" s="259">
        <v>0</v>
      </c>
      <c r="J1597" s="258">
        <v>1</v>
      </c>
      <c r="K1597" s="258">
        <v>0</v>
      </c>
      <c r="L1597" s="259">
        <v>0</v>
      </c>
      <c r="M1597" s="259">
        <v>0</v>
      </c>
      <c r="N1597" s="259" t="s">
        <v>3504</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3502</v>
      </c>
      <c r="BF1597" s="256" t="s">
        <v>3503</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69013104</v>
      </c>
      <c r="D1598" s="257" t="s">
        <v>3505</v>
      </c>
      <c r="E1598" s="257" t="s">
        <v>3506</v>
      </c>
      <c r="F1598" s="258">
        <v>1</v>
      </c>
      <c r="G1598" s="258">
        <v>60090002</v>
      </c>
      <c r="H1598" s="259">
        <v>0</v>
      </c>
      <c r="I1598" s="259">
        <v>0</v>
      </c>
      <c r="J1598" s="258">
        <v>1</v>
      </c>
      <c r="K1598" s="258">
        <v>0</v>
      </c>
      <c r="L1598" s="259">
        <v>0</v>
      </c>
      <c r="M1598" s="259">
        <v>0</v>
      </c>
      <c r="N1598" s="259" t="s">
        <v>3507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3505</v>
      </c>
      <c r="BF1598" s="256" t="s">
        <v>3506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69013201</v>
      </c>
      <c r="D1599" s="257" t="s">
        <v>3508</v>
      </c>
      <c r="E1599" s="257" t="s">
        <v>3509</v>
      </c>
      <c r="F1599" s="258">
        <v>1</v>
      </c>
      <c r="G1599" s="258">
        <v>60090002</v>
      </c>
      <c r="H1599" s="259">
        <v>0</v>
      </c>
      <c r="I1599" s="259">
        <v>0</v>
      </c>
      <c r="J1599" s="258">
        <v>1</v>
      </c>
      <c r="K1599" s="258">
        <v>0</v>
      </c>
      <c r="L1599" s="259">
        <v>0</v>
      </c>
      <c r="M1599" s="259">
        <v>0</v>
      </c>
      <c r="N1599" s="259" t="s">
        <v>3510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3508</v>
      </c>
      <c r="BF1599" s="256" t="s">
        <v>3509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69013202</v>
      </c>
      <c r="D1600" s="257" t="s">
        <v>3511</v>
      </c>
      <c r="E1600" s="257" t="s">
        <v>3512</v>
      </c>
      <c r="F1600" s="258">
        <v>1</v>
      </c>
      <c r="G1600" s="258">
        <v>60090002</v>
      </c>
      <c r="H1600" s="259">
        <v>0</v>
      </c>
      <c r="I1600" s="259">
        <v>0</v>
      </c>
      <c r="J1600" s="258">
        <v>1</v>
      </c>
      <c r="K1600" s="258">
        <v>0</v>
      </c>
      <c r="L1600" s="259">
        <v>0</v>
      </c>
      <c r="M1600" s="259">
        <v>0</v>
      </c>
      <c r="N1600" s="259" t="s">
        <v>3513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3511</v>
      </c>
      <c r="BF1600" s="256" t="s">
        <v>3512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69013203</v>
      </c>
      <c r="D1601" s="257" t="s">
        <v>3514</v>
      </c>
      <c r="E1601" s="257" t="s">
        <v>3515</v>
      </c>
      <c r="F1601" s="258">
        <v>1</v>
      </c>
      <c r="G1601" s="258">
        <v>60090002</v>
      </c>
      <c r="H1601" s="259">
        <v>0</v>
      </c>
      <c r="I1601" s="259">
        <v>0</v>
      </c>
      <c r="J1601" s="258">
        <v>1</v>
      </c>
      <c r="K1601" s="258">
        <v>0</v>
      </c>
      <c r="L1601" s="259">
        <v>0</v>
      </c>
      <c r="M1601" s="259">
        <v>0</v>
      </c>
      <c r="N1601" s="259" t="s">
        <v>3516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3514</v>
      </c>
      <c r="BF1601" s="256" t="s">
        <v>3515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69013204</v>
      </c>
      <c r="D1602" s="257" t="s">
        <v>3517</v>
      </c>
      <c r="E1602" s="257" t="s">
        <v>3518</v>
      </c>
      <c r="F1602" s="258">
        <v>1</v>
      </c>
      <c r="G1602" s="258">
        <v>60090002</v>
      </c>
      <c r="H1602" s="259">
        <v>0</v>
      </c>
      <c r="I1602" s="259">
        <v>0</v>
      </c>
      <c r="J1602" s="258">
        <v>1</v>
      </c>
      <c r="K1602" s="258">
        <v>0</v>
      </c>
      <c r="L1602" s="259">
        <v>0</v>
      </c>
      <c r="M1602" s="259">
        <v>0</v>
      </c>
      <c r="N1602" s="259" t="s">
        <v>3519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3517</v>
      </c>
      <c r="BF1602" s="256" t="s">
        <v>3518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69013301</v>
      </c>
      <c r="D1603" s="257" t="s">
        <v>3520</v>
      </c>
      <c r="E1603" s="257" t="s">
        <v>3521</v>
      </c>
      <c r="F1603" s="258">
        <v>1</v>
      </c>
      <c r="G1603" s="258">
        <v>60090002</v>
      </c>
      <c r="H1603" s="259">
        <v>0</v>
      </c>
      <c r="I1603" s="259">
        <v>0</v>
      </c>
      <c r="J1603" s="258">
        <v>1</v>
      </c>
      <c r="K1603" s="258">
        <v>0</v>
      </c>
      <c r="L1603" s="259">
        <v>0</v>
      </c>
      <c r="M1603" s="259">
        <v>0</v>
      </c>
      <c r="N1603" s="259" t="s">
        <v>3522</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3520</v>
      </c>
      <c r="BF1603" s="256" t="s">
        <v>3521</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69013302</v>
      </c>
      <c r="D1604" s="257" t="s">
        <v>3523</v>
      </c>
      <c r="E1604" s="257" t="s">
        <v>3524</v>
      </c>
      <c r="F1604" s="258">
        <v>1</v>
      </c>
      <c r="G1604" s="258">
        <v>60090002</v>
      </c>
      <c r="H1604" s="259">
        <v>0</v>
      </c>
      <c r="I1604" s="259">
        <v>0</v>
      </c>
      <c r="J1604" s="258">
        <v>1</v>
      </c>
      <c r="K1604" s="258">
        <v>0</v>
      </c>
      <c r="L1604" s="259">
        <v>0</v>
      </c>
      <c r="M1604" s="259">
        <v>0</v>
      </c>
      <c r="N1604" s="259" t="s">
        <v>3525</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3523</v>
      </c>
      <c r="BF1604" s="256" t="s">
        <v>3524</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69013303</v>
      </c>
      <c r="D1605" s="257" t="s">
        <v>3526</v>
      </c>
      <c r="E1605" s="257" t="s">
        <v>3527</v>
      </c>
      <c r="F1605" s="258">
        <v>1</v>
      </c>
      <c r="G1605" s="258">
        <v>60090002</v>
      </c>
      <c r="H1605" s="259">
        <v>0</v>
      </c>
      <c r="I1605" s="259">
        <v>0</v>
      </c>
      <c r="J1605" s="258">
        <v>1</v>
      </c>
      <c r="K1605" s="258">
        <v>0</v>
      </c>
      <c r="L1605" s="259">
        <v>0</v>
      </c>
      <c r="M1605" s="259">
        <v>0</v>
      </c>
      <c r="N1605" s="259" t="s">
        <v>3528</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3526</v>
      </c>
      <c r="BF1605" s="256" t="s">
        <v>3527</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69013304</v>
      </c>
      <c r="D1606" s="257" t="s">
        <v>3529</v>
      </c>
      <c r="E1606" s="257" t="s">
        <v>3530</v>
      </c>
      <c r="F1606" s="258">
        <v>1</v>
      </c>
      <c r="G1606" s="258">
        <v>60090002</v>
      </c>
      <c r="H1606" s="259">
        <v>0</v>
      </c>
      <c r="I1606" s="259">
        <v>0</v>
      </c>
      <c r="J1606" s="258">
        <v>1</v>
      </c>
      <c r="K1606" s="258">
        <v>0</v>
      </c>
      <c r="L1606" s="259">
        <v>0</v>
      </c>
      <c r="M1606" s="259">
        <v>0</v>
      </c>
      <c r="N1606" s="259" t="s">
        <v>3531</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3529</v>
      </c>
      <c r="BF1606" s="256" t="s">
        <v>3530</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18">
        <v>69021001</v>
      </c>
      <c r="D1607" s="19" t="s">
        <v>3532</v>
      </c>
      <c r="E1607" s="19" t="s">
        <v>3533</v>
      </c>
      <c r="F1607" s="18">
        <v>1</v>
      </c>
      <c r="G1607" s="18">
        <v>68000015</v>
      </c>
      <c r="H1607" s="18">
        <v>0</v>
      </c>
      <c r="I1607" s="27">
        <v>0</v>
      </c>
      <c r="J1607" s="18">
        <v>1</v>
      </c>
      <c r="K1607" s="18">
        <v>0</v>
      </c>
      <c r="L1607" s="18">
        <v>0</v>
      </c>
      <c r="M1607" s="18">
        <v>0</v>
      </c>
      <c r="N1607" s="18">
        <v>0</v>
      </c>
      <c r="O1607" s="18">
        <v>8</v>
      </c>
      <c r="P1607" s="18">
        <v>0</v>
      </c>
      <c r="Q1607" s="18">
        <v>0</v>
      </c>
      <c r="R1607" s="18">
        <v>0</v>
      </c>
      <c r="S1607" s="12">
        <v>0</v>
      </c>
      <c r="T1607" s="27">
        <v>0</v>
      </c>
      <c r="U1607" s="16">
        <v>1</v>
      </c>
      <c r="V1607" s="18">
        <v>2</v>
      </c>
      <c r="W1607" s="18">
        <v>0</v>
      </c>
      <c r="X1607" s="18">
        <v>0</v>
      </c>
      <c r="Y1607" s="12">
        <v>0</v>
      </c>
      <c r="Z1607" s="18">
        <v>0</v>
      </c>
      <c r="AA1607" s="18">
        <v>0</v>
      </c>
      <c r="AB1607" s="18">
        <v>0</v>
      </c>
      <c r="AC1607" s="18">
        <v>0</v>
      </c>
      <c r="AD1607" s="18">
        <v>1</v>
      </c>
      <c r="AE1607" s="18">
        <v>0</v>
      </c>
      <c r="AF1607" s="18">
        <v>18</v>
      </c>
      <c r="AG1607" s="18">
        <v>0</v>
      </c>
      <c r="AH1607" s="18">
        <v>0</v>
      </c>
      <c r="AI1607" s="12">
        <v>2</v>
      </c>
      <c r="AJ1607" s="12">
        <v>0</v>
      </c>
      <c r="AK1607" s="12">
        <v>0</v>
      </c>
      <c r="AL1607" s="12">
        <v>0</v>
      </c>
      <c r="AM1607" s="18">
        <v>0</v>
      </c>
      <c r="AN1607" s="18">
        <v>0</v>
      </c>
      <c r="AO1607" s="18">
        <v>0</v>
      </c>
      <c r="AP1607" s="18">
        <v>0</v>
      </c>
      <c r="AQ1607" s="18">
        <v>1000</v>
      </c>
      <c r="AR1607" s="18">
        <v>0</v>
      </c>
      <c r="AS1607" s="18">
        <v>0</v>
      </c>
      <c r="AT1607" s="12"/>
      <c r="AU1607" s="18" t="s">
        <v>198</v>
      </c>
      <c r="AV1607" s="18"/>
      <c r="AW1607" s="19" t="s">
        <v>199</v>
      </c>
      <c r="AX1607" s="18">
        <v>0</v>
      </c>
      <c r="AY1607" s="18">
        <v>0</v>
      </c>
      <c r="AZ1607" s="18">
        <v>0</v>
      </c>
      <c r="BA1607" s="19" t="s">
        <v>200</v>
      </c>
      <c r="BB1607" s="19" t="s">
        <v>3534</v>
      </c>
      <c r="BC1607" s="27">
        <v>0</v>
      </c>
      <c r="BD1607" s="27">
        <v>1</v>
      </c>
      <c r="BE1607" s="19" t="s">
        <v>3535</v>
      </c>
      <c r="BF1607" s="19" t="s">
        <v>3536</v>
      </c>
      <c r="BG1607" s="18">
        <v>0</v>
      </c>
      <c r="BH1607" s="16">
        <v>0</v>
      </c>
      <c r="BI1607" s="18">
        <v>0</v>
      </c>
      <c r="BJ1607" s="18">
        <v>0</v>
      </c>
      <c r="BK1607" s="18">
        <v>0</v>
      </c>
      <c r="BL1607" s="18">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18">
        <v>69021002</v>
      </c>
      <c r="D1608" s="19" t="s">
        <v>3537</v>
      </c>
      <c r="E1608" s="19" t="s">
        <v>3538</v>
      </c>
      <c r="F1608" s="18">
        <v>1</v>
      </c>
      <c r="G1608" s="18">
        <v>68000015</v>
      </c>
      <c r="H1608" s="18">
        <v>0</v>
      </c>
      <c r="I1608" s="27">
        <v>0</v>
      </c>
      <c r="J1608" s="18">
        <v>1</v>
      </c>
      <c r="K1608" s="18">
        <v>0</v>
      </c>
      <c r="L1608" s="18">
        <v>0</v>
      </c>
      <c r="M1608" s="18">
        <v>0</v>
      </c>
      <c r="N1608" s="18">
        <v>0</v>
      </c>
      <c r="O1608" s="18">
        <v>8</v>
      </c>
      <c r="P1608" s="18">
        <v>0</v>
      </c>
      <c r="Q1608" s="18">
        <v>0</v>
      </c>
      <c r="R1608" s="18">
        <v>0</v>
      </c>
      <c r="S1608" s="12">
        <v>0</v>
      </c>
      <c r="T1608" s="27">
        <v>0</v>
      </c>
      <c r="U1608" s="16">
        <v>1</v>
      </c>
      <c r="V1608" s="18">
        <v>2</v>
      </c>
      <c r="W1608" s="18">
        <v>0</v>
      </c>
      <c r="X1608" s="18">
        <v>0</v>
      </c>
      <c r="Y1608" s="12">
        <v>0</v>
      </c>
      <c r="Z1608" s="18">
        <v>0</v>
      </c>
      <c r="AA1608" s="18">
        <v>0</v>
      </c>
      <c r="AB1608" s="18">
        <v>0</v>
      </c>
      <c r="AC1608" s="18">
        <v>0</v>
      </c>
      <c r="AD1608" s="18">
        <v>1</v>
      </c>
      <c r="AE1608" s="18">
        <v>0</v>
      </c>
      <c r="AF1608" s="18">
        <v>18</v>
      </c>
      <c r="AG1608" s="18">
        <v>0</v>
      </c>
      <c r="AH1608" s="18">
        <v>0</v>
      </c>
      <c r="AI1608" s="12">
        <v>2</v>
      </c>
      <c r="AJ1608" s="12">
        <v>0</v>
      </c>
      <c r="AK1608" s="12">
        <v>0</v>
      </c>
      <c r="AL1608" s="12">
        <v>0</v>
      </c>
      <c r="AM1608" s="18">
        <v>0</v>
      </c>
      <c r="AN1608" s="18">
        <v>0</v>
      </c>
      <c r="AO1608" s="18">
        <v>0</v>
      </c>
      <c r="AP1608" s="18">
        <v>0</v>
      </c>
      <c r="AQ1608" s="18">
        <v>1000</v>
      </c>
      <c r="AR1608" s="18">
        <v>0</v>
      </c>
      <c r="AS1608" s="18">
        <v>0</v>
      </c>
      <c r="AT1608" s="12"/>
      <c r="AU1608" s="18" t="s">
        <v>198</v>
      </c>
      <c r="AV1608" s="18"/>
      <c r="AW1608" s="19" t="s">
        <v>199</v>
      </c>
      <c r="AX1608" s="18">
        <v>0</v>
      </c>
      <c r="AY1608" s="18">
        <v>0</v>
      </c>
      <c r="AZ1608" s="18">
        <v>0</v>
      </c>
      <c r="BA1608" s="19" t="s">
        <v>200</v>
      </c>
      <c r="BB1608" s="19" t="s">
        <v>3539</v>
      </c>
      <c r="BC1608" s="27">
        <v>0</v>
      </c>
      <c r="BD1608" s="27">
        <v>1</v>
      </c>
      <c r="BE1608" s="19" t="s">
        <v>3540</v>
      </c>
      <c r="BF1608" s="19" t="s">
        <v>3541</v>
      </c>
      <c r="BG1608" s="18">
        <v>0</v>
      </c>
      <c r="BH1608" s="16">
        <v>0</v>
      </c>
      <c r="BI1608" s="18">
        <v>0</v>
      </c>
      <c r="BJ1608" s="18">
        <v>0</v>
      </c>
      <c r="BK1608" s="18">
        <v>0</v>
      </c>
      <c r="BL1608" s="18">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18">
        <v>69021003</v>
      </c>
      <c r="D1609" s="19" t="s">
        <v>3542</v>
      </c>
      <c r="E1609" s="19" t="s">
        <v>3543</v>
      </c>
      <c r="F1609" s="18">
        <v>1</v>
      </c>
      <c r="G1609" s="18">
        <v>68000015</v>
      </c>
      <c r="H1609" s="18">
        <v>0</v>
      </c>
      <c r="I1609" s="27">
        <v>0</v>
      </c>
      <c r="J1609" s="18">
        <v>1</v>
      </c>
      <c r="K1609" s="18">
        <v>0</v>
      </c>
      <c r="L1609" s="18">
        <v>0</v>
      </c>
      <c r="M1609" s="18">
        <v>0</v>
      </c>
      <c r="N1609" s="18">
        <v>0</v>
      </c>
      <c r="O1609" s="18">
        <v>8</v>
      </c>
      <c r="P1609" s="18">
        <v>0</v>
      </c>
      <c r="Q1609" s="18">
        <v>0</v>
      </c>
      <c r="R1609" s="18">
        <v>0</v>
      </c>
      <c r="S1609" s="12">
        <v>0</v>
      </c>
      <c r="T1609" s="27">
        <v>0</v>
      </c>
      <c r="U1609" s="16">
        <v>1</v>
      </c>
      <c r="V1609" s="18">
        <v>2</v>
      </c>
      <c r="W1609" s="18">
        <v>0</v>
      </c>
      <c r="X1609" s="18">
        <v>0</v>
      </c>
      <c r="Y1609" s="12">
        <v>0</v>
      </c>
      <c r="Z1609" s="18">
        <v>0</v>
      </c>
      <c r="AA1609" s="18">
        <v>0</v>
      </c>
      <c r="AB1609" s="18">
        <v>0</v>
      </c>
      <c r="AC1609" s="18">
        <v>0</v>
      </c>
      <c r="AD1609" s="18">
        <v>1</v>
      </c>
      <c r="AE1609" s="18">
        <v>0</v>
      </c>
      <c r="AF1609" s="18">
        <v>18</v>
      </c>
      <c r="AG1609" s="18">
        <v>0</v>
      </c>
      <c r="AH1609" s="18">
        <v>0</v>
      </c>
      <c r="AI1609" s="12">
        <v>2</v>
      </c>
      <c r="AJ1609" s="12">
        <v>0</v>
      </c>
      <c r="AK1609" s="12">
        <v>0</v>
      </c>
      <c r="AL1609" s="12">
        <v>0</v>
      </c>
      <c r="AM1609" s="18">
        <v>0</v>
      </c>
      <c r="AN1609" s="18">
        <v>0</v>
      </c>
      <c r="AO1609" s="18">
        <v>0</v>
      </c>
      <c r="AP1609" s="18">
        <v>0</v>
      </c>
      <c r="AQ1609" s="18">
        <v>1000</v>
      </c>
      <c r="AR1609" s="18">
        <v>0</v>
      </c>
      <c r="AS1609" s="18">
        <v>0</v>
      </c>
      <c r="AT1609" s="12"/>
      <c r="AU1609" s="18" t="s">
        <v>198</v>
      </c>
      <c r="AV1609" s="18"/>
      <c r="AW1609" s="19" t="s">
        <v>199</v>
      </c>
      <c r="AX1609" s="18">
        <v>0</v>
      </c>
      <c r="AY1609" s="18">
        <v>0</v>
      </c>
      <c r="AZ1609" s="18">
        <v>0</v>
      </c>
      <c r="BA1609" s="19" t="s">
        <v>200</v>
      </c>
      <c r="BB1609" s="19" t="s">
        <v>3544</v>
      </c>
      <c r="BC1609" s="27">
        <v>0</v>
      </c>
      <c r="BD1609" s="27">
        <v>1</v>
      </c>
      <c r="BE1609" s="19" t="s">
        <v>3545</v>
      </c>
      <c r="BF1609" s="19" t="s">
        <v>3546</v>
      </c>
      <c r="BG1609" s="18">
        <v>0</v>
      </c>
      <c r="BH1609" s="16">
        <v>0</v>
      </c>
      <c r="BI1609" s="18">
        <v>0</v>
      </c>
      <c r="BJ1609" s="18">
        <v>0</v>
      </c>
      <c r="BK1609" s="18">
        <v>0</v>
      </c>
      <c r="BL1609" s="18">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69021004</v>
      </c>
      <c r="D1610" s="19" t="s">
        <v>3547</v>
      </c>
      <c r="E1610" s="19" t="s">
        <v>3548</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3549</v>
      </c>
      <c r="BC1610" s="27">
        <v>0</v>
      </c>
      <c r="BD1610" s="27">
        <v>1</v>
      </c>
      <c r="BE1610" s="19" t="s">
        <v>3550</v>
      </c>
      <c r="BF1610" s="19" t="s">
        <v>3551</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69021005</v>
      </c>
      <c r="D1611" s="19" t="s">
        <v>3552</v>
      </c>
      <c r="E1611" s="19" t="s">
        <v>3553</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3554</v>
      </c>
      <c r="BC1611" s="27">
        <v>0</v>
      </c>
      <c r="BD1611" s="27">
        <v>1</v>
      </c>
      <c r="BE1611" s="19" t="s">
        <v>3555</v>
      </c>
      <c r="BF1611" s="19" t="s">
        <v>3556</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69021006</v>
      </c>
      <c r="D1612" s="19" t="s">
        <v>3557</v>
      </c>
      <c r="E1612" s="19" t="s">
        <v>3558</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3559</v>
      </c>
      <c r="BC1612" s="27">
        <v>0</v>
      </c>
      <c r="BD1612" s="27">
        <v>1</v>
      </c>
      <c r="BE1612" s="19" t="s">
        <v>3560</v>
      </c>
      <c r="BF1612" s="19" t="s">
        <v>3561</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69021007</v>
      </c>
      <c r="D1613" s="19" t="s">
        <v>3562</v>
      </c>
      <c r="E1613" s="19" t="s">
        <v>3563</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3564</v>
      </c>
      <c r="BC1613" s="27">
        <v>0</v>
      </c>
      <c r="BD1613" s="27">
        <v>1</v>
      </c>
      <c r="BE1613" s="19" t="s">
        <v>3565</v>
      </c>
      <c r="BF1613" s="19" t="s">
        <v>3566</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69021008</v>
      </c>
      <c r="D1614" s="19" t="s">
        <v>3567</v>
      </c>
      <c r="E1614" s="19" t="s">
        <v>3568</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3569</v>
      </c>
      <c r="BC1614" s="27">
        <v>0</v>
      </c>
      <c r="BD1614" s="27">
        <v>1</v>
      </c>
      <c r="BE1614" s="19" t="s">
        <v>3570</v>
      </c>
      <c r="BF1614" s="19" t="s">
        <v>3571</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69021009</v>
      </c>
      <c r="D1615" s="19" t="s">
        <v>3572</v>
      </c>
      <c r="E1615" s="19" t="s">
        <v>3573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3250</v>
      </c>
      <c r="BC1615" s="27">
        <v>0</v>
      </c>
      <c r="BD1615" s="27">
        <v>1</v>
      </c>
      <c r="BE1615" s="19" t="s">
        <v>3574</v>
      </c>
      <c r="BF1615" s="19" t="s">
        <v>3575</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69021010</v>
      </c>
      <c r="D1616" s="19" t="s">
        <v>3576</v>
      </c>
      <c r="E1616" s="19" t="s">
        <v>3577</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3578</v>
      </c>
      <c r="BC1616" s="27">
        <v>0</v>
      </c>
      <c r="BD1616" s="27">
        <v>1</v>
      </c>
      <c r="BE1616" s="19" t="s">
        <v>3579</v>
      </c>
      <c r="BF1616" s="19" t="s">
        <v>3580</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69021011</v>
      </c>
      <c r="D1617" s="19" t="s">
        <v>3581</v>
      </c>
      <c r="E1617" s="19" t="s">
        <v>3582</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3583</v>
      </c>
      <c r="BC1617" s="27">
        <v>0</v>
      </c>
      <c r="BD1617" s="27">
        <v>1</v>
      </c>
      <c r="BE1617" s="19" t="s">
        <v>3584</v>
      </c>
      <c r="BF1617" s="19" t="s">
        <v>3585</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69021012</v>
      </c>
      <c r="D1618" s="19" t="s">
        <v>3581</v>
      </c>
      <c r="E1618" s="19" t="s">
        <v>3582</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2734</v>
      </c>
      <c r="BC1618" s="27">
        <v>0</v>
      </c>
      <c r="BD1618" s="27">
        <v>1</v>
      </c>
      <c r="BE1618" s="19" t="s">
        <v>3586</v>
      </c>
      <c r="BF1618" s="19" t="s">
        <v>3587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69021013</v>
      </c>
      <c r="D1619" s="19" t="s">
        <v>3581</v>
      </c>
      <c r="E1619" s="19" t="s">
        <v>3582</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2781</v>
      </c>
      <c r="BC1619" s="27">
        <v>0</v>
      </c>
      <c r="BD1619" s="27">
        <v>1</v>
      </c>
      <c r="BE1619" s="19" t="s">
        <v>3588</v>
      </c>
      <c r="BF1619" s="19" t="s">
        <v>3589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69021014</v>
      </c>
      <c r="D1620" s="19" t="s">
        <v>3581</v>
      </c>
      <c r="E1620" s="19" t="s">
        <v>3582</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2766</v>
      </c>
      <c r="BC1620" s="27">
        <v>0</v>
      </c>
      <c r="BD1620" s="27">
        <v>1</v>
      </c>
      <c r="BE1620" s="19" t="s">
        <v>3590</v>
      </c>
      <c r="BF1620" s="19" t="s">
        <v>3591</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69031001</v>
      </c>
      <c r="D1621" s="19" t="s">
        <v>757</v>
      </c>
      <c r="E1621" s="19" t="s">
        <v>399</v>
      </c>
      <c r="F1621" s="18">
        <v>1</v>
      </c>
      <c r="G1621" s="18">
        <v>68000110</v>
      </c>
      <c r="H1621" s="18">
        <v>0</v>
      </c>
      <c r="I1621" s="27">
        <v>0</v>
      </c>
      <c r="J1621" s="15">
        <v>1</v>
      </c>
      <c r="K1621" s="18">
        <v>0</v>
      </c>
      <c r="L1621" s="18">
        <v>0</v>
      </c>
      <c r="M1621" s="18">
        <v>0</v>
      </c>
      <c r="N1621" s="18">
        <v>0</v>
      </c>
      <c r="O1621" s="18">
        <v>2</v>
      </c>
      <c r="P1621" s="18">
        <v>1</v>
      </c>
      <c r="Q1621" s="18">
        <v>0.05</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252">
        <v>69000021</v>
      </c>
      <c r="AU1621" s="18" t="s">
        <v>198</v>
      </c>
      <c r="AV1621" s="18"/>
      <c r="AW1621" s="19" t="s">
        <v>199</v>
      </c>
      <c r="AX1621" s="18">
        <v>0</v>
      </c>
      <c r="AY1621" s="18">
        <v>0</v>
      </c>
      <c r="AZ1621" s="18">
        <v>0</v>
      </c>
      <c r="BA1621" s="19" t="s">
        <v>200</v>
      </c>
      <c r="BB1621" s="19" t="s">
        <v>198</v>
      </c>
      <c r="BC1621" s="27">
        <v>0</v>
      </c>
      <c r="BD1621" s="27">
        <v>1</v>
      </c>
      <c r="BE1621" s="87" t="s">
        <v>3592</v>
      </c>
      <c r="BF1621" s="87" t="s">
        <v>3593</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69031002</v>
      </c>
      <c r="D1622" s="19" t="s">
        <v>3594</v>
      </c>
      <c r="E1622" s="19" t="s">
        <v>3595</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3596</v>
      </c>
      <c r="BC1622" s="27">
        <v>0</v>
      </c>
      <c r="BD1622" s="27">
        <v>1</v>
      </c>
      <c r="BE1622" s="19" t="s">
        <v>3597</v>
      </c>
      <c r="BF1622" s="19" t="s">
        <v>3598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69031003</v>
      </c>
      <c r="D1623" s="19" t="s">
        <v>3599</v>
      </c>
      <c r="E1623" s="19" t="s">
        <v>3600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3601</v>
      </c>
      <c r="BC1623" s="27">
        <v>0</v>
      </c>
      <c r="BD1623" s="27">
        <v>1</v>
      </c>
      <c r="BE1623" s="19" t="s">
        <v>3602</v>
      </c>
      <c r="BF1623" s="19" t="s">
        <v>3603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69031004</v>
      </c>
      <c r="D1624" s="19" t="s">
        <v>3604</v>
      </c>
      <c r="E1624" s="19" t="s">
        <v>3605</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2">
        <v>69000071</v>
      </c>
      <c r="AU1624" s="18" t="s">
        <v>198</v>
      </c>
      <c r="AV1624" s="18"/>
      <c r="AW1624" s="19" t="s">
        <v>199</v>
      </c>
      <c r="AX1624" s="18">
        <v>0</v>
      </c>
      <c r="AY1624" s="18">
        <v>0</v>
      </c>
      <c r="AZ1624" s="18">
        <v>0</v>
      </c>
      <c r="BA1624" s="19" t="s">
        <v>200</v>
      </c>
      <c r="BB1624" s="19" t="s">
        <v>198</v>
      </c>
      <c r="BC1624" s="27">
        <v>0</v>
      </c>
      <c r="BD1624" s="27">
        <v>1</v>
      </c>
      <c r="BE1624" s="42" t="s">
        <v>3606</v>
      </c>
      <c r="BF1624" s="42" t="s">
        <v>3607</v>
      </c>
      <c r="BG1624" s="18">
        <v>0</v>
      </c>
      <c r="BH1624" s="16">
        <v>0</v>
      </c>
      <c r="BI1624" s="18">
        <v>0</v>
      </c>
      <c r="BJ1624" s="18">
        <v>0</v>
      </c>
      <c r="BK1624" s="18">
        <v>0</v>
      </c>
      <c r="BL1624" s="18">
        <v>0</v>
      </c>
      <c r="BM1624" s="15">
        <v>0</v>
      </c>
      <c r="BN1624" s="12">
        <v>1</v>
      </c>
      <c r="BO1624" s="12">
        <v>0</v>
      </c>
      <c r="BP1624" s="12">
        <v>0</v>
      </c>
      <c r="BQ1624" s="12">
        <v>0</v>
      </c>
      <c r="BR1624" s="12">
        <v>0</v>
      </c>
      <c r="BS1624" s="12">
        <v>0</v>
      </c>
      <c r="BT1624" s="12">
        <v>0</v>
      </c>
      <c r="BU1624" s="47">
        <v>0</v>
      </c>
      <c r="BV1624" s="47"/>
      <c r="BW1624" s="47"/>
    </row>
    <row r="1625" spans="3:75" ht="20.100000000000001" customHeight="1">
      <c r="C1625" s="18">
        <v>69031005</v>
      </c>
      <c r="D1625" s="19" t="s">
        <v>2608</v>
      </c>
      <c r="E1625" s="19" t="s">
        <v>2609</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3608</v>
      </c>
      <c r="BC1625" s="27">
        <v>0</v>
      </c>
      <c r="BD1625" s="27">
        <v>1</v>
      </c>
      <c r="BE1625" s="19" t="s">
        <v>3609</v>
      </c>
      <c r="BF1625" s="19" t="s">
        <v>3610</v>
      </c>
      <c r="BG1625" s="18">
        <v>0</v>
      </c>
      <c r="BH1625" s="16">
        <v>0</v>
      </c>
      <c r="BI1625" s="18">
        <v>0</v>
      </c>
      <c r="BJ1625" s="18">
        <v>0</v>
      </c>
      <c r="BK1625" s="18">
        <v>0</v>
      </c>
      <c r="BL1625" s="18">
        <v>0</v>
      </c>
      <c r="BM1625" s="15">
        <v>0</v>
      </c>
      <c r="BN1625" s="12">
        <v>1</v>
      </c>
      <c r="BO1625" s="12">
        <v>0</v>
      </c>
      <c r="BP1625" s="12">
        <v>0</v>
      </c>
      <c r="BQ1625" s="12">
        <v>0</v>
      </c>
      <c r="BR1625" s="12">
        <v>0</v>
      </c>
      <c r="BS1625" s="12">
        <v>0</v>
      </c>
      <c r="BT1625" s="12">
        <v>0</v>
      </c>
      <c r="BU1625" s="47">
        <v>0</v>
      </c>
      <c r="BV1625" s="47"/>
      <c r="BW1625" s="47"/>
    </row>
    <row r="1626" spans="3:75" ht="20.100000000000001" customHeight="1">
      <c r="C1626" s="18">
        <v>69031006</v>
      </c>
      <c r="D1626" s="19" t="s">
        <v>3611</v>
      </c>
      <c r="E1626" s="19" t="s">
        <v>3612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3613</v>
      </c>
      <c r="BC1626" s="27">
        <v>0</v>
      </c>
      <c r="BD1626" s="27">
        <v>1</v>
      </c>
      <c r="BE1626" s="19" t="s">
        <v>3614</v>
      </c>
      <c r="BF1626" s="19" t="s">
        <v>3615</v>
      </c>
      <c r="BG1626" s="18">
        <v>0</v>
      </c>
      <c r="BH1626" s="16">
        <v>0</v>
      </c>
      <c r="BI1626" s="18">
        <v>0</v>
      </c>
      <c r="BJ1626" s="18">
        <v>0</v>
      </c>
      <c r="BK1626" s="18">
        <v>0</v>
      </c>
      <c r="BL1626" s="18">
        <v>0</v>
      </c>
      <c r="BM1626" s="15">
        <v>0</v>
      </c>
      <c r="BN1626" s="12">
        <v>1</v>
      </c>
      <c r="BO1626" s="12">
        <v>0</v>
      </c>
      <c r="BP1626" s="12">
        <v>0</v>
      </c>
      <c r="BQ1626" s="12">
        <v>0</v>
      </c>
      <c r="BR1626" s="12">
        <v>0</v>
      </c>
      <c r="BS1626" s="12">
        <v>0</v>
      </c>
      <c r="BT1626" s="12">
        <v>0</v>
      </c>
      <c r="BU1626" s="47">
        <v>0</v>
      </c>
      <c r="BV1626" s="47"/>
      <c r="BW1626" s="47"/>
    </row>
    <row r="1627" spans="3:75" ht="20.100000000000001" customHeight="1">
      <c r="C1627" s="18">
        <v>69031007</v>
      </c>
      <c r="D1627" s="19" t="s">
        <v>3616</v>
      </c>
      <c r="E1627" s="19" t="s">
        <v>3617</v>
      </c>
      <c r="F1627" s="18">
        <v>1</v>
      </c>
      <c r="G1627" s="18">
        <v>68000110</v>
      </c>
      <c r="H1627" s="18">
        <v>0</v>
      </c>
      <c r="I1627" s="27">
        <v>0</v>
      </c>
      <c r="J1627" s="15">
        <v>1</v>
      </c>
      <c r="K1627" s="18">
        <v>0</v>
      </c>
      <c r="L1627" s="18">
        <v>0</v>
      </c>
      <c r="M1627" s="18">
        <v>0</v>
      </c>
      <c r="N1627" s="18">
        <v>0</v>
      </c>
      <c r="O1627" s="18">
        <v>2</v>
      </c>
      <c r="P1627" s="18">
        <v>1</v>
      </c>
      <c r="Q1627" s="18">
        <v>0.15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5</v>
      </c>
      <c r="AG1627" s="18">
        <v>0</v>
      </c>
      <c r="AH1627" s="18">
        <v>0</v>
      </c>
      <c r="AI1627" s="12">
        <v>2</v>
      </c>
      <c r="AJ1627" s="12">
        <v>0</v>
      </c>
      <c r="AK1627" s="12">
        <v>0</v>
      </c>
      <c r="AL1627" s="12">
        <v>0</v>
      </c>
      <c r="AM1627" s="18">
        <v>0</v>
      </c>
      <c r="AN1627" s="18">
        <v>0</v>
      </c>
      <c r="AO1627" s="18">
        <v>0</v>
      </c>
      <c r="AP1627" s="18">
        <v>0</v>
      </c>
      <c r="AQ1627" s="18">
        <v>1000</v>
      </c>
      <c r="AR1627" s="18">
        <v>0</v>
      </c>
      <c r="AS1627" s="18">
        <v>0</v>
      </c>
      <c r="AT1627" s="265">
        <v>10001001</v>
      </c>
      <c r="AU1627" s="18" t="s">
        <v>198</v>
      </c>
      <c r="AV1627" s="18"/>
      <c r="AW1627" s="19" t="s">
        <v>199</v>
      </c>
      <c r="AX1627" s="18">
        <v>0</v>
      </c>
      <c r="AY1627" s="18">
        <v>0</v>
      </c>
      <c r="AZ1627" s="18">
        <v>0</v>
      </c>
      <c r="BA1627" s="19" t="s">
        <v>200</v>
      </c>
      <c r="BB1627" s="19" t="s">
        <v>198</v>
      </c>
      <c r="BC1627" s="27">
        <v>0</v>
      </c>
      <c r="BD1627" s="27">
        <v>1</v>
      </c>
      <c r="BE1627" s="87" t="s">
        <v>3618</v>
      </c>
      <c r="BF1627" s="87" t="s">
        <v>3619</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69031008</v>
      </c>
      <c r="D1628" s="19" t="s">
        <v>3620</v>
      </c>
      <c r="E1628" s="19" t="s">
        <v>3621</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3622</v>
      </c>
      <c r="BC1628" s="27">
        <v>0</v>
      </c>
      <c r="BD1628" s="27">
        <v>1</v>
      </c>
      <c r="BE1628" s="19" t="s">
        <v>3623</v>
      </c>
      <c r="BF1628" s="19" t="s">
        <v>3624</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69031009</v>
      </c>
      <c r="D1629" s="19" t="s">
        <v>3604</v>
      </c>
      <c r="E1629" s="19" t="s">
        <v>3605</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3625</v>
      </c>
      <c r="BC1629" s="27">
        <v>0</v>
      </c>
      <c r="BD1629" s="27">
        <v>1</v>
      </c>
      <c r="BE1629" s="19" t="s">
        <v>3626</v>
      </c>
      <c r="BF1629" s="19" t="s">
        <v>3627</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69031010</v>
      </c>
      <c r="D1630" s="19" t="s">
        <v>3628</v>
      </c>
      <c r="E1630" s="19" t="s">
        <v>3629</v>
      </c>
      <c r="F1630" s="18">
        <v>1</v>
      </c>
      <c r="G1630" s="18">
        <v>68000110</v>
      </c>
      <c r="H1630" s="18">
        <v>0</v>
      </c>
      <c r="I1630" s="27">
        <v>0</v>
      </c>
      <c r="J1630" s="15">
        <v>1</v>
      </c>
      <c r="K1630" s="18">
        <v>0</v>
      </c>
      <c r="L1630" s="18">
        <v>0</v>
      </c>
      <c r="M1630" s="18">
        <v>0</v>
      </c>
      <c r="N1630" s="18">
        <v>0</v>
      </c>
      <c r="O1630" s="18">
        <v>2</v>
      </c>
      <c r="P1630" s="18">
        <v>4</v>
      </c>
      <c r="Q1630" s="18">
        <v>0.3</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252">
        <v>69000022</v>
      </c>
      <c r="AU1630" s="18" t="s">
        <v>198</v>
      </c>
      <c r="AV1630" s="18"/>
      <c r="AW1630" s="19" t="s">
        <v>199</v>
      </c>
      <c r="AX1630" s="18">
        <v>0</v>
      </c>
      <c r="AY1630" s="18">
        <v>0</v>
      </c>
      <c r="AZ1630" s="18">
        <v>0</v>
      </c>
      <c r="BA1630" s="19" t="s">
        <v>200</v>
      </c>
      <c r="BB1630" s="19" t="s">
        <v>198</v>
      </c>
      <c r="BC1630" s="27">
        <v>0</v>
      </c>
      <c r="BD1630" s="27">
        <v>1</v>
      </c>
      <c r="BE1630" s="19" t="s">
        <v>3630</v>
      </c>
      <c r="BF1630" s="19" t="s">
        <v>3631</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69032001</v>
      </c>
      <c r="D1631" s="19" t="s">
        <v>3632</v>
      </c>
      <c r="E1631" s="19" t="s">
        <v>3633</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3634</v>
      </c>
      <c r="BC1631" s="27">
        <v>0</v>
      </c>
      <c r="BD1631" s="27">
        <v>1</v>
      </c>
      <c r="BE1631" s="267" t="s">
        <v>3635</v>
      </c>
      <c r="BF1631" s="267" t="s">
        <v>3636</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69032002</v>
      </c>
      <c r="D1632" s="19" t="s">
        <v>3637</v>
      </c>
      <c r="E1632" s="19" t="s">
        <v>3638</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3639</v>
      </c>
      <c r="BC1632" s="27">
        <v>0</v>
      </c>
      <c r="BD1632" s="27">
        <v>1</v>
      </c>
      <c r="BE1632" s="267" t="s">
        <v>3640</v>
      </c>
      <c r="BF1632" s="267" t="s">
        <v>3641</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69032003</v>
      </c>
      <c r="D1633" s="19" t="s">
        <v>3642</v>
      </c>
      <c r="E1633" s="19" t="s">
        <v>3643</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3644</v>
      </c>
      <c r="BC1633" s="27">
        <v>0</v>
      </c>
      <c r="BD1633" s="27">
        <v>1</v>
      </c>
      <c r="BE1633" s="267" t="s">
        <v>3645</v>
      </c>
      <c r="BF1633" s="267" t="s">
        <v>3646</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69032004</v>
      </c>
      <c r="D1634" s="19" t="s">
        <v>3647</v>
      </c>
      <c r="E1634" s="19" t="s">
        <v>3648</v>
      </c>
      <c r="F1634" s="18">
        <v>1</v>
      </c>
      <c r="G1634" s="18">
        <v>68000110</v>
      </c>
      <c r="H1634" s="18">
        <v>0</v>
      </c>
      <c r="I1634" s="27">
        <v>0</v>
      </c>
      <c r="J1634" s="15">
        <v>1</v>
      </c>
      <c r="K1634" s="18">
        <v>0</v>
      </c>
      <c r="L1634" s="18">
        <v>0</v>
      </c>
      <c r="M1634" s="18">
        <v>0</v>
      </c>
      <c r="N1634" s="18">
        <v>0</v>
      </c>
      <c r="O1634" s="18">
        <v>2</v>
      </c>
      <c r="P1634" s="18">
        <v>3</v>
      </c>
      <c r="Q1634" s="18">
        <v>0.05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252">
        <v>69000101</v>
      </c>
      <c r="AU1634" s="18" t="s">
        <v>198</v>
      </c>
      <c r="AV1634" s="18"/>
      <c r="AW1634" s="19" t="s">
        <v>199</v>
      </c>
      <c r="AX1634" s="18">
        <v>0</v>
      </c>
      <c r="AY1634" s="18">
        <v>0</v>
      </c>
      <c r="AZ1634" s="18">
        <v>0</v>
      </c>
      <c r="BA1634" s="19" t="s">
        <v>200</v>
      </c>
      <c r="BB1634" s="19" t="s">
        <v>198</v>
      </c>
      <c r="BC1634" s="27">
        <v>0</v>
      </c>
      <c r="BD1634" s="27">
        <v>1</v>
      </c>
      <c r="BE1634" s="87" t="s">
        <v>3649</v>
      </c>
      <c r="BF1634" s="87" t="s">
        <v>3650</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69032005</v>
      </c>
      <c r="D1635" s="13" t="s">
        <v>3651</v>
      </c>
      <c r="E1635" s="13" t="s">
        <v>3652</v>
      </c>
      <c r="F1635" s="18">
        <v>1</v>
      </c>
      <c r="G1635" s="18">
        <v>66001007</v>
      </c>
      <c r="H1635" s="12">
        <v>0</v>
      </c>
      <c r="I1635" s="12">
        <v>0</v>
      </c>
      <c r="J1635" s="18">
        <v>1</v>
      </c>
      <c r="K1635" s="18">
        <v>0</v>
      </c>
      <c r="L1635" s="12">
        <v>0</v>
      </c>
      <c r="M1635" s="12">
        <v>0</v>
      </c>
      <c r="N1635" s="12">
        <v>0</v>
      </c>
      <c r="O1635" s="12">
        <v>2</v>
      </c>
      <c r="P1635" s="12">
        <v>3</v>
      </c>
      <c r="Q1635" s="12">
        <v>0.15</v>
      </c>
      <c r="R1635" s="12">
        <v>0</v>
      </c>
      <c r="S1635" s="12">
        <v>0</v>
      </c>
      <c r="T1635" s="12">
        <v>0</v>
      </c>
      <c r="U1635" s="16">
        <v>1</v>
      </c>
      <c r="V1635" s="12">
        <v>2</v>
      </c>
      <c r="W1635" s="12">
        <v>0</v>
      </c>
      <c r="X1635" s="12">
        <v>0</v>
      </c>
      <c r="Y1635" s="12">
        <v>0</v>
      </c>
      <c r="Z1635" s="12">
        <v>0</v>
      </c>
      <c r="AA1635" s="12">
        <v>0</v>
      </c>
      <c r="AB1635" s="12">
        <v>0</v>
      </c>
      <c r="AC1635" s="12">
        <v>0</v>
      </c>
      <c r="AD1635" s="18">
        <v>1</v>
      </c>
      <c r="AE1635" s="12">
        <v>0</v>
      </c>
      <c r="AF1635" s="12">
        <v>15</v>
      </c>
      <c r="AG1635" s="12">
        <v>0</v>
      </c>
      <c r="AH1635" s="12">
        <v>0</v>
      </c>
      <c r="AI1635" s="12">
        <v>7</v>
      </c>
      <c r="AJ1635" s="12">
        <v>0</v>
      </c>
      <c r="AK1635" s="12">
        <v>0</v>
      </c>
      <c r="AL1635" s="12">
        <v>6</v>
      </c>
      <c r="AM1635" s="12">
        <v>0</v>
      </c>
      <c r="AN1635" s="12">
        <v>0</v>
      </c>
      <c r="AO1635" s="12">
        <v>0</v>
      </c>
      <c r="AP1635" s="12">
        <v>0.5</v>
      </c>
      <c r="AQ1635" s="12">
        <v>1000</v>
      </c>
      <c r="AR1635" s="12">
        <v>0</v>
      </c>
      <c r="AS1635" s="12">
        <v>0</v>
      </c>
      <c r="AT1635" s="252">
        <v>0</v>
      </c>
      <c r="AU1635" s="12">
        <v>69000121</v>
      </c>
      <c r="AV1635" s="12"/>
      <c r="AW1635" s="13" t="s">
        <v>256</v>
      </c>
      <c r="AX1635" s="12" t="s">
        <v>1677</v>
      </c>
      <c r="AY1635" s="12" t="s">
        <v>198</v>
      </c>
      <c r="AZ1635" s="12" t="s">
        <v>1911</v>
      </c>
      <c r="BA1635" s="13" t="s">
        <v>200</v>
      </c>
      <c r="BB1635" s="12">
        <v>0</v>
      </c>
      <c r="BC1635" s="27">
        <v>0</v>
      </c>
      <c r="BD1635" s="27">
        <v>1</v>
      </c>
      <c r="BE1635" s="267" t="s">
        <v>3360</v>
      </c>
      <c r="BF1635" s="267" t="s">
        <v>3653</v>
      </c>
      <c r="BG1635" s="12">
        <v>0</v>
      </c>
      <c r="BH1635" s="16">
        <v>0</v>
      </c>
      <c r="BI1635" s="12">
        <v>0</v>
      </c>
      <c r="BJ1635" s="12">
        <v>0</v>
      </c>
      <c r="BK1635" s="12">
        <v>0</v>
      </c>
      <c r="BL1635" s="12">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69032006</v>
      </c>
      <c r="D1636" s="236" t="s">
        <v>3654</v>
      </c>
      <c r="E1636" s="236" t="s">
        <v>3655</v>
      </c>
      <c r="F1636" s="180">
        <v>1</v>
      </c>
      <c r="G1636" s="180">
        <v>66001007</v>
      </c>
      <c r="H1636" s="180">
        <v>0</v>
      </c>
      <c r="I1636" s="180">
        <v>0</v>
      </c>
      <c r="J1636" s="180">
        <v>1</v>
      </c>
      <c r="K1636" s="180">
        <v>0</v>
      </c>
      <c r="L1636" s="180">
        <v>0</v>
      </c>
      <c r="M1636" s="180">
        <v>0</v>
      </c>
      <c r="N1636" s="180">
        <v>0</v>
      </c>
      <c r="O1636" s="180">
        <v>2</v>
      </c>
      <c r="P1636" s="180">
        <v>2</v>
      </c>
      <c r="Q1636" s="180">
        <v>0.1</v>
      </c>
      <c r="R1636" s="180">
        <v>0</v>
      </c>
      <c r="S1636" s="180">
        <v>0</v>
      </c>
      <c r="T1636" s="180">
        <v>0</v>
      </c>
      <c r="U1636" s="180">
        <v>1</v>
      </c>
      <c r="V1636" s="180">
        <v>2</v>
      </c>
      <c r="W1636" s="180">
        <v>0</v>
      </c>
      <c r="X1636" s="180">
        <v>0</v>
      </c>
      <c r="Y1636" s="12">
        <v>0</v>
      </c>
      <c r="Z1636" s="180">
        <v>0</v>
      </c>
      <c r="AA1636" s="180">
        <v>0</v>
      </c>
      <c r="AB1636" s="180">
        <v>0</v>
      </c>
      <c r="AC1636" s="180">
        <v>0</v>
      </c>
      <c r="AD1636" s="180">
        <v>1</v>
      </c>
      <c r="AE1636" s="180">
        <v>0</v>
      </c>
      <c r="AF1636" s="180">
        <v>15</v>
      </c>
      <c r="AG1636" s="180">
        <v>0</v>
      </c>
      <c r="AH1636" s="180">
        <v>0</v>
      </c>
      <c r="AI1636" s="180">
        <v>7</v>
      </c>
      <c r="AJ1636" s="180">
        <v>0</v>
      </c>
      <c r="AK1636" s="180">
        <v>0</v>
      </c>
      <c r="AL1636" s="180">
        <v>6</v>
      </c>
      <c r="AM1636" s="180">
        <v>0</v>
      </c>
      <c r="AN1636" s="180">
        <v>0</v>
      </c>
      <c r="AO1636" s="180">
        <v>0</v>
      </c>
      <c r="AP1636" s="180">
        <v>0</v>
      </c>
      <c r="AQ1636" s="180">
        <v>1000</v>
      </c>
      <c r="AR1636" s="180">
        <v>0</v>
      </c>
      <c r="AS1636" s="180">
        <v>0</v>
      </c>
      <c r="AT1636" s="266">
        <v>10001003</v>
      </c>
      <c r="AU1636" s="180">
        <v>0</v>
      </c>
      <c r="AV1636" s="180"/>
      <c r="AW1636" s="236" t="s">
        <v>256</v>
      </c>
      <c r="AX1636" s="180" t="s">
        <v>1677</v>
      </c>
      <c r="AY1636" s="180" t="s">
        <v>198</v>
      </c>
      <c r="AZ1636" s="180">
        <v>0</v>
      </c>
      <c r="BA1636" s="236" t="s">
        <v>200</v>
      </c>
      <c r="BB1636" s="180">
        <v>0</v>
      </c>
      <c r="BC1636" s="180">
        <v>0</v>
      </c>
      <c r="BD1636" s="27">
        <v>1</v>
      </c>
      <c r="BE1636" s="268" t="s">
        <v>3656</v>
      </c>
      <c r="BF1636" s="268" t="s">
        <v>3657</v>
      </c>
      <c r="BG1636" s="180">
        <v>0</v>
      </c>
      <c r="BH1636" s="180">
        <v>0</v>
      </c>
      <c r="BI1636" s="180">
        <v>0</v>
      </c>
      <c r="BJ1636" s="180">
        <v>0</v>
      </c>
      <c r="BK1636" s="180">
        <v>0</v>
      </c>
      <c r="BL1636" s="180">
        <v>0</v>
      </c>
      <c r="BM1636" s="243">
        <v>0</v>
      </c>
      <c r="BN1636" s="12">
        <v>1</v>
      </c>
      <c r="BO1636" s="180">
        <v>0</v>
      </c>
      <c r="BP1636" s="180">
        <v>0</v>
      </c>
      <c r="BQ1636" s="180">
        <v>0</v>
      </c>
      <c r="BR1636" s="180">
        <v>0</v>
      </c>
      <c r="BS1636" s="180">
        <v>0</v>
      </c>
      <c r="BT1636" s="12">
        <v>0</v>
      </c>
      <c r="BU1636" s="47">
        <v>0</v>
      </c>
      <c r="BV1636" s="47"/>
      <c r="BW1636" s="47"/>
    </row>
    <row r="1637" spans="3:75" ht="19.5" customHeight="1">
      <c r="C1637" s="18">
        <v>69032007</v>
      </c>
      <c r="D1637" s="19" t="s">
        <v>3658</v>
      </c>
      <c r="E1637" s="19" t="s">
        <v>3659</v>
      </c>
      <c r="F1637" s="16">
        <v>1</v>
      </c>
      <c r="G1637" s="18">
        <v>62021301</v>
      </c>
      <c r="H1637" s="16">
        <v>62021203</v>
      </c>
      <c r="I1637" s="27">
        <v>0</v>
      </c>
      <c r="J1637" s="16">
        <v>32</v>
      </c>
      <c r="K1637" s="16">
        <v>2</v>
      </c>
      <c r="L1637" s="16">
        <v>0</v>
      </c>
      <c r="M1637" s="18">
        <v>0</v>
      </c>
      <c r="N1637" s="18">
        <v>0</v>
      </c>
      <c r="O1637" s="18">
        <v>2</v>
      </c>
      <c r="P1637" s="18">
        <v>14</v>
      </c>
      <c r="Q1637" s="18">
        <v>1</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3</v>
      </c>
      <c r="AG1637" s="18">
        <v>1</v>
      </c>
      <c r="AH1637" s="18">
        <v>3</v>
      </c>
      <c r="AI1637" s="12">
        <v>2</v>
      </c>
      <c r="AJ1637" s="12">
        <v>2</v>
      </c>
      <c r="AK1637" s="12">
        <v>0</v>
      </c>
      <c r="AL1637" s="12">
        <v>0</v>
      </c>
      <c r="AM1637" s="18">
        <v>0</v>
      </c>
      <c r="AN1637" s="18">
        <v>0</v>
      </c>
      <c r="AO1637" s="18">
        <v>0</v>
      </c>
      <c r="AP1637" s="18">
        <v>0</v>
      </c>
      <c r="AQ1637" s="18">
        <v>2000</v>
      </c>
      <c r="AR1637" s="18">
        <v>0</v>
      </c>
      <c r="AS1637" s="18">
        <v>0</v>
      </c>
      <c r="AT1637" s="12">
        <v>69000141</v>
      </c>
      <c r="AU1637" s="18">
        <v>0</v>
      </c>
      <c r="AV1637" s="18"/>
      <c r="AW1637" s="19" t="s">
        <v>199</v>
      </c>
      <c r="AX1637" s="18" t="s">
        <v>545</v>
      </c>
      <c r="AY1637" s="18">
        <v>0</v>
      </c>
      <c r="AZ1637" s="18">
        <v>0</v>
      </c>
      <c r="BA1637" s="19" t="s">
        <v>200</v>
      </c>
      <c r="BB1637" s="19">
        <v>0</v>
      </c>
      <c r="BC1637" s="27">
        <v>0</v>
      </c>
      <c r="BD1637" s="27">
        <v>0</v>
      </c>
      <c r="BE1637" s="267" t="s">
        <v>3660</v>
      </c>
      <c r="BF1637" s="267" t="s">
        <v>3661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69032008</v>
      </c>
      <c r="D1638" s="19" t="s">
        <v>3662</v>
      </c>
      <c r="E1638" s="19" t="s">
        <v>3663</v>
      </c>
      <c r="F1638" s="18">
        <v>1</v>
      </c>
      <c r="G1638" s="18">
        <v>68000002</v>
      </c>
      <c r="H1638" s="18">
        <v>0</v>
      </c>
      <c r="I1638" s="27">
        <v>0</v>
      </c>
      <c r="J1638" s="18">
        <v>1</v>
      </c>
      <c r="K1638" s="18">
        <v>0</v>
      </c>
      <c r="L1638" s="18">
        <v>0</v>
      </c>
      <c r="M1638" s="18">
        <v>0</v>
      </c>
      <c r="N1638" s="18">
        <v>0</v>
      </c>
      <c r="O1638" s="18">
        <v>2</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0</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v>0</v>
      </c>
      <c r="AU1638" s="18" t="s">
        <v>198</v>
      </c>
      <c r="AV1638" s="18"/>
      <c r="AW1638" s="19" t="s">
        <v>199</v>
      </c>
      <c r="AX1638" s="18">
        <v>0</v>
      </c>
      <c r="AY1638" s="18">
        <v>0</v>
      </c>
      <c r="AZ1638" s="18">
        <v>0</v>
      </c>
      <c r="BA1638" s="19" t="s">
        <v>200</v>
      </c>
      <c r="BB1638" s="19" t="s">
        <v>3664</v>
      </c>
      <c r="BC1638" s="27">
        <v>0</v>
      </c>
      <c r="BD1638" s="27">
        <v>1</v>
      </c>
      <c r="BE1638" s="87" t="s">
        <v>3665</v>
      </c>
      <c r="BF1638" s="87" t="s">
        <v>3666</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69032009</v>
      </c>
      <c r="D1639" s="19" t="s">
        <v>3667</v>
      </c>
      <c r="E1639" s="19" t="s">
        <v>3668</v>
      </c>
      <c r="F1639" s="18">
        <v>1</v>
      </c>
      <c r="G1639" s="18">
        <v>68000002</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0</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v>0</v>
      </c>
      <c r="AU1639" s="18" t="s">
        <v>198</v>
      </c>
      <c r="AV1639" s="18"/>
      <c r="AW1639" s="19" t="s">
        <v>199</v>
      </c>
      <c r="AX1639" s="18">
        <v>0</v>
      </c>
      <c r="AY1639" s="18">
        <v>0</v>
      </c>
      <c r="AZ1639" s="18">
        <v>0</v>
      </c>
      <c r="BA1639" s="19" t="s">
        <v>200</v>
      </c>
      <c r="BB1639" s="19" t="s">
        <v>3669</v>
      </c>
      <c r="BC1639" s="27">
        <v>0</v>
      </c>
      <c r="BD1639" s="27">
        <v>1</v>
      </c>
      <c r="BE1639" s="87" t="s">
        <v>3670</v>
      </c>
      <c r="BF1639" s="87" t="s">
        <v>3671</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69032010</v>
      </c>
      <c r="D1640" s="19" t="s">
        <v>3672</v>
      </c>
      <c r="E1640" s="19" t="s">
        <v>3673</v>
      </c>
      <c r="F1640" s="18">
        <v>1</v>
      </c>
      <c r="G1640" s="18">
        <v>68000002</v>
      </c>
      <c r="H1640" s="18">
        <v>0</v>
      </c>
      <c r="I1640" s="27">
        <v>0</v>
      </c>
      <c r="J1640" s="18">
        <v>1</v>
      </c>
      <c r="K1640" s="18">
        <v>0</v>
      </c>
      <c r="L1640" s="18">
        <v>0</v>
      </c>
      <c r="M1640" s="18">
        <v>0</v>
      </c>
      <c r="N1640" s="18">
        <v>0</v>
      </c>
      <c r="O1640" s="18">
        <v>2</v>
      </c>
      <c r="P1640" s="18">
        <v>5</v>
      </c>
      <c r="Q1640" s="18">
        <v>0.2</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0</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v>10001002</v>
      </c>
      <c r="AU1640" s="18" t="s">
        <v>198</v>
      </c>
      <c r="AV1640" s="18"/>
      <c r="AW1640" s="19" t="s">
        <v>199</v>
      </c>
      <c r="AX1640" s="18">
        <v>0</v>
      </c>
      <c r="AY1640" s="18">
        <v>0</v>
      </c>
      <c r="AZ1640" s="18">
        <v>0</v>
      </c>
      <c r="BA1640" s="19" t="s">
        <v>200</v>
      </c>
      <c r="BB1640" s="19" t="s">
        <v>198</v>
      </c>
      <c r="BC1640" s="27">
        <v>0</v>
      </c>
      <c r="BD1640" s="27">
        <v>1</v>
      </c>
      <c r="BE1640" s="87" t="s">
        <v>3674</v>
      </c>
      <c r="BF1640" s="87" t="s">
        <v>3675</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69033101</v>
      </c>
      <c r="D1641" s="19" t="s">
        <v>3676</v>
      </c>
      <c r="E1641" s="19" t="s">
        <v>3677</v>
      </c>
      <c r="F1641" s="18">
        <v>1</v>
      </c>
      <c r="G1641" s="18">
        <v>68000015</v>
      </c>
      <c r="H1641" s="18">
        <v>0</v>
      </c>
      <c r="I1641" s="27">
        <v>0</v>
      </c>
      <c r="J1641" s="18">
        <v>1</v>
      </c>
      <c r="K1641" s="18">
        <v>0</v>
      </c>
      <c r="L1641" s="18">
        <v>0</v>
      </c>
      <c r="M1641" s="18">
        <v>0</v>
      </c>
      <c r="N1641" s="18">
        <v>0</v>
      </c>
      <c r="O1641" s="18">
        <v>5</v>
      </c>
      <c r="P1641" s="18">
        <v>11</v>
      </c>
      <c r="Q1641" s="18">
        <v>200001</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c r="AU1641" s="18" t="s">
        <v>198</v>
      </c>
      <c r="AV1641" s="18"/>
      <c r="AW1641" s="19" t="s">
        <v>199</v>
      </c>
      <c r="AX1641" s="18">
        <v>0</v>
      </c>
      <c r="AY1641" s="18">
        <v>0</v>
      </c>
      <c r="AZ1641" s="18">
        <v>0</v>
      </c>
      <c r="BA1641" s="19" t="s">
        <v>200</v>
      </c>
      <c r="BB1641" s="19" t="s">
        <v>198</v>
      </c>
      <c r="BC1641" s="18">
        <v>200001</v>
      </c>
      <c r="BD1641" s="27">
        <v>1</v>
      </c>
      <c r="BE1641" s="19" t="s">
        <v>3678</v>
      </c>
      <c r="BF1641" s="19" t="s">
        <v>3679</v>
      </c>
      <c r="BG1641" s="18">
        <v>0</v>
      </c>
      <c r="BH1641" s="16">
        <v>0</v>
      </c>
      <c r="BI1641" s="18">
        <v>0</v>
      </c>
      <c r="BJ1641" s="18">
        <v>0</v>
      </c>
      <c r="BK1641" s="18">
        <v>0</v>
      </c>
      <c r="BL1641" s="18">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18">
        <v>69033102</v>
      </c>
      <c r="D1642" s="19" t="s">
        <v>3676</v>
      </c>
      <c r="E1642" s="19" t="s">
        <v>3677</v>
      </c>
      <c r="F1642" s="18">
        <v>1</v>
      </c>
      <c r="G1642" s="18">
        <v>68000015</v>
      </c>
      <c r="H1642" s="18">
        <v>0</v>
      </c>
      <c r="I1642" s="27">
        <v>0</v>
      </c>
      <c r="J1642" s="18">
        <v>1</v>
      </c>
      <c r="K1642" s="18">
        <v>0</v>
      </c>
      <c r="L1642" s="18">
        <v>0</v>
      </c>
      <c r="M1642" s="18">
        <v>0</v>
      </c>
      <c r="N1642" s="18">
        <v>0</v>
      </c>
      <c r="O1642" s="18">
        <v>5</v>
      </c>
      <c r="P1642" s="18">
        <v>11</v>
      </c>
      <c r="Q1642" s="18">
        <v>200002</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18</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c r="AU1642" s="18" t="s">
        <v>198</v>
      </c>
      <c r="AV1642" s="18"/>
      <c r="AW1642" s="19" t="s">
        <v>199</v>
      </c>
      <c r="AX1642" s="18">
        <v>0</v>
      </c>
      <c r="AY1642" s="18">
        <v>0</v>
      </c>
      <c r="AZ1642" s="18">
        <v>0</v>
      </c>
      <c r="BA1642" s="19" t="s">
        <v>200</v>
      </c>
      <c r="BB1642" s="19" t="s">
        <v>198</v>
      </c>
      <c r="BC1642" s="18">
        <v>200002</v>
      </c>
      <c r="BD1642" s="27">
        <v>1</v>
      </c>
      <c r="BE1642" s="19" t="s">
        <v>3680</v>
      </c>
      <c r="BF1642" s="19" t="s">
        <v>3681</v>
      </c>
      <c r="BG1642" s="18">
        <v>0</v>
      </c>
      <c r="BH1642" s="16">
        <v>0</v>
      </c>
      <c r="BI1642" s="18">
        <v>0</v>
      </c>
      <c r="BJ1642" s="18">
        <v>0</v>
      </c>
      <c r="BK1642" s="18">
        <v>0</v>
      </c>
      <c r="BL1642" s="18">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18">
        <v>69033103</v>
      </c>
      <c r="D1643" s="19" t="s">
        <v>3676</v>
      </c>
      <c r="E1643" s="19" t="s">
        <v>3677</v>
      </c>
      <c r="F1643" s="18">
        <v>1</v>
      </c>
      <c r="G1643" s="18">
        <v>68000015</v>
      </c>
      <c r="H1643" s="18">
        <v>0</v>
      </c>
      <c r="I1643" s="27">
        <v>0</v>
      </c>
      <c r="J1643" s="18">
        <v>1</v>
      </c>
      <c r="K1643" s="18">
        <v>0</v>
      </c>
      <c r="L1643" s="18">
        <v>0</v>
      </c>
      <c r="M1643" s="18">
        <v>0</v>
      </c>
      <c r="N1643" s="18">
        <v>0</v>
      </c>
      <c r="O1643" s="18">
        <v>5</v>
      </c>
      <c r="P1643" s="18">
        <v>11</v>
      </c>
      <c r="Q1643" s="18">
        <v>200003</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18</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c r="AU1643" s="18" t="s">
        <v>198</v>
      </c>
      <c r="AV1643" s="18"/>
      <c r="AW1643" s="19" t="s">
        <v>199</v>
      </c>
      <c r="AX1643" s="18">
        <v>0</v>
      </c>
      <c r="AY1643" s="18">
        <v>0</v>
      </c>
      <c r="AZ1643" s="18">
        <v>0</v>
      </c>
      <c r="BA1643" s="19" t="s">
        <v>200</v>
      </c>
      <c r="BB1643" s="19" t="s">
        <v>198</v>
      </c>
      <c r="BC1643" s="18">
        <v>200003</v>
      </c>
      <c r="BD1643" s="27">
        <v>1</v>
      </c>
      <c r="BE1643" s="19" t="s">
        <v>3682</v>
      </c>
      <c r="BF1643" s="19" t="s">
        <v>3683</v>
      </c>
      <c r="BG1643" s="18">
        <v>0</v>
      </c>
      <c r="BH1643" s="16">
        <v>0</v>
      </c>
      <c r="BI1643" s="18">
        <v>0</v>
      </c>
      <c r="BJ1643" s="18">
        <v>0</v>
      </c>
      <c r="BK1643" s="18">
        <v>0</v>
      </c>
      <c r="BL1643" s="18">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18">
        <v>69033104</v>
      </c>
      <c r="D1644" s="19" t="s">
        <v>3676</v>
      </c>
      <c r="E1644" s="19" t="s">
        <v>3677</v>
      </c>
      <c r="F1644" s="18">
        <v>1</v>
      </c>
      <c r="G1644" s="18">
        <v>68000015</v>
      </c>
      <c r="H1644" s="18">
        <v>0</v>
      </c>
      <c r="I1644" s="27">
        <v>0</v>
      </c>
      <c r="J1644" s="18">
        <v>1</v>
      </c>
      <c r="K1644" s="18">
        <v>0</v>
      </c>
      <c r="L1644" s="18">
        <v>0</v>
      </c>
      <c r="M1644" s="18">
        <v>0</v>
      </c>
      <c r="N1644" s="18">
        <v>0</v>
      </c>
      <c r="O1644" s="18">
        <v>5</v>
      </c>
      <c r="P1644" s="18">
        <v>11</v>
      </c>
      <c r="Q1644" s="18">
        <v>200005</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200005</v>
      </c>
      <c r="BD1644" s="27">
        <v>1</v>
      </c>
      <c r="BE1644" s="19" t="s">
        <v>3684</v>
      </c>
      <c r="BF1644" s="19" t="s">
        <v>3685</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69033105</v>
      </c>
      <c r="D1645" s="19" t="s">
        <v>3676</v>
      </c>
      <c r="E1645" s="19" t="s">
        <v>3677</v>
      </c>
      <c r="F1645" s="18">
        <v>1</v>
      </c>
      <c r="G1645" s="18">
        <v>68000015</v>
      </c>
      <c r="H1645" s="18">
        <v>0</v>
      </c>
      <c r="I1645" s="27">
        <v>0</v>
      </c>
      <c r="J1645" s="18">
        <v>1</v>
      </c>
      <c r="K1645" s="18">
        <v>0</v>
      </c>
      <c r="L1645" s="18">
        <v>0</v>
      </c>
      <c r="M1645" s="18">
        <v>0</v>
      </c>
      <c r="N1645" s="18">
        <v>0</v>
      </c>
      <c r="O1645" s="18">
        <v>5</v>
      </c>
      <c r="P1645" s="18">
        <v>11</v>
      </c>
      <c r="Q1645" s="18">
        <v>200007</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200007</v>
      </c>
      <c r="BD1645" s="27">
        <v>1</v>
      </c>
      <c r="BE1645" s="19" t="s">
        <v>3686</v>
      </c>
      <c r="BF1645" s="19" t="s">
        <v>3687</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69033106</v>
      </c>
      <c r="D1646" s="19" t="s">
        <v>3676</v>
      </c>
      <c r="E1646" s="19" t="s">
        <v>3677</v>
      </c>
      <c r="F1646" s="18">
        <v>1</v>
      </c>
      <c r="G1646" s="18">
        <v>68000015</v>
      </c>
      <c r="H1646" s="18">
        <v>0</v>
      </c>
      <c r="I1646" s="27">
        <v>0</v>
      </c>
      <c r="J1646" s="18">
        <v>1</v>
      </c>
      <c r="K1646" s="18">
        <v>0</v>
      </c>
      <c r="L1646" s="18">
        <v>0</v>
      </c>
      <c r="M1646" s="18">
        <v>0</v>
      </c>
      <c r="N1646" s="18">
        <v>0</v>
      </c>
      <c r="O1646" s="18">
        <v>5</v>
      </c>
      <c r="P1646" s="18">
        <v>11</v>
      </c>
      <c r="Q1646" s="18">
        <v>200008</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200008</v>
      </c>
      <c r="BD1646" s="27">
        <v>1</v>
      </c>
      <c r="BE1646" s="19" t="s">
        <v>3688</v>
      </c>
      <c r="BF1646" s="19" t="s">
        <v>3689</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69033201</v>
      </c>
      <c r="D1647" s="19" t="s">
        <v>3676</v>
      </c>
      <c r="E1647" s="19" t="s">
        <v>3677</v>
      </c>
      <c r="F1647" s="18">
        <v>1</v>
      </c>
      <c r="G1647" s="18">
        <v>68000015</v>
      </c>
      <c r="H1647" s="18">
        <v>0</v>
      </c>
      <c r="I1647" s="27">
        <v>0</v>
      </c>
      <c r="J1647" s="18">
        <v>1</v>
      </c>
      <c r="K1647" s="18">
        <v>0</v>
      </c>
      <c r="L1647" s="18">
        <v>0</v>
      </c>
      <c r="M1647" s="18">
        <v>0</v>
      </c>
      <c r="N1647" s="18">
        <v>0</v>
      </c>
      <c r="O1647" s="18">
        <v>5</v>
      </c>
      <c r="P1647" s="18">
        <v>11</v>
      </c>
      <c r="Q1647" s="18">
        <v>200002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200014</v>
      </c>
      <c r="BD1647" s="27">
        <v>1</v>
      </c>
      <c r="BE1647" s="19" t="s">
        <v>3690</v>
      </c>
      <c r="BF1647" s="19" t="s">
        <v>3691</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69033202</v>
      </c>
      <c r="D1648" s="19" t="s">
        <v>3676</v>
      </c>
      <c r="E1648" s="19" t="s">
        <v>3677</v>
      </c>
      <c r="F1648" s="18">
        <v>1</v>
      </c>
      <c r="G1648" s="18">
        <v>68000015</v>
      </c>
      <c r="H1648" s="18">
        <v>0</v>
      </c>
      <c r="I1648" s="27">
        <v>0</v>
      </c>
      <c r="J1648" s="18">
        <v>1</v>
      </c>
      <c r="K1648" s="18">
        <v>0</v>
      </c>
      <c r="L1648" s="18">
        <v>0</v>
      </c>
      <c r="M1648" s="18">
        <v>0</v>
      </c>
      <c r="N1648" s="18">
        <v>0</v>
      </c>
      <c r="O1648" s="18">
        <v>5</v>
      </c>
      <c r="P1648" s="18">
        <v>11</v>
      </c>
      <c r="Q1648" s="18">
        <v>200005</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200013</v>
      </c>
      <c r="BD1648" s="27">
        <v>1</v>
      </c>
      <c r="BE1648" s="19" t="s">
        <v>3692</v>
      </c>
      <c r="BF1648" s="19" t="s">
        <v>3693</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69033203</v>
      </c>
      <c r="D1649" s="19" t="s">
        <v>3676</v>
      </c>
      <c r="E1649" s="19" t="s">
        <v>3677</v>
      </c>
      <c r="F1649" s="18">
        <v>1</v>
      </c>
      <c r="G1649" s="18">
        <v>68000015</v>
      </c>
      <c r="H1649" s="18">
        <v>0</v>
      </c>
      <c r="I1649" s="27">
        <v>0</v>
      </c>
      <c r="J1649" s="18">
        <v>1</v>
      </c>
      <c r="K1649" s="18">
        <v>0</v>
      </c>
      <c r="L1649" s="18">
        <v>0</v>
      </c>
      <c r="M1649" s="18">
        <v>0</v>
      </c>
      <c r="N1649" s="18">
        <v>0</v>
      </c>
      <c r="O1649" s="18">
        <v>5</v>
      </c>
      <c r="P1649" s="18">
        <v>11</v>
      </c>
      <c r="Q1649" s="18">
        <v>200007</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200007</v>
      </c>
      <c r="BD1649" s="27">
        <v>1</v>
      </c>
      <c r="BE1649" s="19" t="s">
        <v>3694</v>
      </c>
      <c r="BF1649" s="19" t="s">
        <v>3695</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69033204</v>
      </c>
      <c r="D1650" s="19" t="s">
        <v>3676</v>
      </c>
      <c r="E1650" s="19" t="s">
        <v>3677</v>
      </c>
      <c r="F1650" s="18">
        <v>1</v>
      </c>
      <c r="G1650" s="18">
        <v>68000015</v>
      </c>
      <c r="H1650" s="18">
        <v>0</v>
      </c>
      <c r="I1650" s="27">
        <v>0</v>
      </c>
      <c r="J1650" s="18">
        <v>1</v>
      </c>
      <c r="K1650" s="18">
        <v>0</v>
      </c>
      <c r="L1650" s="18">
        <v>0</v>
      </c>
      <c r="M1650" s="18">
        <v>0</v>
      </c>
      <c r="N1650" s="18">
        <v>0</v>
      </c>
      <c r="O1650" s="18">
        <v>5</v>
      </c>
      <c r="P1650" s="18">
        <v>11</v>
      </c>
      <c r="Q1650" s="18">
        <v>200010</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200010</v>
      </c>
      <c r="BD1650" s="27">
        <v>1</v>
      </c>
      <c r="BE1650" s="19" t="s">
        <v>3696</v>
      </c>
      <c r="BF1650" s="19" t="s">
        <v>3697</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69033205</v>
      </c>
      <c r="D1651" s="19" t="s">
        <v>3676</v>
      </c>
      <c r="E1651" s="19" t="s">
        <v>3677</v>
      </c>
      <c r="F1651" s="18">
        <v>1</v>
      </c>
      <c r="G1651" s="18">
        <v>68000015</v>
      </c>
      <c r="H1651" s="18">
        <v>0</v>
      </c>
      <c r="I1651" s="27">
        <v>0</v>
      </c>
      <c r="J1651" s="18">
        <v>1</v>
      </c>
      <c r="K1651" s="18">
        <v>0</v>
      </c>
      <c r="L1651" s="18">
        <v>0</v>
      </c>
      <c r="M1651" s="18">
        <v>0</v>
      </c>
      <c r="N1651" s="18">
        <v>0</v>
      </c>
      <c r="O1651" s="18">
        <v>5</v>
      </c>
      <c r="P1651" s="18">
        <v>11</v>
      </c>
      <c r="Q1651" s="18">
        <v>200011</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200011</v>
      </c>
      <c r="BD1651" s="27">
        <v>1</v>
      </c>
      <c r="BE1651" s="19" t="s">
        <v>3698</v>
      </c>
      <c r="BF1651" s="19" t="s">
        <v>3699</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69033206</v>
      </c>
      <c r="D1652" s="19" t="s">
        <v>3676</v>
      </c>
      <c r="E1652" s="19" t="s">
        <v>3677</v>
      </c>
      <c r="F1652" s="18">
        <v>1</v>
      </c>
      <c r="G1652" s="18">
        <v>68000015</v>
      </c>
      <c r="H1652" s="18">
        <v>0</v>
      </c>
      <c r="I1652" s="27">
        <v>0</v>
      </c>
      <c r="J1652" s="18">
        <v>1</v>
      </c>
      <c r="K1652" s="18">
        <v>0</v>
      </c>
      <c r="L1652" s="18">
        <v>0</v>
      </c>
      <c r="M1652" s="18">
        <v>0</v>
      </c>
      <c r="N1652" s="18">
        <v>0</v>
      </c>
      <c r="O1652" s="18">
        <v>5</v>
      </c>
      <c r="P1652" s="18">
        <v>11</v>
      </c>
      <c r="Q1652" s="18">
        <v>200012</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200012</v>
      </c>
      <c r="BD1652" s="27">
        <v>1</v>
      </c>
      <c r="BE1652" s="19" t="s">
        <v>3700</v>
      </c>
      <c r="BF1652" s="19" t="s">
        <v>3701</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69041001</v>
      </c>
      <c r="D1653" s="19" t="s">
        <v>2654</v>
      </c>
      <c r="E1653" s="19" t="s">
        <v>2655</v>
      </c>
      <c r="F1653" s="18">
        <v>1</v>
      </c>
      <c r="G1653" s="18">
        <v>68000015</v>
      </c>
      <c r="H1653" s="18">
        <v>0</v>
      </c>
      <c r="I1653" s="27">
        <v>0</v>
      </c>
      <c r="J1653" s="18">
        <v>1</v>
      </c>
      <c r="K1653" s="18">
        <v>0</v>
      </c>
      <c r="L1653" s="18">
        <v>0</v>
      </c>
      <c r="M1653" s="18">
        <v>0</v>
      </c>
      <c r="N1653" s="18">
        <v>0</v>
      </c>
      <c r="O1653" s="18">
        <v>8</v>
      </c>
      <c r="P1653" s="18">
        <v>0</v>
      </c>
      <c r="Q1653" s="18">
        <v>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3702</v>
      </c>
      <c r="BC1653" s="27">
        <v>0</v>
      </c>
      <c r="BD1653" s="27">
        <v>1</v>
      </c>
      <c r="BE1653" s="269" t="s">
        <v>3703</v>
      </c>
      <c r="BF1653" s="269" t="s">
        <v>3704</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69041002</v>
      </c>
      <c r="D1654" s="19" t="s">
        <v>3705</v>
      </c>
      <c r="E1654" s="19" t="s">
        <v>3706</v>
      </c>
      <c r="F1654" s="18">
        <v>1</v>
      </c>
      <c r="G1654" s="18">
        <v>68000015</v>
      </c>
      <c r="H1654" s="18">
        <v>0</v>
      </c>
      <c r="I1654" s="27">
        <v>0</v>
      </c>
      <c r="J1654" s="18">
        <v>1</v>
      </c>
      <c r="K1654" s="18">
        <v>0</v>
      </c>
      <c r="L1654" s="18">
        <v>0</v>
      </c>
      <c r="M1654" s="18">
        <v>0</v>
      </c>
      <c r="N1654" s="18">
        <v>0</v>
      </c>
      <c r="O1654" s="18">
        <v>8</v>
      </c>
      <c r="P1654" s="18">
        <v>0</v>
      </c>
      <c r="Q1654" s="18">
        <v>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3707</v>
      </c>
      <c r="BC1654" s="27">
        <v>0</v>
      </c>
      <c r="BD1654" s="27">
        <v>1</v>
      </c>
      <c r="BE1654" s="269" t="s">
        <v>3708</v>
      </c>
      <c r="BF1654" s="269" t="s">
        <v>3709</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69041003</v>
      </c>
      <c r="D1655" s="19" t="s">
        <v>3710</v>
      </c>
      <c r="E1655" s="19" t="s">
        <v>3711</v>
      </c>
      <c r="F1655" s="18">
        <v>1</v>
      </c>
      <c r="G1655" s="18">
        <v>68000015</v>
      </c>
      <c r="H1655" s="18">
        <v>0</v>
      </c>
      <c r="I1655" s="27">
        <v>0</v>
      </c>
      <c r="J1655" s="18">
        <v>1</v>
      </c>
      <c r="K1655" s="18">
        <v>0</v>
      </c>
      <c r="L1655" s="18">
        <v>0</v>
      </c>
      <c r="M1655" s="18">
        <v>0</v>
      </c>
      <c r="N1655" s="18">
        <v>0</v>
      </c>
      <c r="O1655" s="18">
        <v>8</v>
      </c>
      <c r="P1655" s="18">
        <v>0</v>
      </c>
      <c r="Q1655" s="18">
        <v>0</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3712</v>
      </c>
      <c r="BC1655" s="27">
        <v>0</v>
      </c>
      <c r="BD1655" s="27">
        <v>1</v>
      </c>
      <c r="BE1655" s="269" t="s">
        <v>3713</v>
      </c>
      <c r="BF1655" s="269" t="s">
        <v>3714</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69041004</v>
      </c>
      <c r="D1656" s="19" t="s">
        <v>3715</v>
      </c>
      <c r="E1656" s="19" t="s">
        <v>3716</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3717</v>
      </c>
      <c r="BC1656" s="27">
        <v>0</v>
      </c>
      <c r="BD1656" s="27">
        <v>1</v>
      </c>
      <c r="BE1656" s="269" t="s">
        <v>3718</v>
      </c>
      <c r="BF1656" s="269" t="s">
        <v>3719</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69041005</v>
      </c>
      <c r="D1657" s="19" t="s">
        <v>3720</v>
      </c>
      <c r="E1657" s="19" t="s">
        <v>3721</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3722</v>
      </c>
      <c r="BC1657" s="27">
        <v>0</v>
      </c>
      <c r="BD1657" s="27">
        <v>1</v>
      </c>
      <c r="BE1657" s="269" t="s">
        <v>3723</v>
      </c>
      <c r="BF1657" s="269" t="s">
        <v>3724</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69041006</v>
      </c>
      <c r="D1658" s="19" t="s">
        <v>3725</v>
      </c>
      <c r="E1658" s="19" t="s">
        <v>3726</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3727</v>
      </c>
      <c r="BC1658" s="27">
        <v>0</v>
      </c>
      <c r="BD1658" s="27">
        <v>1</v>
      </c>
      <c r="BE1658" s="269" t="s">
        <v>3728</v>
      </c>
      <c r="BF1658" s="269" t="s">
        <v>3729</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69041007</v>
      </c>
      <c r="D1659" s="19" t="s">
        <v>3730</v>
      </c>
      <c r="E1659" s="19" t="s">
        <v>3731</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6" t="s">
        <v>3218</v>
      </c>
      <c r="BC1659" s="27">
        <v>0</v>
      </c>
      <c r="BD1659" s="27">
        <v>1</v>
      </c>
      <c r="BE1659" s="269" t="s">
        <v>3219</v>
      </c>
      <c r="BF1659" s="269" t="s">
        <v>3732</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69051001</v>
      </c>
      <c r="D1660" s="256" t="s">
        <v>598</v>
      </c>
      <c r="E1660" s="256" t="s">
        <v>1162</v>
      </c>
      <c r="F1660" s="74">
        <v>1</v>
      </c>
      <c r="G1660" s="74">
        <v>61011101</v>
      </c>
      <c r="H1660" s="72">
        <v>0</v>
      </c>
      <c r="I1660" s="72">
        <v>0</v>
      </c>
      <c r="J1660" s="74">
        <v>1</v>
      </c>
      <c r="K1660" s="74">
        <v>0</v>
      </c>
      <c r="L1660" s="72">
        <v>0</v>
      </c>
      <c r="M1660" s="72">
        <v>0</v>
      </c>
      <c r="N1660" s="72" t="s">
        <v>3733</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1">
        <v>0</v>
      </c>
      <c r="AU1660" s="72">
        <v>0</v>
      </c>
      <c r="AV1660" s="72"/>
      <c r="AW1660" s="256">
        <v>0</v>
      </c>
      <c r="AX1660" s="72">
        <v>0</v>
      </c>
      <c r="AY1660" s="72">
        <v>0</v>
      </c>
      <c r="AZ1660" s="72">
        <v>0</v>
      </c>
      <c r="BA1660" s="13" t="s">
        <v>200</v>
      </c>
      <c r="BB1660" s="72">
        <v>0</v>
      </c>
      <c r="BC1660" s="263">
        <v>0</v>
      </c>
      <c r="BD1660" s="27">
        <v>1</v>
      </c>
      <c r="BE1660" s="256" t="s">
        <v>3734</v>
      </c>
      <c r="BF1660" s="256" t="s">
        <v>3735</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69051002</v>
      </c>
      <c r="D1661" s="256" t="s">
        <v>532</v>
      </c>
      <c r="E1661" s="256" t="s">
        <v>255</v>
      </c>
      <c r="F1661" s="74">
        <v>1</v>
      </c>
      <c r="G1661" s="74">
        <v>61011201</v>
      </c>
      <c r="H1661" s="72">
        <v>0</v>
      </c>
      <c r="I1661" s="72">
        <v>0</v>
      </c>
      <c r="J1661" s="74">
        <v>1</v>
      </c>
      <c r="K1661" s="74">
        <v>0</v>
      </c>
      <c r="L1661" s="72">
        <v>0</v>
      </c>
      <c r="M1661" s="72">
        <v>0</v>
      </c>
      <c r="N1661" s="72" t="s">
        <v>3736</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1">
        <v>0</v>
      </c>
      <c r="AU1661" s="72">
        <v>0</v>
      </c>
      <c r="AV1661" s="72"/>
      <c r="AW1661" s="256">
        <v>0</v>
      </c>
      <c r="AX1661" s="72">
        <v>0</v>
      </c>
      <c r="AY1661" s="72">
        <v>0</v>
      </c>
      <c r="AZ1661" s="72">
        <v>0</v>
      </c>
      <c r="BA1661" s="13" t="s">
        <v>200</v>
      </c>
      <c r="BB1661" s="72">
        <v>0</v>
      </c>
      <c r="BC1661" s="263">
        <v>0</v>
      </c>
      <c r="BD1661" s="27">
        <v>1</v>
      </c>
      <c r="BE1661" s="256" t="s">
        <v>3737</v>
      </c>
      <c r="BF1661" s="256" t="s">
        <v>3738</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69051003</v>
      </c>
      <c r="D1662" s="256" t="s">
        <v>1369</v>
      </c>
      <c r="E1662" s="256" t="s">
        <v>1470</v>
      </c>
      <c r="F1662" s="74">
        <v>1</v>
      </c>
      <c r="G1662" s="74">
        <v>61011301</v>
      </c>
      <c r="H1662" s="72">
        <v>0</v>
      </c>
      <c r="I1662" s="72">
        <v>0</v>
      </c>
      <c r="J1662" s="74">
        <v>1</v>
      </c>
      <c r="K1662" s="74">
        <v>0</v>
      </c>
      <c r="L1662" s="72">
        <v>0</v>
      </c>
      <c r="M1662" s="72">
        <v>0</v>
      </c>
      <c r="N1662" s="72" t="s">
        <v>3739</v>
      </c>
      <c r="O1662" s="72">
        <v>3</v>
      </c>
      <c r="P1662" s="72">
        <v>0</v>
      </c>
      <c r="Q1662" s="72">
        <v>0</v>
      </c>
      <c r="R1662" s="72">
        <v>0</v>
      </c>
      <c r="S1662" s="12">
        <v>0</v>
      </c>
      <c r="T1662" s="72">
        <v>0</v>
      </c>
      <c r="U1662" s="16">
        <v>1</v>
      </c>
      <c r="V1662" s="72">
        <v>0</v>
      </c>
      <c r="W1662" s="72">
        <v>0</v>
      </c>
      <c r="X1662" s="72">
        <v>0</v>
      </c>
      <c r="Y1662" s="12">
        <v>0</v>
      </c>
      <c r="Z1662" s="72">
        <v>0</v>
      </c>
      <c r="AA1662" s="72">
        <v>0</v>
      </c>
      <c r="AB1662" s="72">
        <v>0</v>
      </c>
      <c r="AC1662" s="72">
        <v>0</v>
      </c>
      <c r="AD1662" s="74">
        <v>0</v>
      </c>
      <c r="AE1662" s="72">
        <v>0</v>
      </c>
      <c r="AF1662" s="72">
        <v>0</v>
      </c>
      <c r="AG1662" s="72">
        <v>0</v>
      </c>
      <c r="AH1662" s="72">
        <v>0</v>
      </c>
      <c r="AI1662" s="72">
        <v>0</v>
      </c>
      <c r="AJ1662" s="72">
        <v>0</v>
      </c>
      <c r="AK1662" s="12">
        <v>0</v>
      </c>
      <c r="AL1662" s="72">
        <v>0</v>
      </c>
      <c r="AM1662" s="72">
        <v>0</v>
      </c>
      <c r="AN1662" s="72">
        <v>0</v>
      </c>
      <c r="AO1662" s="72">
        <v>0</v>
      </c>
      <c r="AP1662" s="72">
        <v>0</v>
      </c>
      <c r="AQ1662" s="72">
        <v>0</v>
      </c>
      <c r="AR1662" s="72">
        <v>0</v>
      </c>
      <c r="AS1662" s="72">
        <v>0</v>
      </c>
      <c r="AT1662" s="261">
        <v>0</v>
      </c>
      <c r="AU1662" s="72">
        <v>0</v>
      </c>
      <c r="AV1662" s="72"/>
      <c r="AW1662" s="256">
        <v>0</v>
      </c>
      <c r="AX1662" s="72">
        <v>0</v>
      </c>
      <c r="AY1662" s="72">
        <v>0</v>
      </c>
      <c r="AZ1662" s="72">
        <v>0</v>
      </c>
      <c r="BA1662" s="13" t="s">
        <v>200</v>
      </c>
      <c r="BB1662" s="72">
        <v>0</v>
      </c>
      <c r="BC1662" s="263">
        <v>0</v>
      </c>
      <c r="BD1662" s="27">
        <v>1</v>
      </c>
      <c r="BE1662" s="256" t="s">
        <v>3740</v>
      </c>
      <c r="BF1662" s="256" t="s">
        <v>3741</v>
      </c>
      <c r="BG1662" s="72">
        <v>0</v>
      </c>
      <c r="BH1662" s="75">
        <v>0</v>
      </c>
      <c r="BI1662" s="12">
        <v>0</v>
      </c>
      <c r="BJ1662" s="72">
        <v>0</v>
      </c>
      <c r="BK1662" s="72">
        <v>0</v>
      </c>
      <c r="BL1662" s="72">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69051011</v>
      </c>
      <c r="D1663" s="256" t="s">
        <v>3742</v>
      </c>
      <c r="E1663" s="256" t="s">
        <v>3743</v>
      </c>
      <c r="F1663" s="74">
        <v>1</v>
      </c>
      <c r="G1663" s="74">
        <v>61021401</v>
      </c>
      <c r="H1663" s="72">
        <v>0</v>
      </c>
      <c r="I1663" s="72">
        <v>0</v>
      </c>
      <c r="J1663" s="74">
        <v>1</v>
      </c>
      <c r="K1663" s="74">
        <v>0</v>
      </c>
      <c r="L1663" s="72">
        <v>0</v>
      </c>
      <c r="M1663" s="72">
        <v>0</v>
      </c>
      <c r="N1663" s="72" t="s">
        <v>3397</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3395</v>
      </c>
      <c r="BF1663" s="256" t="s">
        <v>3744</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69051012</v>
      </c>
      <c r="D1664" s="256" t="s">
        <v>3745</v>
      </c>
      <c r="E1664" s="256" t="s">
        <v>3746</v>
      </c>
      <c r="F1664" s="74">
        <v>1</v>
      </c>
      <c r="G1664" s="74">
        <v>61021201</v>
      </c>
      <c r="H1664" s="72">
        <v>0</v>
      </c>
      <c r="I1664" s="72">
        <v>0</v>
      </c>
      <c r="J1664" s="74">
        <v>1</v>
      </c>
      <c r="K1664" s="74">
        <v>0</v>
      </c>
      <c r="L1664" s="72">
        <v>0</v>
      </c>
      <c r="M1664" s="72">
        <v>0</v>
      </c>
      <c r="N1664" s="72" t="s">
        <v>3400</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3398</v>
      </c>
      <c r="BF1664" s="256" t="s">
        <v>3747</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69051013</v>
      </c>
      <c r="D1665" s="256" t="s">
        <v>3748</v>
      </c>
      <c r="E1665" s="256" t="s">
        <v>3749</v>
      </c>
      <c r="F1665" s="74">
        <v>1</v>
      </c>
      <c r="G1665" s="74">
        <v>61021301</v>
      </c>
      <c r="H1665" s="72">
        <v>0</v>
      </c>
      <c r="I1665" s="72">
        <v>0</v>
      </c>
      <c r="J1665" s="74">
        <v>1</v>
      </c>
      <c r="K1665" s="74">
        <v>0</v>
      </c>
      <c r="L1665" s="72">
        <v>0</v>
      </c>
      <c r="M1665" s="72">
        <v>0</v>
      </c>
      <c r="N1665" s="72" t="s">
        <v>3403</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3401</v>
      </c>
      <c r="BF1665" s="256" t="s">
        <v>3750</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69051014</v>
      </c>
      <c r="D1666" s="256" t="s">
        <v>3751</v>
      </c>
      <c r="E1666" s="256" t="s">
        <v>3752</v>
      </c>
      <c r="F1666" s="74">
        <v>1</v>
      </c>
      <c r="G1666" s="74">
        <v>61021402</v>
      </c>
      <c r="H1666" s="72">
        <v>0</v>
      </c>
      <c r="I1666" s="72">
        <v>0</v>
      </c>
      <c r="J1666" s="74">
        <v>1</v>
      </c>
      <c r="K1666" s="74">
        <v>0</v>
      </c>
      <c r="L1666" s="72">
        <v>0</v>
      </c>
      <c r="M1666" s="72">
        <v>0</v>
      </c>
      <c r="N1666" s="72" t="s">
        <v>3406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3404</v>
      </c>
      <c r="BF1666" s="256" t="s">
        <v>3753</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69051021</v>
      </c>
      <c r="D1667" s="256" t="s">
        <v>3754</v>
      </c>
      <c r="E1667" s="256" t="s">
        <v>558</v>
      </c>
      <c r="F1667" s="74">
        <v>1</v>
      </c>
      <c r="G1667" s="74">
        <v>61022101</v>
      </c>
      <c r="H1667" s="72">
        <v>0</v>
      </c>
      <c r="I1667" s="72">
        <v>0</v>
      </c>
      <c r="J1667" s="74">
        <v>1</v>
      </c>
      <c r="K1667" s="74">
        <v>0</v>
      </c>
      <c r="L1667" s="72">
        <v>0</v>
      </c>
      <c r="M1667" s="72">
        <v>0</v>
      </c>
      <c r="N1667" s="72" t="s">
        <v>3409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3407</v>
      </c>
      <c r="BF1667" s="256" t="s">
        <v>3755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69051022</v>
      </c>
      <c r="D1668" s="256" t="s">
        <v>3756</v>
      </c>
      <c r="E1668" s="256" t="s">
        <v>3757</v>
      </c>
      <c r="F1668" s="74">
        <v>1</v>
      </c>
      <c r="G1668" s="74">
        <v>61022201</v>
      </c>
      <c r="H1668" s="72">
        <v>0</v>
      </c>
      <c r="I1668" s="72">
        <v>0</v>
      </c>
      <c r="J1668" s="74">
        <v>1</v>
      </c>
      <c r="K1668" s="74">
        <v>0</v>
      </c>
      <c r="L1668" s="72">
        <v>0</v>
      </c>
      <c r="M1668" s="72">
        <v>0</v>
      </c>
      <c r="N1668" s="72" t="s">
        <v>3412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3410</v>
      </c>
      <c r="BF1668" s="256" t="s">
        <v>3758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69051023</v>
      </c>
      <c r="D1669" s="256" t="s">
        <v>3759</v>
      </c>
      <c r="E1669" s="256" t="s">
        <v>1593</v>
      </c>
      <c r="F1669" s="74">
        <v>1</v>
      </c>
      <c r="G1669" s="74">
        <v>61022301</v>
      </c>
      <c r="H1669" s="72">
        <v>0</v>
      </c>
      <c r="I1669" s="72">
        <v>0</v>
      </c>
      <c r="J1669" s="74">
        <v>1</v>
      </c>
      <c r="K1669" s="74">
        <v>0</v>
      </c>
      <c r="L1669" s="72">
        <v>0</v>
      </c>
      <c r="M1669" s="72">
        <v>0</v>
      </c>
      <c r="N1669" s="72" t="s">
        <v>3415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3413</v>
      </c>
      <c r="BF1669" s="256" t="s">
        <v>3760</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69051024</v>
      </c>
      <c r="D1670" s="256" t="s">
        <v>3761</v>
      </c>
      <c r="E1670" s="256" t="s">
        <v>1563</v>
      </c>
      <c r="F1670" s="74">
        <v>1</v>
      </c>
      <c r="G1670" s="74">
        <v>61022401</v>
      </c>
      <c r="H1670" s="72">
        <v>0</v>
      </c>
      <c r="I1670" s="72">
        <v>0</v>
      </c>
      <c r="J1670" s="74">
        <v>1</v>
      </c>
      <c r="K1670" s="74">
        <v>0</v>
      </c>
      <c r="L1670" s="72">
        <v>0</v>
      </c>
      <c r="M1670" s="72">
        <v>0</v>
      </c>
      <c r="N1670" s="72" t="s">
        <v>3418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3416</v>
      </c>
      <c r="BF1670" s="256" t="s">
        <v>3762</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69051031</v>
      </c>
      <c r="D1671" s="256" t="s">
        <v>3763</v>
      </c>
      <c r="E1671" s="256" t="s">
        <v>1620</v>
      </c>
      <c r="F1671" s="74">
        <v>1</v>
      </c>
      <c r="G1671" s="74">
        <v>61023101</v>
      </c>
      <c r="H1671" s="72">
        <v>0</v>
      </c>
      <c r="I1671" s="72">
        <v>0</v>
      </c>
      <c r="J1671" s="74">
        <v>1</v>
      </c>
      <c r="K1671" s="74">
        <v>0</v>
      </c>
      <c r="L1671" s="72">
        <v>0</v>
      </c>
      <c r="M1671" s="72">
        <v>0</v>
      </c>
      <c r="N1671" s="72" t="s">
        <v>3421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3419</v>
      </c>
      <c r="BF1671" s="256" t="s">
        <v>3764</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69051032</v>
      </c>
      <c r="D1672" s="256" t="s">
        <v>3765</v>
      </c>
      <c r="E1672" s="256" t="s">
        <v>1628</v>
      </c>
      <c r="F1672" s="74">
        <v>1</v>
      </c>
      <c r="G1672" s="74">
        <v>61023201</v>
      </c>
      <c r="H1672" s="72">
        <v>0</v>
      </c>
      <c r="I1672" s="72">
        <v>0</v>
      </c>
      <c r="J1672" s="74">
        <v>1</v>
      </c>
      <c r="K1672" s="74">
        <v>0</v>
      </c>
      <c r="L1672" s="72">
        <v>0</v>
      </c>
      <c r="M1672" s="72">
        <v>0</v>
      </c>
      <c r="N1672" s="72" t="s">
        <v>3424</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3422</v>
      </c>
      <c r="BF1672" s="256" t="s">
        <v>3766</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69051033</v>
      </c>
      <c r="D1673" s="256" t="s">
        <v>3767</v>
      </c>
      <c r="E1673" s="256" t="s">
        <v>1649</v>
      </c>
      <c r="F1673" s="74">
        <v>1</v>
      </c>
      <c r="G1673" s="74">
        <v>61023301</v>
      </c>
      <c r="H1673" s="72">
        <v>0</v>
      </c>
      <c r="I1673" s="72">
        <v>0</v>
      </c>
      <c r="J1673" s="74">
        <v>1</v>
      </c>
      <c r="K1673" s="74">
        <v>0</v>
      </c>
      <c r="L1673" s="72">
        <v>0</v>
      </c>
      <c r="M1673" s="72">
        <v>0</v>
      </c>
      <c r="N1673" s="72" t="s">
        <v>3427</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3425</v>
      </c>
      <c r="BF1673" s="256" t="s">
        <v>3768</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69051034</v>
      </c>
      <c r="D1674" s="256" t="s">
        <v>3769</v>
      </c>
      <c r="E1674" s="256" t="s">
        <v>3770</v>
      </c>
      <c r="F1674" s="74">
        <v>1</v>
      </c>
      <c r="G1674" s="74">
        <v>61023401</v>
      </c>
      <c r="H1674" s="72">
        <v>0</v>
      </c>
      <c r="I1674" s="72">
        <v>0</v>
      </c>
      <c r="J1674" s="74">
        <v>1</v>
      </c>
      <c r="K1674" s="74">
        <v>0</v>
      </c>
      <c r="L1674" s="72">
        <v>0</v>
      </c>
      <c r="M1674" s="72">
        <v>0</v>
      </c>
      <c r="N1674" s="72" t="s">
        <v>3430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3428</v>
      </c>
      <c r="BF1674" s="256" t="s">
        <v>3771</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69052001</v>
      </c>
      <c r="D1675" s="256" t="s">
        <v>3772</v>
      </c>
      <c r="E1675" s="256" t="s">
        <v>1676</v>
      </c>
      <c r="F1675" s="74">
        <v>1</v>
      </c>
      <c r="G1675" s="74">
        <v>62011101</v>
      </c>
      <c r="H1675" s="72">
        <v>0</v>
      </c>
      <c r="I1675" s="72">
        <v>0</v>
      </c>
      <c r="J1675" s="74">
        <v>1</v>
      </c>
      <c r="K1675" s="74">
        <v>0</v>
      </c>
      <c r="L1675" s="72">
        <v>0</v>
      </c>
      <c r="M1675" s="72">
        <v>0</v>
      </c>
      <c r="N1675" s="72" t="s">
        <v>3773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3774</v>
      </c>
      <c r="BF1675" s="256" t="s">
        <v>3775</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69052002</v>
      </c>
      <c r="D1676" s="256" t="s">
        <v>3776</v>
      </c>
      <c r="E1676" s="256" t="s">
        <v>1684</v>
      </c>
      <c r="F1676" s="74">
        <v>1</v>
      </c>
      <c r="G1676" s="74">
        <v>62011201</v>
      </c>
      <c r="H1676" s="72">
        <v>0</v>
      </c>
      <c r="I1676" s="72">
        <v>0</v>
      </c>
      <c r="J1676" s="74">
        <v>1</v>
      </c>
      <c r="K1676" s="74">
        <v>0</v>
      </c>
      <c r="L1676" s="72">
        <v>0</v>
      </c>
      <c r="M1676" s="72">
        <v>0</v>
      </c>
      <c r="N1676" s="72" t="s">
        <v>3777</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3778</v>
      </c>
      <c r="BF1676" s="256" t="s">
        <v>3779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69052003</v>
      </c>
      <c r="D1677" s="256" t="s">
        <v>3780</v>
      </c>
      <c r="E1677" s="256" t="s">
        <v>1691</v>
      </c>
      <c r="F1677" s="74">
        <v>1</v>
      </c>
      <c r="G1677" s="74">
        <v>62011301</v>
      </c>
      <c r="H1677" s="72">
        <v>0</v>
      </c>
      <c r="I1677" s="72">
        <v>0</v>
      </c>
      <c r="J1677" s="74">
        <v>1</v>
      </c>
      <c r="K1677" s="74">
        <v>0</v>
      </c>
      <c r="L1677" s="72">
        <v>0</v>
      </c>
      <c r="M1677" s="72">
        <v>0</v>
      </c>
      <c r="N1677" s="72" t="s">
        <v>3781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3782</v>
      </c>
      <c r="BF1677" s="256" t="s">
        <v>3783</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69052011</v>
      </c>
      <c r="D1678" s="256" t="s">
        <v>3784</v>
      </c>
      <c r="E1678" s="256" t="s">
        <v>1503</v>
      </c>
      <c r="F1678" s="74">
        <v>1</v>
      </c>
      <c r="G1678" s="74">
        <v>61021101</v>
      </c>
      <c r="H1678" s="72">
        <v>0</v>
      </c>
      <c r="I1678" s="72">
        <v>0</v>
      </c>
      <c r="J1678" s="74">
        <v>1</v>
      </c>
      <c r="K1678" s="74">
        <v>0</v>
      </c>
      <c r="L1678" s="72">
        <v>0</v>
      </c>
      <c r="M1678" s="72">
        <v>0</v>
      </c>
      <c r="N1678" s="72" t="s">
        <v>3448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3446</v>
      </c>
      <c r="BF1678" s="256" t="s">
        <v>3785</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69052012</v>
      </c>
      <c r="D1679" s="256" t="s">
        <v>3786</v>
      </c>
      <c r="E1679" s="256" t="s">
        <v>1325</v>
      </c>
      <c r="F1679" s="74">
        <v>1</v>
      </c>
      <c r="G1679" s="74">
        <v>62021301</v>
      </c>
      <c r="H1679" s="72">
        <v>0</v>
      </c>
      <c r="I1679" s="72">
        <v>0</v>
      </c>
      <c r="J1679" s="74">
        <v>1</v>
      </c>
      <c r="K1679" s="74">
        <v>0</v>
      </c>
      <c r="L1679" s="72">
        <v>0</v>
      </c>
      <c r="M1679" s="72">
        <v>0</v>
      </c>
      <c r="N1679" s="72" t="s">
        <v>3451</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3449</v>
      </c>
      <c r="BF1679" s="256" t="s">
        <v>3787</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69052013</v>
      </c>
      <c r="D1680" s="256" t="s">
        <v>3788</v>
      </c>
      <c r="E1680" s="256" t="s">
        <v>368</v>
      </c>
      <c r="F1680" s="74">
        <v>1</v>
      </c>
      <c r="G1680" s="74">
        <v>62021401</v>
      </c>
      <c r="H1680" s="72">
        <v>0</v>
      </c>
      <c r="I1680" s="72">
        <v>0</v>
      </c>
      <c r="J1680" s="74">
        <v>1</v>
      </c>
      <c r="K1680" s="74">
        <v>0</v>
      </c>
      <c r="L1680" s="72">
        <v>0</v>
      </c>
      <c r="M1680" s="72">
        <v>0</v>
      </c>
      <c r="N1680" s="72" t="s">
        <v>3454</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3452</v>
      </c>
      <c r="BF1680" s="256" t="s">
        <v>3789</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69052014</v>
      </c>
      <c r="D1681" s="256" t="s">
        <v>3790</v>
      </c>
      <c r="E1681" s="256" t="s">
        <v>3791</v>
      </c>
      <c r="F1681" s="74">
        <v>1</v>
      </c>
      <c r="G1681" s="74">
        <v>62021501</v>
      </c>
      <c r="H1681" s="72">
        <v>0</v>
      </c>
      <c r="I1681" s="72">
        <v>0</v>
      </c>
      <c r="J1681" s="74">
        <v>1</v>
      </c>
      <c r="K1681" s="74">
        <v>0</v>
      </c>
      <c r="L1681" s="72">
        <v>0</v>
      </c>
      <c r="M1681" s="72">
        <v>0</v>
      </c>
      <c r="N1681" s="72" t="s">
        <v>3457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3455</v>
      </c>
      <c r="BF1681" s="256" t="s">
        <v>3792</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69052021</v>
      </c>
      <c r="D1682" s="256" t="s">
        <v>3793</v>
      </c>
      <c r="E1682" s="256" t="s">
        <v>3794</v>
      </c>
      <c r="F1682" s="74">
        <v>1</v>
      </c>
      <c r="G1682" s="74">
        <v>62022101</v>
      </c>
      <c r="H1682" s="72">
        <v>0</v>
      </c>
      <c r="I1682" s="72">
        <v>0</v>
      </c>
      <c r="J1682" s="74">
        <v>1</v>
      </c>
      <c r="K1682" s="74">
        <v>0</v>
      </c>
      <c r="L1682" s="72">
        <v>0</v>
      </c>
      <c r="M1682" s="72">
        <v>0</v>
      </c>
      <c r="N1682" s="72" t="s">
        <v>3460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3458</v>
      </c>
      <c r="BF1682" s="256" t="s">
        <v>3795</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69052022</v>
      </c>
      <c r="D1683" s="256" t="s">
        <v>3796</v>
      </c>
      <c r="E1683" s="256" t="s">
        <v>3797</v>
      </c>
      <c r="F1683" s="74">
        <v>1</v>
      </c>
      <c r="G1683" s="74">
        <v>62022201</v>
      </c>
      <c r="H1683" s="72">
        <v>0</v>
      </c>
      <c r="I1683" s="72">
        <v>0</v>
      </c>
      <c r="J1683" s="74">
        <v>1</v>
      </c>
      <c r="K1683" s="74">
        <v>0</v>
      </c>
      <c r="L1683" s="72">
        <v>0</v>
      </c>
      <c r="M1683" s="72">
        <v>0</v>
      </c>
      <c r="N1683" s="72" t="s">
        <v>3463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3461</v>
      </c>
      <c r="BF1683" s="256" t="s">
        <v>3798</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69052023</v>
      </c>
      <c r="D1684" s="256" t="s">
        <v>3799</v>
      </c>
      <c r="E1684" s="256" t="s">
        <v>1793</v>
      </c>
      <c r="F1684" s="74">
        <v>1</v>
      </c>
      <c r="G1684" s="74">
        <v>62022301</v>
      </c>
      <c r="H1684" s="72">
        <v>0</v>
      </c>
      <c r="I1684" s="72">
        <v>0</v>
      </c>
      <c r="J1684" s="74">
        <v>1</v>
      </c>
      <c r="K1684" s="74">
        <v>0</v>
      </c>
      <c r="L1684" s="72">
        <v>0</v>
      </c>
      <c r="M1684" s="72">
        <v>0</v>
      </c>
      <c r="N1684" s="72" t="s">
        <v>3466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3464</v>
      </c>
      <c r="BF1684" s="256" t="s">
        <v>3800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69052024</v>
      </c>
      <c r="D1685" s="256" t="s">
        <v>3801</v>
      </c>
      <c r="E1685" s="256" t="s">
        <v>3802</v>
      </c>
      <c r="F1685" s="74">
        <v>1</v>
      </c>
      <c r="G1685" s="74">
        <v>62022401</v>
      </c>
      <c r="H1685" s="72">
        <v>0</v>
      </c>
      <c r="I1685" s="72">
        <v>0</v>
      </c>
      <c r="J1685" s="74">
        <v>1</v>
      </c>
      <c r="K1685" s="74">
        <v>0</v>
      </c>
      <c r="L1685" s="72">
        <v>0</v>
      </c>
      <c r="M1685" s="72">
        <v>0</v>
      </c>
      <c r="N1685" s="72" t="s">
        <v>3469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3467</v>
      </c>
      <c r="BF1685" s="256" t="s">
        <v>3803</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69052031</v>
      </c>
      <c r="D1686" s="256" t="s">
        <v>3804</v>
      </c>
      <c r="E1686" s="256" t="s">
        <v>341</v>
      </c>
      <c r="F1686" s="74">
        <v>1</v>
      </c>
      <c r="G1686" s="74">
        <v>62021101</v>
      </c>
      <c r="H1686" s="72">
        <v>0</v>
      </c>
      <c r="I1686" s="72">
        <v>0</v>
      </c>
      <c r="J1686" s="74">
        <v>1</v>
      </c>
      <c r="K1686" s="74">
        <v>0</v>
      </c>
      <c r="L1686" s="72">
        <v>0</v>
      </c>
      <c r="M1686" s="72">
        <v>0</v>
      </c>
      <c r="N1686" s="72" t="s">
        <v>3472</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3470</v>
      </c>
      <c r="BF1686" s="256" t="s">
        <v>3805</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69052032</v>
      </c>
      <c r="D1687" s="256" t="s">
        <v>3806</v>
      </c>
      <c r="E1687" s="256" t="s">
        <v>3807</v>
      </c>
      <c r="F1687" s="74">
        <v>1</v>
      </c>
      <c r="G1687" s="74">
        <v>62023201</v>
      </c>
      <c r="H1687" s="72">
        <v>0</v>
      </c>
      <c r="I1687" s="72">
        <v>0</v>
      </c>
      <c r="J1687" s="74">
        <v>1</v>
      </c>
      <c r="K1687" s="74">
        <v>0</v>
      </c>
      <c r="L1687" s="72">
        <v>0</v>
      </c>
      <c r="M1687" s="72">
        <v>0</v>
      </c>
      <c r="N1687" s="72" t="s">
        <v>3475</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3473</v>
      </c>
      <c r="BF1687" s="256" t="s">
        <v>3808</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69052033</v>
      </c>
      <c r="D1688" s="256" t="s">
        <v>3809</v>
      </c>
      <c r="E1688" s="256" t="s">
        <v>1849</v>
      </c>
      <c r="F1688" s="74">
        <v>1</v>
      </c>
      <c r="G1688" s="74">
        <v>62023301</v>
      </c>
      <c r="H1688" s="72">
        <v>0</v>
      </c>
      <c r="I1688" s="72">
        <v>0</v>
      </c>
      <c r="J1688" s="74">
        <v>1</v>
      </c>
      <c r="K1688" s="74">
        <v>0</v>
      </c>
      <c r="L1688" s="72">
        <v>0</v>
      </c>
      <c r="M1688" s="72">
        <v>0</v>
      </c>
      <c r="N1688" s="72" t="s">
        <v>3478</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3476</v>
      </c>
      <c r="BF1688" s="256" t="s">
        <v>3810</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69052034</v>
      </c>
      <c r="D1689" s="256" t="s">
        <v>3811</v>
      </c>
      <c r="E1689" s="256" t="s">
        <v>3812</v>
      </c>
      <c r="F1689" s="74">
        <v>1</v>
      </c>
      <c r="G1689" s="74">
        <v>62023401</v>
      </c>
      <c r="H1689" s="72">
        <v>0</v>
      </c>
      <c r="I1689" s="72">
        <v>0</v>
      </c>
      <c r="J1689" s="74">
        <v>1</v>
      </c>
      <c r="K1689" s="74">
        <v>0</v>
      </c>
      <c r="L1689" s="72">
        <v>0</v>
      </c>
      <c r="M1689" s="72">
        <v>0</v>
      </c>
      <c r="N1689" s="72" t="s">
        <v>3481</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3479</v>
      </c>
      <c r="BF1689" s="256" t="s">
        <v>3813</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76">
        <v>69053001</v>
      </c>
      <c r="D1690" s="270" t="s">
        <v>1398</v>
      </c>
      <c r="E1690" s="270" t="s">
        <v>1873</v>
      </c>
      <c r="F1690" s="271">
        <v>1</v>
      </c>
      <c r="G1690" s="271">
        <v>62011101</v>
      </c>
      <c r="H1690" s="272">
        <v>0</v>
      </c>
      <c r="I1690" s="272">
        <v>0</v>
      </c>
      <c r="J1690" s="271">
        <v>1</v>
      </c>
      <c r="K1690" s="271">
        <v>0</v>
      </c>
      <c r="L1690" s="272">
        <v>0</v>
      </c>
      <c r="M1690" s="272">
        <v>0</v>
      </c>
      <c r="N1690" s="272" t="s">
        <v>3814</v>
      </c>
      <c r="O1690" s="272">
        <v>3</v>
      </c>
      <c r="P1690" s="272">
        <v>0</v>
      </c>
      <c r="Q1690" s="272">
        <v>0</v>
      </c>
      <c r="R1690" s="272">
        <v>0</v>
      </c>
      <c r="S1690" s="175">
        <v>0</v>
      </c>
      <c r="T1690" s="272">
        <v>0</v>
      </c>
      <c r="U1690" s="172">
        <v>1</v>
      </c>
      <c r="V1690" s="272">
        <v>0</v>
      </c>
      <c r="W1690" s="272">
        <v>0</v>
      </c>
      <c r="X1690" s="272">
        <v>0</v>
      </c>
      <c r="Y1690" s="12">
        <v>0</v>
      </c>
      <c r="Z1690" s="272">
        <v>0</v>
      </c>
      <c r="AA1690" s="272">
        <v>0</v>
      </c>
      <c r="AB1690" s="272">
        <v>0</v>
      </c>
      <c r="AC1690" s="272">
        <v>0</v>
      </c>
      <c r="AD1690" s="271">
        <v>0</v>
      </c>
      <c r="AE1690" s="272">
        <v>0</v>
      </c>
      <c r="AF1690" s="272">
        <v>0</v>
      </c>
      <c r="AG1690" s="272">
        <v>0</v>
      </c>
      <c r="AH1690" s="272">
        <v>0</v>
      </c>
      <c r="AI1690" s="272">
        <v>0</v>
      </c>
      <c r="AJ1690" s="272">
        <v>0</v>
      </c>
      <c r="AK1690" s="175">
        <v>0</v>
      </c>
      <c r="AL1690" s="272">
        <v>0</v>
      </c>
      <c r="AM1690" s="272">
        <v>0</v>
      </c>
      <c r="AN1690" s="272">
        <v>0</v>
      </c>
      <c r="AO1690" s="272">
        <v>0</v>
      </c>
      <c r="AP1690" s="272">
        <v>0</v>
      </c>
      <c r="AQ1690" s="272">
        <v>0</v>
      </c>
      <c r="AR1690" s="272">
        <v>0</v>
      </c>
      <c r="AS1690" s="272">
        <v>0</v>
      </c>
      <c r="AT1690" s="273">
        <v>0</v>
      </c>
      <c r="AU1690" s="272">
        <v>0</v>
      </c>
      <c r="AV1690" s="272"/>
      <c r="AW1690" s="270">
        <v>0</v>
      </c>
      <c r="AX1690" s="272">
        <v>0</v>
      </c>
      <c r="AY1690" s="272">
        <v>0</v>
      </c>
      <c r="AZ1690" s="272">
        <v>0</v>
      </c>
      <c r="BA1690" s="200" t="s">
        <v>200</v>
      </c>
      <c r="BB1690" s="272">
        <v>0</v>
      </c>
      <c r="BC1690" s="274">
        <v>0</v>
      </c>
      <c r="BD1690" s="174">
        <v>1</v>
      </c>
      <c r="BE1690" s="272" t="s">
        <v>3815</v>
      </c>
      <c r="BF1690" s="272" t="s">
        <v>3816</v>
      </c>
      <c r="BG1690" s="272">
        <v>0</v>
      </c>
      <c r="BH1690" s="275">
        <v>0</v>
      </c>
      <c r="BI1690" s="175">
        <v>0</v>
      </c>
      <c r="BJ1690" s="272">
        <v>0</v>
      </c>
      <c r="BK1690" s="272">
        <v>0</v>
      </c>
      <c r="BL1690" s="272">
        <v>0</v>
      </c>
      <c r="BM1690" s="178">
        <v>0</v>
      </c>
      <c r="BN1690" s="175">
        <v>0</v>
      </c>
      <c r="BO1690" s="175">
        <v>0</v>
      </c>
      <c r="BP1690" s="175">
        <v>0</v>
      </c>
      <c r="BQ1690" s="175">
        <v>0</v>
      </c>
      <c r="BR1690" s="175">
        <v>0</v>
      </c>
      <c r="BS1690" s="175">
        <v>0</v>
      </c>
      <c r="BT1690" s="12">
        <v>0</v>
      </c>
      <c r="BU1690" s="47">
        <v>0</v>
      </c>
      <c r="BV1690" s="47"/>
      <c r="BW1690" s="47"/>
    </row>
    <row r="1691" spans="3:75" ht="20.100000000000001" customHeight="1">
      <c r="C1691" s="176">
        <v>69053002</v>
      </c>
      <c r="D1691" s="270" t="s">
        <v>1406</v>
      </c>
      <c r="E1691" s="270" t="s">
        <v>1887</v>
      </c>
      <c r="F1691" s="271">
        <v>1</v>
      </c>
      <c r="G1691" s="271">
        <v>62011201</v>
      </c>
      <c r="H1691" s="272">
        <v>0</v>
      </c>
      <c r="I1691" s="272">
        <v>0</v>
      </c>
      <c r="J1691" s="271">
        <v>1</v>
      </c>
      <c r="K1691" s="271">
        <v>0</v>
      </c>
      <c r="L1691" s="272">
        <v>0</v>
      </c>
      <c r="M1691" s="272">
        <v>0</v>
      </c>
      <c r="N1691" s="272" t="s">
        <v>3817</v>
      </c>
      <c r="O1691" s="272">
        <v>3</v>
      </c>
      <c r="P1691" s="272">
        <v>0</v>
      </c>
      <c r="Q1691" s="272">
        <v>0</v>
      </c>
      <c r="R1691" s="272">
        <v>0</v>
      </c>
      <c r="S1691" s="175">
        <v>0</v>
      </c>
      <c r="T1691" s="272">
        <v>0</v>
      </c>
      <c r="U1691" s="172">
        <v>1</v>
      </c>
      <c r="V1691" s="272">
        <v>0</v>
      </c>
      <c r="W1691" s="272">
        <v>0</v>
      </c>
      <c r="X1691" s="272">
        <v>0</v>
      </c>
      <c r="Y1691" s="12">
        <v>0</v>
      </c>
      <c r="Z1691" s="272">
        <v>0</v>
      </c>
      <c r="AA1691" s="272">
        <v>0</v>
      </c>
      <c r="AB1691" s="272">
        <v>0</v>
      </c>
      <c r="AC1691" s="272">
        <v>0</v>
      </c>
      <c r="AD1691" s="271">
        <v>0</v>
      </c>
      <c r="AE1691" s="272">
        <v>0</v>
      </c>
      <c r="AF1691" s="272">
        <v>0</v>
      </c>
      <c r="AG1691" s="272">
        <v>0</v>
      </c>
      <c r="AH1691" s="272">
        <v>0</v>
      </c>
      <c r="AI1691" s="272">
        <v>0</v>
      </c>
      <c r="AJ1691" s="272">
        <v>0</v>
      </c>
      <c r="AK1691" s="175">
        <v>0</v>
      </c>
      <c r="AL1691" s="272">
        <v>0</v>
      </c>
      <c r="AM1691" s="272">
        <v>0</v>
      </c>
      <c r="AN1691" s="272">
        <v>0</v>
      </c>
      <c r="AO1691" s="272">
        <v>0</v>
      </c>
      <c r="AP1691" s="272">
        <v>0</v>
      </c>
      <c r="AQ1691" s="272">
        <v>0</v>
      </c>
      <c r="AR1691" s="272">
        <v>0</v>
      </c>
      <c r="AS1691" s="272">
        <v>0</v>
      </c>
      <c r="AT1691" s="273">
        <v>0</v>
      </c>
      <c r="AU1691" s="272">
        <v>0</v>
      </c>
      <c r="AV1691" s="272"/>
      <c r="AW1691" s="270">
        <v>0</v>
      </c>
      <c r="AX1691" s="272">
        <v>0</v>
      </c>
      <c r="AY1691" s="272">
        <v>0</v>
      </c>
      <c r="AZ1691" s="272">
        <v>0</v>
      </c>
      <c r="BA1691" s="200" t="s">
        <v>200</v>
      </c>
      <c r="BB1691" s="272">
        <v>0</v>
      </c>
      <c r="BC1691" s="274">
        <v>0</v>
      </c>
      <c r="BD1691" s="174">
        <v>1</v>
      </c>
      <c r="BE1691" s="272" t="s">
        <v>3818</v>
      </c>
      <c r="BF1691" s="272" t="s">
        <v>3819</v>
      </c>
      <c r="BG1691" s="272">
        <v>0</v>
      </c>
      <c r="BH1691" s="275">
        <v>0</v>
      </c>
      <c r="BI1691" s="175">
        <v>0</v>
      </c>
      <c r="BJ1691" s="272">
        <v>0</v>
      </c>
      <c r="BK1691" s="272">
        <v>0</v>
      </c>
      <c r="BL1691" s="272">
        <v>0</v>
      </c>
      <c r="BM1691" s="178">
        <v>0</v>
      </c>
      <c r="BN1691" s="175">
        <v>0</v>
      </c>
      <c r="BO1691" s="175">
        <v>0</v>
      </c>
      <c r="BP1691" s="175">
        <v>0</v>
      </c>
      <c r="BQ1691" s="175">
        <v>0</v>
      </c>
      <c r="BR1691" s="175">
        <v>0</v>
      </c>
      <c r="BS1691" s="175">
        <v>0</v>
      </c>
      <c r="BT1691" s="12">
        <v>0</v>
      </c>
      <c r="BU1691" s="47">
        <v>0</v>
      </c>
      <c r="BV1691" s="47"/>
      <c r="BW1691" s="47"/>
    </row>
    <row r="1692" spans="3:75" ht="20.100000000000001" customHeight="1">
      <c r="C1692" s="176">
        <v>69053003</v>
      </c>
      <c r="D1692" s="270" t="s">
        <v>1414</v>
      </c>
      <c r="E1692" s="270" t="s">
        <v>1949</v>
      </c>
      <c r="F1692" s="271">
        <v>1</v>
      </c>
      <c r="G1692" s="271">
        <v>62011301</v>
      </c>
      <c r="H1692" s="272">
        <v>0</v>
      </c>
      <c r="I1692" s="272">
        <v>0</v>
      </c>
      <c r="J1692" s="271">
        <v>1</v>
      </c>
      <c r="K1692" s="271">
        <v>0</v>
      </c>
      <c r="L1692" s="272">
        <v>0</v>
      </c>
      <c r="M1692" s="272">
        <v>0</v>
      </c>
      <c r="N1692" s="272" t="s">
        <v>3820</v>
      </c>
      <c r="O1692" s="272">
        <v>3</v>
      </c>
      <c r="P1692" s="272">
        <v>0</v>
      </c>
      <c r="Q1692" s="272">
        <v>0</v>
      </c>
      <c r="R1692" s="272">
        <v>0</v>
      </c>
      <c r="S1692" s="175">
        <v>0</v>
      </c>
      <c r="T1692" s="272">
        <v>0</v>
      </c>
      <c r="U1692" s="172">
        <v>1</v>
      </c>
      <c r="V1692" s="272">
        <v>0</v>
      </c>
      <c r="W1692" s="272">
        <v>0</v>
      </c>
      <c r="X1692" s="272">
        <v>0</v>
      </c>
      <c r="Y1692" s="12">
        <v>0</v>
      </c>
      <c r="Z1692" s="272">
        <v>0</v>
      </c>
      <c r="AA1692" s="272">
        <v>0</v>
      </c>
      <c r="AB1692" s="272">
        <v>0</v>
      </c>
      <c r="AC1692" s="272">
        <v>0</v>
      </c>
      <c r="AD1692" s="271">
        <v>0</v>
      </c>
      <c r="AE1692" s="272">
        <v>0</v>
      </c>
      <c r="AF1692" s="272">
        <v>0</v>
      </c>
      <c r="AG1692" s="272">
        <v>0</v>
      </c>
      <c r="AH1692" s="272">
        <v>0</v>
      </c>
      <c r="AI1692" s="272">
        <v>0</v>
      </c>
      <c r="AJ1692" s="272">
        <v>0</v>
      </c>
      <c r="AK1692" s="175">
        <v>0</v>
      </c>
      <c r="AL1692" s="272">
        <v>0</v>
      </c>
      <c r="AM1692" s="272">
        <v>0</v>
      </c>
      <c r="AN1692" s="272">
        <v>0</v>
      </c>
      <c r="AO1692" s="272">
        <v>0</v>
      </c>
      <c r="AP1692" s="272">
        <v>0</v>
      </c>
      <c r="AQ1692" s="272">
        <v>0</v>
      </c>
      <c r="AR1692" s="272">
        <v>0</v>
      </c>
      <c r="AS1692" s="272">
        <v>0</v>
      </c>
      <c r="AT1692" s="273">
        <v>0</v>
      </c>
      <c r="AU1692" s="272">
        <v>0</v>
      </c>
      <c r="AV1692" s="272"/>
      <c r="AW1692" s="270">
        <v>0</v>
      </c>
      <c r="AX1692" s="272">
        <v>0</v>
      </c>
      <c r="AY1692" s="272">
        <v>0</v>
      </c>
      <c r="AZ1692" s="272">
        <v>0</v>
      </c>
      <c r="BA1692" s="200" t="s">
        <v>200</v>
      </c>
      <c r="BB1692" s="272">
        <v>0</v>
      </c>
      <c r="BC1692" s="274">
        <v>0</v>
      </c>
      <c r="BD1692" s="174">
        <v>1</v>
      </c>
      <c r="BE1692" s="272" t="s">
        <v>3821</v>
      </c>
      <c r="BF1692" s="272" t="s">
        <v>3822</v>
      </c>
      <c r="BG1692" s="272">
        <v>0</v>
      </c>
      <c r="BH1692" s="275">
        <v>0</v>
      </c>
      <c r="BI1692" s="175">
        <v>0</v>
      </c>
      <c r="BJ1692" s="272">
        <v>0</v>
      </c>
      <c r="BK1692" s="272">
        <v>0</v>
      </c>
      <c r="BL1692" s="272">
        <v>0</v>
      </c>
      <c r="BM1692" s="178">
        <v>0</v>
      </c>
      <c r="BN1692" s="175">
        <v>0</v>
      </c>
      <c r="BO1692" s="175">
        <v>0</v>
      </c>
      <c r="BP1692" s="175">
        <v>0</v>
      </c>
      <c r="BQ1692" s="175">
        <v>0</v>
      </c>
      <c r="BR1692" s="175">
        <v>0</v>
      </c>
      <c r="BS1692" s="175">
        <v>0</v>
      </c>
      <c r="BT1692" s="12">
        <v>0</v>
      </c>
      <c r="BU1692" s="47">
        <v>0</v>
      </c>
      <c r="BV1692" s="47"/>
      <c r="BW1692" s="47"/>
    </row>
    <row r="1693" spans="3:75" ht="20.100000000000001" customHeight="1">
      <c r="C1693" s="176">
        <v>69053011</v>
      </c>
      <c r="D1693" s="270" t="s">
        <v>1964</v>
      </c>
      <c r="E1693" s="270" t="s">
        <v>1965</v>
      </c>
      <c r="F1693" s="271">
        <v>1</v>
      </c>
      <c r="G1693" s="271">
        <v>61021101</v>
      </c>
      <c r="H1693" s="272">
        <v>0</v>
      </c>
      <c r="I1693" s="272">
        <v>0</v>
      </c>
      <c r="J1693" s="271">
        <v>1</v>
      </c>
      <c r="K1693" s="271">
        <v>0</v>
      </c>
      <c r="L1693" s="272">
        <v>0</v>
      </c>
      <c r="M1693" s="272">
        <v>0</v>
      </c>
      <c r="N1693" s="272" t="s">
        <v>3498</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3496</v>
      </c>
      <c r="BF1693" s="272" t="s">
        <v>3823</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69053012</v>
      </c>
      <c r="D1694" s="270" t="s">
        <v>1988</v>
      </c>
      <c r="E1694" s="270" t="s">
        <v>1989</v>
      </c>
      <c r="F1694" s="271">
        <v>1</v>
      </c>
      <c r="G1694" s="271">
        <v>62021301</v>
      </c>
      <c r="H1694" s="272">
        <v>0</v>
      </c>
      <c r="I1694" s="272">
        <v>0</v>
      </c>
      <c r="J1694" s="271">
        <v>1</v>
      </c>
      <c r="K1694" s="271">
        <v>0</v>
      </c>
      <c r="L1694" s="272">
        <v>0</v>
      </c>
      <c r="M1694" s="272">
        <v>0</v>
      </c>
      <c r="N1694" s="272" t="s">
        <v>3501</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3499</v>
      </c>
      <c r="BF1694" s="272" t="s">
        <v>3824</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69053013</v>
      </c>
      <c r="D1695" s="270" t="s">
        <v>2012</v>
      </c>
      <c r="E1695" s="270" t="s">
        <v>2013</v>
      </c>
      <c r="F1695" s="271">
        <v>1</v>
      </c>
      <c r="G1695" s="271">
        <v>62021401</v>
      </c>
      <c r="H1695" s="272">
        <v>0</v>
      </c>
      <c r="I1695" s="272">
        <v>0</v>
      </c>
      <c r="J1695" s="271">
        <v>1</v>
      </c>
      <c r="K1695" s="271">
        <v>0</v>
      </c>
      <c r="L1695" s="272">
        <v>0</v>
      </c>
      <c r="M1695" s="272">
        <v>0</v>
      </c>
      <c r="N1695" s="272" t="s">
        <v>3504</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3502</v>
      </c>
      <c r="BF1695" s="272" t="s">
        <v>3825</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69053014</v>
      </c>
      <c r="D1696" s="270" t="s">
        <v>2019</v>
      </c>
      <c r="E1696" s="270" t="s">
        <v>2020</v>
      </c>
      <c r="F1696" s="271">
        <v>1</v>
      </c>
      <c r="G1696" s="271">
        <v>62021501</v>
      </c>
      <c r="H1696" s="272">
        <v>0</v>
      </c>
      <c r="I1696" s="272">
        <v>0</v>
      </c>
      <c r="J1696" s="271">
        <v>1</v>
      </c>
      <c r="K1696" s="271">
        <v>0</v>
      </c>
      <c r="L1696" s="272">
        <v>0</v>
      </c>
      <c r="M1696" s="272">
        <v>0</v>
      </c>
      <c r="N1696" s="272" t="s">
        <v>3507</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3505</v>
      </c>
      <c r="BF1696" s="272" t="s">
        <v>3826</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69053021</v>
      </c>
      <c r="D1697" s="270" t="s">
        <v>2052</v>
      </c>
      <c r="E1697" s="270" t="s">
        <v>2053</v>
      </c>
      <c r="F1697" s="271">
        <v>1</v>
      </c>
      <c r="G1697" s="271">
        <v>62022101</v>
      </c>
      <c r="H1697" s="272">
        <v>0</v>
      </c>
      <c r="I1697" s="272">
        <v>0</v>
      </c>
      <c r="J1697" s="271">
        <v>1</v>
      </c>
      <c r="K1697" s="271">
        <v>0</v>
      </c>
      <c r="L1697" s="272">
        <v>0</v>
      </c>
      <c r="M1697" s="272">
        <v>0</v>
      </c>
      <c r="N1697" s="272" t="s">
        <v>3510</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3508</v>
      </c>
      <c r="BF1697" s="272" t="s">
        <v>3827</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69053022</v>
      </c>
      <c r="D1698" s="270" t="s">
        <v>2059</v>
      </c>
      <c r="E1698" s="270" t="s">
        <v>2060</v>
      </c>
      <c r="F1698" s="271">
        <v>1</v>
      </c>
      <c r="G1698" s="271">
        <v>62022201</v>
      </c>
      <c r="H1698" s="272">
        <v>0</v>
      </c>
      <c r="I1698" s="272">
        <v>0</v>
      </c>
      <c r="J1698" s="271">
        <v>1</v>
      </c>
      <c r="K1698" s="271">
        <v>0</v>
      </c>
      <c r="L1698" s="272">
        <v>0</v>
      </c>
      <c r="M1698" s="272">
        <v>0</v>
      </c>
      <c r="N1698" s="272" t="s">
        <v>3513</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3511</v>
      </c>
      <c r="BF1698" s="272" t="s">
        <v>3828</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69053023</v>
      </c>
      <c r="D1699" s="270" t="s">
        <v>1120</v>
      </c>
      <c r="E1699" s="270" t="s">
        <v>1121</v>
      </c>
      <c r="F1699" s="271">
        <v>1</v>
      </c>
      <c r="G1699" s="271">
        <v>62022301</v>
      </c>
      <c r="H1699" s="272">
        <v>0</v>
      </c>
      <c r="I1699" s="272">
        <v>0</v>
      </c>
      <c r="J1699" s="271">
        <v>1</v>
      </c>
      <c r="K1699" s="271">
        <v>0</v>
      </c>
      <c r="L1699" s="272">
        <v>0</v>
      </c>
      <c r="M1699" s="272">
        <v>0</v>
      </c>
      <c r="N1699" s="272" t="s">
        <v>3516</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3514</v>
      </c>
      <c r="BF1699" s="272" t="s">
        <v>3829</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69053024</v>
      </c>
      <c r="D1700" s="270" t="s">
        <v>2072</v>
      </c>
      <c r="E1700" s="270" t="s">
        <v>2073</v>
      </c>
      <c r="F1700" s="271">
        <v>1</v>
      </c>
      <c r="G1700" s="271">
        <v>62022401</v>
      </c>
      <c r="H1700" s="272">
        <v>0</v>
      </c>
      <c r="I1700" s="272">
        <v>0</v>
      </c>
      <c r="J1700" s="271">
        <v>1</v>
      </c>
      <c r="K1700" s="271">
        <v>0</v>
      </c>
      <c r="L1700" s="272">
        <v>0</v>
      </c>
      <c r="M1700" s="272">
        <v>0</v>
      </c>
      <c r="N1700" s="272" t="s">
        <v>3519</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3517</v>
      </c>
      <c r="BF1700" s="272" t="s">
        <v>3830</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69053031</v>
      </c>
      <c r="D1701" s="270" t="s">
        <v>2080</v>
      </c>
      <c r="E1701" s="270" t="s">
        <v>2081</v>
      </c>
      <c r="F1701" s="271">
        <v>1</v>
      </c>
      <c r="G1701" s="271">
        <v>62021101</v>
      </c>
      <c r="H1701" s="272">
        <v>0</v>
      </c>
      <c r="I1701" s="272">
        <v>0</v>
      </c>
      <c r="J1701" s="271">
        <v>1</v>
      </c>
      <c r="K1701" s="271">
        <v>0</v>
      </c>
      <c r="L1701" s="272">
        <v>0</v>
      </c>
      <c r="M1701" s="272">
        <v>0</v>
      </c>
      <c r="N1701" s="272" t="s">
        <v>3522</v>
      </c>
      <c r="O1701" s="272">
        <v>3</v>
      </c>
      <c r="P1701" s="272">
        <v>0</v>
      </c>
      <c r="Q1701" s="272">
        <v>0</v>
      </c>
      <c r="R1701" s="272">
        <v>0</v>
      </c>
      <c r="S1701" s="175">
        <v>0</v>
      </c>
      <c r="T1701" s="272">
        <v>0</v>
      </c>
      <c r="U1701" s="172">
        <v>1</v>
      </c>
      <c r="V1701" s="272">
        <v>0</v>
      </c>
      <c r="W1701" s="272">
        <v>0</v>
      </c>
      <c r="X1701" s="272">
        <v>0</v>
      </c>
      <c r="Y1701" s="12">
        <v>0</v>
      </c>
      <c r="Z1701" s="272">
        <v>0</v>
      </c>
      <c r="AA1701" s="272">
        <v>0</v>
      </c>
      <c r="AB1701" s="272">
        <v>0</v>
      </c>
      <c r="AC1701" s="272">
        <v>0</v>
      </c>
      <c r="AD1701" s="271">
        <v>0</v>
      </c>
      <c r="AE1701" s="272">
        <v>0</v>
      </c>
      <c r="AF1701" s="272">
        <v>0</v>
      </c>
      <c r="AG1701" s="272">
        <v>0</v>
      </c>
      <c r="AH1701" s="272">
        <v>0</v>
      </c>
      <c r="AI1701" s="272">
        <v>0</v>
      </c>
      <c r="AJ1701" s="272">
        <v>0</v>
      </c>
      <c r="AK1701" s="175">
        <v>0</v>
      </c>
      <c r="AL1701" s="272">
        <v>0</v>
      </c>
      <c r="AM1701" s="272">
        <v>0</v>
      </c>
      <c r="AN1701" s="272">
        <v>0</v>
      </c>
      <c r="AO1701" s="272">
        <v>0</v>
      </c>
      <c r="AP1701" s="272">
        <v>0</v>
      </c>
      <c r="AQ1701" s="272">
        <v>0</v>
      </c>
      <c r="AR1701" s="272">
        <v>0</v>
      </c>
      <c r="AS1701" s="272">
        <v>0</v>
      </c>
      <c r="AT1701" s="273">
        <v>0</v>
      </c>
      <c r="AU1701" s="272">
        <v>0</v>
      </c>
      <c r="AV1701" s="272"/>
      <c r="AW1701" s="270">
        <v>0</v>
      </c>
      <c r="AX1701" s="272">
        <v>0</v>
      </c>
      <c r="AY1701" s="272">
        <v>0</v>
      </c>
      <c r="AZ1701" s="272">
        <v>0</v>
      </c>
      <c r="BA1701" s="200" t="s">
        <v>200</v>
      </c>
      <c r="BB1701" s="272">
        <v>0</v>
      </c>
      <c r="BC1701" s="274">
        <v>0</v>
      </c>
      <c r="BD1701" s="174">
        <v>1</v>
      </c>
      <c r="BE1701" s="272" t="s">
        <v>3520</v>
      </c>
      <c r="BF1701" s="272" t="s">
        <v>3831</v>
      </c>
      <c r="BG1701" s="272">
        <v>0</v>
      </c>
      <c r="BH1701" s="275">
        <v>0</v>
      </c>
      <c r="BI1701" s="175">
        <v>0</v>
      </c>
      <c r="BJ1701" s="272">
        <v>0</v>
      </c>
      <c r="BK1701" s="272">
        <v>0</v>
      </c>
      <c r="BL1701" s="272">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69053032</v>
      </c>
      <c r="D1702" s="270" t="s">
        <v>2103</v>
      </c>
      <c r="E1702" s="270" t="s">
        <v>2104</v>
      </c>
      <c r="F1702" s="271">
        <v>1</v>
      </c>
      <c r="G1702" s="271">
        <v>62023201</v>
      </c>
      <c r="H1702" s="272">
        <v>0</v>
      </c>
      <c r="I1702" s="272">
        <v>0</v>
      </c>
      <c r="J1702" s="271">
        <v>1</v>
      </c>
      <c r="K1702" s="271">
        <v>0</v>
      </c>
      <c r="L1702" s="272">
        <v>0</v>
      </c>
      <c r="M1702" s="272">
        <v>0</v>
      </c>
      <c r="N1702" s="272" t="s">
        <v>3525</v>
      </c>
      <c r="O1702" s="272">
        <v>3</v>
      </c>
      <c r="P1702" s="272">
        <v>0</v>
      </c>
      <c r="Q1702" s="272">
        <v>0</v>
      </c>
      <c r="R1702" s="272">
        <v>0</v>
      </c>
      <c r="S1702" s="175">
        <v>0</v>
      </c>
      <c r="T1702" s="272">
        <v>0</v>
      </c>
      <c r="U1702" s="172">
        <v>1</v>
      </c>
      <c r="V1702" s="272">
        <v>0</v>
      </c>
      <c r="W1702" s="272">
        <v>0</v>
      </c>
      <c r="X1702" s="272">
        <v>0</v>
      </c>
      <c r="Y1702" s="12">
        <v>0</v>
      </c>
      <c r="Z1702" s="272">
        <v>0</v>
      </c>
      <c r="AA1702" s="272">
        <v>0</v>
      </c>
      <c r="AB1702" s="272">
        <v>0</v>
      </c>
      <c r="AC1702" s="272">
        <v>0</v>
      </c>
      <c r="AD1702" s="271">
        <v>0</v>
      </c>
      <c r="AE1702" s="272">
        <v>0</v>
      </c>
      <c r="AF1702" s="272">
        <v>0</v>
      </c>
      <c r="AG1702" s="272">
        <v>0</v>
      </c>
      <c r="AH1702" s="272">
        <v>0</v>
      </c>
      <c r="AI1702" s="272">
        <v>0</v>
      </c>
      <c r="AJ1702" s="272">
        <v>0</v>
      </c>
      <c r="AK1702" s="175">
        <v>0</v>
      </c>
      <c r="AL1702" s="272">
        <v>0</v>
      </c>
      <c r="AM1702" s="272">
        <v>0</v>
      </c>
      <c r="AN1702" s="272">
        <v>0</v>
      </c>
      <c r="AO1702" s="272">
        <v>0</v>
      </c>
      <c r="AP1702" s="272">
        <v>0</v>
      </c>
      <c r="AQ1702" s="272">
        <v>0</v>
      </c>
      <c r="AR1702" s="272">
        <v>0</v>
      </c>
      <c r="AS1702" s="272">
        <v>0</v>
      </c>
      <c r="AT1702" s="273">
        <v>0</v>
      </c>
      <c r="AU1702" s="272">
        <v>0</v>
      </c>
      <c r="AV1702" s="272"/>
      <c r="AW1702" s="270">
        <v>0</v>
      </c>
      <c r="AX1702" s="272">
        <v>0</v>
      </c>
      <c r="AY1702" s="272">
        <v>0</v>
      </c>
      <c r="AZ1702" s="272">
        <v>0</v>
      </c>
      <c r="BA1702" s="200" t="s">
        <v>200</v>
      </c>
      <c r="BB1702" s="272">
        <v>0</v>
      </c>
      <c r="BC1702" s="274">
        <v>0</v>
      </c>
      <c r="BD1702" s="174">
        <v>1</v>
      </c>
      <c r="BE1702" s="272" t="s">
        <v>3523</v>
      </c>
      <c r="BF1702" s="272" t="s">
        <v>3832</v>
      </c>
      <c r="BG1702" s="272">
        <v>0</v>
      </c>
      <c r="BH1702" s="275">
        <v>0</v>
      </c>
      <c r="BI1702" s="175">
        <v>0</v>
      </c>
      <c r="BJ1702" s="272">
        <v>0</v>
      </c>
      <c r="BK1702" s="272">
        <v>0</v>
      </c>
      <c r="BL1702" s="272">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69053033</v>
      </c>
      <c r="D1703" s="270" t="s">
        <v>2110</v>
      </c>
      <c r="E1703" s="270" t="s">
        <v>2111</v>
      </c>
      <c r="F1703" s="271">
        <v>1</v>
      </c>
      <c r="G1703" s="271">
        <v>62023301</v>
      </c>
      <c r="H1703" s="272">
        <v>0</v>
      </c>
      <c r="I1703" s="272">
        <v>0</v>
      </c>
      <c r="J1703" s="271">
        <v>1</v>
      </c>
      <c r="K1703" s="271">
        <v>0</v>
      </c>
      <c r="L1703" s="272">
        <v>0</v>
      </c>
      <c r="M1703" s="272">
        <v>0</v>
      </c>
      <c r="N1703" s="272" t="s">
        <v>3528</v>
      </c>
      <c r="O1703" s="272">
        <v>3</v>
      </c>
      <c r="P1703" s="272">
        <v>0</v>
      </c>
      <c r="Q1703" s="272">
        <v>0</v>
      </c>
      <c r="R1703" s="272">
        <v>0</v>
      </c>
      <c r="S1703" s="175">
        <v>0</v>
      </c>
      <c r="T1703" s="272">
        <v>0</v>
      </c>
      <c r="U1703" s="172">
        <v>1</v>
      </c>
      <c r="V1703" s="272">
        <v>0</v>
      </c>
      <c r="W1703" s="272">
        <v>0</v>
      </c>
      <c r="X1703" s="272">
        <v>0</v>
      </c>
      <c r="Y1703" s="12">
        <v>0</v>
      </c>
      <c r="Z1703" s="272">
        <v>0</v>
      </c>
      <c r="AA1703" s="272">
        <v>0</v>
      </c>
      <c r="AB1703" s="272">
        <v>0</v>
      </c>
      <c r="AC1703" s="272">
        <v>0</v>
      </c>
      <c r="AD1703" s="271">
        <v>0</v>
      </c>
      <c r="AE1703" s="272">
        <v>0</v>
      </c>
      <c r="AF1703" s="272">
        <v>0</v>
      </c>
      <c r="AG1703" s="272">
        <v>0</v>
      </c>
      <c r="AH1703" s="272">
        <v>0</v>
      </c>
      <c r="AI1703" s="272">
        <v>0</v>
      </c>
      <c r="AJ1703" s="272">
        <v>0</v>
      </c>
      <c r="AK1703" s="175">
        <v>0</v>
      </c>
      <c r="AL1703" s="272">
        <v>0</v>
      </c>
      <c r="AM1703" s="272">
        <v>0</v>
      </c>
      <c r="AN1703" s="272">
        <v>0</v>
      </c>
      <c r="AO1703" s="272">
        <v>0</v>
      </c>
      <c r="AP1703" s="272">
        <v>0</v>
      </c>
      <c r="AQ1703" s="272">
        <v>0</v>
      </c>
      <c r="AR1703" s="272">
        <v>0</v>
      </c>
      <c r="AS1703" s="272">
        <v>0</v>
      </c>
      <c r="AT1703" s="273">
        <v>0</v>
      </c>
      <c r="AU1703" s="272">
        <v>0</v>
      </c>
      <c r="AV1703" s="272"/>
      <c r="AW1703" s="270">
        <v>0</v>
      </c>
      <c r="AX1703" s="272">
        <v>0</v>
      </c>
      <c r="AY1703" s="272">
        <v>0</v>
      </c>
      <c r="AZ1703" s="272">
        <v>0</v>
      </c>
      <c r="BA1703" s="200" t="s">
        <v>200</v>
      </c>
      <c r="BB1703" s="272">
        <v>0</v>
      </c>
      <c r="BC1703" s="274">
        <v>0</v>
      </c>
      <c r="BD1703" s="174">
        <v>1</v>
      </c>
      <c r="BE1703" s="272" t="s">
        <v>3526</v>
      </c>
      <c r="BF1703" s="272" t="s">
        <v>3833</v>
      </c>
      <c r="BG1703" s="272">
        <v>0</v>
      </c>
      <c r="BH1703" s="275">
        <v>0</v>
      </c>
      <c r="BI1703" s="175">
        <v>0</v>
      </c>
      <c r="BJ1703" s="272">
        <v>0</v>
      </c>
      <c r="BK1703" s="272">
        <v>0</v>
      </c>
      <c r="BL1703" s="272">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69053034</v>
      </c>
      <c r="D1704" s="270" t="s">
        <v>2117</v>
      </c>
      <c r="E1704" s="270" t="s">
        <v>2118</v>
      </c>
      <c r="F1704" s="271">
        <v>1</v>
      </c>
      <c r="G1704" s="271">
        <v>62023401</v>
      </c>
      <c r="H1704" s="272">
        <v>0</v>
      </c>
      <c r="I1704" s="272">
        <v>0</v>
      </c>
      <c r="J1704" s="271">
        <v>1</v>
      </c>
      <c r="K1704" s="271">
        <v>0</v>
      </c>
      <c r="L1704" s="272">
        <v>0</v>
      </c>
      <c r="M1704" s="272">
        <v>0</v>
      </c>
      <c r="N1704" s="272" t="s">
        <v>3531</v>
      </c>
      <c r="O1704" s="272">
        <v>3</v>
      </c>
      <c r="P1704" s="272">
        <v>0</v>
      </c>
      <c r="Q1704" s="272">
        <v>0</v>
      </c>
      <c r="R1704" s="272">
        <v>0</v>
      </c>
      <c r="S1704" s="175">
        <v>0</v>
      </c>
      <c r="T1704" s="272">
        <v>0</v>
      </c>
      <c r="U1704" s="172">
        <v>1</v>
      </c>
      <c r="V1704" s="272">
        <v>0</v>
      </c>
      <c r="W1704" s="272">
        <v>0</v>
      </c>
      <c r="X1704" s="272">
        <v>0</v>
      </c>
      <c r="Y1704" s="12">
        <v>0</v>
      </c>
      <c r="Z1704" s="272">
        <v>0</v>
      </c>
      <c r="AA1704" s="272">
        <v>0</v>
      </c>
      <c r="AB1704" s="272">
        <v>0</v>
      </c>
      <c r="AC1704" s="272">
        <v>0</v>
      </c>
      <c r="AD1704" s="271">
        <v>0</v>
      </c>
      <c r="AE1704" s="272">
        <v>0</v>
      </c>
      <c r="AF1704" s="272">
        <v>0</v>
      </c>
      <c r="AG1704" s="272">
        <v>0</v>
      </c>
      <c r="AH1704" s="272">
        <v>0</v>
      </c>
      <c r="AI1704" s="272">
        <v>0</v>
      </c>
      <c r="AJ1704" s="272">
        <v>0</v>
      </c>
      <c r="AK1704" s="175">
        <v>0</v>
      </c>
      <c r="AL1704" s="272">
        <v>0</v>
      </c>
      <c r="AM1704" s="272">
        <v>0</v>
      </c>
      <c r="AN1704" s="272">
        <v>0</v>
      </c>
      <c r="AO1704" s="272">
        <v>0</v>
      </c>
      <c r="AP1704" s="272">
        <v>0</v>
      </c>
      <c r="AQ1704" s="272">
        <v>0</v>
      </c>
      <c r="AR1704" s="272">
        <v>0</v>
      </c>
      <c r="AS1704" s="272">
        <v>0</v>
      </c>
      <c r="AT1704" s="273">
        <v>0</v>
      </c>
      <c r="AU1704" s="272">
        <v>0</v>
      </c>
      <c r="AV1704" s="272"/>
      <c r="AW1704" s="270">
        <v>0</v>
      </c>
      <c r="AX1704" s="272">
        <v>0</v>
      </c>
      <c r="AY1704" s="272">
        <v>0</v>
      </c>
      <c r="AZ1704" s="272">
        <v>0</v>
      </c>
      <c r="BA1704" s="200" t="s">
        <v>200</v>
      </c>
      <c r="BB1704" s="272">
        <v>0</v>
      </c>
      <c r="BC1704" s="274">
        <v>0</v>
      </c>
      <c r="BD1704" s="174">
        <v>1</v>
      </c>
      <c r="BE1704" s="272" t="s">
        <v>3529</v>
      </c>
      <c r="BF1704" s="272" t="s">
        <v>3834</v>
      </c>
      <c r="BG1704" s="272">
        <v>0</v>
      </c>
      <c r="BH1704" s="275">
        <v>0</v>
      </c>
      <c r="BI1704" s="175">
        <v>0</v>
      </c>
      <c r="BJ1704" s="272">
        <v>0</v>
      </c>
      <c r="BK1704" s="272">
        <v>0</v>
      </c>
      <c r="BL1704" s="272">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8">
        <v>69054001</v>
      </c>
      <c r="D1705" s="256" t="s">
        <v>1422</v>
      </c>
      <c r="E1705" s="256" t="s">
        <v>2157</v>
      </c>
      <c r="F1705" s="74">
        <v>1</v>
      </c>
      <c r="G1705" s="74">
        <v>63011101</v>
      </c>
      <c r="H1705" s="72">
        <v>0</v>
      </c>
      <c r="I1705" s="72">
        <v>0</v>
      </c>
      <c r="J1705" s="74">
        <v>1</v>
      </c>
      <c r="K1705" s="74">
        <v>0</v>
      </c>
      <c r="L1705" s="72">
        <v>0</v>
      </c>
      <c r="M1705" s="72">
        <v>0</v>
      </c>
      <c r="N1705" s="72" t="s">
        <v>3835</v>
      </c>
      <c r="O1705" s="72">
        <v>3</v>
      </c>
      <c r="P1705" s="72">
        <v>0</v>
      </c>
      <c r="Q1705" s="72">
        <v>0</v>
      </c>
      <c r="R1705" s="72">
        <v>0</v>
      </c>
      <c r="S1705" s="12">
        <v>0</v>
      </c>
      <c r="T1705" s="72">
        <v>0</v>
      </c>
      <c r="U1705" s="16">
        <v>1</v>
      </c>
      <c r="V1705" s="72">
        <v>0</v>
      </c>
      <c r="W1705" s="72">
        <v>0</v>
      </c>
      <c r="X1705" s="72">
        <v>0</v>
      </c>
      <c r="Y1705" s="12">
        <v>0</v>
      </c>
      <c r="Z1705" s="72">
        <v>0</v>
      </c>
      <c r="AA1705" s="72">
        <v>0</v>
      </c>
      <c r="AB1705" s="72">
        <v>0</v>
      </c>
      <c r="AC1705" s="72">
        <v>0</v>
      </c>
      <c r="AD1705" s="74">
        <v>0</v>
      </c>
      <c r="AE1705" s="72">
        <v>0</v>
      </c>
      <c r="AF1705" s="72">
        <v>0</v>
      </c>
      <c r="AG1705" s="72">
        <v>0</v>
      </c>
      <c r="AH1705" s="72">
        <v>0</v>
      </c>
      <c r="AI1705" s="72">
        <v>0</v>
      </c>
      <c r="AJ1705" s="72">
        <v>0</v>
      </c>
      <c r="AK1705" s="12">
        <v>0</v>
      </c>
      <c r="AL1705" s="72">
        <v>0</v>
      </c>
      <c r="AM1705" s="72">
        <v>0</v>
      </c>
      <c r="AN1705" s="72">
        <v>0</v>
      </c>
      <c r="AO1705" s="72">
        <v>0</v>
      </c>
      <c r="AP1705" s="72">
        <v>0</v>
      </c>
      <c r="AQ1705" s="72">
        <v>0</v>
      </c>
      <c r="AR1705" s="72">
        <v>0</v>
      </c>
      <c r="AS1705" s="72">
        <v>0</v>
      </c>
      <c r="AT1705" s="261">
        <v>0</v>
      </c>
      <c r="AU1705" s="72">
        <v>0</v>
      </c>
      <c r="AV1705" s="72"/>
      <c r="AW1705" s="256">
        <v>0</v>
      </c>
      <c r="AX1705" s="72">
        <v>0</v>
      </c>
      <c r="AY1705" s="72">
        <v>0</v>
      </c>
      <c r="AZ1705" s="72">
        <v>0</v>
      </c>
      <c r="BA1705" s="13" t="s">
        <v>200</v>
      </c>
      <c r="BB1705" s="72">
        <v>0</v>
      </c>
      <c r="BC1705" s="263">
        <v>0</v>
      </c>
      <c r="BD1705" s="27">
        <v>1</v>
      </c>
      <c r="BE1705" s="256" t="s">
        <v>3836</v>
      </c>
      <c r="BF1705" s="256" t="s">
        <v>3837</v>
      </c>
      <c r="BG1705" s="72">
        <v>0</v>
      </c>
      <c r="BH1705" s="75">
        <v>0</v>
      </c>
      <c r="BI1705" s="12">
        <v>0</v>
      </c>
      <c r="BJ1705" s="72">
        <v>0</v>
      </c>
      <c r="BK1705" s="72">
        <v>0</v>
      </c>
      <c r="BL1705" s="72">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18">
        <v>69054002</v>
      </c>
      <c r="D1706" s="256" t="s">
        <v>1429</v>
      </c>
      <c r="E1706" s="256" t="s">
        <v>1430</v>
      </c>
      <c r="F1706" s="74">
        <v>1</v>
      </c>
      <c r="G1706" s="74">
        <v>63011201</v>
      </c>
      <c r="H1706" s="72">
        <v>0</v>
      </c>
      <c r="I1706" s="72">
        <v>0</v>
      </c>
      <c r="J1706" s="74">
        <v>1</v>
      </c>
      <c r="K1706" s="74">
        <v>0</v>
      </c>
      <c r="L1706" s="72">
        <v>0</v>
      </c>
      <c r="M1706" s="72">
        <v>0</v>
      </c>
      <c r="N1706" s="72" t="s">
        <v>3838</v>
      </c>
      <c r="O1706" s="72">
        <v>3</v>
      </c>
      <c r="P1706" s="72">
        <v>0</v>
      </c>
      <c r="Q1706" s="72">
        <v>0</v>
      </c>
      <c r="R1706" s="72">
        <v>0</v>
      </c>
      <c r="S1706" s="12">
        <v>0</v>
      </c>
      <c r="T1706" s="72">
        <v>0</v>
      </c>
      <c r="U1706" s="16">
        <v>1</v>
      </c>
      <c r="V1706" s="72">
        <v>0</v>
      </c>
      <c r="W1706" s="72">
        <v>0</v>
      </c>
      <c r="X1706" s="72">
        <v>0</v>
      </c>
      <c r="Y1706" s="12">
        <v>0</v>
      </c>
      <c r="Z1706" s="72">
        <v>0</v>
      </c>
      <c r="AA1706" s="72">
        <v>0</v>
      </c>
      <c r="AB1706" s="72">
        <v>0</v>
      </c>
      <c r="AC1706" s="72">
        <v>0</v>
      </c>
      <c r="AD1706" s="74">
        <v>0</v>
      </c>
      <c r="AE1706" s="72">
        <v>0</v>
      </c>
      <c r="AF1706" s="72">
        <v>0</v>
      </c>
      <c r="AG1706" s="72">
        <v>0</v>
      </c>
      <c r="AH1706" s="72">
        <v>0</v>
      </c>
      <c r="AI1706" s="72">
        <v>0</v>
      </c>
      <c r="AJ1706" s="72">
        <v>0</v>
      </c>
      <c r="AK1706" s="12">
        <v>0</v>
      </c>
      <c r="AL1706" s="72">
        <v>0</v>
      </c>
      <c r="AM1706" s="72">
        <v>0</v>
      </c>
      <c r="AN1706" s="72">
        <v>0</v>
      </c>
      <c r="AO1706" s="72">
        <v>0</v>
      </c>
      <c r="AP1706" s="72">
        <v>0</v>
      </c>
      <c r="AQ1706" s="72">
        <v>0</v>
      </c>
      <c r="AR1706" s="72">
        <v>0</v>
      </c>
      <c r="AS1706" s="72">
        <v>0</v>
      </c>
      <c r="AT1706" s="261">
        <v>0</v>
      </c>
      <c r="AU1706" s="72">
        <v>0</v>
      </c>
      <c r="AV1706" s="72"/>
      <c r="AW1706" s="256">
        <v>0</v>
      </c>
      <c r="AX1706" s="72">
        <v>0</v>
      </c>
      <c r="AY1706" s="72">
        <v>0</v>
      </c>
      <c r="AZ1706" s="72">
        <v>0</v>
      </c>
      <c r="BA1706" s="13" t="s">
        <v>200</v>
      </c>
      <c r="BB1706" s="72">
        <v>0</v>
      </c>
      <c r="BC1706" s="263">
        <v>0</v>
      </c>
      <c r="BD1706" s="27">
        <v>1</v>
      </c>
      <c r="BE1706" s="256" t="s">
        <v>3839</v>
      </c>
      <c r="BF1706" s="256" t="s">
        <v>3840</v>
      </c>
      <c r="BG1706" s="72">
        <v>0</v>
      </c>
      <c r="BH1706" s="75">
        <v>0</v>
      </c>
      <c r="BI1706" s="12">
        <v>0</v>
      </c>
      <c r="BJ1706" s="72">
        <v>0</v>
      </c>
      <c r="BK1706" s="72">
        <v>0</v>
      </c>
      <c r="BL1706" s="72">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18">
        <v>69054003</v>
      </c>
      <c r="D1707" s="256" t="s">
        <v>2172</v>
      </c>
      <c r="E1707" s="256" t="s">
        <v>2173</v>
      </c>
      <c r="F1707" s="74">
        <v>1</v>
      </c>
      <c r="G1707" s="74">
        <v>63011301</v>
      </c>
      <c r="H1707" s="72">
        <v>0</v>
      </c>
      <c r="I1707" s="72">
        <v>0</v>
      </c>
      <c r="J1707" s="74">
        <v>1</v>
      </c>
      <c r="K1707" s="74">
        <v>0</v>
      </c>
      <c r="L1707" s="72">
        <v>0</v>
      </c>
      <c r="M1707" s="72">
        <v>0</v>
      </c>
      <c r="N1707" s="72" t="s">
        <v>3841</v>
      </c>
      <c r="O1707" s="72">
        <v>3</v>
      </c>
      <c r="P1707" s="72">
        <v>0</v>
      </c>
      <c r="Q1707" s="72">
        <v>0</v>
      </c>
      <c r="R1707" s="72">
        <v>0</v>
      </c>
      <c r="S1707" s="12">
        <v>0</v>
      </c>
      <c r="T1707" s="72">
        <v>0</v>
      </c>
      <c r="U1707" s="16">
        <v>1</v>
      </c>
      <c r="V1707" s="72">
        <v>0</v>
      </c>
      <c r="W1707" s="72">
        <v>0</v>
      </c>
      <c r="X1707" s="72">
        <v>0</v>
      </c>
      <c r="Y1707" s="12">
        <v>0</v>
      </c>
      <c r="Z1707" s="72">
        <v>0</v>
      </c>
      <c r="AA1707" s="72">
        <v>0</v>
      </c>
      <c r="AB1707" s="72">
        <v>0</v>
      </c>
      <c r="AC1707" s="72">
        <v>0</v>
      </c>
      <c r="AD1707" s="74">
        <v>0</v>
      </c>
      <c r="AE1707" s="72">
        <v>0</v>
      </c>
      <c r="AF1707" s="72">
        <v>0</v>
      </c>
      <c r="AG1707" s="72">
        <v>0</v>
      </c>
      <c r="AH1707" s="72">
        <v>0</v>
      </c>
      <c r="AI1707" s="72">
        <v>0</v>
      </c>
      <c r="AJ1707" s="72">
        <v>0</v>
      </c>
      <c r="AK1707" s="12">
        <v>0</v>
      </c>
      <c r="AL1707" s="72">
        <v>0</v>
      </c>
      <c r="AM1707" s="72">
        <v>0</v>
      </c>
      <c r="AN1707" s="72">
        <v>0</v>
      </c>
      <c r="AO1707" s="72">
        <v>0</v>
      </c>
      <c r="AP1707" s="72">
        <v>0</v>
      </c>
      <c r="AQ1707" s="72">
        <v>0</v>
      </c>
      <c r="AR1707" s="72">
        <v>0</v>
      </c>
      <c r="AS1707" s="72">
        <v>0</v>
      </c>
      <c r="AT1707" s="261">
        <v>0</v>
      </c>
      <c r="AU1707" s="72">
        <v>0</v>
      </c>
      <c r="AV1707" s="72"/>
      <c r="AW1707" s="256">
        <v>0</v>
      </c>
      <c r="AX1707" s="72">
        <v>0</v>
      </c>
      <c r="AY1707" s="72">
        <v>0</v>
      </c>
      <c r="AZ1707" s="72">
        <v>0</v>
      </c>
      <c r="BA1707" s="13" t="s">
        <v>200</v>
      </c>
      <c r="BB1707" s="72">
        <v>0</v>
      </c>
      <c r="BC1707" s="263">
        <v>0</v>
      </c>
      <c r="BD1707" s="27">
        <v>1</v>
      </c>
      <c r="BE1707" s="256" t="s">
        <v>3842</v>
      </c>
      <c r="BF1707" s="256" t="s">
        <v>3843</v>
      </c>
      <c r="BG1707" s="72">
        <v>0</v>
      </c>
      <c r="BH1707" s="75">
        <v>0</v>
      </c>
      <c r="BI1707" s="12">
        <v>0</v>
      </c>
      <c r="BJ1707" s="72">
        <v>0</v>
      </c>
      <c r="BK1707" s="72">
        <v>0</v>
      </c>
      <c r="BL1707" s="72">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18">
        <v>69054011</v>
      </c>
      <c r="D1708" s="256" t="s">
        <v>2231</v>
      </c>
      <c r="E1708" s="256" t="s">
        <v>2232</v>
      </c>
      <c r="F1708" s="74">
        <v>1</v>
      </c>
      <c r="G1708" s="74">
        <v>61021101</v>
      </c>
      <c r="H1708" s="72">
        <v>0</v>
      </c>
      <c r="I1708" s="72">
        <v>0</v>
      </c>
      <c r="J1708" s="74">
        <v>1</v>
      </c>
      <c r="K1708" s="74">
        <v>0</v>
      </c>
      <c r="L1708" s="72">
        <v>0</v>
      </c>
      <c r="M1708" s="72">
        <v>0</v>
      </c>
      <c r="N1708" s="72" t="s">
        <v>3844</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72" t="s">
        <v>3845</v>
      </c>
      <c r="BF1708" s="72" t="s">
        <v>3846</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69054012</v>
      </c>
      <c r="D1709" s="256" t="s">
        <v>2238</v>
      </c>
      <c r="E1709" s="256" t="s">
        <v>2239</v>
      </c>
      <c r="F1709" s="74">
        <v>1</v>
      </c>
      <c r="G1709" s="74">
        <v>63021301</v>
      </c>
      <c r="H1709" s="72">
        <v>0</v>
      </c>
      <c r="I1709" s="72">
        <v>0</v>
      </c>
      <c r="J1709" s="74">
        <v>1</v>
      </c>
      <c r="K1709" s="74">
        <v>0</v>
      </c>
      <c r="L1709" s="72">
        <v>0</v>
      </c>
      <c r="M1709" s="72">
        <v>0</v>
      </c>
      <c r="N1709" s="72" t="s">
        <v>3847</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72" t="s">
        <v>3848</v>
      </c>
      <c r="BF1709" s="72" t="s">
        <v>3849</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69054013</v>
      </c>
      <c r="D1710" s="256" t="s">
        <v>2245</v>
      </c>
      <c r="E1710" s="256" t="s">
        <v>2246</v>
      </c>
      <c r="F1710" s="74">
        <v>1</v>
      </c>
      <c r="G1710" s="74">
        <v>63021401</v>
      </c>
      <c r="H1710" s="72">
        <v>0</v>
      </c>
      <c r="I1710" s="72">
        <v>0</v>
      </c>
      <c r="J1710" s="74">
        <v>1</v>
      </c>
      <c r="K1710" s="74">
        <v>0</v>
      </c>
      <c r="L1710" s="72">
        <v>0</v>
      </c>
      <c r="M1710" s="72">
        <v>0</v>
      </c>
      <c r="N1710" s="72" t="s">
        <v>3850</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72" t="s">
        <v>3851</v>
      </c>
      <c r="BF1710" s="72" t="s">
        <v>3852</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69054014</v>
      </c>
      <c r="D1711" s="256" t="s">
        <v>2265</v>
      </c>
      <c r="E1711" s="256" t="s">
        <v>2266</v>
      </c>
      <c r="F1711" s="74">
        <v>1</v>
      </c>
      <c r="G1711" s="74">
        <v>63021501</v>
      </c>
      <c r="H1711" s="72">
        <v>0</v>
      </c>
      <c r="I1711" s="72">
        <v>0</v>
      </c>
      <c r="J1711" s="74">
        <v>1</v>
      </c>
      <c r="K1711" s="74">
        <v>0</v>
      </c>
      <c r="L1711" s="72">
        <v>0</v>
      </c>
      <c r="M1711" s="72">
        <v>0</v>
      </c>
      <c r="N1711" s="72" t="s">
        <v>3853</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3854</v>
      </c>
      <c r="BF1711" s="72" t="s">
        <v>3855</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69054021</v>
      </c>
      <c r="D1712" s="256" t="s">
        <v>2280</v>
      </c>
      <c r="E1712" s="256" t="s">
        <v>2281</v>
      </c>
      <c r="F1712" s="74">
        <v>1</v>
      </c>
      <c r="G1712" s="74">
        <v>63022101</v>
      </c>
      <c r="H1712" s="72">
        <v>0</v>
      </c>
      <c r="I1712" s="72">
        <v>0</v>
      </c>
      <c r="J1712" s="74">
        <v>1</v>
      </c>
      <c r="K1712" s="74">
        <v>0</v>
      </c>
      <c r="L1712" s="72">
        <v>0</v>
      </c>
      <c r="M1712" s="72">
        <v>0</v>
      </c>
      <c r="N1712" s="72" t="s">
        <v>3856</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3857</v>
      </c>
      <c r="BF1712" s="72" t="s">
        <v>3858</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69054022</v>
      </c>
      <c r="D1713" s="256" t="s">
        <v>2287</v>
      </c>
      <c r="E1713" s="256" t="s">
        <v>2288</v>
      </c>
      <c r="F1713" s="74">
        <v>1</v>
      </c>
      <c r="G1713" s="74">
        <v>63022201</v>
      </c>
      <c r="H1713" s="72">
        <v>0</v>
      </c>
      <c r="I1713" s="72">
        <v>0</v>
      </c>
      <c r="J1713" s="74">
        <v>1</v>
      </c>
      <c r="K1713" s="74">
        <v>0</v>
      </c>
      <c r="L1713" s="72">
        <v>0</v>
      </c>
      <c r="M1713" s="72">
        <v>0</v>
      </c>
      <c r="N1713" s="72" t="s">
        <v>3859</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3860</v>
      </c>
      <c r="BF1713" s="72" t="s">
        <v>3861</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69054023</v>
      </c>
      <c r="D1714" s="256" t="s">
        <v>2296</v>
      </c>
      <c r="E1714" s="256" t="s">
        <v>2297</v>
      </c>
      <c r="F1714" s="74">
        <v>1</v>
      </c>
      <c r="G1714" s="74">
        <v>63022301</v>
      </c>
      <c r="H1714" s="72">
        <v>0</v>
      </c>
      <c r="I1714" s="72">
        <v>0</v>
      </c>
      <c r="J1714" s="74">
        <v>1</v>
      </c>
      <c r="K1714" s="74">
        <v>0</v>
      </c>
      <c r="L1714" s="72">
        <v>0</v>
      </c>
      <c r="M1714" s="72">
        <v>0</v>
      </c>
      <c r="N1714" s="72" t="s">
        <v>3862</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3863</v>
      </c>
      <c r="BF1714" s="72" t="s">
        <v>3864</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69054024</v>
      </c>
      <c r="D1715" s="256" t="s">
        <v>2309</v>
      </c>
      <c r="E1715" s="256" t="s">
        <v>2310</v>
      </c>
      <c r="F1715" s="74">
        <v>1</v>
      </c>
      <c r="G1715" s="74">
        <v>63022401</v>
      </c>
      <c r="H1715" s="72">
        <v>0</v>
      </c>
      <c r="I1715" s="72">
        <v>0</v>
      </c>
      <c r="J1715" s="74">
        <v>1</v>
      </c>
      <c r="K1715" s="74">
        <v>0</v>
      </c>
      <c r="L1715" s="72">
        <v>0</v>
      </c>
      <c r="M1715" s="72">
        <v>0</v>
      </c>
      <c r="N1715" s="72" t="s">
        <v>3865</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3866</v>
      </c>
      <c r="BF1715" s="72" t="s">
        <v>3867</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69054031</v>
      </c>
      <c r="D1716" s="256" t="s">
        <v>2332</v>
      </c>
      <c r="E1716" s="256" t="s">
        <v>2333</v>
      </c>
      <c r="F1716" s="74">
        <v>1</v>
      </c>
      <c r="G1716" s="74">
        <v>63021101</v>
      </c>
      <c r="H1716" s="72">
        <v>0</v>
      </c>
      <c r="I1716" s="72">
        <v>0</v>
      </c>
      <c r="J1716" s="74">
        <v>1</v>
      </c>
      <c r="K1716" s="74">
        <v>0</v>
      </c>
      <c r="L1716" s="72">
        <v>0</v>
      </c>
      <c r="M1716" s="72">
        <v>0</v>
      </c>
      <c r="N1716" s="72" t="s">
        <v>3868</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3869</v>
      </c>
      <c r="BF1716" s="72" t="s">
        <v>3870</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69054032</v>
      </c>
      <c r="D1717" s="256" t="s">
        <v>2341</v>
      </c>
      <c r="E1717" s="256" t="s">
        <v>2342</v>
      </c>
      <c r="F1717" s="74">
        <v>1</v>
      </c>
      <c r="G1717" s="74">
        <v>63023201</v>
      </c>
      <c r="H1717" s="72">
        <v>0</v>
      </c>
      <c r="I1717" s="72">
        <v>0</v>
      </c>
      <c r="J1717" s="74">
        <v>1</v>
      </c>
      <c r="K1717" s="74">
        <v>0</v>
      </c>
      <c r="L1717" s="72">
        <v>0</v>
      </c>
      <c r="M1717" s="72">
        <v>0</v>
      </c>
      <c r="N1717" s="72" t="s">
        <v>3871</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3872</v>
      </c>
      <c r="BF1717" s="72" t="s">
        <v>3873</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69054033</v>
      </c>
      <c r="D1718" s="256" t="s">
        <v>2343</v>
      </c>
      <c r="E1718" s="256" t="s">
        <v>2344</v>
      </c>
      <c r="F1718" s="74">
        <v>1</v>
      </c>
      <c r="G1718" s="74">
        <v>63023301</v>
      </c>
      <c r="H1718" s="72">
        <v>0</v>
      </c>
      <c r="I1718" s="72">
        <v>0</v>
      </c>
      <c r="J1718" s="74">
        <v>1</v>
      </c>
      <c r="K1718" s="74">
        <v>0</v>
      </c>
      <c r="L1718" s="72">
        <v>0</v>
      </c>
      <c r="M1718" s="72">
        <v>0</v>
      </c>
      <c r="N1718" s="72" t="s">
        <v>3874</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3875</v>
      </c>
      <c r="BF1718" s="72" t="s">
        <v>3876</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69054034</v>
      </c>
      <c r="D1719" s="256" t="s">
        <v>2350</v>
      </c>
      <c r="E1719" s="256" t="s">
        <v>2351</v>
      </c>
      <c r="F1719" s="74">
        <v>1</v>
      </c>
      <c r="G1719" s="74">
        <v>63023401</v>
      </c>
      <c r="H1719" s="72">
        <v>0</v>
      </c>
      <c r="I1719" s="72">
        <v>0</v>
      </c>
      <c r="J1719" s="74">
        <v>1</v>
      </c>
      <c r="K1719" s="74">
        <v>0</v>
      </c>
      <c r="L1719" s="72">
        <v>0</v>
      </c>
      <c r="M1719" s="72">
        <v>0</v>
      </c>
      <c r="N1719" s="72" t="s">
        <v>3877</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3878</v>
      </c>
      <c r="BF1719" s="72" t="s">
        <v>3879</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s="1" customFormat="1" ht="20.100000000000001" customHeight="1">
      <c r="C1720" s="64">
        <v>69055001</v>
      </c>
      <c r="D1720" s="257" t="s">
        <v>1443</v>
      </c>
      <c r="E1720" s="257" t="s">
        <v>1555</v>
      </c>
      <c r="F1720" s="258">
        <v>1</v>
      </c>
      <c r="G1720" s="64">
        <v>65011101</v>
      </c>
      <c r="H1720" s="259">
        <v>0</v>
      </c>
      <c r="I1720" s="259">
        <v>0</v>
      </c>
      <c r="J1720" s="258">
        <v>1</v>
      </c>
      <c r="K1720" s="258">
        <v>0</v>
      </c>
      <c r="L1720" s="259">
        <v>0</v>
      </c>
      <c r="M1720" s="259">
        <v>0</v>
      </c>
      <c r="N1720" s="259" t="s">
        <v>5479</v>
      </c>
      <c r="O1720" s="259">
        <v>3</v>
      </c>
      <c r="P1720" s="259">
        <v>0</v>
      </c>
      <c r="Q1720" s="259">
        <v>0</v>
      </c>
      <c r="R1720" s="259">
        <v>0</v>
      </c>
      <c r="S1720" s="68">
        <v>0</v>
      </c>
      <c r="T1720" s="259">
        <v>0</v>
      </c>
      <c r="U1720" s="60">
        <v>1</v>
      </c>
      <c r="V1720" s="259">
        <v>0</v>
      </c>
      <c r="W1720" s="259">
        <v>0</v>
      </c>
      <c r="X1720" s="259">
        <v>0</v>
      </c>
      <c r="Y1720" s="68">
        <v>0</v>
      </c>
      <c r="Z1720" s="259">
        <v>0</v>
      </c>
      <c r="AA1720" s="259">
        <v>0</v>
      </c>
      <c r="AB1720" s="259">
        <v>0</v>
      </c>
      <c r="AC1720" s="259">
        <v>0</v>
      </c>
      <c r="AD1720" s="258">
        <v>0</v>
      </c>
      <c r="AE1720" s="259">
        <v>0</v>
      </c>
      <c r="AF1720" s="259">
        <v>0</v>
      </c>
      <c r="AG1720" s="259">
        <v>0</v>
      </c>
      <c r="AH1720" s="259">
        <v>0</v>
      </c>
      <c r="AI1720" s="259">
        <v>0</v>
      </c>
      <c r="AJ1720" s="259">
        <v>0</v>
      </c>
      <c r="AK1720" s="68">
        <v>0</v>
      </c>
      <c r="AL1720" s="259">
        <v>0</v>
      </c>
      <c r="AM1720" s="259">
        <v>0</v>
      </c>
      <c r="AN1720" s="259">
        <v>0</v>
      </c>
      <c r="AO1720" s="259">
        <v>0</v>
      </c>
      <c r="AP1720" s="259">
        <v>0</v>
      </c>
      <c r="AQ1720" s="259">
        <v>0</v>
      </c>
      <c r="AR1720" s="259">
        <v>0</v>
      </c>
      <c r="AS1720" s="259">
        <v>0</v>
      </c>
      <c r="AT1720" s="376">
        <v>0</v>
      </c>
      <c r="AU1720" s="259">
        <v>0</v>
      </c>
      <c r="AV1720" s="259"/>
      <c r="AW1720" s="257">
        <v>0</v>
      </c>
      <c r="AX1720" s="259">
        <v>0</v>
      </c>
      <c r="AY1720" s="259">
        <v>0</v>
      </c>
      <c r="AZ1720" s="259">
        <v>0</v>
      </c>
      <c r="BA1720" s="124" t="s">
        <v>200</v>
      </c>
      <c r="BB1720" s="259">
        <v>0</v>
      </c>
      <c r="BC1720" s="377">
        <v>0</v>
      </c>
      <c r="BD1720" s="66">
        <v>1</v>
      </c>
      <c r="BE1720" s="257" t="s">
        <v>5476</v>
      </c>
      <c r="BF1720" s="257"/>
      <c r="BG1720" s="259">
        <v>0</v>
      </c>
      <c r="BH1720" s="135">
        <v>0</v>
      </c>
      <c r="BI1720" s="68">
        <v>0</v>
      </c>
      <c r="BJ1720" s="259">
        <v>0</v>
      </c>
      <c r="BK1720" s="259">
        <v>0</v>
      </c>
      <c r="BL1720" s="259">
        <v>0</v>
      </c>
      <c r="BM1720" s="93">
        <v>0</v>
      </c>
      <c r="BN1720" s="68">
        <v>0</v>
      </c>
      <c r="BO1720" s="68">
        <v>0</v>
      </c>
      <c r="BP1720" s="68">
        <v>0</v>
      </c>
      <c r="BQ1720" s="68">
        <v>0</v>
      </c>
      <c r="BR1720" s="68">
        <v>0</v>
      </c>
      <c r="BS1720" s="68">
        <v>0</v>
      </c>
      <c r="BT1720" s="68">
        <v>0</v>
      </c>
      <c r="BU1720" s="68">
        <v>0</v>
      </c>
      <c r="BV1720" s="68"/>
      <c r="BW1720" s="68"/>
    </row>
    <row r="1721" spans="3:75" s="1" customFormat="1" ht="20.100000000000001" customHeight="1">
      <c r="C1721" s="64">
        <v>69055002</v>
      </c>
      <c r="D1721" s="257" t="s">
        <v>1444</v>
      </c>
      <c r="E1721" s="257" t="s">
        <v>1620</v>
      </c>
      <c r="F1721" s="258">
        <v>1</v>
      </c>
      <c r="G1721" s="64">
        <v>65011201</v>
      </c>
      <c r="H1721" s="259">
        <v>0</v>
      </c>
      <c r="I1721" s="259">
        <v>0</v>
      </c>
      <c r="J1721" s="258">
        <v>1</v>
      </c>
      <c r="K1721" s="258">
        <v>0</v>
      </c>
      <c r="L1721" s="259">
        <v>0</v>
      </c>
      <c r="M1721" s="259">
        <v>0</v>
      </c>
      <c r="N1721" s="259" t="s">
        <v>5462</v>
      </c>
      <c r="O1721" s="259">
        <v>3</v>
      </c>
      <c r="P1721" s="259">
        <v>0</v>
      </c>
      <c r="Q1721" s="259">
        <v>0</v>
      </c>
      <c r="R1721" s="259">
        <v>0</v>
      </c>
      <c r="S1721" s="68">
        <v>0</v>
      </c>
      <c r="T1721" s="259">
        <v>0</v>
      </c>
      <c r="U1721" s="60">
        <v>1</v>
      </c>
      <c r="V1721" s="259">
        <v>0</v>
      </c>
      <c r="W1721" s="259">
        <v>0</v>
      </c>
      <c r="X1721" s="259">
        <v>0</v>
      </c>
      <c r="Y1721" s="68">
        <v>0</v>
      </c>
      <c r="Z1721" s="259">
        <v>0</v>
      </c>
      <c r="AA1721" s="259">
        <v>0</v>
      </c>
      <c r="AB1721" s="259">
        <v>0</v>
      </c>
      <c r="AC1721" s="259">
        <v>0</v>
      </c>
      <c r="AD1721" s="258">
        <v>0</v>
      </c>
      <c r="AE1721" s="259">
        <v>0</v>
      </c>
      <c r="AF1721" s="259">
        <v>0</v>
      </c>
      <c r="AG1721" s="259">
        <v>0</v>
      </c>
      <c r="AH1721" s="259">
        <v>0</v>
      </c>
      <c r="AI1721" s="259">
        <v>0</v>
      </c>
      <c r="AJ1721" s="259">
        <v>0</v>
      </c>
      <c r="AK1721" s="68">
        <v>0</v>
      </c>
      <c r="AL1721" s="259">
        <v>0</v>
      </c>
      <c r="AM1721" s="259">
        <v>0</v>
      </c>
      <c r="AN1721" s="259">
        <v>0</v>
      </c>
      <c r="AO1721" s="259">
        <v>0</v>
      </c>
      <c r="AP1721" s="259">
        <v>0</v>
      </c>
      <c r="AQ1721" s="259">
        <v>0</v>
      </c>
      <c r="AR1721" s="259">
        <v>0</v>
      </c>
      <c r="AS1721" s="259">
        <v>0</v>
      </c>
      <c r="AT1721" s="376">
        <v>0</v>
      </c>
      <c r="AU1721" s="259">
        <v>0</v>
      </c>
      <c r="AV1721" s="259"/>
      <c r="AW1721" s="257">
        <v>0</v>
      </c>
      <c r="AX1721" s="259">
        <v>0</v>
      </c>
      <c r="AY1721" s="259">
        <v>0</v>
      </c>
      <c r="AZ1721" s="259">
        <v>0</v>
      </c>
      <c r="BA1721" s="124" t="s">
        <v>200</v>
      </c>
      <c r="BB1721" s="259">
        <v>0</v>
      </c>
      <c r="BC1721" s="377">
        <v>0</v>
      </c>
      <c r="BD1721" s="66">
        <v>1</v>
      </c>
      <c r="BE1721" s="257" t="s">
        <v>5477</v>
      </c>
      <c r="BF1721" s="257"/>
      <c r="BG1721" s="259">
        <v>0</v>
      </c>
      <c r="BH1721" s="135">
        <v>0</v>
      </c>
      <c r="BI1721" s="68">
        <v>0</v>
      </c>
      <c r="BJ1721" s="259">
        <v>0</v>
      </c>
      <c r="BK1721" s="259">
        <v>0</v>
      </c>
      <c r="BL1721" s="259">
        <v>0</v>
      </c>
      <c r="BM1721" s="93">
        <v>0</v>
      </c>
      <c r="BN1721" s="68">
        <v>0</v>
      </c>
      <c r="BO1721" s="68">
        <v>0</v>
      </c>
      <c r="BP1721" s="68">
        <v>0</v>
      </c>
      <c r="BQ1721" s="68">
        <v>0</v>
      </c>
      <c r="BR1721" s="68">
        <v>0</v>
      </c>
      <c r="BS1721" s="68">
        <v>0</v>
      </c>
      <c r="BT1721" s="68">
        <v>0</v>
      </c>
      <c r="BU1721" s="68">
        <v>0</v>
      </c>
      <c r="BV1721" s="68"/>
      <c r="BW1721" s="68"/>
    </row>
    <row r="1722" spans="3:75" s="1" customFormat="1" ht="20.100000000000001" customHeight="1">
      <c r="C1722" s="64">
        <v>69055003</v>
      </c>
      <c r="D1722" s="257" t="s">
        <v>1445</v>
      </c>
      <c r="E1722" s="257" t="s">
        <v>1470</v>
      </c>
      <c r="F1722" s="258">
        <v>1</v>
      </c>
      <c r="G1722" s="64">
        <v>65011301</v>
      </c>
      <c r="H1722" s="259">
        <v>0</v>
      </c>
      <c r="I1722" s="259">
        <v>0</v>
      </c>
      <c r="J1722" s="258">
        <v>1</v>
      </c>
      <c r="K1722" s="258">
        <v>0</v>
      </c>
      <c r="L1722" s="259">
        <v>0</v>
      </c>
      <c r="M1722" s="259">
        <v>0</v>
      </c>
      <c r="N1722" s="259" t="s">
        <v>5463</v>
      </c>
      <c r="O1722" s="259">
        <v>3</v>
      </c>
      <c r="P1722" s="259">
        <v>0</v>
      </c>
      <c r="Q1722" s="259">
        <v>0</v>
      </c>
      <c r="R1722" s="259">
        <v>0</v>
      </c>
      <c r="S1722" s="68">
        <v>0</v>
      </c>
      <c r="T1722" s="259">
        <v>0</v>
      </c>
      <c r="U1722" s="60">
        <v>1</v>
      </c>
      <c r="V1722" s="259">
        <v>0</v>
      </c>
      <c r="W1722" s="259">
        <v>0</v>
      </c>
      <c r="X1722" s="259">
        <v>0</v>
      </c>
      <c r="Y1722" s="68">
        <v>0</v>
      </c>
      <c r="Z1722" s="259">
        <v>0</v>
      </c>
      <c r="AA1722" s="259">
        <v>0</v>
      </c>
      <c r="AB1722" s="259">
        <v>0</v>
      </c>
      <c r="AC1722" s="259">
        <v>0</v>
      </c>
      <c r="AD1722" s="258">
        <v>0</v>
      </c>
      <c r="AE1722" s="259">
        <v>0</v>
      </c>
      <c r="AF1722" s="259">
        <v>0</v>
      </c>
      <c r="AG1722" s="259">
        <v>0</v>
      </c>
      <c r="AH1722" s="259">
        <v>0</v>
      </c>
      <c r="AI1722" s="259">
        <v>0</v>
      </c>
      <c r="AJ1722" s="259">
        <v>0</v>
      </c>
      <c r="AK1722" s="68">
        <v>0</v>
      </c>
      <c r="AL1722" s="259">
        <v>0</v>
      </c>
      <c r="AM1722" s="259">
        <v>0</v>
      </c>
      <c r="AN1722" s="259">
        <v>0</v>
      </c>
      <c r="AO1722" s="259">
        <v>0</v>
      </c>
      <c r="AP1722" s="259">
        <v>0</v>
      </c>
      <c r="AQ1722" s="259">
        <v>0</v>
      </c>
      <c r="AR1722" s="259">
        <v>0</v>
      </c>
      <c r="AS1722" s="259">
        <v>0</v>
      </c>
      <c r="AT1722" s="376">
        <v>0</v>
      </c>
      <c r="AU1722" s="259">
        <v>0</v>
      </c>
      <c r="AV1722" s="259"/>
      <c r="AW1722" s="257">
        <v>0</v>
      </c>
      <c r="AX1722" s="259">
        <v>0</v>
      </c>
      <c r="AY1722" s="259">
        <v>0</v>
      </c>
      <c r="AZ1722" s="259">
        <v>0</v>
      </c>
      <c r="BA1722" s="124" t="s">
        <v>200</v>
      </c>
      <c r="BB1722" s="259">
        <v>0</v>
      </c>
      <c r="BC1722" s="377">
        <v>0</v>
      </c>
      <c r="BD1722" s="66">
        <v>1</v>
      </c>
      <c r="BE1722" s="257" t="s">
        <v>5478</v>
      </c>
      <c r="BF1722" s="257"/>
      <c r="BG1722" s="259">
        <v>0</v>
      </c>
      <c r="BH1722" s="135">
        <v>0</v>
      </c>
      <c r="BI1722" s="68">
        <v>0</v>
      </c>
      <c r="BJ1722" s="259">
        <v>0</v>
      </c>
      <c r="BK1722" s="259">
        <v>0</v>
      </c>
      <c r="BL1722" s="259">
        <v>0</v>
      </c>
      <c r="BM1722" s="93">
        <v>0</v>
      </c>
      <c r="BN1722" s="68">
        <v>0</v>
      </c>
      <c r="BO1722" s="68">
        <v>0</v>
      </c>
      <c r="BP1722" s="68">
        <v>0</v>
      </c>
      <c r="BQ1722" s="68">
        <v>0</v>
      </c>
      <c r="BR1722" s="68">
        <v>0</v>
      </c>
      <c r="BS1722" s="68">
        <v>0</v>
      </c>
      <c r="BT1722" s="68">
        <v>0</v>
      </c>
      <c r="BU1722" s="68">
        <v>0</v>
      </c>
      <c r="BV1722" s="68"/>
      <c r="BW1722" s="68"/>
    </row>
    <row r="1723" spans="3:75" s="1" customFormat="1" ht="20.100000000000001" customHeight="1">
      <c r="C1723" s="64">
        <v>69055011</v>
      </c>
      <c r="D1723" s="257" t="s">
        <v>2385</v>
      </c>
      <c r="E1723" s="257" t="s">
        <v>1546</v>
      </c>
      <c r="F1723" s="258">
        <v>1</v>
      </c>
      <c r="G1723" s="64">
        <v>65013101</v>
      </c>
      <c r="H1723" s="259">
        <v>0</v>
      </c>
      <c r="I1723" s="259">
        <v>0</v>
      </c>
      <c r="J1723" s="258">
        <v>1</v>
      </c>
      <c r="K1723" s="258">
        <v>0</v>
      </c>
      <c r="L1723" s="259">
        <v>0</v>
      </c>
      <c r="M1723" s="259">
        <v>0</v>
      </c>
      <c r="N1723" s="259" t="s">
        <v>5464</v>
      </c>
      <c r="O1723" s="259">
        <v>3</v>
      </c>
      <c r="P1723" s="259">
        <v>0</v>
      </c>
      <c r="Q1723" s="259">
        <v>0</v>
      </c>
      <c r="R1723" s="259">
        <v>0</v>
      </c>
      <c r="S1723" s="68">
        <v>0</v>
      </c>
      <c r="T1723" s="259">
        <v>0</v>
      </c>
      <c r="U1723" s="60">
        <v>1</v>
      </c>
      <c r="V1723" s="259">
        <v>0</v>
      </c>
      <c r="W1723" s="259">
        <v>0</v>
      </c>
      <c r="X1723" s="259">
        <v>0</v>
      </c>
      <c r="Y1723" s="68">
        <v>0</v>
      </c>
      <c r="Z1723" s="259">
        <v>0</v>
      </c>
      <c r="AA1723" s="259">
        <v>0</v>
      </c>
      <c r="AB1723" s="259">
        <v>0</v>
      </c>
      <c r="AC1723" s="259">
        <v>0</v>
      </c>
      <c r="AD1723" s="258">
        <v>0</v>
      </c>
      <c r="AE1723" s="259">
        <v>0</v>
      </c>
      <c r="AF1723" s="259">
        <v>0</v>
      </c>
      <c r="AG1723" s="259">
        <v>0</v>
      </c>
      <c r="AH1723" s="259">
        <v>0</v>
      </c>
      <c r="AI1723" s="259">
        <v>0</v>
      </c>
      <c r="AJ1723" s="259">
        <v>0</v>
      </c>
      <c r="AK1723" s="68">
        <v>0</v>
      </c>
      <c r="AL1723" s="259">
        <v>0</v>
      </c>
      <c r="AM1723" s="259">
        <v>0</v>
      </c>
      <c r="AN1723" s="259">
        <v>0</v>
      </c>
      <c r="AO1723" s="259">
        <v>0</v>
      </c>
      <c r="AP1723" s="259">
        <v>0</v>
      </c>
      <c r="AQ1723" s="259">
        <v>0</v>
      </c>
      <c r="AR1723" s="259">
        <v>0</v>
      </c>
      <c r="AS1723" s="259">
        <v>0</v>
      </c>
      <c r="AT1723" s="376">
        <v>0</v>
      </c>
      <c r="AU1723" s="259">
        <v>0</v>
      </c>
      <c r="AV1723" s="259"/>
      <c r="AW1723" s="257">
        <v>0</v>
      </c>
      <c r="AX1723" s="259">
        <v>0</v>
      </c>
      <c r="AY1723" s="259">
        <v>0</v>
      </c>
      <c r="AZ1723" s="259">
        <v>0</v>
      </c>
      <c r="BA1723" s="124" t="s">
        <v>200</v>
      </c>
      <c r="BB1723" s="259">
        <v>0</v>
      </c>
      <c r="BC1723" s="377">
        <v>0</v>
      </c>
      <c r="BD1723" s="66">
        <v>1</v>
      </c>
      <c r="BE1723" s="259" t="str">
        <f>"技能:"&amp;D1723&amp;" 提升1级"</f>
        <v>技能:巨力震击 提升1级</v>
      </c>
      <c r="BF1723" s="259"/>
      <c r="BG1723" s="259">
        <v>0</v>
      </c>
      <c r="BH1723" s="135">
        <v>0</v>
      </c>
      <c r="BI1723" s="68">
        <v>0</v>
      </c>
      <c r="BJ1723" s="259">
        <v>0</v>
      </c>
      <c r="BK1723" s="259">
        <v>0</v>
      </c>
      <c r="BL1723" s="259">
        <v>0</v>
      </c>
      <c r="BM1723" s="93">
        <v>0</v>
      </c>
      <c r="BN1723" s="68">
        <v>0</v>
      </c>
      <c r="BO1723" s="68">
        <v>0</v>
      </c>
      <c r="BP1723" s="68">
        <v>0</v>
      </c>
      <c r="BQ1723" s="68">
        <v>0</v>
      </c>
      <c r="BR1723" s="68">
        <v>0</v>
      </c>
      <c r="BS1723" s="68">
        <v>0</v>
      </c>
      <c r="BT1723" s="68">
        <v>0</v>
      </c>
      <c r="BU1723" s="68">
        <v>0</v>
      </c>
      <c r="BV1723" s="68"/>
      <c r="BW1723" s="68"/>
    </row>
    <row r="1724" spans="3:75" s="1" customFormat="1" ht="20.100000000000001" customHeight="1">
      <c r="C1724" s="64">
        <v>69055012</v>
      </c>
      <c r="D1724" s="257" t="s">
        <v>2387</v>
      </c>
      <c r="E1724" s="257" t="s">
        <v>2388</v>
      </c>
      <c r="F1724" s="258">
        <v>1</v>
      </c>
      <c r="G1724" s="64">
        <v>65013201</v>
      </c>
      <c r="H1724" s="259">
        <v>0</v>
      </c>
      <c r="I1724" s="259">
        <v>0</v>
      </c>
      <c r="J1724" s="258">
        <v>1</v>
      </c>
      <c r="K1724" s="258">
        <v>0</v>
      </c>
      <c r="L1724" s="259">
        <v>0</v>
      </c>
      <c r="M1724" s="259">
        <v>0</v>
      </c>
      <c r="N1724" s="259" t="s">
        <v>5465</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376">
        <v>0</v>
      </c>
      <c r="AU1724" s="259">
        <v>0</v>
      </c>
      <c r="AV1724" s="259"/>
      <c r="AW1724" s="257">
        <v>0</v>
      </c>
      <c r="AX1724" s="259">
        <v>0</v>
      </c>
      <c r="AY1724" s="259">
        <v>0</v>
      </c>
      <c r="AZ1724" s="259">
        <v>0</v>
      </c>
      <c r="BA1724" s="124" t="s">
        <v>200</v>
      </c>
      <c r="BB1724" s="259">
        <v>0</v>
      </c>
      <c r="BC1724" s="377">
        <v>0</v>
      </c>
      <c r="BD1724" s="66">
        <v>1</v>
      </c>
      <c r="BE1724" s="259" t="str">
        <f t="shared" ref="BE1724:BE1734" si="147">"技能:"&amp;D1724&amp;" 提升1级"</f>
        <v>技能:守护冲击 提升1级</v>
      </c>
      <c r="BF1724" s="259"/>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69055013</v>
      </c>
      <c r="D1725" s="257" t="s">
        <v>2391</v>
      </c>
      <c r="E1725" s="257" t="s">
        <v>1571</v>
      </c>
      <c r="F1725" s="258">
        <v>1</v>
      </c>
      <c r="G1725" s="64">
        <v>65013301</v>
      </c>
      <c r="H1725" s="259">
        <v>0</v>
      </c>
      <c r="I1725" s="259">
        <v>0</v>
      </c>
      <c r="J1725" s="258">
        <v>1</v>
      </c>
      <c r="K1725" s="258">
        <v>0</v>
      </c>
      <c r="L1725" s="259">
        <v>0</v>
      </c>
      <c r="M1725" s="259">
        <v>0</v>
      </c>
      <c r="N1725" s="259" t="s">
        <v>5466</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376">
        <v>0</v>
      </c>
      <c r="AU1725" s="259">
        <v>0</v>
      </c>
      <c r="AV1725" s="259"/>
      <c r="AW1725" s="257">
        <v>0</v>
      </c>
      <c r="AX1725" s="259">
        <v>0</v>
      </c>
      <c r="AY1725" s="259">
        <v>0</v>
      </c>
      <c r="AZ1725" s="259">
        <v>0</v>
      </c>
      <c r="BA1725" s="124" t="s">
        <v>200</v>
      </c>
      <c r="BB1725" s="259">
        <v>0</v>
      </c>
      <c r="BC1725" s="377">
        <v>0</v>
      </c>
      <c r="BD1725" s="66">
        <v>1</v>
      </c>
      <c r="BE1725" s="259" t="str">
        <f t="shared" si="147"/>
        <v>技能:巨剑之力 提升1级</v>
      </c>
      <c r="BF1725" s="259"/>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69055014</v>
      </c>
      <c r="D1726" s="257" t="s">
        <v>2397</v>
      </c>
      <c r="E1726" s="257" t="s">
        <v>1620</v>
      </c>
      <c r="F1726" s="258">
        <v>1</v>
      </c>
      <c r="G1726" s="64">
        <v>65013401</v>
      </c>
      <c r="H1726" s="259">
        <v>0</v>
      </c>
      <c r="I1726" s="259">
        <v>0</v>
      </c>
      <c r="J1726" s="258">
        <v>1</v>
      </c>
      <c r="K1726" s="258">
        <v>0</v>
      </c>
      <c r="L1726" s="259">
        <v>0</v>
      </c>
      <c r="M1726" s="259">
        <v>0</v>
      </c>
      <c r="N1726" s="259" t="s">
        <v>5467</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376">
        <v>0</v>
      </c>
      <c r="AU1726" s="259">
        <v>0</v>
      </c>
      <c r="AV1726" s="259"/>
      <c r="AW1726" s="257">
        <v>0</v>
      </c>
      <c r="AX1726" s="259">
        <v>0</v>
      </c>
      <c r="AY1726" s="259">
        <v>0</v>
      </c>
      <c r="AZ1726" s="259">
        <v>0</v>
      </c>
      <c r="BA1726" s="124" t="s">
        <v>200</v>
      </c>
      <c r="BB1726" s="259">
        <v>0</v>
      </c>
      <c r="BC1726" s="377">
        <v>0</v>
      </c>
      <c r="BD1726" s="66">
        <v>1</v>
      </c>
      <c r="BE1726" s="259" t="str">
        <f t="shared" si="147"/>
        <v>技能:守护天使 提升1级</v>
      </c>
      <c r="BF1726" s="259"/>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69055021</v>
      </c>
      <c r="D1727" s="257" t="s">
        <v>2403</v>
      </c>
      <c r="E1727" s="257" t="s">
        <v>1571</v>
      </c>
      <c r="F1727" s="258">
        <v>1</v>
      </c>
      <c r="G1727" s="64">
        <v>65014101</v>
      </c>
      <c r="H1727" s="259">
        <v>0</v>
      </c>
      <c r="I1727" s="259">
        <v>0</v>
      </c>
      <c r="J1727" s="258">
        <v>1</v>
      </c>
      <c r="K1727" s="258">
        <v>0</v>
      </c>
      <c r="L1727" s="259">
        <v>0</v>
      </c>
      <c r="M1727" s="259">
        <v>0</v>
      </c>
      <c r="N1727" s="259" t="s">
        <v>5468</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376">
        <v>0</v>
      </c>
      <c r="AU1727" s="259">
        <v>0</v>
      </c>
      <c r="AV1727" s="259"/>
      <c r="AW1727" s="257">
        <v>0</v>
      </c>
      <c r="AX1727" s="259">
        <v>0</v>
      </c>
      <c r="AY1727" s="259">
        <v>0</v>
      </c>
      <c r="AZ1727" s="259">
        <v>0</v>
      </c>
      <c r="BA1727" s="124" t="s">
        <v>200</v>
      </c>
      <c r="BB1727" s="259">
        <v>0</v>
      </c>
      <c r="BC1727" s="377">
        <v>0</v>
      </c>
      <c r="BD1727" s="66">
        <v>1</v>
      </c>
      <c r="BE1727" s="259" t="str">
        <f t="shared" si="147"/>
        <v>技能:隐匿一击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69055022</v>
      </c>
      <c r="D1728" s="257" t="s">
        <v>2410</v>
      </c>
      <c r="E1728" s="257" t="s">
        <v>1437</v>
      </c>
      <c r="F1728" s="258">
        <v>1</v>
      </c>
      <c r="G1728" s="64">
        <v>65014201</v>
      </c>
      <c r="H1728" s="259">
        <v>0</v>
      </c>
      <c r="I1728" s="259">
        <v>0</v>
      </c>
      <c r="J1728" s="258">
        <v>1</v>
      </c>
      <c r="K1728" s="258">
        <v>0</v>
      </c>
      <c r="L1728" s="259">
        <v>0</v>
      </c>
      <c r="M1728" s="259">
        <v>0</v>
      </c>
      <c r="N1728" s="259" t="s">
        <v>5469</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376">
        <v>0</v>
      </c>
      <c r="AU1728" s="259">
        <v>0</v>
      </c>
      <c r="AV1728" s="259"/>
      <c r="AW1728" s="257">
        <v>0</v>
      </c>
      <c r="AX1728" s="259">
        <v>0</v>
      </c>
      <c r="AY1728" s="259">
        <v>0</v>
      </c>
      <c r="AZ1728" s="259">
        <v>0</v>
      </c>
      <c r="BA1728" s="124" t="s">
        <v>200</v>
      </c>
      <c r="BB1728" s="259">
        <v>0</v>
      </c>
      <c r="BC1728" s="377">
        <v>0</v>
      </c>
      <c r="BD1728" s="66">
        <v>1</v>
      </c>
      <c r="BE1728" s="259" t="str">
        <f t="shared" si="147"/>
        <v>技能:精灵共鸣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69055023</v>
      </c>
      <c r="D1729" s="257" t="s">
        <v>2422</v>
      </c>
      <c r="E1729" s="257" t="s">
        <v>2266</v>
      </c>
      <c r="F1729" s="258">
        <v>1</v>
      </c>
      <c r="G1729" s="64">
        <v>65014301</v>
      </c>
      <c r="H1729" s="259">
        <v>0</v>
      </c>
      <c r="I1729" s="259">
        <v>0</v>
      </c>
      <c r="J1729" s="258">
        <v>1</v>
      </c>
      <c r="K1729" s="258">
        <v>0</v>
      </c>
      <c r="L1729" s="259">
        <v>0</v>
      </c>
      <c r="M1729" s="259">
        <v>0</v>
      </c>
      <c r="N1729" s="259" t="s">
        <v>5470</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376">
        <v>0</v>
      </c>
      <c r="AU1729" s="259">
        <v>0</v>
      </c>
      <c r="AV1729" s="259"/>
      <c r="AW1729" s="257">
        <v>0</v>
      </c>
      <c r="AX1729" s="259">
        <v>0</v>
      </c>
      <c r="AY1729" s="259">
        <v>0</v>
      </c>
      <c r="AZ1729" s="259">
        <v>0</v>
      </c>
      <c r="BA1729" s="124" t="s">
        <v>200</v>
      </c>
      <c r="BB1729" s="259">
        <v>0</v>
      </c>
      <c r="BC1729" s="377">
        <v>0</v>
      </c>
      <c r="BD1729" s="66">
        <v>1</v>
      </c>
      <c r="BE1729" s="259" t="str">
        <f t="shared" si="147"/>
        <v>技能:破风之击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69055024</v>
      </c>
      <c r="D1730" s="257" t="s">
        <v>2424</v>
      </c>
      <c r="E1730" s="257" t="s">
        <v>2020</v>
      </c>
      <c r="F1730" s="258">
        <v>1</v>
      </c>
      <c r="G1730" s="64">
        <v>65014401</v>
      </c>
      <c r="H1730" s="259">
        <v>0</v>
      </c>
      <c r="I1730" s="259">
        <v>0</v>
      </c>
      <c r="J1730" s="258">
        <v>1</v>
      </c>
      <c r="K1730" s="258">
        <v>0</v>
      </c>
      <c r="L1730" s="259">
        <v>0</v>
      </c>
      <c r="M1730" s="259">
        <v>0</v>
      </c>
      <c r="N1730" s="259" t="s">
        <v>5471</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376">
        <v>0</v>
      </c>
      <c r="AU1730" s="259">
        <v>0</v>
      </c>
      <c r="AV1730" s="259"/>
      <c r="AW1730" s="257">
        <v>0</v>
      </c>
      <c r="AX1730" s="259">
        <v>0</v>
      </c>
      <c r="AY1730" s="259">
        <v>0</v>
      </c>
      <c r="AZ1730" s="259">
        <v>0</v>
      </c>
      <c r="BA1730" s="124" t="s">
        <v>200</v>
      </c>
      <c r="BB1730" s="259">
        <v>0</v>
      </c>
      <c r="BC1730" s="377">
        <v>0</v>
      </c>
      <c r="BD1730" s="66">
        <v>1</v>
      </c>
      <c r="BE1730" s="259" t="str">
        <f t="shared" si="147"/>
        <v>技能:唤灵之契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69055031</v>
      </c>
      <c r="D1731" s="257" t="s">
        <v>2435</v>
      </c>
      <c r="E1731" s="257" t="s">
        <v>1745</v>
      </c>
      <c r="F1731" s="258">
        <v>1</v>
      </c>
      <c r="G1731" s="64">
        <v>65015101</v>
      </c>
      <c r="H1731" s="259">
        <v>0</v>
      </c>
      <c r="I1731" s="259">
        <v>0</v>
      </c>
      <c r="J1731" s="258">
        <v>1</v>
      </c>
      <c r="K1731" s="258">
        <v>0</v>
      </c>
      <c r="L1731" s="259">
        <v>0</v>
      </c>
      <c r="M1731" s="259">
        <v>0</v>
      </c>
      <c r="N1731" s="259" t="s">
        <v>5472</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376">
        <v>0</v>
      </c>
      <c r="AU1731" s="259">
        <v>0</v>
      </c>
      <c r="AV1731" s="259"/>
      <c r="AW1731" s="257">
        <v>0</v>
      </c>
      <c r="AX1731" s="259">
        <v>0</v>
      </c>
      <c r="AY1731" s="259">
        <v>0</v>
      </c>
      <c r="AZ1731" s="259">
        <v>0</v>
      </c>
      <c r="BA1731" s="124" t="s">
        <v>200</v>
      </c>
      <c r="BB1731" s="259">
        <v>0</v>
      </c>
      <c r="BC1731" s="377">
        <v>0</v>
      </c>
      <c r="BD1731" s="66">
        <v>1</v>
      </c>
      <c r="BE1731" s="259" t="str">
        <f t="shared" si="147"/>
        <v>技能:泰坦镜像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69055032</v>
      </c>
      <c r="D1732" s="257" t="s">
        <v>2446</v>
      </c>
      <c r="E1732" s="257" t="s">
        <v>1571</v>
      </c>
      <c r="F1732" s="258">
        <v>1</v>
      </c>
      <c r="G1732" s="64">
        <v>65015201</v>
      </c>
      <c r="H1732" s="259">
        <v>0</v>
      </c>
      <c r="I1732" s="259">
        <v>0</v>
      </c>
      <c r="J1732" s="258">
        <v>1</v>
      </c>
      <c r="K1732" s="258">
        <v>0</v>
      </c>
      <c r="L1732" s="259">
        <v>0</v>
      </c>
      <c r="M1732" s="259">
        <v>0</v>
      </c>
      <c r="N1732" s="259" t="s">
        <v>5473</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376">
        <v>0</v>
      </c>
      <c r="AU1732" s="259">
        <v>0</v>
      </c>
      <c r="AV1732" s="259"/>
      <c r="AW1732" s="257">
        <v>0</v>
      </c>
      <c r="AX1732" s="259">
        <v>0</v>
      </c>
      <c r="AY1732" s="259">
        <v>0</v>
      </c>
      <c r="AZ1732" s="259">
        <v>0</v>
      </c>
      <c r="BA1732" s="124" t="s">
        <v>200</v>
      </c>
      <c r="BB1732" s="259">
        <v>0</v>
      </c>
      <c r="BC1732" s="377">
        <v>0</v>
      </c>
      <c r="BD1732" s="66">
        <v>1</v>
      </c>
      <c r="BE1732" s="259" t="str">
        <f t="shared" si="147"/>
        <v>技能:战灵怒吼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69055033</v>
      </c>
      <c r="D1733" s="257" t="s">
        <v>2457</v>
      </c>
      <c r="E1733" s="257" t="s">
        <v>1711</v>
      </c>
      <c r="F1733" s="258">
        <v>1</v>
      </c>
      <c r="G1733" s="64">
        <v>65015301</v>
      </c>
      <c r="H1733" s="259">
        <v>0</v>
      </c>
      <c r="I1733" s="259">
        <v>0</v>
      </c>
      <c r="J1733" s="258">
        <v>1</v>
      </c>
      <c r="K1733" s="258">
        <v>0</v>
      </c>
      <c r="L1733" s="259">
        <v>0</v>
      </c>
      <c r="M1733" s="259">
        <v>0</v>
      </c>
      <c r="N1733" s="259" t="s">
        <v>5474</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376">
        <v>0</v>
      </c>
      <c r="AU1733" s="259">
        <v>0</v>
      </c>
      <c r="AV1733" s="259"/>
      <c r="AW1733" s="257">
        <v>0</v>
      </c>
      <c r="AX1733" s="259">
        <v>0</v>
      </c>
      <c r="AY1733" s="259">
        <v>0</v>
      </c>
      <c r="AZ1733" s="259">
        <v>0</v>
      </c>
      <c r="BA1733" s="124" t="s">
        <v>200</v>
      </c>
      <c r="BB1733" s="259">
        <v>0</v>
      </c>
      <c r="BC1733" s="377">
        <v>0</v>
      </c>
      <c r="BD1733" s="66">
        <v>1</v>
      </c>
      <c r="BE1733" s="259" t="str">
        <f t="shared" si="147"/>
        <v>技能:幻影冲击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69055034</v>
      </c>
      <c r="D1734" s="257" t="s">
        <v>2459</v>
      </c>
      <c r="E1734" s="257" t="s">
        <v>1620</v>
      </c>
      <c r="F1734" s="258">
        <v>1</v>
      </c>
      <c r="G1734" s="64">
        <v>65015401</v>
      </c>
      <c r="H1734" s="259">
        <v>0</v>
      </c>
      <c r="I1734" s="259">
        <v>0</v>
      </c>
      <c r="J1734" s="258">
        <v>1</v>
      </c>
      <c r="K1734" s="258">
        <v>0</v>
      </c>
      <c r="L1734" s="259">
        <v>0</v>
      </c>
      <c r="M1734" s="259">
        <v>0</v>
      </c>
      <c r="N1734" s="259" t="s">
        <v>5475</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376">
        <v>0</v>
      </c>
      <c r="AU1734" s="259">
        <v>0</v>
      </c>
      <c r="AV1734" s="259"/>
      <c r="AW1734" s="257">
        <v>0</v>
      </c>
      <c r="AX1734" s="259">
        <v>0</v>
      </c>
      <c r="AY1734" s="259">
        <v>0</v>
      </c>
      <c r="AZ1734" s="259">
        <v>0</v>
      </c>
      <c r="BA1734" s="124" t="s">
        <v>200</v>
      </c>
      <c r="BB1734" s="259">
        <v>0</v>
      </c>
      <c r="BC1734" s="377">
        <v>0</v>
      </c>
      <c r="BD1734" s="66">
        <v>1</v>
      </c>
      <c r="BE1734" s="259" t="str">
        <f t="shared" si="147"/>
        <v>技能:逆转之力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ht="20.100000000000001" customHeight="1">
      <c r="C1735" s="18">
        <v>69060100</v>
      </c>
      <c r="D1735" s="19" t="s">
        <v>3880</v>
      </c>
      <c r="E1735" s="19" t="s">
        <v>3881</v>
      </c>
      <c r="F1735" s="18">
        <v>0</v>
      </c>
      <c r="G1735" s="18">
        <v>69060100</v>
      </c>
      <c r="H1735" s="18">
        <v>69060101</v>
      </c>
      <c r="I1735" s="27">
        <v>0</v>
      </c>
      <c r="J1735" s="18">
        <v>20</v>
      </c>
      <c r="K1735" s="18">
        <v>1</v>
      </c>
      <c r="L1735" s="18">
        <v>0</v>
      </c>
      <c r="M1735" s="18">
        <v>0</v>
      </c>
      <c r="N1735" s="18">
        <v>0</v>
      </c>
      <c r="O1735" s="18">
        <v>8</v>
      </c>
      <c r="P1735" s="18">
        <v>0</v>
      </c>
      <c r="Q1735" s="18">
        <v>0</v>
      </c>
      <c r="R1735" s="18">
        <v>0</v>
      </c>
      <c r="S1735" s="12">
        <v>0</v>
      </c>
      <c r="T1735" s="27">
        <v>0</v>
      </c>
      <c r="U1735" s="16">
        <v>1</v>
      </c>
      <c r="V1735" s="18">
        <v>2</v>
      </c>
      <c r="W1735" s="18">
        <v>0</v>
      </c>
      <c r="X1735" s="18">
        <v>0</v>
      </c>
      <c r="Y1735" s="12">
        <v>0</v>
      </c>
      <c r="Z1735" s="18">
        <v>0</v>
      </c>
      <c r="AA1735" s="18">
        <v>0</v>
      </c>
      <c r="AB1735" s="18">
        <v>0</v>
      </c>
      <c r="AC1735" s="18">
        <v>0</v>
      </c>
      <c r="AD1735" s="18">
        <v>1</v>
      </c>
      <c r="AE1735" s="18">
        <v>0</v>
      </c>
      <c r="AF1735" s="18">
        <v>18</v>
      </c>
      <c r="AG1735" s="18">
        <v>0</v>
      </c>
      <c r="AH1735" s="18">
        <v>0</v>
      </c>
      <c r="AI1735" s="12">
        <v>2</v>
      </c>
      <c r="AJ1735" s="12">
        <v>0</v>
      </c>
      <c r="AK1735" s="12">
        <v>0</v>
      </c>
      <c r="AL1735" s="12">
        <v>0</v>
      </c>
      <c r="AM1735" s="18">
        <v>0</v>
      </c>
      <c r="AN1735" s="18">
        <v>0</v>
      </c>
      <c r="AO1735" s="18">
        <v>0</v>
      </c>
      <c r="AP1735" s="18">
        <v>0</v>
      </c>
      <c r="AQ1735" s="18">
        <v>1000</v>
      </c>
      <c r="AR1735" s="18">
        <v>0</v>
      </c>
      <c r="AS1735" s="18">
        <v>0</v>
      </c>
      <c r="AT1735" s="12"/>
      <c r="AU1735" s="18" t="s">
        <v>198</v>
      </c>
      <c r="AV1735" s="18"/>
      <c r="AW1735" s="19" t="s">
        <v>199</v>
      </c>
      <c r="AX1735" s="18">
        <v>0</v>
      </c>
      <c r="AY1735" s="18">
        <v>0</v>
      </c>
      <c r="AZ1735" s="18">
        <v>0</v>
      </c>
      <c r="BA1735" s="19" t="s">
        <v>200</v>
      </c>
      <c r="BB1735" s="19" t="s">
        <v>3882</v>
      </c>
      <c r="BC1735" s="27">
        <v>0</v>
      </c>
      <c r="BD1735" s="27">
        <v>1</v>
      </c>
      <c r="BE1735" s="19" t="s">
        <v>3883</v>
      </c>
      <c r="BF1735" s="19" t="s">
        <v>3884</v>
      </c>
      <c r="BG1735" s="18">
        <v>0</v>
      </c>
      <c r="BH1735" s="16">
        <v>0</v>
      </c>
      <c r="BI1735" s="18">
        <v>0</v>
      </c>
      <c r="BJ1735" s="18">
        <v>0</v>
      </c>
      <c r="BK1735" s="18">
        <v>0</v>
      </c>
      <c r="BL1735" s="18">
        <v>0</v>
      </c>
      <c r="BM1735" s="15">
        <v>0</v>
      </c>
      <c r="BN1735" s="12">
        <v>0</v>
      </c>
      <c r="BO1735" s="12">
        <v>0</v>
      </c>
      <c r="BP1735" s="12">
        <v>0</v>
      </c>
      <c r="BQ1735" s="12">
        <v>0</v>
      </c>
      <c r="BR1735" s="12">
        <v>0</v>
      </c>
      <c r="BS1735" s="12">
        <v>0</v>
      </c>
      <c r="BT1735" s="12">
        <v>0</v>
      </c>
      <c r="BU1735" s="47">
        <v>0</v>
      </c>
      <c r="BV1735" s="47"/>
      <c r="BW1735" s="47"/>
    </row>
    <row r="1736" spans="3:75" ht="20.100000000000001" customHeight="1">
      <c r="C1736" s="18">
        <v>69060101</v>
      </c>
      <c r="D1736" s="19" t="s">
        <v>3885</v>
      </c>
      <c r="E1736" s="19" t="s">
        <v>3886</v>
      </c>
      <c r="F1736" s="18">
        <v>1</v>
      </c>
      <c r="G1736" s="18">
        <v>69060100</v>
      </c>
      <c r="H1736" s="18">
        <v>69060102</v>
      </c>
      <c r="I1736" s="27">
        <v>0</v>
      </c>
      <c r="J1736" s="18">
        <v>20</v>
      </c>
      <c r="K1736" s="18">
        <v>1</v>
      </c>
      <c r="L1736" s="18">
        <v>0</v>
      </c>
      <c r="M1736" s="18">
        <v>0</v>
      </c>
      <c r="N1736" s="18">
        <v>0</v>
      </c>
      <c r="O1736" s="18">
        <v>8</v>
      </c>
      <c r="P1736" s="18">
        <v>0</v>
      </c>
      <c r="Q1736" s="18">
        <v>0</v>
      </c>
      <c r="R1736" s="18">
        <v>0</v>
      </c>
      <c r="S1736" s="12">
        <v>0</v>
      </c>
      <c r="T1736" s="27">
        <v>0</v>
      </c>
      <c r="U1736" s="16">
        <v>1</v>
      </c>
      <c r="V1736" s="18">
        <v>2</v>
      </c>
      <c r="W1736" s="18">
        <v>0</v>
      </c>
      <c r="X1736" s="18">
        <v>0</v>
      </c>
      <c r="Y1736" s="12">
        <v>0</v>
      </c>
      <c r="Z1736" s="18">
        <v>0</v>
      </c>
      <c r="AA1736" s="18">
        <v>0</v>
      </c>
      <c r="AB1736" s="18">
        <v>0</v>
      </c>
      <c r="AC1736" s="18">
        <v>0</v>
      </c>
      <c r="AD1736" s="18">
        <v>1</v>
      </c>
      <c r="AE1736" s="18">
        <v>0</v>
      </c>
      <c r="AF1736" s="18">
        <v>18</v>
      </c>
      <c r="AG1736" s="18">
        <v>0</v>
      </c>
      <c r="AH1736" s="18">
        <v>0</v>
      </c>
      <c r="AI1736" s="12">
        <v>2</v>
      </c>
      <c r="AJ1736" s="12">
        <v>0</v>
      </c>
      <c r="AK1736" s="12">
        <v>0</v>
      </c>
      <c r="AL1736" s="12">
        <v>0</v>
      </c>
      <c r="AM1736" s="18">
        <v>0</v>
      </c>
      <c r="AN1736" s="18">
        <v>0</v>
      </c>
      <c r="AO1736" s="18">
        <v>0</v>
      </c>
      <c r="AP1736" s="18">
        <v>0</v>
      </c>
      <c r="AQ1736" s="18">
        <v>1000</v>
      </c>
      <c r="AR1736" s="18">
        <v>0</v>
      </c>
      <c r="AS1736" s="18">
        <v>0</v>
      </c>
      <c r="AT1736" s="12"/>
      <c r="AU1736" s="18" t="s">
        <v>198</v>
      </c>
      <c r="AV1736" s="18"/>
      <c r="AW1736" s="19" t="s">
        <v>199</v>
      </c>
      <c r="AX1736" s="18">
        <v>0</v>
      </c>
      <c r="AY1736" s="18">
        <v>0</v>
      </c>
      <c r="AZ1736" s="18">
        <v>0</v>
      </c>
      <c r="BA1736" s="19" t="s">
        <v>200</v>
      </c>
      <c r="BB1736" s="19" t="s">
        <v>3887</v>
      </c>
      <c r="BC1736" s="27">
        <v>0</v>
      </c>
      <c r="BD1736" s="27">
        <v>1</v>
      </c>
      <c r="BE1736" s="19" t="s">
        <v>3888</v>
      </c>
      <c r="BF1736" s="19" t="s">
        <v>3889</v>
      </c>
      <c r="BG1736" s="18">
        <v>0</v>
      </c>
      <c r="BH1736" s="16">
        <v>0</v>
      </c>
      <c r="BI1736" s="18">
        <v>0</v>
      </c>
      <c r="BJ1736" s="18">
        <v>0</v>
      </c>
      <c r="BK1736" s="18">
        <v>0</v>
      </c>
      <c r="BL1736" s="18">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18">
        <v>69060102</v>
      </c>
      <c r="D1737" s="19" t="s">
        <v>3890</v>
      </c>
      <c r="E1737" s="19" t="s">
        <v>3891</v>
      </c>
      <c r="F1737" s="18">
        <v>2</v>
      </c>
      <c r="G1737" s="18">
        <v>69060100</v>
      </c>
      <c r="H1737" s="18">
        <v>69060103</v>
      </c>
      <c r="I1737" s="27">
        <v>0</v>
      </c>
      <c r="J1737" s="18">
        <v>20</v>
      </c>
      <c r="K1737" s="18">
        <v>1</v>
      </c>
      <c r="L1737" s="18">
        <v>0</v>
      </c>
      <c r="M1737" s="18">
        <v>0</v>
      </c>
      <c r="N1737" s="18">
        <v>0</v>
      </c>
      <c r="O1737" s="18">
        <v>8</v>
      </c>
      <c r="P1737" s="18">
        <v>0</v>
      </c>
      <c r="Q1737" s="18">
        <v>0</v>
      </c>
      <c r="R1737" s="18">
        <v>0</v>
      </c>
      <c r="S1737" s="12">
        <v>0</v>
      </c>
      <c r="T1737" s="27">
        <v>0</v>
      </c>
      <c r="U1737" s="16">
        <v>1</v>
      </c>
      <c r="V1737" s="18">
        <v>2</v>
      </c>
      <c r="W1737" s="18">
        <v>0</v>
      </c>
      <c r="X1737" s="18">
        <v>0</v>
      </c>
      <c r="Y1737" s="12">
        <v>0</v>
      </c>
      <c r="Z1737" s="18">
        <v>0</v>
      </c>
      <c r="AA1737" s="18">
        <v>0</v>
      </c>
      <c r="AB1737" s="18">
        <v>0</v>
      </c>
      <c r="AC1737" s="18">
        <v>0</v>
      </c>
      <c r="AD1737" s="18">
        <v>1</v>
      </c>
      <c r="AE1737" s="18">
        <v>0</v>
      </c>
      <c r="AF1737" s="18">
        <v>18</v>
      </c>
      <c r="AG1737" s="18">
        <v>0</v>
      </c>
      <c r="AH1737" s="18">
        <v>0</v>
      </c>
      <c r="AI1737" s="12">
        <v>2</v>
      </c>
      <c r="AJ1737" s="12">
        <v>0</v>
      </c>
      <c r="AK1737" s="12">
        <v>0</v>
      </c>
      <c r="AL1737" s="12">
        <v>0</v>
      </c>
      <c r="AM1737" s="18">
        <v>0</v>
      </c>
      <c r="AN1737" s="18">
        <v>0</v>
      </c>
      <c r="AO1737" s="18">
        <v>0</v>
      </c>
      <c r="AP1737" s="18">
        <v>0</v>
      </c>
      <c r="AQ1737" s="18">
        <v>1000</v>
      </c>
      <c r="AR1737" s="18">
        <v>0</v>
      </c>
      <c r="AS1737" s="18">
        <v>0</v>
      </c>
      <c r="AT1737" s="12"/>
      <c r="AU1737" s="18" t="s">
        <v>198</v>
      </c>
      <c r="AV1737" s="18"/>
      <c r="AW1737" s="19" t="s">
        <v>199</v>
      </c>
      <c r="AX1737" s="18">
        <v>0</v>
      </c>
      <c r="AY1737" s="18">
        <v>0</v>
      </c>
      <c r="AZ1737" s="18">
        <v>0</v>
      </c>
      <c r="BA1737" s="19" t="s">
        <v>200</v>
      </c>
      <c r="BB1737" s="19" t="s">
        <v>3892</v>
      </c>
      <c r="BC1737" s="27">
        <v>0</v>
      </c>
      <c r="BD1737" s="27">
        <v>1</v>
      </c>
      <c r="BE1737" s="19" t="s">
        <v>3893</v>
      </c>
      <c r="BF1737" s="19" t="s">
        <v>3894</v>
      </c>
      <c r="BG1737" s="18">
        <v>0</v>
      </c>
      <c r="BH1737" s="16">
        <v>0</v>
      </c>
      <c r="BI1737" s="18">
        <v>0</v>
      </c>
      <c r="BJ1737" s="18">
        <v>0</v>
      </c>
      <c r="BK1737" s="18">
        <v>0</v>
      </c>
      <c r="BL1737" s="18">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18">
        <v>69060103</v>
      </c>
      <c r="D1738" s="19" t="s">
        <v>3895</v>
      </c>
      <c r="E1738" s="19" t="s">
        <v>3896</v>
      </c>
      <c r="F1738" s="18">
        <v>3</v>
      </c>
      <c r="G1738" s="18">
        <v>69060100</v>
      </c>
      <c r="H1738" s="18">
        <v>69060104</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3897</v>
      </c>
      <c r="BC1738" s="27">
        <v>0</v>
      </c>
      <c r="BD1738" s="27">
        <v>1</v>
      </c>
      <c r="BE1738" s="19" t="s">
        <v>3898</v>
      </c>
      <c r="BF1738" s="19" t="s">
        <v>3899</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69060104</v>
      </c>
      <c r="D1739" s="19" t="s">
        <v>3900</v>
      </c>
      <c r="E1739" s="19" t="s">
        <v>3901</v>
      </c>
      <c r="F1739" s="18">
        <v>4</v>
      </c>
      <c r="G1739" s="18">
        <v>69060100</v>
      </c>
      <c r="H1739" s="18">
        <v>69060105</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3902</v>
      </c>
      <c r="BC1739" s="27">
        <v>0</v>
      </c>
      <c r="BD1739" s="27">
        <v>1</v>
      </c>
      <c r="BE1739" s="19" t="s">
        <v>3903</v>
      </c>
      <c r="BF1739" s="19" t="s">
        <v>3904</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69060105</v>
      </c>
      <c r="D1740" s="19" t="s">
        <v>3905</v>
      </c>
      <c r="E1740" s="19" t="s">
        <v>3906</v>
      </c>
      <c r="F1740" s="18">
        <v>5</v>
      </c>
      <c r="G1740" s="18">
        <v>69060100</v>
      </c>
      <c r="H1740" s="18">
        <v>69060106</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3907</v>
      </c>
      <c r="BC1740" s="27">
        <v>0</v>
      </c>
      <c r="BD1740" s="27">
        <v>1</v>
      </c>
      <c r="BE1740" s="19" t="s">
        <v>3908</v>
      </c>
      <c r="BF1740" s="19" t="s">
        <v>3909</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69060106</v>
      </c>
      <c r="D1741" s="19" t="s">
        <v>3910</v>
      </c>
      <c r="E1741" s="19" t="s">
        <v>3911</v>
      </c>
      <c r="F1741" s="18">
        <v>6</v>
      </c>
      <c r="G1741" s="18">
        <v>69060100</v>
      </c>
      <c r="H1741" s="18">
        <v>69060107</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3912</v>
      </c>
      <c r="BC1741" s="27">
        <v>0</v>
      </c>
      <c r="BD1741" s="27">
        <v>1</v>
      </c>
      <c r="BE1741" s="19" t="s">
        <v>3913</v>
      </c>
      <c r="BF1741" s="19" t="s">
        <v>3914</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69060107</v>
      </c>
      <c r="D1742" s="19" t="s">
        <v>3915</v>
      </c>
      <c r="E1742" s="19" t="s">
        <v>3916</v>
      </c>
      <c r="F1742" s="18">
        <v>7</v>
      </c>
      <c r="G1742" s="18">
        <v>69060100</v>
      </c>
      <c r="H1742" s="18">
        <v>69060108</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3917</v>
      </c>
      <c r="BC1742" s="27">
        <v>0</v>
      </c>
      <c r="BD1742" s="27">
        <v>1</v>
      </c>
      <c r="BE1742" s="19" t="s">
        <v>3918</v>
      </c>
      <c r="BF1742" s="19" t="s">
        <v>3919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69060108</v>
      </c>
      <c r="D1743" s="19" t="s">
        <v>3920</v>
      </c>
      <c r="E1743" s="19" t="s">
        <v>3921</v>
      </c>
      <c r="F1743" s="18">
        <v>8</v>
      </c>
      <c r="G1743" s="18">
        <v>69060100</v>
      </c>
      <c r="H1743" s="18">
        <v>69060109</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3922</v>
      </c>
      <c r="BC1743" s="27">
        <v>0</v>
      </c>
      <c r="BD1743" s="27">
        <v>1</v>
      </c>
      <c r="BE1743" s="19" t="s">
        <v>3923</v>
      </c>
      <c r="BF1743" s="19" t="s">
        <v>3924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69060109</v>
      </c>
      <c r="D1744" s="19" t="s">
        <v>3925</v>
      </c>
      <c r="E1744" s="19" t="s">
        <v>3926</v>
      </c>
      <c r="F1744" s="18">
        <v>9</v>
      </c>
      <c r="G1744" s="18">
        <v>69060100</v>
      </c>
      <c r="H1744" s="18">
        <v>69060110</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3927</v>
      </c>
      <c r="BC1744" s="27">
        <v>0</v>
      </c>
      <c r="BD1744" s="27">
        <v>1</v>
      </c>
      <c r="BE1744" s="19" t="s">
        <v>3928</v>
      </c>
      <c r="BF1744" s="19" t="s">
        <v>3929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69060110</v>
      </c>
      <c r="D1745" s="19" t="s">
        <v>3930</v>
      </c>
      <c r="E1745" s="19" t="s">
        <v>3931</v>
      </c>
      <c r="F1745" s="18">
        <v>10</v>
      </c>
      <c r="G1745" s="18">
        <v>69060100</v>
      </c>
      <c r="H1745" s="18">
        <v>0</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3932</v>
      </c>
      <c r="BC1745" s="27">
        <v>0</v>
      </c>
      <c r="BD1745" s="27">
        <v>1</v>
      </c>
      <c r="BE1745" s="19" t="s">
        <v>3933</v>
      </c>
      <c r="BF1745" s="19" t="s">
        <v>3934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69060200</v>
      </c>
      <c r="D1746" s="19" t="s">
        <v>3935</v>
      </c>
      <c r="E1746" s="19" t="s">
        <v>3936</v>
      </c>
      <c r="F1746" s="18">
        <v>0</v>
      </c>
      <c r="G1746" s="18">
        <v>69060200</v>
      </c>
      <c r="H1746" s="18">
        <f>C1747</f>
        <v>69060201</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3937</v>
      </c>
      <c r="BC1746" s="27">
        <v>0</v>
      </c>
      <c r="BD1746" s="27">
        <v>1</v>
      </c>
      <c r="BE1746" s="19" t="s">
        <v>3883</v>
      </c>
      <c r="BF1746" s="19" t="s">
        <v>3884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69060201</v>
      </c>
      <c r="D1747" s="19" t="s">
        <v>3938</v>
      </c>
      <c r="E1747" s="19" t="s">
        <v>3939</v>
      </c>
      <c r="F1747" s="18">
        <v>1</v>
      </c>
      <c r="G1747" s="18">
        <v>69060200</v>
      </c>
      <c r="H1747" s="18">
        <f t="shared" ref="H1747:H1755" si="148">C1748</f>
        <v>69060202</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3940</v>
      </c>
      <c r="BC1747" s="27">
        <v>0</v>
      </c>
      <c r="BD1747" s="27">
        <v>1</v>
      </c>
      <c r="BE1747" s="19" t="s">
        <v>3941</v>
      </c>
      <c r="BF1747" s="19" t="s">
        <v>3942</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69060202</v>
      </c>
      <c r="D1748" s="19" t="s">
        <v>3943</v>
      </c>
      <c r="E1748" s="19" t="s">
        <v>3944</v>
      </c>
      <c r="F1748" s="18">
        <v>2</v>
      </c>
      <c r="G1748" s="18">
        <v>69060200</v>
      </c>
      <c r="H1748" s="18">
        <f t="shared" si="148"/>
        <v>69060203</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3945</v>
      </c>
      <c r="BC1748" s="27">
        <v>0</v>
      </c>
      <c r="BD1748" s="27">
        <v>1</v>
      </c>
      <c r="BE1748" s="19" t="s">
        <v>3946</v>
      </c>
      <c r="BF1748" s="19" t="s">
        <v>3947</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69060203</v>
      </c>
      <c r="D1749" s="19" t="s">
        <v>3948</v>
      </c>
      <c r="E1749" s="19" t="s">
        <v>3949</v>
      </c>
      <c r="F1749" s="18">
        <v>3</v>
      </c>
      <c r="G1749" s="18">
        <v>69060200</v>
      </c>
      <c r="H1749" s="18">
        <f t="shared" si="148"/>
        <v>69060204</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3950</v>
      </c>
      <c r="BC1749" s="27">
        <v>0</v>
      </c>
      <c r="BD1749" s="27">
        <v>1</v>
      </c>
      <c r="BE1749" s="19" t="s">
        <v>3951</v>
      </c>
      <c r="BF1749" s="19" t="s">
        <v>3952</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69060204</v>
      </c>
      <c r="D1750" s="19" t="s">
        <v>3953</v>
      </c>
      <c r="E1750" s="19" t="s">
        <v>3954</v>
      </c>
      <c r="F1750" s="18">
        <v>4</v>
      </c>
      <c r="G1750" s="18">
        <v>69060200</v>
      </c>
      <c r="H1750" s="18">
        <f t="shared" si="148"/>
        <v>69060205</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3955</v>
      </c>
      <c r="BC1750" s="27">
        <v>0</v>
      </c>
      <c r="BD1750" s="27">
        <v>1</v>
      </c>
      <c r="BE1750" s="19" t="s">
        <v>3956</v>
      </c>
      <c r="BF1750" s="19" t="s">
        <v>3957</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69060205</v>
      </c>
      <c r="D1751" s="19" t="s">
        <v>3958</v>
      </c>
      <c r="E1751" s="19" t="s">
        <v>3959</v>
      </c>
      <c r="F1751" s="18">
        <v>5</v>
      </c>
      <c r="G1751" s="18">
        <v>69060200</v>
      </c>
      <c r="H1751" s="18">
        <f t="shared" si="148"/>
        <v>69060206</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3960</v>
      </c>
      <c r="BC1751" s="27">
        <v>0</v>
      </c>
      <c r="BD1751" s="27">
        <v>1</v>
      </c>
      <c r="BE1751" s="19" t="s">
        <v>3961</v>
      </c>
      <c r="BF1751" s="19" t="s">
        <v>3962</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69060206</v>
      </c>
      <c r="D1752" s="19" t="s">
        <v>3963</v>
      </c>
      <c r="E1752" s="19" t="s">
        <v>3964</v>
      </c>
      <c r="F1752" s="18">
        <v>6</v>
      </c>
      <c r="G1752" s="18">
        <v>69060200</v>
      </c>
      <c r="H1752" s="18">
        <f t="shared" si="148"/>
        <v>69060207</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3965</v>
      </c>
      <c r="BC1752" s="27">
        <v>0</v>
      </c>
      <c r="BD1752" s="27">
        <v>1</v>
      </c>
      <c r="BE1752" s="19" t="s">
        <v>3966</v>
      </c>
      <c r="BF1752" s="19" t="s">
        <v>3967</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69060207</v>
      </c>
      <c r="D1753" s="19" t="s">
        <v>3968</v>
      </c>
      <c r="E1753" s="19" t="s">
        <v>3969</v>
      </c>
      <c r="F1753" s="18">
        <v>7</v>
      </c>
      <c r="G1753" s="18">
        <v>69060200</v>
      </c>
      <c r="H1753" s="18">
        <f t="shared" si="148"/>
        <v>69060208</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3970</v>
      </c>
      <c r="BC1753" s="27">
        <v>0</v>
      </c>
      <c r="BD1753" s="27">
        <v>1</v>
      </c>
      <c r="BE1753" s="19" t="s">
        <v>3971</v>
      </c>
      <c r="BF1753" s="19" t="s">
        <v>3972</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69060208</v>
      </c>
      <c r="D1754" s="19" t="s">
        <v>3973</v>
      </c>
      <c r="E1754" s="19" t="s">
        <v>3974</v>
      </c>
      <c r="F1754" s="18">
        <v>8</v>
      </c>
      <c r="G1754" s="18">
        <v>69060200</v>
      </c>
      <c r="H1754" s="18">
        <f t="shared" si="148"/>
        <v>69060209</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3975</v>
      </c>
      <c r="BC1754" s="27">
        <v>0</v>
      </c>
      <c r="BD1754" s="27">
        <v>1</v>
      </c>
      <c r="BE1754" s="19" t="s">
        <v>3976</v>
      </c>
      <c r="BF1754" s="19" t="s">
        <v>3977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69060209</v>
      </c>
      <c r="D1755" s="19" t="s">
        <v>3978</v>
      </c>
      <c r="E1755" s="19" t="s">
        <v>3979</v>
      </c>
      <c r="F1755" s="18">
        <v>9</v>
      </c>
      <c r="G1755" s="18">
        <v>69060200</v>
      </c>
      <c r="H1755" s="18">
        <f t="shared" si="148"/>
        <v>69060210</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3980</v>
      </c>
      <c r="BC1755" s="27">
        <v>0</v>
      </c>
      <c r="BD1755" s="27">
        <v>1</v>
      </c>
      <c r="BE1755" s="19" t="s">
        <v>3981</v>
      </c>
      <c r="BF1755" s="19" t="s">
        <v>3982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69060210</v>
      </c>
      <c r="D1756" s="19" t="s">
        <v>3983</v>
      </c>
      <c r="E1756" s="19" t="s">
        <v>3984</v>
      </c>
      <c r="F1756" s="18">
        <v>10</v>
      </c>
      <c r="G1756" s="18">
        <v>69060200</v>
      </c>
      <c r="H1756" s="18">
        <v>0</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3985</v>
      </c>
      <c r="BC1756" s="27">
        <v>0</v>
      </c>
      <c r="BD1756" s="27">
        <v>1</v>
      </c>
      <c r="BE1756" s="19" t="s">
        <v>3986</v>
      </c>
      <c r="BF1756" s="19" t="s">
        <v>3987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69060300</v>
      </c>
      <c r="D1757" s="19" t="s">
        <v>3988</v>
      </c>
      <c r="E1757" s="19" t="s">
        <v>3989</v>
      </c>
      <c r="F1757" s="18">
        <v>0</v>
      </c>
      <c r="G1757" s="18">
        <v>69060300</v>
      </c>
      <c r="H1757" s="18">
        <f>C1758</f>
        <v>69060301</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3990</v>
      </c>
      <c r="BC1757" s="27">
        <v>0</v>
      </c>
      <c r="BD1757" s="27">
        <v>1</v>
      </c>
      <c r="BE1757" s="19" t="s">
        <v>3883</v>
      </c>
      <c r="BF1757" s="19" t="s">
        <v>3884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69060301</v>
      </c>
      <c r="D1758" s="19" t="s">
        <v>3991</v>
      </c>
      <c r="E1758" s="19" t="s">
        <v>3992</v>
      </c>
      <c r="F1758" s="18">
        <v>1</v>
      </c>
      <c r="G1758" s="18">
        <v>69060300</v>
      </c>
      <c r="H1758" s="18">
        <f t="shared" ref="H1758:H1766" si="149">C1759</f>
        <v>69060302</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3993</v>
      </c>
      <c r="BC1758" s="27">
        <v>0</v>
      </c>
      <c r="BD1758" s="27">
        <v>1</v>
      </c>
      <c r="BE1758" s="19" t="s">
        <v>3994</v>
      </c>
      <c r="BF1758" s="19" t="s">
        <v>3995</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69060302</v>
      </c>
      <c r="D1759" s="19" t="s">
        <v>3996</v>
      </c>
      <c r="E1759" s="19" t="s">
        <v>3997</v>
      </c>
      <c r="F1759" s="18">
        <v>2</v>
      </c>
      <c r="G1759" s="18">
        <v>69060300</v>
      </c>
      <c r="H1759" s="18">
        <f t="shared" si="149"/>
        <v>69060303</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3998</v>
      </c>
      <c r="BC1759" s="27">
        <v>0</v>
      </c>
      <c r="BD1759" s="27">
        <v>1</v>
      </c>
      <c r="BE1759" s="19" t="s">
        <v>3999</v>
      </c>
      <c r="BF1759" s="19" t="s">
        <v>4000</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69060303</v>
      </c>
      <c r="D1760" s="19" t="s">
        <v>4001</v>
      </c>
      <c r="E1760" s="19" t="s">
        <v>4002</v>
      </c>
      <c r="F1760" s="18">
        <v>3</v>
      </c>
      <c r="G1760" s="18">
        <v>69060300</v>
      </c>
      <c r="H1760" s="18">
        <f t="shared" si="149"/>
        <v>69060304</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4003</v>
      </c>
      <c r="BC1760" s="27">
        <v>0</v>
      </c>
      <c r="BD1760" s="27">
        <v>1</v>
      </c>
      <c r="BE1760" s="19" t="s">
        <v>4004</v>
      </c>
      <c r="BF1760" s="19" t="s">
        <v>4005</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69060304</v>
      </c>
      <c r="D1761" s="19" t="s">
        <v>4006</v>
      </c>
      <c r="E1761" s="19" t="s">
        <v>4007</v>
      </c>
      <c r="F1761" s="18">
        <v>4</v>
      </c>
      <c r="G1761" s="18">
        <v>69060300</v>
      </c>
      <c r="H1761" s="18">
        <f t="shared" si="149"/>
        <v>69060305</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4008</v>
      </c>
      <c r="BC1761" s="27">
        <v>0</v>
      </c>
      <c r="BD1761" s="27">
        <v>1</v>
      </c>
      <c r="BE1761" s="19" t="s">
        <v>4009</v>
      </c>
      <c r="BF1761" s="19" t="s">
        <v>4010</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69060305</v>
      </c>
      <c r="D1762" s="19" t="s">
        <v>4011</v>
      </c>
      <c r="E1762" s="19" t="s">
        <v>4012</v>
      </c>
      <c r="F1762" s="18">
        <v>5</v>
      </c>
      <c r="G1762" s="18">
        <v>69060300</v>
      </c>
      <c r="H1762" s="18">
        <f t="shared" si="149"/>
        <v>69060306</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4013</v>
      </c>
      <c r="BC1762" s="27">
        <v>0</v>
      </c>
      <c r="BD1762" s="27">
        <v>1</v>
      </c>
      <c r="BE1762" s="19" t="s">
        <v>4014</v>
      </c>
      <c r="BF1762" s="19" t="s">
        <v>4015</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69060306</v>
      </c>
      <c r="D1763" s="19" t="s">
        <v>4016</v>
      </c>
      <c r="E1763" s="19" t="s">
        <v>4017</v>
      </c>
      <c r="F1763" s="18">
        <v>6</v>
      </c>
      <c r="G1763" s="18">
        <v>69060300</v>
      </c>
      <c r="H1763" s="18">
        <f t="shared" si="149"/>
        <v>69060307</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4018</v>
      </c>
      <c r="BC1763" s="27">
        <v>0</v>
      </c>
      <c r="BD1763" s="27">
        <v>1</v>
      </c>
      <c r="BE1763" s="19" t="s">
        <v>4019</v>
      </c>
      <c r="BF1763" s="19" t="s">
        <v>4020</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69060307</v>
      </c>
      <c r="D1764" s="19" t="s">
        <v>4021</v>
      </c>
      <c r="E1764" s="19" t="s">
        <v>4022</v>
      </c>
      <c r="F1764" s="18">
        <v>7</v>
      </c>
      <c r="G1764" s="18">
        <v>69060300</v>
      </c>
      <c r="H1764" s="18">
        <f t="shared" si="149"/>
        <v>69060308</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4023</v>
      </c>
      <c r="BC1764" s="27">
        <v>0</v>
      </c>
      <c r="BD1764" s="27">
        <v>1</v>
      </c>
      <c r="BE1764" s="19" t="s">
        <v>4024</v>
      </c>
      <c r="BF1764" s="19" t="s">
        <v>4025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69060308</v>
      </c>
      <c r="D1765" s="19" t="s">
        <v>4026</v>
      </c>
      <c r="E1765" s="19" t="s">
        <v>4027</v>
      </c>
      <c r="F1765" s="18">
        <v>8</v>
      </c>
      <c r="G1765" s="18">
        <v>69060300</v>
      </c>
      <c r="H1765" s="18">
        <f t="shared" si="149"/>
        <v>69060309</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4028</v>
      </c>
      <c r="BC1765" s="27">
        <v>0</v>
      </c>
      <c r="BD1765" s="27">
        <v>1</v>
      </c>
      <c r="BE1765" s="19" t="s">
        <v>4029</v>
      </c>
      <c r="BF1765" s="19" t="s">
        <v>4030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69060309</v>
      </c>
      <c r="D1766" s="19" t="s">
        <v>4031</v>
      </c>
      <c r="E1766" s="19" t="s">
        <v>4032</v>
      </c>
      <c r="F1766" s="18">
        <v>9</v>
      </c>
      <c r="G1766" s="18">
        <v>69060300</v>
      </c>
      <c r="H1766" s="18">
        <f t="shared" si="149"/>
        <v>69060310</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4033</v>
      </c>
      <c r="BC1766" s="27">
        <v>0</v>
      </c>
      <c r="BD1766" s="27">
        <v>1</v>
      </c>
      <c r="BE1766" s="19" t="s">
        <v>4034</v>
      </c>
      <c r="BF1766" s="19" t="s">
        <v>4035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69060310</v>
      </c>
      <c r="D1767" s="19" t="s">
        <v>4036</v>
      </c>
      <c r="E1767" s="19" t="s">
        <v>4037</v>
      </c>
      <c r="F1767" s="18">
        <v>10</v>
      </c>
      <c r="G1767" s="18">
        <v>69060300</v>
      </c>
      <c r="H1767" s="18">
        <v>0</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4038</v>
      </c>
      <c r="BC1767" s="27">
        <v>0</v>
      </c>
      <c r="BD1767" s="27">
        <v>1</v>
      </c>
      <c r="BE1767" s="19" t="s">
        <v>4039</v>
      </c>
      <c r="BF1767" s="19" t="s">
        <v>4040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69060400</v>
      </c>
      <c r="D1768" s="19" t="s">
        <v>4041</v>
      </c>
      <c r="E1768" s="19" t="s">
        <v>4042</v>
      </c>
      <c r="F1768" s="18">
        <v>0</v>
      </c>
      <c r="G1768" s="18">
        <v>69060400</v>
      </c>
      <c r="H1768" s="18">
        <f>C1769</f>
        <v>69060401</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4043</v>
      </c>
      <c r="BC1768" s="27">
        <v>0</v>
      </c>
      <c r="BD1768" s="27">
        <v>1</v>
      </c>
      <c r="BE1768" s="19" t="s">
        <v>3883</v>
      </c>
      <c r="BF1768" s="19" t="s">
        <v>3884</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69060401</v>
      </c>
      <c r="D1769" s="19" t="s">
        <v>4044</v>
      </c>
      <c r="E1769" s="19" t="s">
        <v>4045</v>
      </c>
      <c r="F1769" s="18">
        <v>1</v>
      </c>
      <c r="G1769" s="18">
        <v>69060400</v>
      </c>
      <c r="H1769" s="18">
        <f t="shared" ref="H1769:H1777" si="150">C1770</f>
        <v>69060402</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4046</v>
      </c>
      <c r="BC1769" s="27">
        <v>0</v>
      </c>
      <c r="BD1769" s="27">
        <v>1</v>
      </c>
      <c r="BE1769" s="19" t="s">
        <v>4047</v>
      </c>
      <c r="BF1769" s="19" t="s">
        <v>4048</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69060402</v>
      </c>
      <c r="D1770" s="19" t="s">
        <v>4049</v>
      </c>
      <c r="E1770" s="19" t="s">
        <v>4050</v>
      </c>
      <c r="F1770" s="18">
        <v>2</v>
      </c>
      <c r="G1770" s="18">
        <v>69060400</v>
      </c>
      <c r="H1770" s="18">
        <f t="shared" si="150"/>
        <v>69060403</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4051</v>
      </c>
      <c r="BC1770" s="27">
        <v>0</v>
      </c>
      <c r="BD1770" s="27">
        <v>1</v>
      </c>
      <c r="BE1770" s="19" t="s">
        <v>4052</v>
      </c>
      <c r="BF1770" s="19" t="s">
        <v>4053</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69060403</v>
      </c>
      <c r="D1771" s="19" t="s">
        <v>4054</v>
      </c>
      <c r="E1771" s="19" t="s">
        <v>4055</v>
      </c>
      <c r="F1771" s="18">
        <v>3</v>
      </c>
      <c r="G1771" s="18">
        <v>69060400</v>
      </c>
      <c r="H1771" s="18">
        <f t="shared" si="150"/>
        <v>69060404</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4056</v>
      </c>
      <c r="BC1771" s="27">
        <v>0</v>
      </c>
      <c r="BD1771" s="27">
        <v>1</v>
      </c>
      <c r="BE1771" s="19" t="s">
        <v>4057</v>
      </c>
      <c r="BF1771" s="19" t="s">
        <v>4058</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69060404</v>
      </c>
      <c r="D1772" s="19" t="s">
        <v>4059</v>
      </c>
      <c r="E1772" s="19" t="s">
        <v>4060</v>
      </c>
      <c r="F1772" s="18">
        <v>4</v>
      </c>
      <c r="G1772" s="18">
        <v>69060400</v>
      </c>
      <c r="H1772" s="18">
        <f t="shared" si="150"/>
        <v>69060405</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4061</v>
      </c>
      <c r="BC1772" s="27">
        <v>0</v>
      </c>
      <c r="BD1772" s="27">
        <v>1</v>
      </c>
      <c r="BE1772" s="19" t="s">
        <v>4062</v>
      </c>
      <c r="BF1772" s="19" t="s">
        <v>4063</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69060405</v>
      </c>
      <c r="D1773" s="19" t="s">
        <v>4064</v>
      </c>
      <c r="E1773" s="19" t="s">
        <v>4065</v>
      </c>
      <c r="F1773" s="18">
        <v>5</v>
      </c>
      <c r="G1773" s="18">
        <v>69060400</v>
      </c>
      <c r="H1773" s="18">
        <f t="shared" si="150"/>
        <v>69060406</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4066</v>
      </c>
      <c r="BC1773" s="27">
        <v>0</v>
      </c>
      <c r="BD1773" s="27">
        <v>1</v>
      </c>
      <c r="BE1773" s="19" t="s">
        <v>4067</v>
      </c>
      <c r="BF1773" s="19" t="s">
        <v>4068</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69060406</v>
      </c>
      <c r="D1774" s="19" t="s">
        <v>4069</v>
      </c>
      <c r="E1774" s="19" t="s">
        <v>4070</v>
      </c>
      <c r="F1774" s="18">
        <v>6</v>
      </c>
      <c r="G1774" s="18">
        <v>69060400</v>
      </c>
      <c r="H1774" s="18">
        <f t="shared" si="150"/>
        <v>69060407</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4071</v>
      </c>
      <c r="BC1774" s="27">
        <v>0</v>
      </c>
      <c r="BD1774" s="27">
        <v>1</v>
      </c>
      <c r="BE1774" s="19" t="s">
        <v>4072</v>
      </c>
      <c r="BF1774" s="19" t="s">
        <v>4073</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69060407</v>
      </c>
      <c r="D1775" s="19" t="s">
        <v>4074</v>
      </c>
      <c r="E1775" s="19" t="s">
        <v>4075</v>
      </c>
      <c r="F1775" s="18">
        <v>7</v>
      </c>
      <c r="G1775" s="18">
        <v>69060400</v>
      </c>
      <c r="H1775" s="18">
        <f t="shared" si="150"/>
        <v>69060408</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4076</v>
      </c>
      <c r="BC1775" s="27">
        <v>0</v>
      </c>
      <c r="BD1775" s="27">
        <v>1</v>
      </c>
      <c r="BE1775" s="19" t="s">
        <v>4077</v>
      </c>
      <c r="BF1775" s="19" t="s">
        <v>4078</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69060408</v>
      </c>
      <c r="D1776" s="19" t="s">
        <v>4079</v>
      </c>
      <c r="E1776" s="19" t="s">
        <v>4080</v>
      </c>
      <c r="F1776" s="18">
        <v>8</v>
      </c>
      <c r="G1776" s="18">
        <v>69060400</v>
      </c>
      <c r="H1776" s="18">
        <f t="shared" si="150"/>
        <v>69060409</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4081</v>
      </c>
      <c r="BC1776" s="27">
        <v>0</v>
      </c>
      <c r="BD1776" s="27">
        <v>1</v>
      </c>
      <c r="BE1776" s="19" t="s">
        <v>4082</v>
      </c>
      <c r="BF1776" s="19" t="s">
        <v>4083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69060409</v>
      </c>
      <c r="D1777" s="19" t="s">
        <v>4084</v>
      </c>
      <c r="E1777" s="19" t="s">
        <v>4085</v>
      </c>
      <c r="F1777" s="18">
        <v>9</v>
      </c>
      <c r="G1777" s="18">
        <v>69060400</v>
      </c>
      <c r="H1777" s="18">
        <f t="shared" si="150"/>
        <v>69060410</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4086</v>
      </c>
      <c r="BC1777" s="27">
        <v>0</v>
      </c>
      <c r="BD1777" s="27">
        <v>1</v>
      </c>
      <c r="BE1777" s="19" t="s">
        <v>4087</v>
      </c>
      <c r="BF1777" s="19" t="s">
        <v>4088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69060410</v>
      </c>
      <c r="D1778" s="19" t="s">
        <v>4089</v>
      </c>
      <c r="E1778" s="19" t="s">
        <v>4090</v>
      </c>
      <c r="F1778" s="18">
        <v>10</v>
      </c>
      <c r="G1778" s="18">
        <v>69060400</v>
      </c>
      <c r="H1778" s="18">
        <v>0</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4091</v>
      </c>
      <c r="BC1778" s="27">
        <v>0</v>
      </c>
      <c r="BD1778" s="27">
        <v>1</v>
      </c>
      <c r="BE1778" s="19" t="s">
        <v>4092</v>
      </c>
      <c r="BF1778" s="19" t="s">
        <v>4093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69060500</v>
      </c>
      <c r="D1779" s="19" t="s">
        <v>4094</v>
      </c>
      <c r="E1779" s="19" t="s">
        <v>4095</v>
      </c>
      <c r="F1779" s="18">
        <v>0</v>
      </c>
      <c r="G1779" s="18">
        <v>69060500</v>
      </c>
      <c r="H1779" s="18">
        <f>C1780</f>
        <v>69060501</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4096</v>
      </c>
      <c r="BC1779" s="27">
        <v>0</v>
      </c>
      <c r="BD1779" s="27">
        <v>1</v>
      </c>
      <c r="BE1779" s="19" t="s">
        <v>3883</v>
      </c>
      <c r="BF1779" s="19" t="s">
        <v>3884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69060501</v>
      </c>
      <c r="D1780" s="19" t="s">
        <v>4097</v>
      </c>
      <c r="E1780" s="19" t="s">
        <v>4098</v>
      </c>
      <c r="F1780" s="18">
        <v>1</v>
      </c>
      <c r="G1780" s="18">
        <v>69060500</v>
      </c>
      <c r="H1780" s="18">
        <f t="shared" ref="H1780:H1788" si="151">C1781</f>
        <v>69060502</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4099</v>
      </c>
      <c r="BC1780" s="27">
        <v>0</v>
      </c>
      <c r="BD1780" s="27">
        <v>1</v>
      </c>
      <c r="BE1780" s="19" t="s">
        <v>4100</v>
      </c>
      <c r="BF1780" s="19" t="s">
        <v>4101</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69060502</v>
      </c>
      <c r="D1781" s="19" t="s">
        <v>4102</v>
      </c>
      <c r="E1781" s="19" t="s">
        <v>4103</v>
      </c>
      <c r="F1781" s="18">
        <v>2</v>
      </c>
      <c r="G1781" s="18">
        <v>69060500</v>
      </c>
      <c r="H1781" s="18">
        <f t="shared" si="151"/>
        <v>69060503</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4104</v>
      </c>
      <c r="BC1781" s="27">
        <v>0</v>
      </c>
      <c r="BD1781" s="27">
        <v>1</v>
      </c>
      <c r="BE1781" s="19" t="s">
        <v>4105</v>
      </c>
      <c r="BF1781" s="19" t="s">
        <v>4106</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69060503</v>
      </c>
      <c r="D1782" s="19" t="s">
        <v>4107</v>
      </c>
      <c r="E1782" s="19" t="s">
        <v>4108</v>
      </c>
      <c r="F1782" s="18">
        <v>3</v>
      </c>
      <c r="G1782" s="18">
        <v>69060500</v>
      </c>
      <c r="H1782" s="18">
        <f t="shared" si="151"/>
        <v>69060504</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4109</v>
      </c>
      <c r="BC1782" s="27">
        <v>0</v>
      </c>
      <c r="BD1782" s="27">
        <v>1</v>
      </c>
      <c r="BE1782" s="19" t="s">
        <v>4110</v>
      </c>
      <c r="BF1782" s="19" t="s">
        <v>4111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69060504</v>
      </c>
      <c r="D1783" s="19" t="s">
        <v>4112</v>
      </c>
      <c r="E1783" s="19" t="s">
        <v>4113</v>
      </c>
      <c r="F1783" s="18">
        <v>4</v>
      </c>
      <c r="G1783" s="18">
        <v>69060500</v>
      </c>
      <c r="H1783" s="18">
        <f t="shared" si="151"/>
        <v>69060505</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4114</v>
      </c>
      <c r="BC1783" s="27">
        <v>0</v>
      </c>
      <c r="BD1783" s="27">
        <v>1</v>
      </c>
      <c r="BE1783" s="19" t="s">
        <v>4115</v>
      </c>
      <c r="BF1783" s="19" t="s">
        <v>4116</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69060505</v>
      </c>
      <c r="D1784" s="19" t="s">
        <v>4117</v>
      </c>
      <c r="E1784" s="19" t="s">
        <v>4118</v>
      </c>
      <c r="F1784" s="18">
        <v>5</v>
      </c>
      <c r="G1784" s="18">
        <v>69060500</v>
      </c>
      <c r="H1784" s="18">
        <f t="shared" si="151"/>
        <v>69060506</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4119</v>
      </c>
      <c r="BC1784" s="27">
        <v>0</v>
      </c>
      <c r="BD1784" s="27">
        <v>1</v>
      </c>
      <c r="BE1784" s="19" t="s">
        <v>4120</v>
      </c>
      <c r="BF1784" s="19" t="s">
        <v>4121</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69060506</v>
      </c>
      <c r="D1785" s="19" t="s">
        <v>4122</v>
      </c>
      <c r="E1785" s="19" t="s">
        <v>4123</v>
      </c>
      <c r="F1785" s="18">
        <v>6</v>
      </c>
      <c r="G1785" s="18">
        <v>69060500</v>
      </c>
      <c r="H1785" s="18">
        <f t="shared" si="151"/>
        <v>69060507</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4124</v>
      </c>
      <c r="BC1785" s="27">
        <v>0</v>
      </c>
      <c r="BD1785" s="27">
        <v>1</v>
      </c>
      <c r="BE1785" s="19" t="s">
        <v>4125</v>
      </c>
      <c r="BF1785" s="19" t="s">
        <v>4126</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69060507</v>
      </c>
      <c r="D1786" s="19" t="s">
        <v>4127</v>
      </c>
      <c r="E1786" s="19" t="s">
        <v>4128</v>
      </c>
      <c r="F1786" s="18">
        <v>7</v>
      </c>
      <c r="G1786" s="18">
        <v>69060500</v>
      </c>
      <c r="H1786" s="18">
        <f t="shared" si="151"/>
        <v>69060508</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4129</v>
      </c>
      <c r="BC1786" s="27">
        <v>0</v>
      </c>
      <c r="BD1786" s="27">
        <v>1</v>
      </c>
      <c r="BE1786" s="19" t="s">
        <v>4130</v>
      </c>
      <c r="BF1786" s="19" t="s">
        <v>4131</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69060508</v>
      </c>
      <c r="D1787" s="19" t="s">
        <v>4132</v>
      </c>
      <c r="E1787" s="19" t="s">
        <v>4133</v>
      </c>
      <c r="F1787" s="18">
        <v>8</v>
      </c>
      <c r="G1787" s="18">
        <v>69060500</v>
      </c>
      <c r="H1787" s="18">
        <f t="shared" si="151"/>
        <v>69060509</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4134</v>
      </c>
      <c r="BC1787" s="27">
        <v>0</v>
      </c>
      <c r="BD1787" s="27">
        <v>1</v>
      </c>
      <c r="BE1787" s="19" t="s">
        <v>4135</v>
      </c>
      <c r="BF1787" s="19" t="s">
        <v>4136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69060509</v>
      </c>
      <c r="D1788" s="19" t="s">
        <v>4137</v>
      </c>
      <c r="E1788" s="19" t="s">
        <v>4138</v>
      </c>
      <c r="F1788" s="18">
        <v>9</v>
      </c>
      <c r="G1788" s="18">
        <v>69060500</v>
      </c>
      <c r="H1788" s="18">
        <f t="shared" si="151"/>
        <v>69060510</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4139</v>
      </c>
      <c r="BC1788" s="27">
        <v>0</v>
      </c>
      <c r="BD1788" s="27">
        <v>1</v>
      </c>
      <c r="BE1788" s="19" t="s">
        <v>4140</v>
      </c>
      <c r="BF1788" s="19" t="s">
        <v>4141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69060510</v>
      </c>
      <c r="D1789" s="19" t="s">
        <v>4142</v>
      </c>
      <c r="E1789" s="19" t="s">
        <v>4143</v>
      </c>
      <c r="F1789" s="18">
        <v>10</v>
      </c>
      <c r="G1789" s="18">
        <v>69060500</v>
      </c>
      <c r="H1789" s="18">
        <v>0</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4144</v>
      </c>
      <c r="BC1789" s="27">
        <v>0</v>
      </c>
      <c r="BD1789" s="27">
        <v>1</v>
      </c>
      <c r="BE1789" s="19" t="s">
        <v>4145</v>
      </c>
      <c r="BF1789" s="19" t="s">
        <v>4146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69060600</v>
      </c>
      <c r="D1790" s="19" t="s">
        <v>4147</v>
      </c>
      <c r="E1790" s="19" t="s">
        <v>4148</v>
      </c>
      <c r="F1790" s="18">
        <v>1</v>
      </c>
      <c r="G1790" s="18">
        <v>69060600</v>
      </c>
      <c r="H1790" s="18">
        <v>69060601</v>
      </c>
      <c r="I1790" s="27">
        <v>0</v>
      </c>
      <c r="J1790" s="18">
        <v>20</v>
      </c>
      <c r="K1790" s="18">
        <v>2</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4149</v>
      </c>
      <c r="BC1790" s="27">
        <v>0</v>
      </c>
      <c r="BD1790" s="27">
        <v>1</v>
      </c>
      <c r="BE1790" s="19" t="s">
        <v>3883</v>
      </c>
      <c r="BF1790" s="19" t="s">
        <v>3884</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69060601</v>
      </c>
      <c r="D1791" s="19" t="s">
        <v>4150</v>
      </c>
      <c r="E1791" s="19" t="s">
        <v>4151</v>
      </c>
      <c r="F1791" s="18">
        <v>1</v>
      </c>
      <c r="G1791" s="18">
        <v>69060600</v>
      </c>
      <c r="H1791" s="18">
        <v>69060602</v>
      </c>
      <c r="I1791" s="27">
        <v>0</v>
      </c>
      <c r="J1791" s="18">
        <v>20</v>
      </c>
      <c r="K1791" s="18">
        <v>2</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3255</v>
      </c>
      <c r="BC1791" s="27">
        <v>0</v>
      </c>
      <c r="BD1791" s="27">
        <v>1</v>
      </c>
      <c r="BE1791" s="19" t="s">
        <v>4152</v>
      </c>
      <c r="BF1791" s="19" t="s">
        <v>4153</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69060602</v>
      </c>
      <c r="D1792" s="19" t="s">
        <v>4154</v>
      </c>
      <c r="E1792" s="19" t="s">
        <v>4155</v>
      </c>
      <c r="F1792" s="18">
        <v>1</v>
      </c>
      <c r="G1792" s="18">
        <v>69060600</v>
      </c>
      <c r="H1792" s="18">
        <v>0</v>
      </c>
      <c r="I1792" s="27">
        <v>0</v>
      </c>
      <c r="J1792" s="18">
        <v>20</v>
      </c>
      <c r="K1792" s="18">
        <v>2</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4156</v>
      </c>
      <c r="BC1792" s="27">
        <v>0</v>
      </c>
      <c r="BD1792" s="27">
        <v>1</v>
      </c>
      <c r="BE1792" s="19" t="s">
        <v>4157</v>
      </c>
      <c r="BF1792" s="19" t="s">
        <v>4158</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69060700</v>
      </c>
      <c r="D1793" s="19" t="s">
        <v>4159</v>
      </c>
      <c r="E1793" s="19" t="s">
        <v>4160</v>
      </c>
      <c r="F1793" s="18">
        <v>1</v>
      </c>
      <c r="G1793" s="18">
        <v>69060700</v>
      </c>
      <c r="H1793" s="18">
        <v>69060701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4149</v>
      </c>
      <c r="BC1793" s="27">
        <v>0</v>
      </c>
      <c r="BD1793" s="27">
        <v>1</v>
      </c>
      <c r="BE1793" s="19" t="s">
        <v>3883</v>
      </c>
      <c r="BF1793" s="19" t="s">
        <v>3884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69060701</v>
      </c>
      <c r="D1794" s="19" t="s">
        <v>4161</v>
      </c>
      <c r="E1794" s="19" t="s">
        <v>4162</v>
      </c>
      <c r="F1794" s="18">
        <v>1</v>
      </c>
      <c r="G1794" s="18">
        <v>69060700</v>
      </c>
      <c r="H1794" s="18">
        <v>69060702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3255</v>
      </c>
      <c r="BC1794" s="27">
        <v>0</v>
      </c>
      <c r="BD1794" s="27">
        <v>1</v>
      </c>
      <c r="BE1794" s="19" t="s">
        <v>4163</v>
      </c>
      <c r="BF1794" s="19" t="s">
        <v>4164</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69060702</v>
      </c>
      <c r="D1795" s="19" t="s">
        <v>4165</v>
      </c>
      <c r="E1795" s="19" t="s">
        <v>4166</v>
      </c>
      <c r="F1795" s="18">
        <v>1</v>
      </c>
      <c r="G1795" s="18">
        <v>69060700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4156</v>
      </c>
      <c r="BC1795" s="27">
        <v>0</v>
      </c>
      <c r="BD1795" s="27">
        <v>1</v>
      </c>
      <c r="BE1795" s="19" t="s">
        <v>4167</v>
      </c>
      <c r="BF1795" s="19" t="s">
        <v>4168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69060800</v>
      </c>
      <c r="D1796" s="237" t="s">
        <v>4169</v>
      </c>
      <c r="E1796" s="237" t="s">
        <v>4170</v>
      </c>
      <c r="F1796" s="238">
        <v>1</v>
      </c>
      <c r="G1796" s="18">
        <v>69060800</v>
      </c>
      <c r="H1796" s="18">
        <v>69060801</v>
      </c>
      <c r="I1796" s="238">
        <v>0</v>
      </c>
      <c r="J1796" s="18">
        <v>20</v>
      </c>
      <c r="K1796" s="238">
        <v>3</v>
      </c>
      <c r="L1796" s="238">
        <v>0</v>
      </c>
      <c r="M1796" s="238">
        <v>0</v>
      </c>
      <c r="N1796" s="238">
        <v>0</v>
      </c>
      <c r="O1796" s="238">
        <v>2</v>
      </c>
      <c r="P1796" s="238">
        <v>0</v>
      </c>
      <c r="Q1796" s="238">
        <v>0</v>
      </c>
      <c r="R1796" s="238">
        <v>0</v>
      </c>
      <c r="S1796" s="238">
        <v>0</v>
      </c>
      <c r="T1796" s="238">
        <v>0</v>
      </c>
      <c r="U1796" s="238">
        <v>1</v>
      </c>
      <c r="V1796" s="238">
        <v>2</v>
      </c>
      <c r="W1796" s="238">
        <v>0</v>
      </c>
      <c r="X1796" s="238">
        <v>0</v>
      </c>
      <c r="Y1796" s="12">
        <v>0</v>
      </c>
      <c r="Z1796" s="238">
        <v>0</v>
      </c>
      <c r="AA1796" s="238">
        <v>0</v>
      </c>
      <c r="AB1796" s="238">
        <v>0</v>
      </c>
      <c r="AC1796" s="238">
        <v>0</v>
      </c>
      <c r="AD1796" s="238">
        <v>1</v>
      </c>
      <c r="AE1796" s="238">
        <v>0</v>
      </c>
      <c r="AF1796" s="238">
        <v>20</v>
      </c>
      <c r="AG1796" s="238">
        <v>0</v>
      </c>
      <c r="AH1796" s="238">
        <v>0</v>
      </c>
      <c r="AI1796" s="238">
        <v>2</v>
      </c>
      <c r="AJ1796" s="238">
        <v>0</v>
      </c>
      <c r="AK1796" s="238">
        <v>0</v>
      </c>
      <c r="AL1796" s="238">
        <v>0</v>
      </c>
      <c r="AM1796" s="238">
        <v>0</v>
      </c>
      <c r="AN1796" s="238">
        <v>0</v>
      </c>
      <c r="AO1796" s="238">
        <v>0</v>
      </c>
      <c r="AP1796" s="238">
        <v>0</v>
      </c>
      <c r="AQ1796" s="238">
        <v>1000</v>
      </c>
      <c r="AR1796" s="238">
        <v>0</v>
      </c>
      <c r="AS1796" s="238">
        <v>0</v>
      </c>
      <c r="AT1796" s="238"/>
      <c r="AU1796" s="238" t="s">
        <v>198</v>
      </c>
      <c r="AV1796" s="238"/>
      <c r="AW1796" s="237" t="s">
        <v>199</v>
      </c>
      <c r="AX1796" s="238">
        <v>0</v>
      </c>
      <c r="AY1796" s="238">
        <v>0</v>
      </c>
      <c r="AZ1796" s="238">
        <v>0</v>
      </c>
      <c r="BA1796" s="237" t="s">
        <v>200</v>
      </c>
      <c r="BB1796" s="238" t="s">
        <v>198</v>
      </c>
      <c r="BC1796" s="238">
        <v>0</v>
      </c>
      <c r="BD1796" s="238">
        <v>1</v>
      </c>
      <c r="BE1796" s="19" t="s">
        <v>3883</v>
      </c>
      <c r="BF1796" s="19" t="s">
        <v>3884</v>
      </c>
      <c r="BG1796" s="238">
        <v>0</v>
      </c>
      <c r="BH1796" s="238">
        <v>0</v>
      </c>
      <c r="BI1796" s="238">
        <v>0</v>
      </c>
      <c r="BJ1796" s="238">
        <v>0</v>
      </c>
      <c r="BK1796" s="238">
        <v>0</v>
      </c>
      <c r="BL1796" s="238">
        <v>0</v>
      </c>
      <c r="BM1796" s="242">
        <v>0</v>
      </c>
      <c r="BN1796" s="238">
        <v>1</v>
      </c>
      <c r="BO1796" s="12">
        <v>0</v>
      </c>
      <c r="BP1796" s="12">
        <v>0</v>
      </c>
      <c r="BQ1796" s="12">
        <v>0</v>
      </c>
      <c r="BR1796" s="12">
        <v>0</v>
      </c>
      <c r="BS1796" s="12">
        <v>0</v>
      </c>
      <c r="BT1796" s="12">
        <v>0</v>
      </c>
      <c r="BU1796" s="47">
        <v>0</v>
      </c>
      <c r="BV1796" s="47"/>
      <c r="BW1796" s="47"/>
    </row>
    <row r="1797" spans="3:75" ht="20.100000000000001" customHeight="1">
      <c r="C1797" s="18">
        <v>69060801</v>
      </c>
      <c r="D1797" s="237" t="s">
        <v>4169</v>
      </c>
      <c r="E1797" s="237" t="s">
        <v>4170</v>
      </c>
      <c r="F1797" s="238">
        <v>1</v>
      </c>
      <c r="G1797" s="18">
        <v>69060800</v>
      </c>
      <c r="H1797" s="238">
        <v>0</v>
      </c>
      <c r="I1797" s="238">
        <v>0</v>
      </c>
      <c r="J1797" s="18">
        <v>20</v>
      </c>
      <c r="K1797" s="238">
        <v>3</v>
      </c>
      <c r="L1797" s="238">
        <v>0</v>
      </c>
      <c r="M1797" s="238">
        <v>0</v>
      </c>
      <c r="N1797" s="238">
        <v>0</v>
      </c>
      <c r="O1797" s="238">
        <v>2</v>
      </c>
      <c r="P1797" s="238">
        <v>13</v>
      </c>
      <c r="Q1797" s="238">
        <v>0.25</v>
      </c>
      <c r="R1797" s="238">
        <v>0</v>
      </c>
      <c r="S1797" s="238">
        <v>0</v>
      </c>
      <c r="T1797" s="238">
        <v>0</v>
      </c>
      <c r="U1797" s="238">
        <v>1</v>
      </c>
      <c r="V1797" s="238">
        <v>2</v>
      </c>
      <c r="W1797" s="238">
        <v>0</v>
      </c>
      <c r="X1797" s="238">
        <v>0</v>
      </c>
      <c r="Y1797" s="12">
        <v>0</v>
      </c>
      <c r="Z1797" s="238">
        <v>0</v>
      </c>
      <c r="AA1797" s="238">
        <v>0</v>
      </c>
      <c r="AB1797" s="238">
        <v>0</v>
      </c>
      <c r="AC1797" s="238">
        <v>0</v>
      </c>
      <c r="AD1797" s="238">
        <v>1</v>
      </c>
      <c r="AE1797" s="238">
        <v>0</v>
      </c>
      <c r="AF1797" s="238">
        <v>20</v>
      </c>
      <c r="AG1797" s="238">
        <v>0</v>
      </c>
      <c r="AH1797" s="238">
        <v>0</v>
      </c>
      <c r="AI1797" s="238">
        <v>2</v>
      </c>
      <c r="AJ1797" s="238">
        <v>0</v>
      </c>
      <c r="AK1797" s="238">
        <v>0</v>
      </c>
      <c r="AL1797" s="238">
        <v>0</v>
      </c>
      <c r="AM1797" s="238">
        <v>0</v>
      </c>
      <c r="AN1797" s="238">
        <v>0</v>
      </c>
      <c r="AO1797" s="238">
        <v>0</v>
      </c>
      <c r="AP1797" s="238">
        <v>0</v>
      </c>
      <c r="AQ1797" s="238">
        <v>1000</v>
      </c>
      <c r="AR1797" s="238">
        <v>0</v>
      </c>
      <c r="AS1797" s="238">
        <v>0</v>
      </c>
      <c r="AT1797" s="238">
        <v>80001031</v>
      </c>
      <c r="AU1797" s="238" t="s">
        <v>198</v>
      </c>
      <c r="AV1797" s="238"/>
      <c r="AW1797" s="237" t="s">
        <v>199</v>
      </c>
      <c r="AX1797" s="238" t="s">
        <v>1819</v>
      </c>
      <c r="AY1797" s="238">
        <v>0</v>
      </c>
      <c r="AZ1797" s="238">
        <v>40000003</v>
      </c>
      <c r="BA1797" s="237" t="s">
        <v>200</v>
      </c>
      <c r="BB1797" s="238" t="s">
        <v>198</v>
      </c>
      <c r="BC1797" s="238">
        <v>0</v>
      </c>
      <c r="BD1797" s="238">
        <v>1</v>
      </c>
      <c r="BE1797" s="237" t="s">
        <v>4171</v>
      </c>
      <c r="BF1797" s="237" t="s">
        <v>4172</v>
      </c>
      <c r="BG1797" s="238">
        <v>0</v>
      </c>
      <c r="BH1797" s="238">
        <v>0</v>
      </c>
      <c r="BI1797" s="238">
        <v>0</v>
      </c>
      <c r="BJ1797" s="238">
        <v>0</v>
      </c>
      <c r="BK1797" s="238">
        <v>0</v>
      </c>
      <c r="BL1797" s="238">
        <v>0</v>
      </c>
      <c r="BM1797" s="242">
        <v>0</v>
      </c>
      <c r="BN1797" s="238">
        <v>1</v>
      </c>
      <c r="BO1797" s="12">
        <v>0</v>
      </c>
      <c r="BP1797" s="12">
        <v>0</v>
      </c>
      <c r="BQ1797" s="12">
        <v>0</v>
      </c>
      <c r="BR1797" s="12">
        <v>0</v>
      </c>
      <c r="BS1797" s="12">
        <v>0</v>
      </c>
      <c r="BT1797" s="12">
        <v>0</v>
      </c>
      <c r="BU1797" s="47">
        <v>0</v>
      </c>
      <c r="BV1797" s="47"/>
      <c r="BW1797" s="47"/>
    </row>
    <row r="1798" spans="3:75" ht="20.100000000000001" customHeight="1">
      <c r="C1798" s="18">
        <v>70000001</v>
      </c>
      <c r="D1798" s="19" t="s">
        <v>4173</v>
      </c>
      <c r="E1798" s="19" t="s">
        <v>4174</v>
      </c>
      <c r="F1798" s="18">
        <v>1</v>
      </c>
      <c r="G1798" s="74">
        <v>0</v>
      </c>
      <c r="H1798" s="18">
        <v>0</v>
      </c>
      <c r="I1798" s="27">
        <v>0</v>
      </c>
      <c r="J1798" s="18">
        <v>1</v>
      </c>
      <c r="K1798" s="18">
        <v>0</v>
      </c>
      <c r="L1798" s="18">
        <v>0</v>
      </c>
      <c r="M1798" s="18">
        <v>0</v>
      </c>
      <c r="N1798" s="18">
        <v>0</v>
      </c>
      <c r="O1798" s="18">
        <v>1</v>
      </c>
      <c r="P1798" s="18">
        <v>0</v>
      </c>
      <c r="Q1798" s="18">
        <v>0</v>
      </c>
      <c r="R1798" s="18">
        <v>0</v>
      </c>
      <c r="S1798" s="12">
        <v>0</v>
      </c>
      <c r="T1798" s="27">
        <v>0</v>
      </c>
      <c r="U1798" s="16">
        <v>0</v>
      </c>
      <c r="V1798" s="18">
        <v>1</v>
      </c>
      <c r="W1798" s="18">
        <v>0</v>
      </c>
      <c r="X1798" s="18">
        <v>1</v>
      </c>
      <c r="Y1798" s="12">
        <v>0</v>
      </c>
      <c r="Z1798" s="18">
        <v>0</v>
      </c>
      <c r="AA1798" s="18">
        <v>0</v>
      </c>
      <c r="AB1798" s="18">
        <v>0</v>
      </c>
      <c r="AC1798" s="18">
        <v>0</v>
      </c>
      <c r="AD1798" s="18">
        <v>1</v>
      </c>
      <c r="AE1798" s="18">
        <v>0</v>
      </c>
      <c r="AF1798" s="18">
        <v>1</v>
      </c>
      <c r="AG1798" s="18">
        <v>1</v>
      </c>
      <c r="AH1798" s="18">
        <v>2</v>
      </c>
      <c r="AI1798" s="12">
        <v>7</v>
      </c>
      <c r="AJ1798" s="12">
        <v>0</v>
      </c>
      <c r="AK1798" s="12">
        <v>0</v>
      </c>
      <c r="AL1798" s="12">
        <v>0</v>
      </c>
      <c r="AM1798" s="18">
        <v>0</v>
      </c>
      <c r="AN1798" s="18">
        <v>0</v>
      </c>
      <c r="AO1798" s="18">
        <v>0</v>
      </c>
      <c r="AP1798" s="18">
        <v>0</v>
      </c>
      <c r="AQ1798" s="18">
        <v>700</v>
      </c>
      <c r="AR1798" s="18">
        <v>0.5</v>
      </c>
      <c r="AS1798" s="18">
        <v>0</v>
      </c>
      <c r="AT1798" s="12">
        <v>0</v>
      </c>
      <c r="AU1798" s="18" t="s">
        <v>198</v>
      </c>
      <c r="AV1798" s="18"/>
      <c r="AW1798" s="19" t="s">
        <v>741</v>
      </c>
      <c r="AX1798" s="18">
        <v>0</v>
      </c>
      <c r="AY1798" s="64">
        <v>12000006</v>
      </c>
      <c r="AZ1798" s="18">
        <v>0</v>
      </c>
      <c r="BA1798" s="19" t="s">
        <v>200</v>
      </c>
      <c r="BB1798" s="19" t="s">
        <v>198</v>
      </c>
      <c r="BC1798" s="27">
        <v>0</v>
      </c>
      <c r="BD1798" s="27">
        <v>0</v>
      </c>
      <c r="BE1798" s="87"/>
      <c r="BF1798" s="87"/>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64">
        <v>70000002</v>
      </c>
      <c r="D1799" s="63" t="s">
        <v>4175</v>
      </c>
      <c r="E1799" s="63" t="s">
        <v>4176</v>
      </c>
      <c r="F1799" s="64">
        <v>1</v>
      </c>
      <c r="G1799" s="64">
        <v>60010500</v>
      </c>
      <c r="H1799" s="64">
        <v>0</v>
      </c>
      <c r="I1799" s="66">
        <v>0</v>
      </c>
      <c r="J1799" s="64">
        <v>1</v>
      </c>
      <c r="K1799" s="64">
        <v>0</v>
      </c>
      <c r="L1799" s="60">
        <v>0</v>
      </c>
      <c r="M1799" s="64">
        <v>0</v>
      </c>
      <c r="N1799" s="64">
        <v>0</v>
      </c>
      <c r="O1799" s="64">
        <v>1</v>
      </c>
      <c r="P1799" s="64">
        <v>0</v>
      </c>
      <c r="Q1799" s="64">
        <v>0</v>
      </c>
      <c r="R1799" s="64">
        <v>0</v>
      </c>
      <c r="S1799" s="12">
        <v>0</v>
      </c>
      <c r="T1799" s="64">
        <v>0</v>
      </c>
      <c r="U1799" s="60">
        <v>0</v>
      </c>
      <c r="V1799" s="64">
        <v>1</v>
      </c>
      <c r="W1799" s="64">
        <v>0</v>
      </c>
      <c r="X1799" s="64">
        <v>1</v>
      </c>
      <c r="Y1799" s="12">
        <v>0</v>
      </c>
      <c r="Z1799" s="64">
        <v>0</v>
      </c>
      <c r="AA1799" s="64">
        <v>0</v>
      </c>
      <c r="AB1799" s="64">
        <v>0</v>
      </c>
      <c r="AC1799" s="64">
        <v>0</v>
      </c>
      <c r="AD1799" s="64">
        <v>1</v>
      </c>
      <c r="AE1799" s="64">
        <v>0</v>
      </c>
      <c r="AF1799" s="64">
        <v>2</v>
      </c>
      <c r="AG1799" s="64">
        <v>1</v>
      </c>
      <c r="AH1799" s="64">
        <v>9</v>
      </c>
      <c r="AI1799" s="68">
        <v>7</v>
      </c>
      <c r="AJ1799" s="68">
        <v>0</v>
      </c>
      <c r="AK1799" s="12">
        <v>0</v>
      </c>
      <c r="AL1799" s="68">
        <v>9</v>
      </c>
      <c r="AM1799" s="64">
        <v>0</v>
      </c>
      <c r="AN1799" s="64">
        <v>0</v>
      </c>
      <c r="AO1799" s="64">
        <v>0</v>
      </c>
      <c r="AP1799" s="64">
        <v>0.5</v>
      </c>
      <c r="AQ1799" s="64">
        <v>3000</v>
      </c>
      <c r="AR1799" s="64">
        <v>0.2</v>
      </c>
      <c r="AS1799" s="64">
        <v>20</v>
      </c>
      <c r="AT1799" s="68">
        <v>0</v>
      </c>
      <c r="AU1799" s="64" t="s">
        <v>198</v>
      </c>
      <c r="AV1799" s="64"/>
      <c r="AW1799" s="19" t="s">
        <v>741</v>
      </c>
      <c r="AX1799" s="64" t="s">
        <v>249</v>
      </c>
      <c r="AY1799" s="64">
        <v>12000006</v>
      </c>
      <c r="AZ1799" s="125">
        <v>20000025</v>
      </c>
      <c r="BA1799" s="63" t="s">
        <v>250</v>
      </c>
      <c r="BB1799" s="63" t="s">
        <v>198</v>
      </c>
      <c r="BC1799" s="66">
        <v>0</v>
      </c>
      <c r="BD1799" s="66">
        <v>0</v>
      </c>
      <c r="BE1799" s="90"/>
      <c r="BF1799" s="90"/>
      <c r="BG1799" s="64">
        <v>0</v>
      </c>
      <c r="BH1799" s="64">
        <v>0</v>
      </c>
      <c r="BI1799" s="64">
        <v>0</v>
      </c>
      <c r="BJ1799" s="64">
        <v>0</v>
      </c>
      <c r="BK1799" s="64">
        <v>0</v>
      </c>
      <c r="BL1799" s="64">
        <v>0</v>
      </c>
      <c r="BM1799" s="64">
        <v>0</v>
      </c>
      <c r="BN1799" s="12">
        <v>0</v>
      </c>
      <c r="BO1799" s="12">
        <v>0</v>
      </c>
      <c r="BP1799" s="12">
        <v>0</v>
      </c>
      <c r="BQ1799" s="12">
        <v>0</v>
      </c>
      <c r="BR1799" s="12">
        <v>0</v>
      </c>
      <c r="BS1799" s="12">
        <v>0</v>
      </c>
      <c r="BT1799" s="12">
        <v>0</v>
      </c>
      <c r="BU1799" s="47">
        <v>0</v>
      </c>
      <c r="BV1799" s="47"/>
      <c r="BW1799" s="47"/>
    </row>
    <row r="1800" spans="3:75" ht="20.100000000000001" customHeight="1">
      <c r="C1800" s="64">
        <v>70000003</v>
      </c>
      <c r="D1800" s="63" t="s">
        <v>4177</v>
      </c>
      <c r="E1800" s="63" t="s">
        <v>4178</v>
      </c>
      <c r="F1800" s="64">
        <v>1</v>
      </c>
      <c r="G1800" s="64">
        <v>60010500</v>
      </c>
      <c r="H1800" s="64">
        <v>0</v>
      </c>
      <c r="I1800" s="66">
        <v>0</v>
      </c>
      <c r="J1800" s="64">
        <v>1</v>
      </c>
      <c r="K1800" s="64">
        <v>0</v>
      </c>
      <c r="L1800" s="60">
        <v>0</v>
      </c>
      <c r="M1800" s="64">
        <v>0</v>
      </c>
      <c r="N1800" s="64">
        <v>0</v>
      </c>
      <c r="O1800" s="64">
        <v>1</v>
      </c>
      <c r="P1800" s="64">
        <v>0</v>
      </c>
      <c r="Q1800" s="64">
        <v>0</v>
      </c>
      <c r="R1800" s="64">
        <v>0</v>
      </c>
      <c r="S1800" s="12">
        <v>0</v>
      </c>
      <c r="T1800" s="64">
        <v>0</v>
      </c>
      <c r="U1800" s="60">
        <v>0</v>
      </c>
      <c r="V1800" s="64">
        <v>1</v>
      </c>
      <c r="W1800" s="64">
        <v>0</v>
      </c>
      <c r="X1800" s="64">
        <v>1</v>
      </c>
      <c r="Y1800" s="12">
        <v>0</v>
      </c>
      <c r="Z1800" s="64">
        <v>0</v>
      </c>
      <c r="AA1800" s="64">
        <v>0</v>
      </c>
      <c r="AB1800" s="64">
        <v>0</v>
      </c>
      <c r="AC1800" s="64">
        <v>0</v>
      </c>
      <c r="AD1800" s="64">
        <v>1</v>
      </c>
      <c r="AE1800" s="64">
        <v>0</v>
      </c>
      <c r="AF1800" s="64">
        <v>2</v>
      </c>
      <c r="AG1800" s="64">
        <v>1</v>
      </c>
      <c r="AH1800" s="64">
        <v>9</v>
      </c>
      <c r="AI1800" s="68">
        <v>7</v>
      </c>
      <c r="AJ1800" s="68">
        <v>0</v>
      </c>
      <c r="AK1800" s="12">
        <v>0</v>
      </c>
      <c r="AL1800" s="68">
        <v>9</v>
      </c>
      <c r="AM1800" s="64">
        <v>0</v>
      </c>
      <c r="AN1800" s="64">
        <v>0</v>
      </c>
      <c r="AO1800" s="64">
        <v>0</v>
      </c>
      <c r="AP1800" s="64">
        <v>0.5</v>
      </c>
      <c r="AQ1800" s="64">
        <v>3000</v>
      </c>
      <c r="AR1800" s="64">
        <v>0.2</v>
      </c>
      <c r="AS1800" s="64">
        <v>20</v>
      </c>
      <c r="AT1800" s="68">
        <v>0</v>
      </c>
      <c r="AU1800" s="64" t="s">
        <v>198</v>
      </c>
      <c r="AV1800" s="64"/>
      <c r="AW1800" s="19" t="s">
        <v>741</v>
      </c>
      <c r="AX1800" s="64" t="s">
        <v>249</v>
      </c>
      <c r="AY1800" s="64">
        <v>10001004</v>
      </c>
      <c r="AZ1800" s="125">
        <v>20000037</v>
      </c>
      <c r="BA1800" s="63" t="s">
        <v>250</v>
      </c>
      <c r="BB1800" s="63" t="s">
        <v>198</v>
      </c>
      <c r="BC1800" s="66">
        <v>0</v>
      </c>
      <c r="BD1800" s="66">
        <v>0</v>
      </c>
      <c r="BE1800" s="90"/>
      <c r="BF1800" s="90"/>
      <c r="BG1800" s="64">
        <v>0</v>
      </c>
      <c r="BH1800" s="64">
        <v>0</v>
      </c>
      <c r="BI1800" s="64">
        <v>0</v>
      </c>
      <c r="BJ1800" s="64">
        <v>0</v>
      </c>
      <c r="BK1800" s="64">
        <v>0</v>
      </c>
      <c r="BL1800" s="64">
        <v>0</v>
      </c>
      <c r="BM1800" s="64">
        <v>0</v>
      </c>
      <c r="BN1800" s="12">
        <v>0</v>
      </c>
      <c r="BO1800" s="12">
        <v>0</v>
      </c>
      <c r="BP1800" s="12">
        <v>0</v>
      </c>
      <c r="BQ1800" s="12">
        <v>0</v>
      </c>
      <c r="BR1800" s="12">
        <v>0</v>
      </c>
      <c r="BS1800" s="12">
        <v>0</v>
      </c>
      <c r="BT1800" s="12">
        <v>0</v>
      </c>
      <c r="BU1800" s="47">
        <v>0</v>
      </c>
      <c r="BV1800" s="47"/>
      <c r="BW1800" s="47"/>
    </row>
    <row r="1801" spans="3:75" ht="20.100000000000001" customHeight="1">
      <c r="C1801" s="64">
        <v>70000004</v>
      </c>
      <c r="D1801" s="63" t="s">
        <v>4179</v>
      </c>
      <c r="E1801" s="63" t="s">
        <v>4180</v>
      </c>
      <c r="F1801" s="64">
        <v>1</v>
      </c>
      <c r="G1801" s="64">
        <v>60010500</v>
      </c>
      <c r="H1801" s="64">
        <v>0</v>
      </c>
      <c r="I1801" s="66">
        <v>0</v>
      </c>
      <c r="J1801" s="64">
        <v>1</v>
      </c>
      <c r="K1801" s="64">
        <v>0</v>
      </c>
      <c r="L1801" s="60">
        <v>0</v>
      </c>
      <c r="M1801" s="64">
        <v>0</v>
      </c>
      <c r="N1801" s="64">
        <v>0</v>
      </c>
      <c r="O1801" s="64">
        <v>1</v>
      </c>
      <c r="P1801" s="64">
        <v>0</v>
      </c>
      <c r="Q1801" s="64">
        <v>0</v>
      </c>
      <c r="R1801" s="64">
        <v>0</v>
      </c>
      <c r="S1801" s="12">
        <v>0</v>
      </c>
      <c r="T1801" s="64">
        <v>0</v>
      </c>
      <c r="U1801" s="60">
        <v>0</v>
      </c>
      <c r="V1801" s="64">
        <v>1</v>
      </c>
      <c r="W1801" s="64">
        <v>0</v>
      </c>
      <c r="X1801" s="64">
        <v>1</v>
      </c>
      <c r="Y1801" s="12">
        <v>0</v>
      </c>
      <c r="Z1801" s="64">
        <v>0</v>
      </c>
      <c r="AA1801" s="64">
        <v>0</v>
      </c>
      <c r="AB1801" s="64">
        <v>0</v>
      </c>
      <c r="AC1801" s="64">
        <v>0</v>
      </c>
      <c r="AD1801" s="64">
        <v>1</v>
      </c>
      <c r="AE1801" s="64">
        <v>0</v>
      </c>
      <c r="AF1801" s="64">
        <v>2</v>
      </c>
      <c r="AG1801" s="64">
        <v>1</v>
      </c>
      <c r="AH1801" s="64">
        <v>9</v>
      </c>
      <c r="AI1801" s="68">
        <v>7</v>
      </c>
      <c r="AJ1801" s="68">
        <v>0</v>
      </c>
      <c r="AK1801" s="12">
        <v>0</v>
      </c>
      <c r="AL1801" s="68">
        <v>9</v>
      </c>
      <c r="AM1801" s="64">
        <v>0</v>
      </c>
      <c r="AN1801" s="64">
        <v>0</v>
      </c>
      <c r="AO1801" s="64">
        <v>0</v>
      </c>
      <c r="AP1801" s="64">
        <v>0.5</v>
      </c>
      <c r="AQ1801" s="64">
        <v>3000</v>
      </c>
      <c r="AR1801" s="64">
        <v>0.2</v>
      </c>
      <c r="AS1801" s="64">
        <v>20</v>
      </c>
      <c r="AT1801" s="68">
        <v>0</v>
      </c>
      <c r="AU1801" s="64" t="s">
        <v>198</v>
      </c>
      <c r="AV1801" s="64"/>
      <c r="AW1801" s="19" t="s">
        <v>741</v>
      </c>
      <c r="AX1801" s="64" t="s">
        <v>249</v>
      </c>
      <c r="AY1801" s="64">
        <v>12000006</v>
      </c>
      <c r="AZ1801" s="125">
        <v>20000038</v>
      </c>
      <c r="BA1801" s="63" t="s">
        <v>250</v>
      </c>
      <c r="BB1801" s="63" t="s">
        <v>198</v>
      </c>
      <c r="BC1801" s="66">
        <v>0</v>
      </c>
      <c r="BD1801" s="66">
        <v>0</v>
      </c>
      <c r="BE1801" s="90"/>
      <c r="BF1801" s="90"/>
      <c r="BG1801" s="64">
        <v>0</v>
      </c>
      <c r="BH1801" s="64">
        <v>0</v>
      </c>
      <c r="BI1801" s="64">
        <v>0</v>
      </c>
      <c r="BJ1801" s="64">
        <v>0</v>
      </c>
      <c r="BK1801" s="64">
        <v>0</v>
      </c>
      <c r="BL1801" s="64">
        <v>0</v>
      </c>
      <c r="BM1801" s="64">
        <v>0</v>
      </c>
      <c r="BN1801" s="12">
        <v>0</v>
      </c>
      <c r="BO1801" s="12">
        <v>0</v>
      </c>
      <c r="BP1801" s="12">
        <v>0</v>
      </c>
      <c r="BQ1801" s="12">
        <v>0</v>
      </c>
      <c r="BR1801" s="12">
        <v>0</v>
      </c>
      <c r="BS1801" s="12">
        <v>0</v>
      </c>
      <c r="BT1801" s="12">
        <v>0</v>
      </c>
      <c r="BU1801" s="47">
        <v>0</v>
      </c>
      <c r="BV1801" s="47"/>
      <c r="BW1801" s="47"/>
    </row>
    <row r="1802" spans="3:75" ht="20.100000000000001" customHeight="1">
      <c r="C1802" s="64">
        <v>70000005</v>
      </c>
      <c r="D1802" s="19" t="s">
        <v>4181</v>
      </c>
      <c r="E1802" s="19" t="s">
        <v>4182</v>
      </c>
      <c r="F1802" s="18">
        <v>1</v>
      </c>
      <c r="G1802" s="18">
        <v>60010500</v>
      </c>
      <c r="H1802" s="18">
        <v>0</v>
      </c>
      <c r="I1802" s="27">
        <v>0</v>
      </c>
      <c r="J1802" s="18">
        <v>1</v>
      </c>
      <c r="K1802" s="18">
        <v>3</v>
      </c>
      <c r="L1802" s="16">
        <v>0</v>
      </c>
      <c r="M1802" s="18">
        <v>0</v>
      </c>
      <c r="N1802" s="18">
        <v>0</v>
      </c>
      <c r="O1802" s="18">
        <v>1</v>
      </c>
      <c r="P1802" s="18">
        <v>0</v>
      </c>
      <c r="Q1802" s="18">
        <v>0</v>
      </c>
      <c r="R1802" s="18">
        <v>0</v>
      </c>
      <c r="S1802" s="12">
        <v>0</v>
      </c>
      <c r="T1802" s="18">
        <v>0</v>
      </c>
      <c r="U1802" s="16">
        <v>0</v>
      </c>
      <c r="V1802" s="18">
        <v>1</v>
      </c>
      <c r="W1802" s="18">
        <v>0</v>
      </c>
      <c r="X1802" s="18">
        <v>0</v>
      </c>
      <c r="Y1802" s="12">
        <v>0</v>
      </c>
      <c r="Z1802" s="18">
        <v>0</v>
      </c>
      <c r="AA1802" s="18">
        <v>0</v>
      </c>
      <c r="AB1802" s="18">
        <v>0</v>
      </c>
      <c r="AC1802" s="18">
        <v>0</v>
      </c>
      <c r="AD1802" s="18">
        <v>1</v>
      </c>
      <c r="AE1802" s="18">
        <v>0</v>
      </c>
      <c r="AF1802" s="18">
        <v>1</v>
      </c>
      <c r="AG1802" s="18">
        <v>1</v>
      </c>
      <c r="AH1802" s="18">
        <v>2</v>
      </c>
      <c r="AI1802" s="12">
        <v>7</v>
      </c>
      <c r="AJ1802" s="12">
        <v>0</v>
      </c>
      <c r="AK1802" s="12">
        <v>0</v>
      </c>
      <c r="AL1802" s="12">
        <v>3</v>
      </c>
      <c r="AM1802" s="18">
        <v>0</v>
      </c>
      <c r="AN1802" s="18">
        <v>0</v>
      </c>
      <c r="AO1802" s="21">
        <v>0</v>
      </c>
      <c r="AP1802" s="16">
        <v>0.1</v>
      </c>
      <c r="AQ1802" s="18">
        <v>3000</v>
      </c>
      <c r="AR1802" s="18">
        <v>0</v>
      </c>
      <c r="AS1802" s="18">
        <v>40</v>
      </c>
      <c r="AT1802" s="12">
        <v>0</v>
      </c>
      <c r="AU1802" s="18" t="s">
        <v>198</v>
      </c>
      <c r="AV1802" s="18"/>
      <c r="AW1802" s="17" t="s">
        <v>232</v>
      </c>
      <c r="AX1802" s="18" t="s">
        <v>249</v>
      </c>
      <c r="AY1802" s="18">
        <v>0</v>
      </c>
      <c r="AZ1802" s="26">
        <v>0</v>
      </c>
      <c r="BA1802" s="19" t="s">
        <v>250</v>
      </c>
      <c r="BB1802" s="19" t="s">
        <v>198</v>
      </c>
      <c r="BC1802" s="27">
        <v>0</v>
      </c>
      <c r="BD1802" s="27">
        <v>0</v>
      </c>
      <c r="BE1802" s="44"/>
      <c r="BF1802" s="44"/>
      <c r="BG1802" s="18">
        <v>0</v>
      </c>
      <c r="BH1802" s="18">
        <v>0</v>
      </c>
      <c r="BI1802" s="18">
        <v>0</v>
      </c>
      <c r="BJ1802" s="18">
        <v>0</v>
      </c>
      <c r="BK1802" s="18">
        <v>0</v>
      </c>
      <c r="BL1802" s="18">
        <v>0</v>
      </c>
      <c r="BM1802" s="18">
        <v>0</v>
      </c>
      <c r="BN1802" s="12">
        <v>0</v>
      </c>
      <c r="BO1802" s="12">
        <v>0</v>
      </c>
      <c r="BP1802" s="12">
        <v>0</v>
      </c>
      <c r="BQ1802" s="12">
        <v>0</v>
      </c>
      <c r="BR1802" s="12">
        <v>0</v>
      </c>
      <c r="BS1802" s="12">
        <v>0</v>
      </c>
      <c r="BT1802" s="12">
        <v>0</v>
      </c>
      <c r="BU1802" s="47">
        <v>0</v>
      </c>
      <c r="BV1802" s="47"/>
      <c r="BW1802" s="47"/>
    </row>
    <row r="1803" spans="3:75" ht="20.100000000000001" customHeight="1">
      <c r="C1803" s="64">
        <v>70000006</v>
      </c>
      <c r="D1803" s="63" t="s">
        <v>4175</v>
      </c>
      <c r="E1803" s="63" t="s">
        <v>4176</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1</v>
      </c>
      <c r="AG1803" s="64">
        <v>1</v>
      </c>
      <c r="AH1803" s="64">
        <v>9</v>
      </c>
      <c r="AI1803" s="68">
        <v>7</v>
      </c>
      <c r="AJ1803" s="68">
        <v>0</v>
      </c>
      <c r="AK1803" s="12">
        <v>0</v>
      </c>
      <c r="AL1803" s="68">
        <v>9</v>
      </c>
      <c r="AM1803" s="64">
        <v>0</v>
      </c>
      <c r="AN1803" s="64">
        <v>0</v>
      </c>
      <c r="AO1803" s="64">
        <v>0</v>
      </c>
      <c r="AP1803" s="64">
        <v>0.5</v>
      </c>
      <c r="AQ1803" s="64">
        <v>3000</v>
      </c>
      <c r="AR1803" s="64">
        <v>0.5</v>
      </c>
      <c r="AS1803" s="64">
        <v>20</v>
      </c>
      <c r="AT1803" s="68">
        <v>0</v>
      </c>
      <c r="AU1803" s="64" t="s">
        <v>198</v>
      </c>
      <c r="AV1803" s="64"/>
      <c r="AW1803" s="19" t="s">
        <v>741</v>
      </c>
      <c r="AX1803" s="64" t="s">
        <v>249</v>
      </c>
      <c r="AY1803" s="64">
        <v>12000006</v>
      </c>
      <c r="AZ1803" s="125">
        <v>20000025</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70000007</v>
      </c>
      <c r="D1804" s="63" t="s">
        <v>4183</v>
      </c>
      <c r="E1804" s="63" t="s">
        <v>4184</v>
      </c>
      <c r="F1804" s="18">
        <v>1</v>
      </c>
      <c r="G1804" s="18">
        <v>60010500</v>
      </c>
      <c r="H1804" s="18">
        <v>60000302</v>
      </c>
      <c r="I1804" s="27">
        <v>0</v>
      </c>
      <c r="J1804" s="18">
        <v>1</v>
      </c>
      <c r="K1804" s="18">
        <v>3</v>
      </c>
      <c r="L1804" s="16">
        <v>0</v>
      </c>
      <c r="M1804" s="18">
        <v>0</v>
      </c>
      <c r="N1804" s="18">
        <v>0</v>
      </c>
      <c r="O1804" s="18">
        <v>1</v>
      </c>
      <c r="P1804" s="18">
        <v>0</v>
      </c>
      <c r="Q1804" s="18">
        <v>0</v>
      </c>
      <c r="R1804" s="18">
        <v>0</v>
      </c>
      <c r="S1804" s="12">
        <v>0</v>
      </c>
      <c r="T1804" s="18">
        <v>0</v>
      </c>
      <c r="U1804" s="16">
        <v>0</v>
      </c>
      <c r="V1804" s="18">
        <v>1</v>
      </c>
      <c r="W1804" s="18">
        <v>0</v>
      </c>
      <c r="X1804" s="18">
        <v>1</v>
      </c>
      <c r="Y1804" s="12">
        <v>0</v>
      </c>
      <c r="Z1804" s="18">
        <v>0</v>
      </c>
      <c r="AA1804" s="18">
        <v>0</v>
      </c>
      <c r="AB1804" s="18">
        <v>0</v>
      </c>
      <c r="AC1804" s="18">
        <v>0</v>
      </c>
      <c r="AD1804" s="18">
        <v>1</v>
      </c>
      <c r="AE1804" s="18">
        <v>0</v>
      </c>
      <c r="AF1804" s="18">
        <v>1</v>
      </c>
      <c r="AG1804" s="18">
        <v>0</v>
      </c>
      <c r="AH1804" s="18">
        <v>0</v>
      </c>
      <c r="AI1804" s="12">
        <v>7</v>
      </c>
      <c r="AJ1804" s="12">
        <v>0</v>
      </c>
      <c r="AK1804" s="12">
        <v>0</v>
      </c>
      <c r="AL1804" s="12">
        <v>9</v>
      </c>
      <c r="AM1804" s="18">
        <v>0</v>
      </c>
      <c r="AN1804" s="18">
        <v>0</v>
      </c>
      <c r="AO1804" s="21">
        <v>0</v>
      </c>
      <c r="AP1804" s="16">
        <v>0.1</v>
      </c>
      <c r="AQ1804" s="18">
        <v>3000</v>
      </c>
      <c r="AR1804" s="18">
        <v>0.5</v>
      </c>
      <c r="AS1804" s="18">
        <v>20</v>
      </c>
      <c r="AT1804" s="12">
        <v>0</v>
      </c>
      <c r="AU1804" s="18" t="s">
        <v>198</v>
      </c>
      <c r="AV1804" s="18"/>
      <c r="AW1804" s="19" t="s">
        <v>741</v>
      </c>
      <c r="AX1804" s="18" t="s">
        <v>249</v>
      </c>
      <c r="AY1804" s="18">
        <v>12000006</v>
      </c>
      <c r="AZ1804" s="26">
        <v>20100210</v>
      </c>
      <c r="BA1804" s="19" t="s">
        <v>250</v>
      </c>
      <c r="BB1804" s="19" t="s">
        <v>198</v>
      </c>
      <c r="BC1804" s="27">
        <v>0</v>
      </c>
      <c r="BD1804" s="27">
        <v>0</v>
      </c>
      <c r="BE1804" s="44"/>
      <c r="BF1804" s="44"/>
      <c r="BG1804" s="18">
        <v>0</v>
      </c>
      <c r="BH1804" s="18">
        <v>0</v>
      </c>
      <c r="BI1804" s="18">
        <v>0</v>
      </c>
      <c r="BJ1804" s="18">
        <v>0</v>
      </c>
      <c r="BK1804" s="18">
        <v>0</v>
      </c>
      <c r="BL1804" s="18">
        <v>0</v>
      </c>
      <c r="BM1804" s="18">
        <v>0</v>
      </c>
      <c r="BN1804" s="12">
        <v>0</v>
      </c>
      <c r="BO1804" s="12">
        <v>0</v>
      </c>
      <c r="BP1804" s="12">
        <v>0</v>
      </c>
      <c r="BQ1804" s="12">
        <v>0</v>
      </c>
      <c r="BR1804" s="12">
        <v>0</v>
      </c>
      <c r="BS1804" s="12">
        <v>0</v>
      </c>
      <c r="BT1804" s="12">
        <v>0</v>
      </c>
      <c r="BU1804" s="47">
        <v>0</v>
      </c>
      <c r="BV1804" s="47"/>
      <c r="BW1804" s="47"/>
    </row>
    <row r="1805" spans="3:75" ht="20.100000000000001" customHeight="1">
      <c r="C1805" s="64">
        <v>70000008</v>
      </c>
      <c r="D1805" s="63" t="s">
        <v>4185</v>
      </c>
      <c r="E1805" s="63" t="s">
        <v>4186</v>
      </c>
      <c r="F1805" s="64">
        <v>1</v>
      </c>
      <c r="G1805" s="64">
        <v>60010500</v>
      </c>
      <c r="H1805" s="64">
        <v>0</v>
      </c>
      <c r="I1805" s="66">
        <v>0</v>
      </c>
      <c r="J1805" s="64">
        <v>1</v>
      </c>
      <c r="K1805" s="64">
        <v>0</v>
      </c>
      <c r="L1805" s="60">
        <v>0</v>
      </c>
      <c r="M1805" s="64">
        <v>0</v>
      </c>
      <c r="N1805" s="64">
        <v>0</v>
      </c>
      <c r="O1805" s="64">
        <v>1</v>
      </c>
      <c r="P1805" s="64">
        <v>0</v>
      </c>
      <c r="Q1805" s="64">
        <v>0</v>
      </c>
      <c r="R1805" s="64">
        <v>0</v>
      </c>
      <c r="S1805" s="12">
        <v>0</v>
      </c>
      <c r="T1805" s="64">
        <v>0</v>
      </c>
      <c r="U1805" s="60">
        <v>0</v>
      </c>
      <c r="V1805" s="64">
        <v>1</v>
      </c>
      <c r="W1805" s="64">
        <v>0</v>
      </c>
      <c r="X1805" s="64">
        <v>1</v>
      </c>
      <c r="Y1805" s="12">
        <v>0</v>
      </c>
      <c r="Z1805" s="64">
        <v>0</v>
      </c>
      <c r="AA1805" s="64">
        <v>0</v>
      </c>
      <c r="AB1805" s="64">
        <v>0</v>
      </c>
      <c r="AC1805" s="64">
        <v>0</v>
      </c>
      <c r="AD1805" s="64">
        <v>1</v>
      </c>
      <c r="AE1805" s="64">
        <v>0</v>
      </c>
      <c r="AF1805" s="64">
        <v>1</v>
      </c>
      <c r="AG1805" s="64">
        <v>1</v>
      </c>
      <c r="AH1805" s="64">
        <v>9</v>
      </c>
      <c r="AI1805" s="68">
        <v>7</v>
      </c>
      <c r="AJ1805" s="68">
        <v>0</v>
      </c>
      <c r="AK1805" s="12">
        <v>0</v>
      </c>
      <c r="AL1805" s="68">
        <v>9</v>
      </c>
      <c r="AM1805" s="64">
        <v>0</v>
      </c>
      <c r="AN1805" s="64">
        <v>0</v>
      </c>
      <c r="AO1805" s="64">
        <v>0</v>
      </c>
      <c r="AP1805" s="64">
        <v>0.5</v>
      </c>
      <c r="AQ1805" s="64">
        <v>3000</v>
      </c>
      <c r="AR1805" s="64">
        <v>0.5</v>
      </c>
      <c r="AS1805" s="64">
        <v>20</v>
      </c>
      <c r="AT1805" s="68">
        <v>0</v>
      </c>
      <c r="AU1805" s="64" t="s">
        <v>198</v>
      </c>
      <c r="AV1805" s="64"/>
      <c r="AW1805" s="19" t="s">
        <v>741</v>
      </c>
      <c r="AX1805" s="64" t="s">
        <v>249</v>
      </c>
      <c r="AY1805" s="64">
        <v>12000006</v>
      </c>
      <c r="AZ1805" s="125">
        <v>20000025</v>
      </c>
      <c r="BA1805" s="63" t="s">
        <v>250</v>
      </c>
      <c r="BB1805" s="63" t="s">
        <v>198</v>
      </c>
      <c r="BC1805" s="66">
        <v>0</v>
      </c>
      <c r="BD1805" s="66">
        <v>0</v>
      </c>
      <c r="BE1805" s="90"/>
      <c r="BF1805" s="90"/>
      <c r="BG1805" s="64">
        <v>0</v>
      </c>
      <c r="BH1805" s="64">
        <v>0</v>
      </c>
      <c r="BI1805" s="64">
        <v>0</v>
      </c>
      <c r="BJ1805" s="64">
        <v>0</v>
      </c>
      <c r="BK1805" s="64">
        <v>0</v>
      </c>
      <c r="BL1805" s="64">
        <v>0</v>
      </c>
      <c r="BM1805" s="64">
        <v>0</v>
      </c>
      <c r="BN1805" s="12">
        <v>0</v>
      </c>
      <c r="BO1805" s="12">
        <v>0</v>
      </c>
      <c r="BP1805" s="12">
        <v>0</v>
      </c>
      <c r="BQ1805" s="12">
        <v>0</v>
      </c>
      <c r="BR1805" s="12">
        <v>0</v>
      </c>
      <c r="BS1805" s="12">
        <v>0</v>
      </c>
      <c r="BT1805" s="12">
        <v>0</v>
      </c>
      <c r="BU1805" s="47">
        <v>0</v>
      </c>
      <c r="BV1805" s="47"/>
      <c r="BW1805" s="47"/>
    </row>
    <row r="1806" spans="3:75" ht="20.100000000000001" customHeight="1">
      <c r="C1806" s="64">
        <v>70000009</v>
      </c>
      <c r="D1806" s="63" t="s">
        <v>4183</v>
      </c>
      <c r="E1806" s="63" t="s">
        <v>4184</v>
      </c>
      <c r="F1806" s="18">
        <v>1</v>
      </c>
      <c r="G1806" s="18">
        <v>60010500</v>
      </c>
      <c r="H1806" s="18">
        <v>60000302</v>
      </c>
      <c r="I1806" s="27">
        <v>0</v>
      </c>
      <c r="J1806" s="18">
        <v>1</v>
      </c>
      <c r="K1806" s="18">
        <v>3</v>
      </c>
      <c r="L1806" s="16">
        <v>0</v>
      </c>
      <c r="M1806" s="18">
        <v>0</v>
      </c>
      <c r="N1806" s="18">
        <v>0</v>
      </c>
      <c r="O1806" s="18">
        <v>1</v>
      </c>
      <c r="P1806" s="18">
        <v>0</v>
      </c>
      <c r="Q1806" s="18">
        <v>0</v>
      </c>
      <c r="R1806" s="18">
        <v>0</v>
      </c>
      <c r="S1806" s="12">
        <v>0</v>
      </c>
      <c r="T1806" s="18">
        <v>0</v>
      </c>
      <c r="U1806" s="16">
        <v>0</v>
      </c>
      <c r="V1806" s="18">
        <v>1</v>
      </c>
      <c r="W1806" s="18">
        <v>0</v>
      </c>
      <c r="X1806" s="18">
        <v>1</v>
      </c>
      <c r="Y1806" s="12">
        <v>0</v>
      </c>
      <c r="Z1806" s="18">
        <v>0</v>
      </c>
      <c r="AA1806" s="18">
        <v>0</v>
      </c>
      <c r="AB1806" s="18">
        <v>0</v>
      </c>
      <c r="AC1806" s="18">
        <v>0</v>
      </c>
      <c r="AD1806" s="18">
        <v>1</v>
      </c>
      <c r="AE1806" s="18">
        <v>0</v>
      </c>
      <c r="AF1806" s="18">
        <v>1</v>
      </c>
      <c r="AG1806" s="18">
        <v>0</v>
      </c>
      <c r="AH1806" s="18">
        <v>0</v>
      </c>
      <c r="AI1806" s="12">
        <v>7</v>
      </c>
      <c r="AJ1806" s="12">
        <v>0</v>
      </c>
      <c r="AK1806" s="12">
        <v>0</v>
      </c>
      <c r="AL1806" s="12">
        <v>9</v>
      </c>
      <c r="AM1806" s="18">
        <v>0</v>
      </c>
      <c r="AN1806" s="18">
        <v>0</v>
      </c>
      <c r="AO1806" s="21">
        <v>0</v>
      </c>
      <c r="AP1806" s="16">
        <v>0.1</v>
      </c>
      <c r="AQ1806" s="18">
        <v>3000</v>
      </c>
      <c r="AR1806" s="18">
        <v>0.5</v>
      </c>
      <c r="AS1806" s="18">
        <v>20</v>
      </c>
      <c r="AT1806" s="12">
        <v>0</v>
      </c>
      <c r="AU1806" s="18" t="s">
        <v>198</v>
      </c>
      <c r="AV1806" s="18"/>
      <c r="AW1806" s="19" t="s">
        <v>741</v>
      </c>
      <c r="AX1806" s="18" t="s">
        <v>249</v>
      </c>
      <c r="AY1806" s="18">
        <v>12000006</v>
      </c>
      <c r="AZ1806" s="26">
        <v>20000040</v>
      </c>
      <c r="BA1806" s="19" t="s">
        <v>250</v>
      </c>
      <c r="BB1806" s="19" t="s">
        <v>198</v>
      </c>
      <c r="BC1806" s="27">
        <v>0</v>
      </c>
      <c r="BD1806" s="27">
        <v>0</v>
      </c>
      <c r="BE1806" s="44"/>
      <c r="BF1806" s="44"/>
      <c r="BG1806" s="18">
        <v>0</v>
      </c>
      <c r="BH1806" s="18">
        <v>0</v>
      </c>
      <c r="BI1806" s="18">
        <v>0</v>
      </c>
      <c r="BJ1806" s="18">
        <v>0</v>
      </c>
      <c r="BK1806" s="18">
        <v>0</v>
      </c>
      <c r="BL1806" s="18">
        <v>0</v>
      </c>
      <c r="BM1806" s="18">
        <v>0</v>
      </c>
      <c r="BN1806" s="12">
        <v>0</v>
      </c>
      <c r="BO1806" s="12">
        <v>0</v>
      </c>
      <c r="BP1806" s="12">
        <v>0</v>
      </c>
      <c r="BQ1806" s="12">
        <v>0</v>
      </c>
      <c r="BR1806" s="12">
        <v>0</v>
      </c>
      <c r="BS1806" s="12">
        <v>0</v>
      </c>
      <c r="BT1806" s="12">
        <v>0</v>
      </c>
      <c r="BU1806" s="47">
        <v>0</v>
      </c>
      <c r="BV1806" s="47"/>
      <c r="BW1806" s="47"/>
    </row>
    <row r="1807" spans="3:75" ht="20.100000000000001" customHeight="1">
      <c r="C1807" s="18">
        <v>70000011</v>
      </c>
      <c r="D1807" s="19" t="s">
        <v>4187</v>
      </c>
      <c r="E1807" s="19" t="s">
        <v>4188</v>
      </c>
      <c r="F1807" s="18">
        <v>1</v>
      </c>
      <c r="G1807" s="18">
        <v>0</v>
      </c>
      <c r="H1807" s="18">
        <v>0</v>
      </c>
      <c r="I1807" s="27">
        <v>0</v>
      </c>
      <c r="J1807" s="18">
        <v>1</v>
      </c>
      <c r="K1807" s="18">
        <v>0</v>
      </c>
      <c r="L1807" s="18">
        <v>0</v>
      </c>
      <c r="M1807" s="18">
        <v>0</v>
      </c>
      <c r="N1807" s="18">
        <v>0</v>
      </c>
      <c r="O1807" s="18">
        <v>1</v>
      </c>
      <c r="P1807" s="18">
        <v>0</v>
      </c>
      <c r="Q1807" s="18">
        <v>0</v>
      </c>
      <c r="R1807" s="18">
        <v>0</v>
      </c>
      <c r="S1807" s="12">
        <v>0</v>
      </c>
      <c r="T1807" s="27">
        <v>0</v>
      </c>
      <c r="U1807" s="16">
        <v>0</v>
      </c>
      <c r="V1807" s="18">
        <v>1</v>
      </c>
      <c r="W1807" s="18">
        <v>0</v>
      </c>
      <c r="X1807" s="18">
        <v>1</v>
      </c>
      <c r="Y1807" s="12">
        <v>0</v>
      </c>
      <c r="Z1807" s="18">
        <v>0</v>
      </c>
      <c r="AA1807" s="18">
        <v>0</v>
      </c>
      <c r="AB1807" s="18">
        <v>0</v>
      </c>
      <c r="AC1807" s="18">
        <v>0</v>
      </c>
      <c r="AD1807" s="18">
        <v>1</v>
      </c>
      <c r="AE1807" s="18">
        <v>0</v>
      </c>
      <c r="AF1807" s="18">
        <v>1</v>
      </c>
      <c r="AG1807" s="18">
        <v>1</v>
      </c>
      <c r="AH1807" s="18">
        <v>2</v>
      </c>
      <c r="AI1807" s="12">
        <v>7</v>
      </c>
      <c r="AJ1807" s="12">
        <v>0</v>
      </c>
      <c r="AK1807" s="12">
        <v>0</v>
      </c>
      <c r="AL1807" s="12">
        <v>0</v>
      </c>
      <c r="AM1807" s="18">
        <v>0</v>
      </c>
      <c r="AN1807" s="18">
        <v>0</v>
      </c>
      <c r="AO1807" s="18">
        <v>0</v>
      </c>
      <c r="AP1807" s="18">
        <v>0</v>
      </c>
      <c r="AQ1807" s="18">
        <v>1000</v>
      </c>
      <c r="AR1807" s="18">
        <v>0.5</v>
      </c>
      <c r="AS1807" s="18">
        <v>0</v>
      </c>
      <c r="AT1807" s="12">
        <v>0</v>
      </c>
      <c r="AU1807" s="18" t="s">
        <v>198</v>
      </c>
      <c r="AV1807" s="18"/>
      <c r="AW1807" s="19" t="s">
        <v>741</v>
      </c>
      <c r="AX1807" s="64">
        <v>0</v>
      </c>
      <c r="AY1807" s="26">
        <v>12000006</v>
      </c>
      <c r="AZ1807" s="18">
        <v>0</v>
      </c>
      <c r="BA1807" s="19" t="s">
        <v>200</v>
      </c>
      <c r="BB1807" s="19" t="s">
        <v>198</v>
      </c>
      <c r="BC1807" s="27">
        <v>0</v>
      </c>
      <c r="BD1807" s="27">
        <v>0</v>
      </c>
      <c r="BE1807" s="87"/>
      <c r="BF1807" s="87"/>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64">
        <v>70000012</v>
      </c>
      <c r="D1808" s="63" t="s">
        <v>4189</v>
      </c>
      <c r="E1808" s="63" t="s">
        <v>4190</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2</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18">
        <v>70000101</v>
      </c>
      <c r="D1809" s="19" t="s">
        <v>4173</v>
      </c>
      <c r="E1809" s="19" t="s">
        <v>4174</v>
      </c>
      <c r="F1809" s="18">
        <v>1</v>
      </c>
      <c r="G1809" s="74">
        <v>0</v>
      </c>
      <c r="H1809" s="18">
        <v>0</v>
      </c>
      <c r="I1809" s="27">
        <v>0</v>
      </c>
      <c r="J1809" s="18">
        <v>1</v>
      </c>
      <c r="K1809" s="18">
        <v>0</v>
      </c>
      <c r="L1809" s="18">
        <v>0</v>
      </c>
      <c r="M1809" s="18">
        <v>0</v>
      </c>
      <c r="N1809" s="18">
        <v>0</v>
      </c>
      <c r="O1809" s="18">
        <v>1</v>
      </c>
      <c r="P1809" s="18">
        <v>0</v>
      </c>
      <c r="Q1809" s="18">
        <v>0</v>
      </c>
      <c r="R1809" s="18">
        <v>0</v>
      </c>
      <c r="S1809" s="12">
        <v>0</v>
      </c>
      <c r="T1809" s="27">
        <v>0</v>
      </c>
      <c r="U1809" s="16">
        <v>0</v>
      </c>
      <c r="V1809" s="18">
        <v>1</v>
      </c>
      <c r="W1809" s="18">
        <v>0</v>
      </c>
      <c r="X1809" s="18">
        <v>1</v>
      </c>
      <c r="Y1809" s="12">
        <v>0</v>
      </c>
      <c r="Z1809" s="18">
        <v>0</v>
      </c>
      <c r="AA1809" s="18">
        <v>0</v>
      </c>
      <c r="AB1809" s="18">
        <v>0</v>
      </c>
      <c r="AC1809" s="18">
        <v>0</v>
      </c>
      <c r="AD1809" s="18">
        <v>1</v>
      </c>
      <c r="AE1809" s="18">
        <v>0</v>
      </c>
      <c r="AF1809" s="18">
        <v>1</v>
      </c>
      <c r="AG1809" s="18">
        <v>1</v>
      </c>
      <c r="AH1809" s="18">
        <v>2</v>
      </c>
      <c r="AI1809" s="12">
        <v>7</v>
      </c>
      <c r="AJ1809" s="12">
        <v>0</v>
      </c>
      <c r="AK1809" s="12">
        <v>0</v>
      </c>
      <c r="AL1809" s="12">
        <v>0</v>
      </c>
      <c r="AM1809" s="18">
        <v>0</v>
      </c>
      <c r="AN1809" s="18">
        <v>0</v>
      </c>
      <c r="AO1809" s="18">
        <v>0</v>
      </c>
      <c r="AP1809" s="18">
        <v>0</v>
      </c>
      <c r="AQ1809" s="18">
        <v>700</v>
      </c>
      <c r="AR1809" s="18">
        <v>0.05</v>
      </c>
      <c r="AS1809" s="18">
        <v>0</v>
      </c>
      <c r="AT1809" s="12">
        <v>0</v>
      </c>
      <c r="AU1809" s="18" t="s">
        <v>198</v>
      </c>
      <c r="AV1809" s="18"/>
      <c r="AW1809" s="19" t="s">
        <v>741</v>
      </c>
      <c r="AX1809" s="18">
        <v>0</v>
      </c>
      <c r="AY1809" s="64">
        <v>12000006</v>
      </c>
      <c r="AZ1809" s="18">
        <v>0</v>
      </c>
      <c r="BA1809" s="19" t="s">
        <v>200</v>
      </c>
      <c r="BB1809" s="19" t="s">
        <v>198</v>
      </c>
      <c r="BC1809" s="27">
        <v>0</v>
      </c>
      <c r="BD1809" s="27">
        <v>0</v>
      </c>
      <c r="BE1809" s="87"/>
      <c r="BF1809" s="87"/>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18">
        <v>70000102</v>
      </c>
      <c r="D1810" s="19" t="s">
        <v>4173</v>
      </c>
      <c r="E1810" s="19" t="s">
        <v>4174</v>
      </c>
      <c r="F1810" s="18">
        <v>1</v>
      </c>
      <c r="G1810" s="74">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700</v>
      </c>
      <c r="AR1810" s="18">
        <v>0.1</v>
      </c>
      <c r="AS1810" s="18">
        <v>0</v>
      </c>
      <c r="AT1810" s="12">
        <v>0</v>
      </c>
      <c r="AU1810" s="18" t="s">
        <v>198</v>
      </c>
      <c r="AV1810" s="18"/>
      <c r="AW1810" s="19" t="s">
        <v>741</v>
      </c>
      <c r="AX1810" s="18">
        <v>0</v>
      </c>
      <c r="AY1810" s="64">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18">
        <v>70000103</v>
      </c>
      <c r="D1811" s="19" t="s">
        <v>4173</v>
      </c>
      <c r="E1811" s="19" t="s">
        <v>4174</v>
      </c>
      <c r="F1811" s="18">
        <v>1</v>
      </c>
      <c r="G1811" s="74">
        <v>0</v>
      </c>
      <c r="H1811" s="18">
        <v>0</v>
      </c>
      <c r="I1811" s="27">
        <v>0</v>
      </c>
      <c r="J1811" s="18">
        <v>1</v>
      </c>
      <c r="K1811" s="18">
        <v>0</v>
      </c>
      <c r="L1811" s="18">
        <v>0</v>
      </c>
      <c r="M1811" s="18">
        <v>0</v>
      </c>
      <c r="N1811" s="18">
        <v>0</v>
      </c>
      <c r="O1811" s="18">
        <v>1</v>
      </c>
      <c r="P1811" s="18">
        <v>0</v>
      </c>
      <c r="Q1811" s="18">
        <v>0</v>
      </c>
      <c r="R1811" s="18">
        <v>0</v>
      </c>
      <c r="S1811" s="12">
        <v>0</v>
      </c>
      <c r="T1811" s="27">
        <v>0</v>
      </c>
      <c r="U1811" s="16">
        <v>0</v>
      </c>
      <c r="V1811" s="18">
        <v>1</v>
      </c>
      <c r="W1811" s="18">
        <v>0</v>
      </c>
      <c r="X1811" s="18">
        <v>1</v>
      </c>
      <c r="Y1811" s="12">
        <v>0</v>
      </c>
      <c r="Z1811" s="18">
        <v>0</v>
      </c>
      <c r="AA1811" s="18">
        <v>0</v>
      </c>
      <c r="AB1811" s="18">
        <v>0</v>
      </c>
      <c r="AC1811" s="18">
        <v>0</v>
      </c>
      <c r="AD1811" s="18">
        <v>1</v>
      </c>
      <c r="AE1811" s="18">
        <v>0</v>
      </c>
      <c r="AF1811" s="18">
        <v>1</v>
      </c>
      <c r="AG1811" s="18">
        <v>1</v>
      </c>
      <c r="AH1811" s="18">
        <v>2</v>
      </c>
      <c r="AI1811" s="12">
        <v>7</v>
      </c>
      <c r="AJ1811" s="12">
        <v>0</v>
      </c>
      <c r="AK1811" s="12">
        <v>0</v>
      </c>
      <c r="AL1811" s="12">
        <v>0</v>
      </c>
      <c r="AM1811" s="18">
        <v>0</v>
      </c>
      <c r="AN1811" s="18">
        <v>0</v>
      </c>
      <c r="AO1811" s="18">
        <v>0</v>
      </c>
      <c r="AP1811" s="18">
        <v>0</v>
      </c>
      <c r="AQ1811" s="18">
        <v>700</v>
      </c>
      <c r="AR1811" s="18">
        <v>0.15</v>
      </c>
      <c r="AS1811" s="18">
        <v>0</v>
      </c>
      <c r="AT1811" s="12">
        <v>0</v>
      </c>
      <c r="AU1811" s="18" t="s">
        <v>198</v>
      </c>
      <c r="AV1811" s="18"/>
      <c r="AW1811" s="19" t="s">
        <v>741</v>
      </c>
      <c r="AX1811" s="18">
        <v>0</v>
      </c>
      <c r="AY1811" s="64">
        <v>12000006</v>
      </c>
      <c r="AZ1811" s="18">
        <v>0</v>
      </c>
      <c r="BA1811" s="19" t="s">
        <v>200</v>
      </c>
      <c r="BB1811" s="19" t="s">
        <v>198</v>
      </c>
      <c r="BC1811" s="27">
        <v>0</v>
      </c>
      <c r="BD1811" s="27">
        <v>0</v>
      </c>
      <c r="BE1811" s="87"/>
      <c r="BF1811" s="87"/>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18">
        <v>70000104</v>
      </c>
      <c r="D1812" s="19" t="s">
        <v>4173</v>
      </c>
      <c r="E1812" s="19" t="s">
        <v>4174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0.2</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70000105</v>
      </c>
      <c r="D1813" s="19" t="s">
        <v>4173</v>
      </c>
      <c r="E1813" s="19" t="s">
        <v>4174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0.25</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70000106</v>
      </c>
      <c r="D1814" s="19" t="s">
        <v>4173</v>
      </c>
      <c r="E1814" s="19" t="s">
        <v>4174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0.3</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70000107</v>
      </c>
      <c r="D1815" s="19" t="s">
        <v>4173</v>
      </c>
      <c r="E1815" s="19" t="s">
        <v>4174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0.35</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70000108</v>
      </c>
      <c r="D1816" s="19" t="s">
        <v>4173</v>
      </c>
      <c r="E1816" s="19" t="s">
        <v>4174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0.4</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70000109</v>
      </c>
      <c r="D1817" s="19" t="s">
        <v>4173</v>
      </c>
      <c r="E1817" s="19" t="s">
        <v>4174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0.45</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70000110</v>
      </c>
      <c r="D1818" s="19" t="s">
        <v>4173</v>
      </c>
      <c r="E1818" s="19" t="s">
        <v>4174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0.5</v>
      </c>
      <c r="AS1818" s="18">
        <v>0</v>
      </c>
      <c r="AT1818" s="12">
        <v>0</v>
      </c>
      <c r="AU1818" s="18">
        <v>0</v>
      </c>
      <c r="AV1818" s="18"/>
      <c r="AW1818" s="19" t="s">
        <v>741</v>
      </c>
      <c r="AX1818" s="18">
        <v>0</v>
      </c>
      <c r="AY1818" s="64">
        <v>12000006</v>
      </c>
      <c r="AZ1818" s="18">
        <v>0</v>
      </c>
      <c r="BA1818" s="19" t="s">
        <v>200</v>
      </c>
      <c r="BB1818" s="19" t="s">
        <v>371</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19.5" customHeight="1">
      <c r="C1819" s="18">
        <v>70000111</v>
      </c>
      <c r="D1819" s="19" t="s">
        <v>4173</v>
      </c>
      <c r="E1819" s="19" t="s">
        <v>4174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0.8</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70001001</v>
      </c>
      <c r="D1820" s="17" t="s">
        <v>598</v>
      </c>
      <c r="E1820" s="17" t="s">
        <v>1162</v>
      </c>
      <c r="F1820" s="18">
        <v>1</v>
      </c>
      <c r="G1820" s="16">
        <v>60010300</v>
      </c>
      <c r="H1820" s="18">
        <v>0</v>
      </c>
      <c r="I1820" s="27">
        <v>0</v>
      </c>
      <c r="J1820" s="18">
        <v>1</v>
      </c>
      <c r="K1820" s="18">
        <v>0</v>
      </c>
      <c r="L1820" s="18">
        <v>0</v>
      </c>
      <c r="M1820" s="16">
        <v>0</v>
      </c>
      <c r="N1820" s="16">
        <v>0</v>
      </c>
      <c r="O1820" s="16">
        <v>2</v>
      </c>
      <c r="P1820" s="16">
        <v>1</v>
      </c>
      <c r="Q1820" s="16">
        <v>0.3</v>
      </c>
      <c r="R1820" s="16">
        <v>0</v>
      </c>
      <c r="S1820" s="12">
        <v>0</v>
      </c>
      <c r="T1820" s="16">
        <v>0</v>
      </c>
      <c r="U1820" s="16">
        <v>1</v>
      </c>
      <c r="V1820" s="16">
        <v>2</v>
      </c>
      <c r="W1820" s="16">
        <v>0</v>
      </c>
      <c r="X1820" s="16">
        <v>3</v>
      </c>
      <c r="Y1820" s="12">
        <v>0</v>
      </c>
      <c r="Z1820" s="16">
        <v>350</v>
      </c>
      <c r="AA1820" s="16">
        <v>0</v>
      </c>
      <c r="AB1820" s="16">
        <v>0</v>
      </c>
      <c r="AC1820" s="16">
        <v>0</v>
      </c>
      <c r="AD1820" s="16">
        <v>0</v>
      </c>
      <c r="AE1820" s="16">
        <v>0</v>
      </c>
      <c r="AF1820" s="16">
        <v>9</v>
      </c>
      <c r="AG1820" s="16">
        <v>2</v>
      </c>
      <c r="AH1820" s="16" t="s">
        <v>213</v>
      </c>
      <c r="AI1820" s="12">
        <v>0</v>
      </c>
      <c r="AJ1820" s="12">
        <v>2</v>
      </c>
      <c r="AK1820" s="12">
        <v>0</v>
      </c>
      <c r="AL1820" s="12">
        <v>1.5</v>
      </c>
      <c r="AM1820" s="16">
        <v>0</v>
      </c>
      <c r="AN1820" s="16">
        <v>0</v>
      </c>
      <c r="AO1820" s="16">
        <v>0</v>
      </c>
      <c r="AP1820" s="16">
        <v>1</v>
      </c>
      <c r="AQ1820" s="16">
        <v>3000</v>
      </c>
      <c r="AR1820" s="16">
        <v>0.5</v>
      </c>
      <c r="AS1820" s="16">
        <v>0</v>
      </c>
      <c r="AT1820" s="12">
        <v>0</v>
      </c>
      <c r="AU1820" s="16" t="s">
        <v>198</v>
      </c>
      <c r="AV1820" s="16"/>
      <c r="AW1820" s="17" t="s">
        <v>287</v>
      </c>
      <c r="AX1820" s="16" t="s">
        <v>545</v>
      </c>
      <c r="AY1820" s="18">
        <v>10000007</v>
      </c>
      <c r="AZ1820" s="18">
        <v>21000110</v>
      </c>
      <c r="BA1820" s="17" t="s">
        <v>200</v>
      </c>
      <c r="BB1820" s="16">
        <v>0</v>
      </c>
      <c r="BC1820" s="27">
        <v>0</v>
      </c>
      <c r="BD1820" s="27">
        <v>0</v>
      </c>
      <c r="BE1820" s="44" t="s">
        <v>577</v>
      </c>
      <c r="BF1820" s="44" t="s">
        <v>578</v>
      </c>
      <c r="BG1820" s="16">
        <v>0</v>
      </c>
      <c r="BH1820" s="16">
        <v>0</v>
      </c>
      <c r="BI1820" s="16">
        <v>0</v>
      </c>
      <c r="BJ1820" s="16">
        <v>0</v>
      </c>
      <c r="BK1820" s="16">
        <v>0</v>
      </c>
      <c r="BL1820" s="16">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70101001</v>
      </c>
      <c r="D1821" s="17" t="s">
        <v>589</v>
      </c>
      <c r="E1821" s="17" t="s">
        <v>590</v>
      </c>
      <c r="F1821" s="18">
        <v>1</v>
      </c>
      <c r="G1821" s="16">
        <v>60010300</v>
      </c>
      <c r="H1821" s="18">
        <v>0</v>
      </c>
      <c r="I1821" s="27">
        <v>0</v>
      </c>
      <c r="J1821" s="18">
        <v>1</v>
      </c>
      <c r="K1821" s="18">
        <v>0</v>
      </c>
      <c r="L1821" s="18">
        <v>0</v>
      </c>
      <c r="M1821" s="16">
        <v>0</v>
      </c>
      <c r="N1821" s="16">
        <v>0</v>
      </c>
      <c r="O1821" s="16">
        <v>2</v>
      </c>
      <c r="P1821" s="16">
        <v>2</v>
      </c>
      <c r="Q1821" s="16">
        <v>0.8</v>
      </c>
      <c r="R1821" s="16">
        <v>0</v>
      </c>
      <c r="S1821" s="12">
        <v>0</v>
      </c>
      <c r="T1821" s="16">
        <v>0</v>
      </c>
      <c r="U1821" s="16">
        <v>1</v>
      </c>
      <c r="V1821" s="16">
        <v>2</v>
      </c>
      <c r="W1821" s="16">
        <v>0</v>
      </c>
      <c r="X1821" s="16">
        <v>0</v>
      </c>
      <c r="Y1821" s="12">
        <v>0</v>
      </c>
      <c r="Z1821" s="16">
        <v>0</v>
      </c>
      <c r="AA1821" s="16">
        <v>0</v>
      </c>
      <c r="AB1821" s="16">
        <v>0</v>
      </c>
      <c r="AC1821" s="16">
        <v>0</v>
      </c>
      <c r="AD1821" s="16">
        <v>0</v>
      </c>
      <c r="AE1821" s="16">
        <v>0</v>
      </c>
      <c r="AF1821" s="16">
        <v>20</v>
      </c>
      <c r="AG1821" s="16">
        <v>0</v>
      </c>
      <c r="AH1821" s="16">
        <v>0</v>
      </c>
      <c r="AI1821" s="12">
        <v>2</v>
      </c>
      <c r="AJ1821" s="12">
        <v>2</v>
      </c>
      <c r="AK1821" s="12">
        <v>0</v>
      </c>
      <c r="AL1821" s="12">
        <v>1.5</v>
      </c>
      <c r="AM1821" s="16">
        <v>0</v>
      </c>
      <c r="AN1821" s="16">
        <v>0</v>
      </c>
      <c r="AO1821" s="16">
        <v>0</v>
      </c>
      <c r="AP1821" s="16">
        <v>1</v>
      </c>
      <c r="AQ1821" s="16">
        <v>3000</v>
      </c>
      <c r="AR1821" s="16">
        <v>0.5</v>
      </c>
      <c r="AS1821" s="16">
        <v>0</v>
      </c>
      <c r="AT1821" s="12">
        <v>0</v>
      </c>
      <c r="AU1821" s="16" t="s">
        <v>198</v>
      </c>
      <c r="AV1821" s="16"/>
      <c r="AW1821" s="17" t="s">
        <v>199</v>
      </c>
      <c r="AX1821" s="16" t="s">
        <v>545</v>
      </c>
      <c r="AY1821" s="18">
        <v>0</v>
      </c>
      <c r="AZ1821" s="18">
        <v>0</v>
      </c>
      <c r="BA1821" s="17" t="s">
        <v>528</v>
      </c>
      <c r="BB1821" s="16" t="s">
        <v>4191</v>
      </c>
      <c r="BC1821" s="27">
        <v>0</v>
      </c>
      <c r="BD1821" s="27">
        <v>0</v>
      </c>
      <c r="BE1821" s="44" t="s">
        <v>4192</v>
      </c>
      <c r="BF1821" s="44" t="s">
        <v>4193</v>
      </c>
      <c r="BG1821" s="16">
        <v>0</v>
      </c>
      <c r="BH1821" s="16">
        <v>0</v>
      </c>
      <c r="BI1821" s="16">
        <v>0</v>
      </c>
      <c r="BJ1821" s="16">
        <v>0</v>
      </c>
      <c r="BK1821" s="16">
        <v>0</v>
      </c>
      <c r="BL1821" s="16">
        <v>0</v>
      </c>
      <c r="BM1821" s="15">
        <v>0</v>
      </c>
      <c r="BN1821" s="12">
        <v>0</v>
      </c>
      <c r="BO1821" s="12">
        <v>0</v>
      </c>
      <c r="BP1821" s="12">
        <v>0</v>
      </c>
      <c r="BQ1821" s="12">
        <v>0</v>
      </c>
      <c r="BR1821" s="12">
        <v>0</v>
      </c>
      <c r="BS1821" s="12">
        <v>0</v>
      </c>
      <c r="BT1821" s="12">
        <v>0</v>
      </c>
      <c r="BU1821" s="47">
        <v>0</v>
      </c>
      <c r="BV1821" s="47"/>
      <c r="BW1821" s="47"/>
    </row>
    <row r="1822" spans="3:75" ht="21.75" customHeight="1">
      <c r="C1822" s="18">
        <v>70102001</v>
      </c>
      <c r="D1822" s="17" t="s">
        <v>532</v>
      </c>
      <c r="E1822" s="17" t="s">
        <v>255</v>
      </c>
      <c r="F1822" s="18">
        <v>1</v>
      </c>
      <c r="G1822" s="16">
        <v>60010100</v>
      </c>
      <c r="H1822" s="18">
        <v>0</v>
      </c>
      <c r="I1822" s="27">
        <v>0</v>
      </c>
      <c r="J1822" s="18">
        <v>1</v>
      </c>
      <c r="K1822" s="18">
        <v>0</v>
      </c>
      <c r="L1822" s="18">
        <v>0</v>
      </c>
      <c r="M1822" s="16">
        <v>0</v>
      </c>
      <c r="N1822" s="16">
        <v>0</v>
      </c>
      <c r="O1822" s="16">
        <v>2</v>
      </c>
      <c r="P1822" s="16">
        <v>3</v>
      </c>
      <c r="Q1822" s="16">
        <v>1</v>
      </c>
      <c r="R1822" s="16">
        <v>0</v>
      </c>
      <c r="S1822" s="12">
        <v>0</v>
      </c>
      <c r="T1822" s="16">
        <v>0</v>
      </c>
      <c r="U1822" s="16">
        <v>1</v>
      </c>
      <c r="V1822" s="16">
        <v>2</v>
      </c>
      <c r="W1822" s="16">
        <v>0</v>
      </c>
      <c r="X1822" s="16">
        <v>3</v>
      </c>
      <c r="Y1822" s="12">
        <v>0</v>
      </c>
      <c r="Z1822" s="16">
        <v>0</v>
      </c>
      <c r="AA1822" s="16">
        <v>1</v>
      </c>
      <c r="AB1822" s="16">
        <v>0</v>
      </c>
      <c r="AC1822" s="16">
        <v>0</v>
      </c>
      <c r="AD1822" s="16">
        <v>0</v>
      </c>
      <c r="AE1822" s="16">
        <v>0</v>
      </c>
      <c r="AF1822" s="16">
        <v>9</v>
      </c>
      <c r="AG1822" s="16">
        <v>1</v>
      </c>
      <c r="AH1822" s="16">
        <v>4</v>
      </c>
      <c r="AI1822" s="12">
        <v>0</v>
      </c>
      <c r="AJ1822" s="12">
        <v>1</v>
      </c>
      <c r="AK1822" s="12">
        <v>0</v>
      </c>
      <c r="AL1822" s="12">
        <v>2</v>
      </c>
      <c r="AM1822" s="16">
        <v>0</v>
      </c>
      <c r="AN1822" s="16">
        <v>0</v>
      </c>
      <c r="AO1822" s="16">
        <v>0</v>
      </c>
      <c r="AP1822" s="16">
        <v>3</v>
      </c>
      <c r="AQ1822" s="16">
        <v>5000</v>
      </c>
      <c r="AR1822" s="16">
        <v>2.5</v>
      </c>
      <c r="AS1822" s="16">
        <v>0</v>
      </c>
      <c r="AT1822" s="12">
        <v>0</v>
      </c>
      <c r="AU1822" s="16" t="s">
        <v>533</v>
      </c>
      <c r="AV1822" s="16"/>
      <c r="AW1822" s="17" t="s">
        <v>287</v>
      </c>
      <c r="AX1822" s="16" t="s">
        <v>534</v>
      </c>
      <c r="AY1822" s="18">
        <v>10000007</v>
      </c>
      <c r="AZ1822" s="18">
        <v>70102001</v>
      </c>
      <c r="BA1822" s="17" t="s">
        <v>200</v>
      </c>
      <c r="BB1822" s="16" t="s">
        <v>4194</v>
      </c>
      <c r="BC1822" s="27">
        <v>0</v>
      </c>
      <c r="BD1822" s="27">
        <v>0</v>
      </c>
      <c r="BE1822" s="44" t="s">
        <v>536</v>
      </c>
      <c r="BF1822" s="44" t="s">
        <v>537</v>
      </c>
      <c r="BG1822" s="16">
        <v>0</v>
      </c>
      <c r="BH1822" s="16">
        <v>0</v>
      </c>
      <c r="BI1822" s="16">
        <v>0</v>
      </c>
      <c r="BJ1822" s="16">
        <v>0</v>
      </c>
      <c r="BK1822" s="16">
        <v>0</v>
      </c>
      <c r="BL1822" s="16">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70102002</v>
      </c>
      <c r="D1823" s="19" t="s">
        <v>538</v>
      </c>
      <c r="E1823" s="19" t="s">
        <v>539</v>
      </c>
      <c r="F1823" s="18">
        <v>1</v>
      </c>
      <c r="G1823" s="18">
        <v>60010500</v>
      </c>
      <c r="H1823" s="18">
        <v>0</v>
      </c>
      <c r="I1823" s="27">
        <v>0</v>
      </c>
      <c r="J1823" s="18">
        <v>1</v>
      </c>
      <c r="K1823" s="18">
        <v>0</v>
      </c>
      <c r="L1823" s="18">
        <v>0</v>
      </c>
      <c r="M1823" s="18">
        <v>0</v>
      </c>
      <c r="N1823" s="18">
        <v>0</v>
      </c>
      <c r="O1823" s="16">
        <v>2</v>
      </c>
      <c r="P1823" s="18">
        <v>2</v>
      </c>
      <c r="Q1823" s="18">
        <v>0.6</v>
      </c>
      <c r="R1823" s="18">
        <v>0</v>
      </c>
      <c r="S1823" s="12">
        <v>0</v>
      </c>
      <c r="T1823" s="27">
        <v>0</v>
      </c>
      <c r="U1823" s="16">
        <v>1</v>
      </c>
      <c r="V1823" s="18">
        <v>2</v>
      </c>
      <c r="W1823" s="18">
        <v>0</v>
      </c>
      <c r="X1823" s="18">
        <v>0</v>
      </c>
      <c r="Y1823" s="12">
        <v>0</v>
      </c>
      <c r="Z1823" s="18">
        <v>0</v>
      </c>
      <c r="AA1823" s="18">
        <v>0</v>
      </c>
      <c r="AB1823" s="18">
        <v>0</v>
      </c>
      <c r="AC1823" s="18">
        <v>0</v>
      </c>
      <c r="AD1823" s="18">
        <v>0</v>
      </c>
      <c r="AE1823" s="18">
        <v>0</v>
      </c>
      <c r="AF1823" s="18">
        <v>20</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v>90102001</v>
      </c>
      <c r="AU1823" s="18" t="s">
        <v>198</v>
      </c>
      <c r="AV1823" s="18"/>
      <c r="AW1823" s="19" t="s">
        <v>199</v>
      </c>
      <c r="AX1823" s="18" t="s">
        <v>348</v>
      </c>
      <c r="AY1823" s="18">
        <v>0</v>
      </c>
      <c r="AZ1823" s="18">
        <v>40000003</v>
      </c>
      <c r="BA1823" s="19" t="s">
        <v>200</v>
      </c>
      <c r="BB1823" s="19" t="s">
        <v>198</v>
      </c>
      <c r="BC1823" s="27">
        <v>0</v>
      </c>
      <c r="BD1823" s="27">
        <v>0</v>
      </c>
      <c r="BE1823" s="87" t="s">
        <v>540</v>
      </c>
      <c r="BF1823" s="87" t="s">
        <v>541</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70103001</v>
      </c>
      <c r="D1824" s="17" t="s">
        <v>543</v>
      </c>
      <c r="E1824" s="17" t="s">
        <v>544</v>
      </c>
      <c r="F1824" s="18">
        <v>1</v>
      </c>
      <c r="G1824" s="16">
        <v>60010300</v>
      </c>
      <c r="H1824" s="18">
        <v>0</v>
      </c>
      <c r="I1824" s="27">
        <v>0</v>
      </c>
      <c r="J1824" s="18">
        <v>1</v>
      </c>
      <c r="K1824" s="18">
        <v>0</v>
      </c>
      <c r="L1824" s="18">
        <v>0</v>
      </c>
      <c r="M1824" s="16">
        <v>0</v>
      </c>
      <c r="N1824" s="16">
        <v>0</v>
      </c>
      <c r="O1824" s="16">
        <v>2</v>
      </c>
      <c r="P1824" s="16">
        <v>1</v>
      </c>
      <c r="Q1824" s="16">
        <v>0.5</v>
      </c>
      <c r="R1824" s="16">
        <v>0</v>
      </c>
      <c r="S1824" s="12">
        <v>0</v>
      </c>
      <c r="T1824" s="16">
        <v>0</v>
      </c>
      <c r="U1824" s="16">
        <v>1</v>
      </c>
      <c r="V1824" s="16">
        <v>2</v>
      </c>
      <c r="W1824" s="16">
        <v>0</v>
      </c>
      <c r="X1824" s="16">
        <v>3</v>
      </c>
      <c r="Y1824" s="12">
        <v>0</v>
      </c>
      <c r="Z1824" s="16">
        <v>0</v>
      </c>
      <c r="AA1824" s="16">
        <v>0</v>
      </c>
      <c r="AB1824" s="16">
        <v>0</v>
      </c>
      <c r="AC1824" s="16">
        <v>0</v>
      </c>
      <c r="AD1824" s="16">
        <v>0</v>
      </c>
      <c r="AE1824" s="16">
        <v>0</v>
      </c>
      <c r="AF1824" s="16">
        <v>12</v>
      </c>
      <c r="AG1824" s="16">
        <v>2</v>
      </c>
      <c r="AH1824" s="16" t="s">
        <v>213</v>
      </c>
      <c r="AI1824" s="12">
        <v>0</v>
      </c>
      <c r="AJ1824" s="12">
        <v>2</v>
      </c>
      <c r="AK1824" s="12">
        <v>0</v>
      </c>
      <c r="AL1824" s="12">
        <v>1.5</v>
      </c>
      <c r="AM1824" s="16">
        <v>0</v>
      </c>
      <c r="AN1824" s="16">
        <v>0</v>
      </c>
      <c r="AO1824" s="16">
        <v>0</v>
      </c>
      <c r="AP1824" s="16">
        <v>1.1000000000000001</v>
      </c>
      <c r="AQ1824" s="16">
        <v>3000</v>
      </c>
      <c r="AR1824" s="16">
        <v>1.1000000000000001</v>
      </c>
      <c r="AS1824" s="16">
        <v>0</v>
      </c>
      <c r="AT1824" s="12">
        <v>0</v>
      </c>
      <c r="AU1824" s="16" t="s">
        <v>198</v>
      </c>
      <c r="AV1824" s="16"/>
      <c r="AW1824" s="19" t="s">
        <v>287</v>
      </c>
      <c r="AX1824" s="16" t="s">
        <v>545</v>
      </c>
      <c r="AY1824" s="18">
        <v>10001007</v>
      </c>
      <c r="AZ1824" s="18">
        <v>70103001</v>
      </c>
      <c r="BA1824" s="17" t="s">
        <v>200</v>
      </c>
      <c r="BB1824" s="16">
        <v>0</v>
      </c>
      <c r="BC1824" s="27">
        <v>0</v>
      </c>
      <c r="BD1824" s="27">
        <v>0</v>
      </c>
      <c r="BE1824" s="44" t="s">
        <v>546</v>
      </c>
      <c r="BF1824" s="44" t="s">
        <v>547</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70103002</v>
      </c>
      <c r="D1825" s="19" t="s">
        <v>538</v>
      </c>
      <c r="E1825" s="19" t="s">
        <v>539</v>
      </c>
      <c r="F1825" s="18">
        <v>1</v>
      </c>
      <c r="G1825" s="18">
        <v>60010500</v>
      </c>
      <c r="H1825" s="18">
        <v>0</v>
      </c>
      <c r="I1825" s="27">
        <v>0</v>
      </c>
      <c r="J1825" s="18">
        <v>1</v>
      </c>
      <c r="K1825" s="18">
        <v>0</v>
      </c>
      <c r="L1825" s="18">
        <v>0</v>
      </c>
      <c r="M1825" s="18">
        <v>0</v>
      </c>
      <c r="N1825" s="18">
        <v>0</v>
      </c>
      <c r="O1825" s="16">
        <v>2</v>
      </c>
      <c r="P1825" s="18">
        <v>2</v>
      </c>
      <c r="Q1825" s="18">
        <v>0.6</v>
      </c>
      <c r="R1825" s="18">
        <v>0</v>
      </c>
      <c r="S1825" s="12">
        <v>0</v>
      </c>
      <c r="T1825" s="27">
        <v>0</v>
      </c>
      <c r="U1825" s="16">
        <v>1</v>
      </c>
      <c r="V1825" s="18">
        <v>2</v>
      </c>
      <c r="W1825" s="18">
        <v>0</v>
      </c>
      <c r="X1825" s="18">
        <v>0</v>
      </c>
      <c r="Y1825" s="12">
        <v>0</v>
      </c>
      <c r="Z1825" s="18">
        <v>0</v>
      </c>
      <c r="AA1825" s="18">
        <v>0</v>
      </c>
      <c r="AB1825" s="18">
        <v>0</v>
      </c>
      <c r="AC1825" s="18">
        <v>0</v>
      </c>
      <c r="AD1825" s="18">
        <v>0</v>
      </c>
      <c r="AE1825" s="18">
        <v>0</v>
      </c>
      <c r="AF1825" s="18">
        <v>20</v>
      </c>
      <c r="AG1825" s="18">
        <v>0</v>
      </c>
      <c r="AH1825" s="18">
        <v>0</v>
      </c>
      <c r="AI1825" s="12">
        <v>0</v>
      </c>
      <c r="AJ1825" s="12">
        <v>0</v>
      </c>
      <c r="AK1825" s="12">
        <v>0</v>
      </c>
      <c r="AL1825" s="12">
        <v>0</v>
      </c>
      <c r="AM1825" s="18">
        <v>0</v>
      </c>
      <c r="AN1825" s="18">
        <v>0</v>
      </c>
      <c r="AO1825" s="18">
        <v>0</v>
      </c>
      <c r="AP1825" s="18">
        <v>0</v>
      </c>
      <c r="AQ1825" s="18">
        <v>1000</v>
      </c>
      <c r="AR1825" s="18">
        <v>0</v>
      </c>
      <c r="AS1825" s="18">
        <v>0</v>
      </c>
      <c r="AT1825" s="12">
        <v>90103001</v>
      </c>
      <c r="AU1825" s="18" t="s">
        <v>198</v>
      </c>
      <c r="AV1825" s="18"/>
      <c r="AW1825" s="19" t="s">
        <v>198</v>
      </c>
      <c r="AX1825" s="18" t="s">
        <v>348</v>
      </c>
      <c r="AY1825" s="18">
        <v>0</v>
      </c>
      <c r="AZ1825" s="18">
        <v>40000003</v>
      </c>
      <c r="BA1825" s="19" t="s">
        <v>200</v>
      </c>
      <c r="BB1825" s="19" t="s">
        <v>198</v>
      </c>
      <c r="BC1825" s="27">
        <v>0</v>
      </c>
      <c r="BD1825" s="27">
        <v>0</v>
      </c>
      <c r="BE1825" s="87" t="s">
        <v>548</v>
      </c>
      <c r="BF1825" s="87" t="s">
        <v>549</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70103003</v>
      </c>
      <c r="D1826" s="17" t="s">
        <v>2957</v>
      </c>
      <c r="E1826" s="17" t="s">
        <v>2958</v>
      </c>
      <c r="F1826" s="18">
        <v>1</v>
      </c>
      <c r="G1826" s="16">
        <v>60010100</v>
      </c>
      <c r="H1826" s="18">
        <v>0</v>
      </c>
      <c r="I1826" s="27">
        <v>0</v>
      </c>
      <c r="J1826" s="18">
        <v>1</v>
      </c>
      <c r="K1826" s="18">
        <v>0</v>
      </c>
      <c r="L1826" s="18">
        <v>0</v>
      </c>
      <c r="M1826" s="16">
        <v>0</v>
      </c>
      <c r="N1826" s="16">
        <v>0</v>
      </c>
      <c r="O1826" s="16">
        <v>2</v>
      </c>
      <c r="P1826" s="16">
        <v>1</v>
      </c>
      <c r="Q1826" s="16">
        <v>0.5</v>
      </c>
      <c r="R1826" s="16">
        <v>0</v>
      </c>
      <c r="S1826" s="12">
        <v>0</v>
      </c>
      <c r="T1826" s="16">
        <v>0</v>
      </c>
      <c r="U1826" s="16">
        <v>1</v>
      </c>
      <c r="V1826" s="16">
        <v>2</v>
      </c>
      <c r="W1826" s="16">
        <v>0</v>
      </c>
      <c r="X1826" s="16">
        <v>3</v>
      </c>
      <c r="Y1826" s="12">
        <v>0</v>
      </c>
      <c r="Z1826" s="16">
        <v>0</v>
      </c>
      <c r="AA1826" s="16">
        <v>1</v>
      </c>
      <c r="AB1826" s="16">
        <v>0</v>
      </c>
      <c r="AC1826" s="16">
        <v>0</v>
      </c>
      <c r="AD1826" s="16">
        <v>0</v>
      </c>
      <c r="AE1826" s="16">
        <v>0</v>
      </c>
      <c r="AF1826" s="16">
        <v>8</v>
      </c>
      <c r="AG1826" s="16">
        <v>1</v>
      </c>
      <c r="AH1826" s="16">
        <v>3</v>
      </c>
      <c r="AI1826" s="12">
        <v>1</v>
      </c>
      <c r="AJ1826" s="12">
        <v>1</v>
      </c>
      <c r="AK1826" s="12">
        <v>0</v>
      </c>
      <c r="AL1826" s="12">
        <v>1.5</v>
      </c>
      <c r="AM1826" s="16">
        <v>0</v>
      </c>
      <c r="AN1826" s="16">
        <v>0</v>
      </c>
      <c r="AO1826" s="16">
        <v>0</v>
      </c>
      <c r="AP1826" s="16">
        <v>0.5</v>
      </c>
      <c r="AQ1826" s="16">
        <v>5000</v>
      </c>
      <c r="AR1826" s="16">
        <v>3</v>
      </c>
      <c r="AS1826" s="16">
        <v>0</v>
      </c>
      <c r="AT1826" s="12">
        <v>0</v>
      </c>
      <c r="AU1826" s="16" t="s">
        <v>198</v>
      </c>
      <c r="AV1826" s="16"/>
      <c r="AW1826" s="19" t="s">
        <v>199</v>
      </c>
      <c r="AX1826" s="16" t="s">
        <v>534</v>
      </c>
      <c r="AY1826" s="18">
        <v>10000007</v>
      </c>
      <c r="AZ1826" s="18">
        <v>70103003</v>
      </c>
      <c r="BA1826" s="17" t="s">
        <v>200</v>
      </c>
      <c r="BB1826" s="16" t="s">
        <v>2959</v>
      </c>
      <c r="BC1826" s="27">
        <v>0</v>
      </c>
      <c r="BD1826" s="27">
        <v>0</v>
      </c>
      <c r="BE1826" s="44" t="s">
        <v>2960</v>
      </c>
      <c r="BF1826" s="44" t="s">
        <v>2961</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70104001</v>
      </c>
      <c r="D1827" s="17" t="s">
        <v>889</v>
      </c>
      <c r="E1827" s="17" t="s">
        <v>890</v>
      </c>
      <c r="F1827" s="18">
        <v>1</v>
      </c>
      <c r="G1827" s="16">
        <v>60010100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0</v>
      </c>
      <c r="AA1827" s="16">
        <v>1</v>
      </c>
      <c r="AB1827" s="16">
        <v>0</v>
      </c>
      <c r="AC1827" s="16">
        <v>0</v>
      </c>
      <c r="AD1827" s="16">
        <v>0</v>
      </c>
      <c r="AE1827" s="16">
        <v>0</v>
      </c>
      <c r="AF1827" s="16">
        <v>5</v>
      </c>
      <c r="AG1827" s="16">
        <v>1</v>
      </c>
      <c r="AH1827" s="16" t="s">
        <v>861</v>
      </c>
      <c r="AI1827" s="12">
        <v>1</v>
      </c>
      <c r="AJ1827" s="12">
        <v>1</v>
      </c>
      <c r="AK1827" s="12">
        <v>0</v>
      </c>
      <c r="AL1827" s="12">
        <v>1.5</v>
      </c>
      <c r="AM1827" s="16">
        <v>0</v>
      </c>
      <c r="AN1827" s="16">
        <v>0</v>
      </c>
      <c r="AO1827" s="16">
        <v>0</v>
      </c>
      <c r="AP1827" s="16">
        <v>0.5</v>
      </c>
      <c r="AQ1827" s="16">
        <v>5000</v>
      </c>
      <c r="AR1827" s="16">
        <v>2</v>
      </c>
      <c r="AS1827" s="16">
        <v>0</v>
      </c>
      <c r="AT1827" s="12">
        <v>0</v>
      </c>
      <c r="AU1827" s="16" t="s">
        <v>198</v>
      </c>
      <c r="AV1827" s="16"/>
      <c r="AW1827" s="17" t="s">
        <v>287</v>
      </c>
      <c r="AX1827" s="16" t="s">
        <v>534</v>
      </c>
      <c r="AY1827" s="18">
        <v>10000007</v>
      </c>
      <c r="AZ1827" s="18">
        <v>70104001</v>
      </c>
      <c r="BA1827" s="17" t="s">
        <v>200</v>
      </c>
      <c r="BB1827" s="16" t="s">
        <v>4195</v>
      </c>
      <c r="BC1827" s="27">
        <v>0</v>
      </c>
      <c r="BD1827" s="27">
        <v>0</v>
      </c>
      <c r="BE1827" s="44" t="s">
        <v>892</v>
      </c>
      <c r="BF1827" s="44" t="s">
        <v>893</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70104002</v>
      </c>
      <c r="D1828" s="19" t="s">
        <v>567</v>
      </c>
      <c r="E1828" s="19" t="s">
        <v>568</v>
      </c>
      <c r="F1828" s="18">
        <v>1</v>
      </c>
      <c r="G1828" s="18">
        <v>60010500</v>
      </c>
      <c r="H1828" s="18">
        <v>0</v>
      </c>
      <c r="I1828" s="27">
        <v>0</v>
      </c>
      <c r="J1828" s="18">
        <v>1</v>
      </c>
      <c r="K1828" s="18">
        <v>0</v>
      </c>
      <c r="L1828" s="18">
        <v>0</v>
      </c>
      <c r="M1828" s="18">
        <v>0</v>
      </c>
      <c r="N1828" s="18">
        <v>0</v>
      </c>
      <c r="O1828" s="16">
        <v>2</v>
      </c>
      <c r="P1828" s="18">
        <v>2</v>
      </c>
      <c r="Q1828" s="18">
        <v>0.3</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99999</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v>90104002</v>
      </c>
      <c r="AU1828" s="18" t="s">
        <v>198</v>
      </c>
      <c r="AV1828" s="18"/>
      <c r="AW1828" s="19" t="s">
        <v>199</v>
      </c>
      <c r="AX1828" s="18" t="s">
        <v>348</v>
      </c>
      <c r="AY1828" s="18">
        <v>0</v>
      </c>
      <c r="AZ1828" s="18">
        <v>0</v>
      </c>
      <c r="BA1828" s="19" t="s">
        <v>200</v>
      </c>
      <c r="BB1828" s="19" t="s">
        <v>198</v>
      </c>
      <c r="BC1828" s="27">
        <v>0</v>
      </c>
      <c r="BD1828" s="27">
        <v>0</v>
      </c>
      <c r="BE1828" s="87" t="s">
        <v>675</v>
      </c>
      <c r="BF1828" s="87" t="s">
        <v>676</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70104003</v>
      </c>
      <c r="D1829" s="17" t="s">
        <v>744</v>
      </c>
      <c r="E1829" s="17" t="s">
        <v>745</v>
      </c>
      <c r="F1829" s="18">
        <v>1</v>
      </c>
      <c r="G1829" s="16">
        <v>60010100</v>
      </c>
      <c r="H1829" s="18">
        <v>0</v>
      </c>
      <c r="I1829" s="27">
        <v>0</v>
      </c>
      <c r="J1829" s="18">
        <v>1</v>
      </c>
      <c r="K1829" s="18">
        <v>0</v>
      </c>
      <c r="L1829" s="18">
        <v>0</v>
      </c>
      <c r="M1829" s="16">
        <v>0</v>
      </c>
      <c r="N1829" s="16">
        <v>0</v>
      </c>
      <c r="O1829" s="16">
        <v>2</v>
      </c>
      <c r="P1829" s="16">
        <v>1</v>
      </c>
      <c r="Q1829" s="16">
        <v>0.3</v>
      </c>
      <c r="R1829" s="16">
        <v>0</v>
      </c>
      <c r="S1829" s="12">
        <v>0</v>
      </c>
      <c r="T1829" s="16">
        <v>0</v>
      </c>
      <c r="U1829" s="16">
        <v>1</v>
      </c>
      <c r="V1829" s="16">
        <v>2</v>
      </c>
      <c r="W1829" s="16">
        <v>0</v>
      </c>
      <c r="X1829" s="16">
        <v>5</v>
      </c>
      <c r="Y1829" s="12">
        <v>0</v>
      </c>
      <c r="Z1829" s="16">
        <v>0</v>
      </c>
      <c r="AA1829" s="16">
        <v>1</v>
      </c>
      <c r="AB1829" s="16">
        <v>0</v>
      </c>
      <c r="AC1829" s="16">
        <v>0</v>
      </c>
      <c r="AD1829" s="16">
        <v>0</v>
      </c>
      <c r="AE1829" s="16">
        <v>0</v>
      </c>
      <c r="AF1829" s="16">
        <v>10</v>
      </c>
      <c r="AG1829" s="16">
        <v>1</v>
      </c>
      <c r="AH1829" s="16" t="s">
        <v>607</v>
      </c>
      <c r="AI1829" s="12">
        <v>0</v>
      </c>
      <c r="AJ1829" s="12">
        <v>1</v>
      </c>
      <c r="AK1829" s="12">
        <v>0</v>
      </c>
      <c r="AL1829" s="12">
        <v>3</v>
      </c>
      <c r="AM1829" s="16">
        <v>0</v>
      </c>
      <c r="AN1829" s="16">
        <v>0</v>
      </c>
      <c r="AO1829" s="16">
        <v>0</v>
      </c>
      <c r="AP1829" s="16">
        <v>3.5</v>
      </c>
      <c r="AQ1829" s="16">
        <v>5000</v>
      </c>
      <c r="AR1829" s="16">
        <v>3</v>
      </c>
      <c r="AS1829" s="16">
        <v>0</v>
      </c>
      <c r="AT1829" s="12">
        <v>0</v>
      </c>
      <c r="AU1829" s="16" t="s">
        <v>198</v>
      </c>
      <c r="AV1829" s="16"/>
      <c r="AW1829" s="17" t="s">
        <v>256</v>
      </c>
      <c r="AX1829" s="16" t="s">
        <v>534</v>
      </c>
      <c r="AY1829" s="18">
        <v>10000007</v>
      </c>
      <c r="AZ1829" s="18">
        <v>70104003</v>
      </c>
      <c r="BA1829" s="17" t="s">
        <v>200</v>
      </c>
      <c r="BB1829" s="16" t="s">
        <v>4196</v>
      </c>
      <c r="BC1829" s="27">
        <v>0</v>
      </c>
      <c r="BD1829" s="27">
        <v>0</v>
      </c>
      <c r="BE1829" s="44" t="s">
        <v>4197</v>
      </c>
      <c r="BF1829" s="44" t="s">
        <v>4198</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70105001</v>
      </c>
      <c r="D1830" s="17" t="s">
        <v>532</v>
      </c>
      <c r="E1830" s="17" t="s">
        <v>255</v>
      </c>
      <c r="F1830" s="18">
        <v>1</v>
      </c>
      <c r="G1830" s="16">
        <v>60010100</v>
      </c>
      <c r="H1830" s="18">
        <v>0</v>
      </c>
      <c r="I1830" s="27">
        <v>0</v>
      </c>
      <c r="J1830" s="18">
        <v>1</v>
      </c>
      <c r="K1830" s="18">
        <v>0</v>
      </c>
      <c r="L1830" s="18">
        <v>0</v>
      </c>
      <c r="M1830" s="16">
        <v>0</v>
      </c>
      <c r="N1830" s="16">
        <v>0</v>
      </c>
      <c r="O1830" s="16">
        <v>2</v>
      </c>
      <c r="P1830" s="16">
        <v>1</v>
      </c>
      <c r="Q1830" s="16">
        <v>1</v>
      </c>
      <c r="R1830" s="16">
        <v>0</v>
      </c>
      <c r="S1830" s="12">
        <v>0</v>
      </c>
      <c r="T1830" s="16">
        <v>0</v>
      </c>
      <c r="U1830" s="16">
        <v>1</v>
      </c>
      <c r="V1830" s="16">
        <v>2</v>
      </c>
      <c r="W1830" s="16">
        <v>0</v>
      </c>
      <c r="X1830" s="16">
        <v>2</v>
      </c>
      <c r="Y1830" s="12">
        <v>0</v>
      </c>
      <c r="Z1830" s="16">
        <v>0</v>
      </c>
      <c r="AA1830" s="16">
        <v>1</v>
      </c>
      <c r="AB1830" s="16">
        <v>0</v>
      </c>
      <c r="AC1830" s="16">
        <v>0</v>
      </c>
      <c r="AD1830" s="16">
        <v>0</v>
      </c>
      <c r="AE1830" s="16">
        <v>0</v>
      </c>
      <c r="AF1830" s="16">
        <v>6</v>
      </c>
      <c r="AG1830" s="16">
        <v>1</v>
      </c>
      <c r="AH1830" s="16">
        <v>3</v>
      </c>
      <c r="AI1830" s="12">
        <v>0</v>
      </c>
      <c r="AJ1830" s="12">
        <v>0</v>
      </c>
      <c r="AK1830" s="12">
        <v>0</v>
      </c>
      <c r="AL1830" s="12">
        <v>1.5</v>
      </c>
      <c r="AM1830" s="16">
        <v>0</v>
      </c>
      <c r="AN1830" s="16">
        <v>0</v>
      </c>
      <c r="AO1830" s="16">
        <v>0</v>
      </c>
      <c r="AP1830" s="16">
        <v>1</v>
      </c>
      <c r="AQ1830" s="16">
        <v>5000</v>
      </c>
      <c r="AR1830" s="16">
        <v>0.5</v>
      </c>
      <c r="AS1830" s="16">
        <v>0</v>
      </c>
      <c r="AT1830" s="12">
        <v>0</v>
      </c>
      <c r="AU1830" s="16" t="s">
        <v>198</v>
      </c>
      <c r="AV1830" s="16"/>
      <c r="AW1830" s="19" t="s">
        <v>199</v>
      </c>
      <c r="AX1830" s="16" t="s">
        <v>534</v>
      </c>
      <c r="AY1830" s="18">
        <v>10000007</v>
      </c>
      <c r="AZ1830" s="18">
        <v>70105001</v>
      </c>
      <c r="BA1830" s="17" t="s">
        <v>200</v>
      </c>
      <c r="BB1830" s="16" t="s">
        <v>4199</v>
      </c>
      <c r="BC1830" s="27">
        <v>0</v>
      </c>
      <c r="BD1830" s="27">
        <v>0</v>
      </c>
      <c r="BE1830" s="44" t="s">
        <v>4200</v>
      </c>
      <c r="BF1830" s="44" t="s">
        <v>4201</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70105002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0.6</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6">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70105003</v>
      </c>
      <c r="D1832" s="17" t="s">
        <v>4202</v>
      </c>
      <c r="E1832" s="17" t="s">
        <v>4203</v>
      </c>
      <c r="F1832" s="18">
        <v>1</v>
      </c>
      <c r="G1832" s="16">
        <v>60010300</v>
      </c>
      <c r="H1832" s="18">
        <v>0</v>
      </c>
      <c r="I1832" s="27">
        <v>0</v>
      </c>
      <c r="J1832" s="18">
        <v>1</v>
      </c>
      <c r="K1832" s="18">
        <v>0</v>
      </c>
      <c r="L1832" s="18">
        <v>0</v>
      </c>
      <c r="M1832" s="16">
        <v>0</v>
      </c>
      <c r="N1832" s="16">
        <v>0</v>
      </c>
      <c r="O1832" s="16">
        <v>2</v>
      </c>
      <c r="P1832" s="16">
        <v>2</v>
      </c>
      <c r="Q1832" s="16">
        <v>0.8</v>
      </c>
      <c r="R1832" s="16">
        <v>0</v>
      </c>
      <c r="S1832" s="12">
        <v>0</v>
      </c>
      <c r="T1832" s="16">
        <v>0</v>
      </c>
      <c r="U1832" s="16">
        <v>1</v>
      </c>
      <c r="V1832" s="16">
        <v>2</v>
      </c>
      <c r="W1832" s="16">
        <v>0</v>
      </c>
      <c r="X1832" s="16">
        <v>0</v>
      </c>
      <c r="Y1832" s="12">
        <v>0</v>
      </c>
      <c r="Z1832" s="16">
        <v>0</v>
      </c>
      <c r="AA1832" s="16">
        <v>0</v>
      </c>
      <c r="AB1832" s="16">
        <v>0</v>
      </c>
      <c r="AC1832" s="16">
        <v>0</v>
      </c>
      <c r="AD1832" s="16">
        <v>0</v>
      </c>
      <c r="AE1832" s="16">
        <v>0</v>
      </c>
      <c r="AF1832" s="16">
        <v>20</v>
      </c>
      <c r="AG1832" s="16">
        <v>0</v>
      </c>
      <c r="AH1832" s="16">
        <v>0</v>
      </c>
      <c r="AI1832" s="12">
        <v>2</v>
      </c>
      <c r="AJ1832" s="12">
        <v>2</v>
      </c>
      <c r="AK1832" s="12">
        <v>0</v>
      </c>
      <c r="AL1832" s="12">
        <v>1.5</v>
      </c>
      <c r="AM1832" s="16">
        <v>0</v>
      </c>
      <c r="AN1832" s="16">
        <v>0</v>
      </c>
      <c r="AO1832" s="16">
        <v>0</v>
      </c>
      <c r="AP1832" s="16">
        <v>1</v>
      </c>
      <c r="AQ1832" s="16">
        <v>3000</v>
      </c>
      <c r="AR1832" s="16">
        <v>0.5</v>
      </c>
      <c r="AS1832" s="16">
        <v>0</v>
      </c>
      <c r="AT1832" s="12">
        <v>0</v>
      </c>
      <c r="AU1832" s="16" t="s">
        <v>198</v>
      </c>
      <c r="AV1832" s="16"/>
      <c r="AW1832" s="19" t="s">
        <v>199</v>
      </c>
      <c r="AX1832" s="16" t="s">
        <v>545</v>
      </c>
      <c r="AY1832" s="18">
        <v>0</v>
      </c>
      <c r="AZ1832" s="18">
        <v>0</v>
      </c>
      <c r="BA1832" s="17" t="s">
        <v>528</v>
      </c>
      <c r="BB1832" s="16" t="s">
        <v>4204</v>
      </c>
      <c r="BC1832" s="27">
        <v>0</v>
      </c>
      <c r="BD1832" s="27">
        <v>0</v>
      </c>
      <c r="BE1832" s="44" t="s">
        <v>4205</v>
      </c>
      <c r="BF1832" s="44" t="s">
        <v>4206</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70105004</v>
      </c>
      <c r="D1833" s="19" t="s">
        <v>538</v>
      </c>
      <c r="E1833" s="19" t="s">
        <v>539</v>
      </c>
      <c r="F1833" s="18">
        <v>1</v>
      </c>
      <c r="G1833" s="18">
        <v>60010500</v>
      </c>
      <c r="H1833" s="18">
        <v>0</v>
      </c>
      <c r="I1833" s="27">
        <v>0</v>
      </c>
      <c r="J1833" s="18">
        <v>1</v>
      </c>
      <c r="K1833" s="18">
        <v>0</v>
      </c>
      <c r="L1833" s="18">
        <v>0</v>
      </c>
      <c r="M1833" s="18">
        <v>0</v>
      </c>
      <c r="N1833" s="18">
        <v>0</v>
      </c>
      <c r="O1833" s="16">
        <v>2</v>
      </c>
      <c r="P1833" s="18">
        <v>2</v>
      </c>
      <c r="Q1833" s="18">
        <v>0.6</v>
      </c>
      <c r="R1833" s="18">
        <v>0</v>
      </c>
      <c r="S1833" s="12">
        <v>0</v>
      </c>
      <c r="T1833" s="27">
        <v>0</v>
      </c>
      <c r="U1833" s="16">
        <v>1</v>
      </c>
      <c r="V1833" s="18">
        <v>2</v>
      </c>
      <c r="W1833" s="18">
        <v>0</v>
      </c>
      <c r="X1833" s="18">
        <v>0</v>
      </c>
      <c r="Y1833" s="12">
        <v>0</v>
      </c>
      <c r="Z1833" s="18">
        <v>0</v>
      </c>
      <c r="AA1833" s="18">
        <v>0</v>
      </c>
      <c r="AB1833" s="18">
        <v>0</v>
      </c>
      <c r="AC1833" s="18">
        <v>0</v>
      </c>
      <c r="AD1833" s="18">
        <v>0</v>
      </c>
      <c r="AE1833" s="18">
        <v>0</v>
      </c>
      <c r="AF1833" s="18">
        <v>20</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v>90103001</v>
      </c>
      <c r="AU1833" s="18" t="s">
        <v>198</v>
      </c>
      <c r="AV1833" s="18"/>
      <c r="AW1833" s="19" t="s">
        <v>198</v>
      </c>
      <c r="AX1833" s="18" t="s">
        <v>348</v>
      </c>
      <c r="AY1833" s="18">
        <v>0</v>
      </c>
      <c r="AZ1833" s="18">
        <v>40000003</v>
      </c>
      <c r="BA1833" s="19" t="s">
        <v>200</v>
      </c>
      <c r="BB1833" s="19" t="s">
        <v>198</v>
      </c>
      <c r="BC1833" s="27">
        <v>0</v>
      </c>
      <c r="BD1833" s="27">
        <v>0</v>
      </c>
      <c r="BE1833" s="87" t="s">
        <v>548</v>
      </c>
      <c r="BF1833" s="87" t="s">
        <v>549</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70106001</v>
      </c>
      <c r="D1834" s="19" t="s">
        <v>573</v>
      </c>
      <c r="E1834" s="19" t="s">
        <v>574</v>
      </c>
      <c r="F1834" s="18">
        <v>1</v>
      </c>
      <c r="G1834" s="18">
        <v>60010300</v>
      </c>
      <c r="H1834" s="18">
        <v>0</v>
      </c>
      <c r="I1834" s="27">
        <v>0</v>
      </c>
      <c r="J1834" s="18">
        <v>1</v>
      </c>
      <c r="K1834" s="18">
        <v>0</v>
      </c>
      <c r="L1834" s="18">
        <v>0</v>
      </c>
      <c r="M1834" s="18">
        <v>0</v>
      </c>
      <c r="N1834" s="18">
        <v>0</v>
      </c>
      <c r="O1834" s="16">
        <v>2</v>
      </c>
      <c r="P1834" s="18">
        <v>1</v>
      </c>
      <c r="Q1834" s="18">
        <v>0.5</v>
      </c>
      <c r="R1834" s="18">
        <v>0</v>
      </c>
      <c r="S1834" s="12">
        <v>0</v>
      </c>
      <c r="T1834" s="27">
        <v>0</v>
      </c>
      <c r="U1834" s="16">
        <v>1</v>
      </c>
      <c r="V1834" s="18">
        <v>2</v>
      </c>
      <c r="W1834" s="18">
        <v>0</v>
      </c>
      <c r="X1834" s="18">
        <v>0.5</v>
      </c>
      <c r="Y1834" s="12">
        <v>0</v>
      </c>
      <c r="Z1834" s="18">
        <v>0</v>
      </c>
      <c r="AA1834" s="18">
        <v>0</v>
      </c>
      <c r="AB1834" s="18">
        <v>0</v>
      </c>
      <c r="AC1834" s="18">
        <v>0</v>
      </c>
      <c r="AD1834" s="18">
        <v>0</v>
      </c>
      <c r="AE1834" s="18">
        <v>0</v>
      </c>
      <c r="AF1834" s="18">
        <v>15</v>
      </c>
      <c r="AG1834" s="18">
        <v>1</v>
      </c>
      <c r="AH1834" s="18">
        <v>3</v>
      </c>
      <c r="AI1834" s="12">
        <v>1</v>
      </c>
      <c r="AJ1834" s="12">
        <v>0</v>
      </c>
      <c r="AK1834" s="12">
        <v>0</v>
      </c>
      <c r="AL1834" s="12">
        <v>1.5</v>
      </c>
      <c r="AM1834" s="18">
        <v>0</v>
      </c>
      <c r="AN1834" s="18">
        <v>0</v>
      </c>
      <c r="AO1834" s="18">
        <v>0</v>
      </c>
      <c r="AP1834" s="18">
        <v>1</v>
      </c>
      <c r="AQ1834" s="18">
        <v>360000</v>
      </c>
      <c r="AR1834" s="18">
        <v>0.5</v>
      </c>
      <c r="AS1834" s="18">
        <v>0</v>
      </c>
      <c r="AT1834" s="12">
        <v>0</v>
      </c>
      <c r="AU1834" s="18" t="s">
        <v>575</v>
      </c>
      <c r="AV1834" s="18"/>
      <c r="AW1834" s="19" t="s">
        <v>199</v>
      </c>
      <c r="AX1834" s="18" t="s">
        <v>545</v>
      </c>
      <c r="AY1834" s="18">
        <v>10002001</v>
      </c>
      <c r="AZ1834" s="18">
        <v>70106001</v>
      </c>
      <c r="BA1834" s="19" t="s">
        <v>315</v>
      </c>
      <c r="BB1834" s="19" t="s">
        <v>576</v>
      </c>
      <c r="BC1834" s="27">
        <v>0</v>
      </c>
      <c r="BD1834" s="27">
        <v>0</v>
      </c>
      <c r="BE1834" s="87" t="s">
        <v>577</v>
      </c>
      <c r="BF1834" s="87" t="s">
        <v>578</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70106002</v>
      </c>
      <c r="D1835" s="17" t="s">
        <v>579</v>
      </c>
      <c r="E1835" s="17" t="s">
        <v>580</v>
      </c>
      <c r="F1835" s="18">
        <v>1</v>
      </c>
      <c r="G1835" s="16">
        <v>60010100</v>
      </c>
      <c r="H1835" s="18">
        <v>0</v>
      </c>
      <c r="I1835" s="27">
        <v>0</v>
      </c>
      <c r="J1835" s="18">
        <v>1</v>
      </c>
      <c r="K1835" s="18">
        <v>0</v>
      </c>
      <c r="L1835" s="18">
        <v>0</v>
      </c>
      <c r="M1835" s="16">
        <v>0</v>
      </c>
      <c r="N1835" s="16">
        <v>0</v>
      </c>
      <c r="O1835" s="16">
        <v>2</v>
      </c>
      <c r="P1835" s="16">
        <v>1</v>
      </c>
      <c r="Q1835" s="16">
        <v>0.3</v>
      </c>
      <c r="R1835" s="16">
        <v>0</v>
      </c>
      <c r="S1835" s="12">
        <v>0</v>
      </c>
      <c r="T1835" s="16">
        <v>0</v>
      </c>
      <c r="U1835" s="16">
        <v>1</v>
      </c>
      <c r="V1835" s="16">
        <v>2</v>
      </c>
      <c r="W1835" s="16">
        <v>0</v>
      </c>
      <c r="X1835" s="16">
        <v>3</v>
      </c>
      <c r="Y1835" s="12">
        <v>0</v>
      </c>
      <c r="Z1835" s="16">
        <v>0</v>
      </c>
      <c r="AA1835" s="16">
        <v>0</v>
      </c>
      <c r="AB1835" s="16">
        <v>0</v>
      </c>
      <c r="AC1835" s="16">
        <v>0</v>
      </c>
      <c r="AD1835" s="16">
        <v>0</v>
      </c>
      <c r="AE1835" s="16">
        <v>0</v>
      </c>
      <c r="AF1835" s="16">
        <v>12</v>
      </c>
      <c r="AG1835" s="16">
        <v>1</v>
      </c>
      <c r="AH1835" s="16">
        <v>3</v>
      </c>
      <c r="AI1835" s="12">
        <v>6</v>
      </c>
      <c r="AJ1835" s="12">
        <v>1</v>
      </c>
      <c r="AK1835" s="12">
        <v>0</v>
      </c>
      <c r="AL1835" s="12">
        <v>1.5</v>
      </c>
      <c r="AM1835" s="16">
        <v>0</v>
      </c>
      <c r="AN1835" s="16">
        <v>0</v>
      </c>
      <c r="AO1835" s="16">
        <v>0</v>
      </c>
      <c r="AP1835" s="16">
        <v>3</v>
      </c>
      <c r="AQ1835" s="16">
        <v>5000</v>
      </c>
      <c r="AR1835" s="16">
        <v>3</v>
      </c>
      <c r="AS1835" s="16">
        <v>0</v>
      </c>
      <c r="AT1835" s="12">
        <v>0</v>
      </c>
      <c r="AU1835" s="16" t="s">
        <v>198</v>
      </c>
      <c r="AV1835" s="16"/>
      <c r="AW1835" s="19" t="s">
        <v>199</v>
      </c>
      <c r="AX1835" s="16" t="s">
        <v>534</v>
      </c>
      <c r="AY1835" s="18">
        <v>10000007</v>
      </c>
      <c r="AZ1835" s="18">
        <v>70106004</v>
      </c>
      <c r="BA1835" s="17" t="s">
        <v>200</v>
      </c>
      <c r="BB1835" s="16" t="s">
        <v>4207</v>
      </c>
      <c r="BC1835" s="27">
        <v>0</v>
      </c>
      <c r="BD1835" s="27">
        <v>0</v>
      </c>
      <c r="BE1835" s="44" t="s">
        <v>582</v>
      </c>
      <c r="BF1835" s="44" t="s">
        <v>583</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spans="3:75" ht="19.5" customHeight="1">
      <c r="C1836" s="18">
        <v>70106003</v>
      </c>
      <c r="D1836" s="19" t="s">
        <v>584</v>
      </c>
      <c r="E1836" s="19" t="s">
        <v>585</v>
      </c>
      <c r="F1836" s="18">
        <v>1</v>
      </c>
      <c r="G1836" s="18">
        <v>60010300</v>
      </c>
      <c r="H1836" s="18">
        <v>0</v>
      </c>
      <c r="I1836" s="27">
        <v>0</v>
      </c>
      <c r="J1836" s="18">
        <v>1</v>
      </c>
      <c r="K1836" s="18">
        <v>0</v>
      </c>
      <c r="L1836" s="18">
        <v>0</v>
      </c>
      <c r="M1836" s="18">
        <v>0</v>
      </c>
      <c r="N1836" s="18">
        <v>0</v>
      </c>
      <c r="O1836" s="16">
        <v>2</v>
      </c>
      <c r="P1836" s="18">
        <v>1</v>
      </c>
      <c r="Q1836" s="18">
        <v>0.5</v>
      </c>
      <c r="R1836" s="18">
        <v>0</v>
      </c>
      <c r="S1836" s="12">
        <v>0</v>
      </c>
      <c r="T1836" s="27">
        <v>0</v>
      </c>
      <c r="U1836" s="16">
        <v>1</v>
      </c>
      <c r="V1836" s="18">
        <v>2</v>
      </c>
      <c r="W1836" s="18">
        <v>0</v>
      </c>
      <c r="X1836" s="18">
        <v>3</v>
      </c>
      <c r="Y1836" s="12">
        <v>0</v>
      </c>
      <c r="Z1836" s="18">
        <v>0</v>
      </c>
      <c r="AA1836" s="18">
        <v>0</v>
      </c>
      <c r="AB1836" s="18">
        <v>0</v>
      </c>
      <c r="AC1836" s="18">
        <v>0</v>
      </c>
      <c r="AD1836" s="18">
        <v>0</v>
      </c>
      <c r="AE1836" s="18">
        <v>0</v>
      </c>
      <c r="AF1836" s="18">
        <v>9</v>
      </c>
      <c r="AG1836" s="18">
        <v>1</v>
      </c>
      <c r="AH1836" s="18">
        <v>2</v>
      </c>
      <c r="AI1836" s="12">
        <v>2</v>
      </c>
      <c r="AJ1836" s="12">
        <v>2</v>
      </c>
      <c r="AK1836" s="12">
        <v>0</v>
      </c>
      <c r="AL1836" s="12">
        <v>3</v>
      </c>
      <c r="AM1836" s="18">
        <v>0</v>
      </c>
      <c r="AN1836" s="18">
        <v>0</v>
      </c>
      <c r="AO1836" s="18">
        <v>0</v>
      </c>
      <c r="AP1836" s="18">
        <v>2</v>
      </c>
      <c r="AQ1836" s="18">
        <v>30000</v>
      </c>
      <c r="AR1836" s="18">
        <v>2</v>
      </c>
      <c r="AS1836" s="18">
        <v>4</v>
      </c>
      <c r="AT1836" s="12">
        <v>0</v>
      </c>
      <c r="AU1836" s="18" t="s">
        <v>198</v>
      </c>
      <c r="AV1836" s="18"/>
      <c r="AW1836" s="19" t="s">
        <v>199</v>
      </c>
      <c r="AX1836" s="18" t="s">
        <v>545</v>
      </c>
      <c r="AY1836" s="18">
        <v>10003002</v>
      </c>
      <c r="AZ1836" s="18">
        <v>70106005</v>
      </c>
      <c r="BA1836" s="19" t="s">
        <v>586</v>
      </c>
      <c r="BB1836" s="19">
        <v>0</v>
      </c>
      <c r="BC1836" s="27">
        <v>0</v>
      </c>
      <c r="BD1836" s="27">
        <v>0</v>
      </c>
      <c r="BE1836" s="87" t="s">
        <v>577</v>
      </c>
      <c r="BF1836" s="87" t="s">
        <v>578</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70106004</v>
      </c>
      <c r="D1837" s="19" t="s">
        <v>567</v>
      </c>
      <c r="E1837" s="19" t="s">
        <v>568</v>
      </c>
      <c r="F1837" s="18">
        <v>1</v>
      </c>
      <c r="G1837" s="18">
        <v>60010500</v>
      </c>
      <c r="H1837" s="18">
        <v>0</v>
      </c>
      <c r="I1837" s="27">
        <v>0</v>
      </c>
      <c r="J1837" s="18">
        <v>1</v>
      </c>
      <c r="K1837" s="18">
        <v>0</v>
      </c>
      <c r="L1837" s="18">
        <v>0</v>
      </c>
      <c r="M1837" s="18">
        <v>0</v>
      </c>
      <c r="N1837" s="18">
        <v>0</v>
      </c>
      <c r="O1837" s="16">
        <v>2</v>
      </c>
      <c r="P1837" s="18">
        <v>2</v>
      </c>
      <c r="Q1837" s="18">
        <v>0.6</v>
      </c>
      <c r="R1837" s="18">
        <v>0</v>
      </c>
      <c r="S1837" s="12">
        <v>0</v>
      </c>
      <c r="T1837" s="27">
        <v>0</v>
      </c>
      <c r="U1837" s="16">
        <v>1</v>
      </c>
      <c r="V1837" s="18">
        <v>2</v>
      </c>
      <c r="W1837" s="18">
        <v>0</v>
      </c>
      <c r="X1837" s="18">
        <v>0</v>
      </c>
      <c r="Y1837" s="12">
        <v>0</v>
      </c>
      <c r="Z1837" s="18">
        <v>0</v>
      </c>
      <c r="AA1837" s="18">
        <v>0</v>
      </c>
      <c r="AB1837" s="18">
        <v>0</v>
      </c>
      <c r="AC1837" s="18">
        <v>0</v>
      </c>
      <c r="AD1837" s="18">
        <v>0</v>
      </c>
      <c r="AE1837" s="18">
        <v>0</v>
      </c>
      <c r="AF1837" s="16">
        <v>30</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v>90104002</v>
      </c>
      <c r="AU1837" s="18" t="s">
        <v>198</v>
      </c>
      <c r="AV1837" s="18"/>
      <c r="AW1837" s="19" t="s">
        <v>199</v>
      </c>
      <c r="AX1837" s="18" t="s">
        <v>348</v>
      </c>
      <c r="AY1837" s="18">
        <v>0</v>
      </c>
      <c r="AZ1837" s="18">
        <v>0</v>
      </c>
      <c r="BA1837" s="19" t="s">
        <v>200</v>
      </c>
      <c r="BB1837" s="19" t="s">
        <v>198</v>
      </c>
      <c r="BC1837" s="27">
        <v>0</v>
      </c>
      <c r="BD1837" s="27">
        <v>0</v>
      </c>
      <c r="BE1837" s="87" t="s">
        <v>587</v>
      </c>
      <c r="BF1837" s="87" t="s">
        <v>588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70106005</v>
      </c>
      <c r="D1838" s="17" t="s">
        <v>589</v>
      </c>
      <c r="E1838" s="17" t="s">
        <v>590</v>
      </c>
      <c r="F1838" s="18">
        <v>1</v>
      </c>
      <c r="G1838" s="16">
        <v>60010300</v>
      </c>
      <c r="H1838" s="18">
        <v>0</v>
      </c>
      <c r="I1838" s="27">
        <v>0</v>
      </c>
      <c r="J1838" s="18">
        <v>1</v>
      </c>
      <c r="K1838" s="18">
        <v>0</v>
      </c>
      <c r="L1838" s="18">
        <v>0</v>
      </c>
      <c r="M1838" s="16">
        <v>0</v>
      </c>
      <c r="N1838" s="16">
        <v>0</v>
      </c>
      <c r="O1838" s="16">
        <v>2</v>
      </c>
      <c r="P1838" s="16">
        <v>1</v>
      </c>
      <c r="Q1838" s="16">
        <v>0.6</v>
      </c>
      <c r="R1838" s="16">
        <v>0</v>
      </c>
      <c r="S1838" s="12">
        <v>0</v>
      </c>
      <c r="T1838" s="16">
        <v>0</v>
      </c>
      <c r="U1838" s="16">
        <v>1</v>
      </c>
      <c r="V1838" s="16">
        <v>2</v>
      </c>
      <c r="W1838" s="16">
        <v>0</v>
      </c>
      <c r="X1838" s="16">
        <v>0</v>
      </c>
      <c r="Y1838" s="12">
        <v>0</v>
      </c>
      <c r="Z1838" s="16">
        <v>0</v>
      </c>
      <c r="AA1838" s="16">
        <v>0</v>
      </c>
      <c r="AB1838" s="16">
        <v>0</v>
      </c>
      <c r="AC1838" s="16">
        <v>0</v>
      </c>
      <c r="AD1838" s="16">
        <v>0</v>
      </c>
      <c r="AE1838" s="16">
        <v>0</v>
      </c>
      <c r="AF1838" s="16">
        <v>20</v>
      </c>
      <c r="AG1838" s="16">
        <v>0</v>
      </c>
      <c r="AH1838" s="16">
        <v>0</v>
      </c>
      <c r="AI1838" s="12">
        <v>2</v>
      </c>
      <c r="AJ1838" s="12">
        <v>2</v>
      </c>
      <c r="AK1838" s="12">
        <v>0</v>
      </c>
      <c r="AL1838" s="12">
        <v>1.5</v>
      </c>
      <c r="AM1838" s="16">
        <v>0</v>
      </c>
      <c r="AN1838" s="16">
        <v>0</v>
      </c>
      <c r="AO1838" s="16">
        <v>0</v>
      </c>
      <c r="AP1838" s="16">
        <v>1</v>
      </c>
      <c r="AQ1838" s="16">
        <v>3000</v>
      </c>
      <c r="AR1838" s="16">
        <v>0.5</v>
      </c>
      <c r="AS1838" s="16">
        <v>0</v>
      </c>
      <c r="AT1838" s="12">
        <v>0</v>
      </c>
      <c r="AU1838" s="16" t="s">
        <v>198</v>
      </c>
      <c r="AV1838" s="16"/>
      <c r="AW1838" s="19" t="s">
        <v>199</v>
      </c>
      <c r="AX1838" s="16" t="s">
        <v>545</v>
      </c>
      <c r="AY1838" s="18">
        <v>0</v>
      </c>
      <c r="AZ1838" s="18">
        <v>0</v>
      </c>
      <c r="BA1838" s="17" t="s">
        <v>528</v>
      </c>
      <c r="BB1838" s="16" t="s">
        <v>591</v>
      </c>
      <c r="BC1838" s="27">
        <v>0</v>
      </c>
      <c r="BD1838" s="27">
        <v>0</v>
      </c>
      <c r="BE1838" s="44" t="s">
        <v>592</v>
      </c>
      <c r="BF1838" s="44" t="s">
        <v>593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19.5" customHeight="1">
      <c r="C1839" s="18">
        <v>70107001</v>
      </c>
      <c r="D1839" s="17" t="s">
        <v>605</v>
      </c>
      <c r="E1839" s="17" t="s">
        <v>606</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3</v>
      </c>
      <c r="Y1839" s="12">
        <v>0</v>
      </c>
      <c r="Z1839" s="16">
        <v>0</v>
      </c>
      <c r="AA1839" s="16">
        <v>1</v>
      </c>
      <c r="AB1839" s="16">
        <v>0</v>
      </c>
      <c r="AC1839" s="16">
        <v>0</v>
      </c>
      <c r="AD1839" s="16">
        <v>0</v>
      </c>
      <c r="AE1839" s="16">
        <v>0</v>
      </c>
      <c r="AF1839" s="16">
        <v>12</v>
      </c>
      <c r="AG1839" s="16">
        <v>1</v>
      </c>
      <c r="AH1839" s="16" t="s">
        <v>607</v>
      </c>
      <c r="AI1839" s="12">
        <v>1</v>
      </c>
      <c r="AJ1839" s="12">
        <v>1</v>
      </c>
      <c r="AK1839" s="12">
        <v>0</v>
      </c>
      <c r="AL1839" s="12">
        <v>3</v>
      </c>
      <c r="AM1839" s="16">
        <v>0</v>
      </c>
      <c r="AN1839" s="16">
        <v>0</v>
      </c>
      <c r="AO1839" s="16">
        <v>0</v>
      </c>
      <c r="AP1839" s="16">
        <v>3</v>
      </c>
      <c r="AQ1839" s="16">
        <v>5000</v>
      </c>
      <c r="AR1839" s="16">
        <v>2.5</v>
      </c>
      <c r="AS1839" s="16">
        <v>0</v>
      </c>
      <c r="AT1839" s="12">
        <v>0</v>
      </c>
      <c r="AU1839" s="16" t="s">
        <v>198</v>
      </c>
      <c r="AV1839" s="16"/>
      <c r="AW1839" s="19" t="s">
        <v>287</v>
      </c>
      <c r="AX1839" s="16" t="s">
        <v>534</v>
      </c>
      <c r="AY1839" s="18">
        <v>10000007</v>
      </c>
      <c r="AZ1839" s="18">
        <v>70107001</v>
      </c>
      <c r="BA1839" s="17" t="s">
        <v>200</v>
      </c>
      <c r="BB1839" s="16">
        <v>0</v>
      </c>
      <c r="BC1839" s="27">
        <v>0</v>
      </c>
      <c r="BD1839" s="27">
        <v>0</v>
      </c>
      <c r="BE1839" s="44" t="s">
        <v>608</v>
      </c>
      <c r="BF1839" s="44" t="s">
        <v>609</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70107002</v>
      </c>
      <c r="D1840" s="17" t="s">
        <v>660</v>
      </c>
      <c r="E1840" s="17" t="s">
        <v>661</v>
      </c>
      <c r="F1840" s="18">
        <v>1</v>
      </c>
      <c r="G1840" s="16">
        <v>60010100</v>
      </c>
      <c r="H1840" s="18">
        <v>0</v>
      </c>
      <c r="I1840" s="27">
        <v>0</v>
      </c>
      <c r="J1840" s="18">
        <v>1</v>
      </c>
      <c r="K1840" s="18">
        <v>0</v>
      </c>
      <c r="L1840" s="18">
        <v>0</v>
      </c>
      <c r="M1840" s="16">
        <v>0</v>
      </c>
      <c r="N1840" s="16">
        <v>0</v>
      </c>
      <c r="O1840" s="16">
        <v>2</v>
      </c>
      <c r="P1840" s="16">
        <v>1</v>
      </c>
      <c r="Q1840" s="16">
        <v>0.3</v>
      </c>
      <c r="R1840" s="16">
        <v>0</v>
      </c>
      <c r="S1840" s="12">
        <v>0</v>
      </c>
      <c r="T1840" s="16">
        <v>0</v>
      </c>
      <c r="U1840" s="16">
        <v>1</v>
      </c>
      <c r="V1840" s="16">
        <v>2</v>
      </c>
      <c r="W1840" s="16">
        <v>0</v>
      </c>
      <c r="X1840" s="16">
        <v>3</v>
      </c>
      <c r="Y1840" s="12">
        <v>0</v>
      </c>
      <c r="Z1840" s="16">
        <v>0</v>
      </c>
      <c r="AA1840" s="16">
        <v>1</v>
      </c>
      <c r="AB1840" s="16">
        <v>0</v>
      </c>
      <c r="AC1840" s="16">
        <v>0</v>
      </c>
      <c r="AD1840" s="16">
        <v>0</v>
      </c>
      <c r="AE1840" s="16">
        <v>0</v>
      </c>
      <c r="AF1840" s="16">
        <v>12</v>
      </c>
      <c r="AG1840" s="16">
        <v>1</v>
      </c>
      <c r="AH1840" s="16">
        <v>3</v>
      </c>
      <c r="AI1840" s="12">
        <v>4</v>
      </c>
      <c r="AJ1840" s="12">
        <v>1</v>
      </c>
      <c r="AK1840" s="12">
        <v>0</v>
      </c>
      <c r="AL1840" s="12">
        <v>1.5</v>
      </c>
      <c r="AM1840" s="16">
        <v>0</v>
      </c>
      <c r="AN1840" s="16">
        <v>0</v>
      </c>
      <c r="AO1840" s="16">
        <v>0</v>
      </c>
      <c r="AP1840" s="16">
        <v>3</v>
      </c>
      <c r="AQ1840" s="16">
        <v>5000</v>
      </c>
      <c r="AR1840" s="16">
        <v>3</v>
      </c>
      <c r="AS1840" s="16">
        <v>0</v>
      </c>
      <c r="AT1840" s="12">
        <v>0</v>
      </c>
      <c r="AU1840" s="16" t="s">
        <v>198</v>
      </c>
      <c r="AV1840" s="16"/>
      <c r="AW1840" s="19" t="s">
        <v>199</v>
      </c>
      <c r="AX1840" s="16" t="s">
        <v>534</v>
      </c>
      <c r="AY1840" s="18">
        <v>10000007</v>
      </c>
      <c r="AZ1840" s="18">
        <v>70103003</v>
      </c>
      <c r="BA1840" s="17" t="s">
        <v>200</v>
      </c>
      <c r="BB1840" s="16" t="s">
        <v>4208</v>
      </c>
      <c r="BC1840" s="27">
        <v>0</v>
      </c>
      <c r="BD1840" s="27">
        <v>0</v>
      </c>
      <c r="BE1840" s="44" t="s">
        <v>663</v>
      </c>
      <c r="BF1840" s="44" t="s">
        <v>664</v>
      </c>
      <c r="BG1840" s="16">
        <v>0</v>
      </c>
      <c r="BH1840" s="16">
        <v>0</v>
      </c>
      <c r="BI1840" s="16">
        <v>0</v>
      </c>
      <c r="BJ1840" s="16">
        <v>0</v>
      </c>
      <c r="BK1840" s="16">
        <v>0</v>
      </c>
      <c r="BL1840" s="16">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70107003</v>
      </c>
      <c r="D1841" s="17" t="s">
        <v>665</v>
      </c>
      <c r="E1841" s="17" t="s">
        <v>606</v>
      </c>
      <c r="F1841" s="16">
        <v>1</v>
      </c>
      <c r="G1841" s="16">
        <v>60010100</v>
      </c>
      <c r="H1841" s="18">
        <v>0</v>
      </c>
      <c r="I1841" s="27">
        <v>0</v>
      </c>
      <c r="J1841" s="18">
        <v>1</v>
      </c>
      <c r="K1841" s="18">
        <v>0</v>
      </c>
      <c r="L1841" s="18">
        <v>0</v>
      </c>
      <c r="M1841" s="16">
        <v>0</v>
      </c>
      <c r="N1841" s="16">
        <v>0</v>
      </c>
      <c r="O1841" s="16">
        <v>2</v>
      </c>
      <c r="P1841" s="16">
        <v>1</v>
      </c>
      <c r="Q1841" s="16">
        <v>0.3</v>
      </c>
      <c r="R1841" s="16">
        <v>0</v>
      </c>
      <c r="S1841" s="12">
        <v>0</v>
      </c>
      <c r="T1841" s="16">
        <v>0</v>
      </c>
      <c r="U1841" s="16">
        <v>1</v>
      </c>
      <c r="V1841" s="16">
        <v>2</v>
      </c>
      <c r="W1841" s="16">
        <v>0</v>
      </c>
      <c r="X1841" s="16">
        <v>3</v>
      </c>
      <c r="Y1841" s="12">
        <v>0</v>
      </c>
      <c r="Z1841" s="16">
        <v>0</v>
      </c>
      <c r="AA1841" s="16">
        <v>0</v>
      </c>
      <c r="AB1841" s="16">
        <v>0</v>
      </c>
      <c r="AC1841" s="16">
        <v>0</v>
      </c>
      <c r="AD1841" s="16">
        <v>0</v>
      </c>
      <c r="AE1841" s="16">
        <v>0</v>
      </c>
      <c r="AF1841" s="16">
        <v>12</v>
      </c>
      <c r="AG1841" s="16">
        <v>1</v>
      </c>
      <c r="AH1841" s="16">
        <v>3</v>
      </c>
      <c r="AI1841" s="12">
        <v>6</v>
      </c>
      <c r="AJ1841" s="12">
        <v>1</v>
      </c>
      <c r="AK1841" s="12">
        <v>0</v>
      </c>
      <c r="AL1841" s="12">
        <v>1.5</v>
      </c>
      <c r="AM1841" s="16">
        <v>0</v>
      </c>
      <c r="AN1841" s="16">
        <v>0</v>
      </c>
      <c r="AO1841" s="16">
        <v>0</v>
      </c>
      <c r="AP1841" s="16">
        <v>3</v>
      </c>
      <c r="AQ1841" s="16">
        <v>5000</v>
      </c>
      <c r="AR1841" s="16">
        <v>3</v>
      </c>
      <c r="AS1841" s="16">
        <v>0</v>
      </c>
      <c r="AT1841" s="12">
        <v>0</v>
      </c>
      <c r="AU1841" s="16" t="s">
        <v>198</v>
      </c>
      <c r="AV1841" s="16"/>
      <c r="AW1841" s="19" t="s">
        <v>256</v>
      </c>
      <c r="AX1841" s="16" t="s">
        <v>534</v>
      </c>
      <c r="AY1841" s="18">
        <v>10000007</v>
      </c>
      <c r="AZ1841" s="18">
        <v>70103003</v>
      </c>
      <c r="BA1841" s="17" t="s">
        <v>200</v>
      </c>
      <c r="BB1841" s="16" t="s">
        <v>4209</v>
      </c>
      <c r="BC1841" s="27">
        <v>0</v>
      </c>
      <c r="BD1841" s="27">
        <v>0</v>
      </c>
      <c r="BE1841" s="44" t="s">
        <v>667</v>
      </c>
      <c r="BF1841" s="44" t="s">
        <v>668</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spans="3:75" ht="19.5" customHeight="1">
      <c r="C1842" s="18">
        <v>70107004</v>
      </c>
      <c r="D1842" s="19" t="s">
        <v>669</v>
      </c>
      <c r="E1842" s="19" t="s">
        <v>670</v>
      </c>
      <c r="F1842" s="18">
        <v>1</v>
      </c>
      <c r="G1842" s="18">
        <v>60010500</v>
      </c>
      <c r="H1842" s="18">
        <v>0</v>
      </c>
      <c r="I1842" s="27">
        <v>0</v>
      </c>
      <c r="J1842" s="18">
        <v>1</v>
      </c>
      <c r="K1842" s="18">
        <v>0</v>
      </c>
      <c r="L1842" s="18">
        <v>0</v>
      </c>
      <c r="M1842" s="18">
        <v>0</v>
      </c>
      <c r="N1842" s="18">
        <v>0</v>
      </c>
      <c r="O1842" s="16">
        <v>2</v>
      </c>
      <c r="P1842" s="18">
        <v>2</v>
      </c>
      <c r="Q1842" s="18">
        <v>0.6</v>
      </c>
      <c r="R1842" s="18">
        <v>0</v>
      </c>
      <c r="S1842" s="12">
        <v>0</v>
      </c>
      <c r="T1842" s="27">
        <v>0</v>
      </c>
      <c r="U1842" s="16">
        <v>1</v>
      </c>
      <c r="V1842" s="18">
        <v>2</v>
      </c>
      <c r="W1842" s="18">
        <v>0</v>
      </c>
      <c r="X1842" s="18">
        <v>0</v>
      </c>
      <c r="Y1842" s="12">
        <v>0</v>
      </c>
      <c r="Z1842" s="18">
        <v>0</v>
      </c>
      <c r="AA1842" s="18">
        <v>0</v>
      </c>
      <c r="AB1842" s="18">
        <v>0</v>
      </c>
      <c r="AC1842" s="18">
        <v>0</v>
      </c>
      <c r="AD1842" s="18">
        <v>0</v>
      </c>
      <c r="AE1842" s="18">
        <v>0</v>
      </c>
      <c r="AF1842" s="18">
        <v>20</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v>90102001</v>
      </c>
      <c r="AU1842" s="18" t="s">
        <v>198</v>
      </c>
      <c r="AV1842" s="18"/>
      <c r="AW1842" s="19" t="s">
        <v>199</v>
      </c>
      <c r="AX1842" s="18" t="s">
        <v>348</v>
      </c>
      <c r="AY1842" s="18">
        <v>0</v>
      </c>
      <c r="AZ1842" s="18">
        <v>40000003</v>
      </c>
      <c r="BA1842" s="19" t="s">
        <v>200</v>
      </c>
      <c r="BB1842" s="19" t="s">
        <v>198</v>
      </c>
      <c r="BC1842" s="27">
        <v>0</v>
      </c>
      <c r="BD1842" s="27">
        <v>0</v>
      </c>
      <c r="BE1842" s="87" t="s">
        <v>671</v>
      </c>
      <c r="BF1842" s="87" t="s">
        <v>672</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70107005</v>
      </c>
      <c r="D1843" s="19" t="s">
        <v>673</v>
      </c>
      <c r="E1843" s="19" t="s">
        <v>674</v>
      </c>
      <c r="F1843" s="18">
        <v>1</v>
      </c>
      <c r="G1843" s="18">
        <v>60010500</v>
      </c>
      <c r="H1843" s="18">
        <v>0</v>
      </c>
      <c r="I1843" s="27">
        <v>0</v>
      </c>
      <c r="J1843" s="18">
        <v>1</v>
      </c>
      <c r="K1843" s="18">
        <v>0</v>
      </c>
      <c r="L1843" s="18">
        <v>0</v>
      </c>
      <c r="M1843" s="18">
        <v>0</v>
      </c>
      <c r="N1843" s="18">
        <v>0</v>
      </c>
      <c r="O1843" s="16">
        <v>2</v>
      </c>
      <c r="P1843" s="18">
        <v>2</v>
      </c>
      <c r="Q1843" s="18">
        <v>0.6</v>
      </c>
      <c r="R1843" s="18">
        <v>0</v>
      </c>
      <c r="S1843" s="12">
        <v>0</v>
      </c>
      <c r="T1843" s="27">
        <v>0</v>
      </c>
      <c r="U1843" s="16">
        <v>1</v>
      </c>
      <c r="V1843" s="18">
        <v>2</v>
      </c>
      <c r="W1843" s="18">
        <v>0</v>
      </c>
      <c r="X1843" s="18">
        <v>0</v>
      </c>
      <c r="Y1843" s="12">
        <v>0</v>
      </c>
      <c r="Z1843" s="18">
        <v>0</v>
      </c>
      <c r="AA1843" s="18">
        <v>0</v>
      </c>
      <c r="AB1843" s="18">
        <v>0</v>
      </c>
      <c r="AC1843" s="18">
        <v>0</v>
      </c>
      <c r="AD1843" s="18">
        <v>0</v>
      </c>
      <c r="AE1843" s="18">
        <v>0</v>
      </c>
      <c r="AF1843" s="16">
        <v>99999</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v>90104002</v>
      </c>
      <c r="AU1843" s="18" t="s">
        <v>198</v>
      </c>
      <c r="AV1843" s="18"/>
      <c r="AW1843" s="19" t="s">
        <v>199</v>
      </c>
      <c r="AX1843" s="18" t="s">
        <v>348</v>
      </c>
      <c r="AY1843" s="18">
        <v>0</v>
      </c>
      <c r="AZ1843" s="18">
        <v>0</v>
      </c>
      <c r="BA1843" s="19" t="s">
        <v>200</v>
      </c>
      <c r="BB1843" s="19" t="s">
        <v>198</v>
      </c>
      <c r="BC1843" s="27">
        <v>0</v>
      </c>
      <c r="BD1843" s="27">
        <v>0</v>
      </c>
      <c r="BE1843" s="87" t="s">
        <v>675</v>
      </c>
      <c r="BF1843" s="87" t="s">
        <v>676</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70107006</v>
      </c>
      <c r="D1844" s="17" t="s">
        <v>4202</v>
      </c>
      <c r="E1844" s="17" t="s">
        <v>4203</v>
      </c>
      <c r="F1844" s="16">
        <v>1</v>
      </c>
      <c r="G1844" s="16">
        <v>60010300</v>
      </c>
      <c r="H1844" s="18">
        <v>0</v>
      </c>
      <c r="I1844" s="27">
        <v>0</v>
      </c>
      <c r="J1844" s="18">
        <v>1</v>
      </c>
      <c r="K1844" s="18">
        <v>0</v>
      </c>
      <c r="L1844" s="18">
        <v>0</v>
      </c>
      <c r="M1844" s="16">
        <v>0</v>
      </c>
      <c r="N1844" s="16">
        <v>0</v>
      </c>
      <c r="O1844" s="16">
        <v>2</v>
      </c>
      <c r="P1844" s="16">
        <v>2</v>
      </c>
      <c r="Q1844" s="16">
        <v>0.8</v>
      </c>
      <c r="R1844" s="16">
        <v>0</v>
      </c>
      <c r="S1844" s="12">
        <v>0</v>
      </c>
      <c r="T1844" s="16">
        <v>0</v>
      </c>
      <c r="U1844" s="16">
        <v>1</v>
      </c>
      <c r="V1844" s="16">
        <v>2</v>
      </c>
      <c r="W1844" s="16">
        <v>0</v>
      </c>
      <c r="X1844" s="16">
        <v>0</v>
      </c>
      <c r="Y1844" s="12">
        <v>0</v>
      </c>
      <c r="Z1844" s="16">
        <v>0</v>
      </c>
      <c r="AA1844" s="16">
        <v>0</v>
      </c>
      <c r="AB1844" s="16">
        <v>0</v>
      </c>
      <c r="AC1844" s="16">
        <v>0</v>
      </c>
      <c r="AD1844" s="16">
        <v>0</v>
      </c>
      <c r="AE1844" s="16">
        <v>0</v>
      </c>
      <c r="AF1844" s="16">
        <v>30</v>
      </c>
      <c r="AG1844" s="16">
        <v>0</v>
      </c>
      <c r="AH1844" s="16">
        <v>0</v>
      </c>
      <c r="AI1844" s="12">
        <v>2</v>
      </c>
      <c r="AJ1844" s="12">
        <v>2</v>
      </c>
      <c r="AK1844" s="12">
        <v>0</v>
      </c>
      <c r="AL1844" s="12">
        <v>1.5</v>
      </c>
      <c r="AM1844" s="16">
        <v>0</v>
      </c>
      <c r="AN1844" s="16">
        <v>0</v>
      </c>
      <c r="AO1844" s="16">
        <v>0</v>
      </c>
      <c r="AP1844" s="16">
        <v>1</v>
      </c>
      <c r="AQ1844" s="16">
        <v>3000</v>
      </c>
      <c r="AR1844" s="16">
        <v>0.5</v>
      </c>
      <c r="AS1844" s="16">
        <v>0</v>
      </c>
      <c r="AT1844" s="12">
        <v>0</v>
      </c>
      <c r="AU1844" s="16" t="s">
        <v>198</v>
      </c>
      <c r="AV1844" s="16"/>
      <c r="AW1844" s="19" t="s">
        <v>199</v>
      </c>
      <c r="AX1844" s="16" t="s">
        <v>545</v>
      </c>
      <c r="AY1844" s="18">
        <v>0</v>
      </c>
      <c r="AZ1844" s="18">
        <v>0</v>
      </c>
      <c r="BA1844" s="17" t="s">
        <v>528</v>
      </c>
      <c r="BB1844" s="16" t="s">
        <v>4210</v>
      </c>
      <c r="BC1844" s="27">
        <v>0</v>
      </c>
      <c r="BD1844" s="27">
        <v>0</v>
      </c>
      <c r="BE1844" s="44" t="s">
        <v>4211</v>
      </c>
      <c r="BF1844" s="44" t="s">
        <v>4212</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70201001</v>
      </c>
      <c r="D1845" s="17" t="s">
        <v>748</v>
      </c>
      <c r="E1845" s="17" t="s">
        <v>749</v>
      </c>
      <c r="F1845" s="18">
        <v>1</v>
      </c>
      <c r="G1845" s="16">
        <v>60010100</v>
      </c>
      <c r="H1845" s="18">
        <v>0</v>
      </c>
      <c r="I1845" s="27">
        <v>0</v>
      </c>
      <c r="J1845" s="18">
        <v>1</v>
      </c>
      <c r="K1845" s="18">
        <v>0</v>
      </c>
      <c r="L1845" s="18">
        <v>0</v>
      </c>
      <c r="M1845" s="16">
        <v>0</v>
      </c>
      <c r="N1845" s="16">
        <v>0</v>
      </c>
      <c r="O1845" s="16">
        <v>2</v>
      </c>
      <c r="P1845" s="16">
        <v>1</v>
      </c>
      <c r="Q1845" s="16">
        <v>1</v>
      </c>
      <c r="R1845" s="16">
        <v>0</v>
      </c>
      <c r="S1845" s="12">
        <v>0</v>
      </c>
      <c r="T1845" s="16">
        <v>0</v>
      </c>
      <c r="U1845" s="16">
        <v>1</v>
      </c>
      <c r="V1845" s="16">
        <v>2</v>
      </c>
      <c r="W1845" s="16">
        <v>0</v>
      </c>
      <c r="X1845" s="16">
        <v>2</v>
      </c>
      <c r="Y1845" s="12">
        <v>0</v>
      </c>
      <c r="Z1845" s="16">
        <v>0</v>
      </c>
      <c r="AA1845" s="16">
        <v>1</v>
      </c>
      <c r="AB1845" s="16">
        <v>0</v>
      </c>
      <c r="AC1845" s="16">
        <v>0</v>
      </c>
      <c r="AD1845" s="16">
        <v>0</v>
      </c>
      <c r="AE1845" s="16">
        <v>0</v>
      </c>
      <c r="AF1845" s="16">
        <v>12</v>
      </c>
      <c r="AG1845" s="16">
        <v>2</v>
      </c>
      <c r="AH1845" s="16" t="s">
        <v>213</v>
      </c>
      <c r="AI1845" s="12">
        <v>0</v>
      </c>
      <c r="AJ1845" s="12">
        <v>0</v>
      </c>
      <c r="AK1845" s="12">
        <v>0</v>
      </c>
      <c r="AL1845" s="12">
        <v>1.5</v>
      </c>
      <c r="AM1845" s="16">
        <v>0</v>
      </c>
      <c r="AN1845" s="16">
        <v>0</v>
      </c>
      <c r="AO1845" s="16">
        <v>0</v>
      </c>
      <c r="AP1845" s="16">
        <v>1</v>
      </c>
      <c r="AQ1845" s="16">
        <v>5000</v>
      </c>
      <c r="AR1845" s="16">
        <v>0.5</v>
      </c>
      <c r="AS1845" s="16">
        <v>0</v>
      </c>
      <c r="AT1845" s="12">
        <v>0</v>
      </c>
      <c r="AU1845" s="16" t="s">
        <v>198</v>
      </c>
      <c r="AV1845" s="16"/>
      <c r="AW1845" s="19" t="s">
        <v>287</v>
      </c>
      <c r="AX1845" s="16" t="s">
        <v>534</v>
      </c>
      <c r="AY1845" s="18">
        <v>10000007</v>
      </c>
      <c r="AZ1845" s="18">
        <v>70201001</v>
      </c>
      <c r="BA1845" s="17" t="s">
        <v>200</v>
      </c>
      <c r="BB1845" s="16">
        <v>0</v>
      </c>
      <c r="BC1845" s="27">
        <v>0</v>
      </c>
      <c r="BD1845" s="27">
        <v>0</v>
      </c>
      <c r="BE1845" s="44" t="s">
        <v>750</v>
      </c>
      <c r="BF1845" s="44" t="s">
        <v>751</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70201002</v>
      </c>
      <c r="D1846" s="17" t="s">
        <v>600</v>
      </c>
      <c r="E1846" s="17" t="s">
        <v>601</v>
      </c>
      <c r="F1846" s="16">
        <v>1</v>
      </c>
      <c r="G1846" s="16">
        <v>60010300</v>
      </c>
      <c r="H1846" s="18">
        <v>0</v>
      </c>
      <c r="I1846" s="27">
        <v>0</v>
      </c>
      <c r="J1846" s="18">
        <v>1</v>
      </c>
      <c r="K1846" s="18">
        <v>0</v>
      </c>
      <c r="L1846" s="18">
        <v>0</v>
      </c>
      <c r="M1846" s="16">
        <v>0</v>
      </c>
      <c r="N1846" s="16">
        <v>0</v>
      </c>
      <c r="O1846" s="16">
        <v>2</v>
      </c>
      <c r="P1846" s="16">
        <v>2</v>
      </c>
      <c r="Q1846" s="16">
        <v>0.8</v>
      </c>
      <c r="R1846" s="16">
        <v>0</v>
      </c>
      <c r="S1846" s="12">
        <v>0</v>
      </c>
      <c r="T1846" s="16">
        <v>0</v>
      </c>
      <c r="U1846" s="16">
        <v>1</v>
      </c>
      <c r="V1846" s="16">
        <v>2</v>
      </c>
      <c r="W1846" s="16">
        <v>0</v>
      </c>
      <c r="X1846" s="16">
        <v>0</v>
      </c>
      <c r="Y1846" s="12">
        <v>0</v>
      </c>
      <c r="Z1846" s="16">
        <v>0</v>
      </c>
      <c r="AA1846" s="16">
        <v>0</v>
      </c>
      <c r="AB1846" s="16">
        <v>0</v>
      </c>
      <c r="AC1846" s="16">
        <v>0</v>
      </c>
      <c r="AD1846" s="16">
        <v>0</v>
      </c>
      <c r="AE1846" s="16">
        <v>0</v>
      </c>
      <c r="AF1846" s="16">
        <v>30</v>
      </c>
      <c r="AG1846" s="16">
        <v>0</v>
      </c>
      <c r="AH1846" s="16">
        <v>0</v>
      </c>
      <c r="AI1846" s="12">
        <v>2</v>
      </c>
      <c r="AJ1846" s="12">
        <v>2</v>
      </c>
      <c r="AK1846" s="12">
        <v>0</v>
      </c>
      <c r="AL1846" s="12">
        <v>1.5</v>
      </c>
      <c r="AM1846" s="16">
        <v>0</v>
      </c>
      <c r="AN1846" s="16">
        <v>0</v>
      </c>
      <c r="AO1846" s="16">
        <v>0</v>
      </c>
      <c r="AP1846" s="16">
        <v>1</v>
      </c>
      <c r="AQ1846" s="16">
        <v>3000</v>
      </c>
      <c r="AR1846" s="16">
        <v>0.5</v>
      </c>
      <c r="AS1846" s="16">
        <v>0</v>
      </c>
      <c r="AT1846" s="12">
        <v>0</v>
      </c>
      <c r="AU1846" s="16" t="s">
        <v>198</v>
      </c>
      <c r="AV1846" s="16"/>
      <c r="AW1846" s="19" t="s">
        <v>256</v>
      </c>
      <c r="AX1846" s="16" t="s">
        <v>545</v>
      </c>
      <c r="AY1846" s="18">
        <v>0</v>
      </c>
      <c r="AZ1846" s="18">
        <v>0</v>
      </c>
      <c r="BA1846" s="17" t="s">
        <v>528</v>
      </c>
      <c r="BB1846" s="16" t="s">
        <v>4213</v>
      </c>
      <c r="BC1846" s="27">
        <v>0</v>
      </c>
      <c r="BD1846" s="27">
        <v>0</v>
      </c>
      <c r="BE1846" s="44" t="s">
        <v>603</v>
      </c>
      <c r="BF1846" s="44" t="s">
        <v>604</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70201003</v>
      </c>
      <c r="D1847" s="17" t="s">
        <v>4214</v>
      </c>
      <c r="E1847" s="17" t="s">
        <v>4215</v>
      </c>
      <c r="F1847" s="18">
        <v>1</v>
      </c>
      <c r="G1847" s="16">
        <v>60010100</v>
      </c>
      <c r="H1847" s="18">
        <v>0</v>
      </c>
      <c r="I1847" s="27">
        <v>0</v>
      </c>
      <c r="J1847" s="18">
        <v>1</v>
      </c>
      <c r="K1847" s="18">
        <v>0</v>
      </c>
      <c r="L1847" s="18">
        <v>0</v>
      </c>
      <c r="M1847" s="16">
        <v>0</v>
      </c>
      <c r="N1847" s="16">
        <v>0</v>
      </c>
      <c r="O1847" s="16">
        <v>2</v>
      </c>
      <c r="P1847" s="16">
        <v>1</v>
      </c>
      <c r="Q1847" s="16">
        <v>1</v>
      </c>
      <c r="R1847" s="16">
        <v>0</v>
      </c>
      <c r="S1847" s="12">
        <v>0</v>
      </c>
      <c r="T1847" s="16">
        <v>0</v>
      </c>
      <c r="U1847" s="16">
        <v>1</v>
      </c>
      <c r="V1847" s="16">
        <v>2</v>
      </c>
      <c r="W1847" s="16">
        <v>0</v>
      </c>
      <c r="X1847" s="16">
        <v>2</v>
      </c>
      <c r="Y1847" s="12">
        <v>0</v>
      </c>
      <c r="Z1847" s="16">
        <v>0</v>
      </c>
      <c r="AA1847" s="16">
        <v>1</v>
      </c>
      <c r="AB1847" s="16">
        <v>0</v>
      </c>
      <c r="AC1847" s="16">
        <v>0</v>
      </c>
      <c r="AD1847" s="16">
        <v>0</v>
      </c>
      <c r="AE1847" s="16">
        <v>0</v>
      </c>
      <c r="AF1847" s="16">
        <v>15</v>
      </c>
      <c r="AG1847" s="16">
        <v>1</v>
      </c>
      <c r="AH1847" s="16" t="s">
        <v>4216</v>
      </c>
      <c r="AI1847" s="12">
        <v>0</v>
      </c>
      <c r="AJ1847" s="12">
        <v>1</v>
      </c>
      <c r="AK1847" s="12">
        <v>0</v>
      </c>
      <c r="AL1847" s="12">
        <v>2.5</v>
      </c>
      <c r="AM1847" s="16">
        <v>0</v>
      </c>
      <c r="AN1847" s="16">
        <v>0</v>
      </c>
      <c r="AO1847" s="16">
        <v>0</v>
      </c>
      <c r="AP1847" s="16">
        <v>4</v>
      </c>
      <c r="AQ1847" s="16">
        <v>5000</v>
      </c>
      <c r="AR1847" s="16">
        <v>3</v>
      </c>
      <c r="AS1847" s="16">
        <v>0</v>
      </c>
      <c r="AT1847" s="12">
        <v>0</v>
      </c>
      <c r="AU1847" s="16" t="s">
        <v>198</v>
      </c>
      <c r="AV1847" s="16"/>
      <c r="AW1847" s="19" t="s">
        <v>617</v>
      </c>
      <c r="AX1847" s="16" t="s">
        <v>534</v>
      </c>
      <c r="AY1847" s="18">
        <v>10000007</v>
      </c>
      <c r="AZ1847" s="18">
        <v>70201003</v>
      </c>
      <c r="BA1847" s="17" t="s">
        <v>200</v>
      </c>
      <c r="BB1847" s="16">
        <v>0</v>
      </c>
      <c r="BC1847" s="27">
        <v>0</v>
      </c>
      <c r="BD1847" s="27">
        <v>0</v>
      </c>
      <c r="BE1847" s="44" t="s">
        <v>4217</v>
      </c>
      <c r="BF1847" s="44" t="s">
        <v>4218</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70201004</v>
      </c>
      <c r="D1848" s="19" t="s">
        <v>4219</v>
      </c>
      <c r="E1848" s="19" t="s">
        <v>4220</v>
      </c>
      <c r="F1848" s="18">
        <v>1</v>
      </c>
      <c r="G1848" s="18">
        <v>60010500</v>
      </c>
      <c r="H1848" s="18">
        <v>0</v>
      </c>
      <c r="I1848" s="27">
        <v>0</v>
      </c>
      <c r="J1848" s="18">
        <v>1</v>
      </c>
      <c r="K1848" s="18">
        <v>0</v>
      </c>
      <c r="L1848" s="18">
        <v>0</v>
      </c>
      <c r="M1848" s="18">
        <v>0</v>
      </c>
      <c r="N1848" s="18">
        <v>0</v>
      </c>
      <c r="O1848" s="16">
        <v>2</v>
      </c>
      <c r="P1848" s="18">
        <v>2</v>
      </c>
      <c r="Q1848" s="18">
        <v>0.3</v>
      </c>
      <c r="R1848" s="18">
        <v>0</v>
      </c>
      <c r="S1848" s="12">
        <v>0</v>
      </c>
      <c r="T1848" s="27">
        <v>0</v>
      </c>
      <c r="U1848" s="16">
        <v>1</v>
      </c>
      <c r="V1848" s="18">
        <v>2</v>
      </c>
      <c r="W1848" s="18">
        <v>0</v>
      </c>
      <c r="X1848" s="18">
        <v>0</v>
      </c>
      <c r="Y1848" s="12">
        <v>0</v>
      </c>
      <c r="Z1848" s="18">
        <v>0</v>
      </c>
      <c r="AA1848" s="18">
        <v>0</v>
      </c>
      <c r="AB1848" s="18">
        <v>0</v>
      </c>
      <c r="AC1848" s="18">
        <v>0</v>
      </c>
      <c r="AD1848" s="16">
        <v>0</v>
      </c>
      <c r="AE1848" s="18">
        <v>0</v>
      </c>
      <c r="AF1848" s="16">
        <v>99999</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t="s">
        <v>754</v>
      </c>
      <c r="AU1848" s="18" t="s">
        <v>198</v>
      </c>
      <c r="AV1848" s="18"/>
      <c r="AW1848" s="19" t="s">
        <v>199</v>
      </c>
      <c r="AX1848" s="18" t="s">
        <v>348</v>
      </c>
      <c r="AY1848" s="18">
        <v>0</v>
      </c>
      <c r="AZ1848" s="18">
        <v>0</v>
      </c>
      <c r="BA1848" s="19" t="s">
        <v>200</v>
      </c>
      <c r="BB1848" s="19" t="s">
        <v>198</v>
      </c>
      <c r="BC1848" s="27">
        <v>0</v>
      </c>
      <c r="BD1848" s="27">
        <v>0</v>
      </c>
      <c r="BE1848" s="87" t="s">
        <v>755</v>
      </c>
      <c r="BF1848" s="87" t="s">
        <v>756</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row>
    <row r="1849" spans="3:75" ht="19.5" customHeight="1">
      <c r="C1849" s="18">
        <v>70202001</v>
      </c>
      <c r="D1849" s="17" t="s">
        <v>1017</v>
      </c>
      <c r="E1849" s="17" t="s">
        <v>1018</v>
      </c>
      <c r="F1849" s="18">
        <v>1</v>
      </c>
      <c r="G1849" s="16">
        <v>60010100</v>
      </c>
      <c r="H1849" s="18">
        <v>0</v>
      </c>
      <c r="I1849" s="27">
        <v>0</v>
      </c>
      <c r="J1849" s="18">
        <v>1</v>
      </c>
      <c r="K1849" s="18">
        <v>0</v>
      </c>
      <c r="L1849" s="18">
        <v>0</v>
      </c>
      <c r="M1849" s="16">
        <v>0</v>
      </c>
      <c r="N1849" s="16">
        <v>0</v>
      </c>
      <c r="O1849" s="16">
        <v>2</v>
      </c>
      <c r="P1849" s="16">
        <v>1</v>
      </c>
      <c r="Q1849" s="16">
        <v>0.3</v>
      </c>
      <c r="R1849" s="16">
        <v>0</v>
      </c>
      <c r="S1849" s="12">
        <v>0</v>
      </c>
      <c r="T1849" s="16">
        <v>0</v>
      </c>
      <c r="U1849" s="16">
        <v>1</v>
      </c>
      <c r="V1849" s="16">
        <v>2</v>
      </c>
      <c r="W1849" s="16">
        <v>0</v>
      </c>
      <c r="X1849" s="16">
        <v>3</v>
      </c>
      <c r="Y1849" s="12">
        <v>0</v>
      </c>
      <c r="Z1849" s="16">
        <v>0</v>
      </c>
      <c r="AA1849" s="16">
        <v>1</v>
      </c>
      <c r="AB1849" s="16">
        <v>0</v>
      </c>
      <c r="AC1849" s="16">
        <v>0</v>
      </c>
      <c r="AD1849" s="16">
        <v>0</v>
      </c>
      <c r="AE1849" s="16">
        <v>0</v>
      </c>
      <c r="AF1849" s="16">
        <v>15</v>
      </c>
      <c r="AG1849" s="16">
        <v>1</v>
      </c>
      <c r="AH1849" s="16" t="s">
        <v>607</v>
      </c>
      <c r="AI1849" s="12">
        <v>1</v>
      </c>
      <c r="AJ1849" s="12">
        <v>1</v>
      </c>
      <c r="AK1849" s="12">
        <v>0</v>
      </c>
      <c r="AL1849" s="12">
        <v>3</v>
      </c>
      <c r="AM1849" s="16">
        <v>0</v>
      </c>
      <c r="AN1849" s="16">
        <v>0</v>
      </c>
      <c r="AO1849" s="16">
        <v>0</v>
      </c>
      <c r="AP1849" s="16">
        <v>3</v>
      </c>
      <c r="AQ1849" s="16">
        <v>5000</v>
      </c>
      <c r="AR1849" s="16">
        <v>2.5</v>
      </c>
      <c r="AS1849" s="16">
        <v>0</v>
      </c>
      <c r="AT1849" s="12">
        <v>0</v>
      </c>
      <c r="AU1849" s="16" t="s">
        <v>198</v>
      </c>
      <c r="AV1849" s="16"/>
      <c r="AW1849" s="19" t="s">
        <v>617</v>
      </c>
      <c r="AX1849" s="16" t="s">
        <v>534</v>
      </c>
      <c r="AY1849" s="18">
        <v>10000007</v>
      </c>
      <c r="AZ1849" s="18">
        <v>70202001</v>
      </c>
      <c r="BA1849" s="17" t="s">
        <v>200</v>
      </c>
      <c r="BB1849" s="16">
        <v>0</v>
      </c>
      <c r="BC1849" s="27">
        <v>0</v>
      </c>
      <c r="BD1849" s="27">
        <v>0</v>
      </c>
      <c r="BE1849" s="44" t="s">
        <v>1020</v>
      </c>
      <c r="BF1849" s="44" t="s">
        <v>1021</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70202002</v>
      </c>
      <c r="D1850" s="17" t="s">
        <v>1022</v>
      </c>
      <c r="E1850" s="17" t="s">
        <v>1023</v>
      </c>
      <c r="F1850" s="18">
        <v>1</v>
      </c>
      <c r="G1850" s="16">
        <v>60010100</v>
      </c>
      <c r="H1850" s="18">
        <v>0</v>
      </c>
      <c r="I1850" s="27">
        <v>0</v>
      </c>
      <c r="J1850" s="18">
        <v>1</v>
      </c>
      <c r="K1850" s="18">
        <v>0</v>
      </c>
      <c r="L1850" s="18">
        <v>0</v>
      </c>
      <c r="M1850" s="16">
        <v>0</v>
      </c>
      <c r="N1850" s="16">
        <v>0</v>
      </c>
      <c r="O1850" s="16">
        <v>2</v>
      </c>
      <c r="P1850" s="16">
        <v>1</v>
      </c>
      <c r="Q1850" s="16">
        <v>0.3</v>
      </c>
      <c r="R1850" s="16">
        <v>0</v>
      </c>
      <c r="S1850" s="12">
        <v>0</v>
      </c>
      <c r="T1850" s="16">
        <v>0</v>
      </c>
      <c r="U1850" s="16">
        <v>1</v>
      </c>
      <c r="V1850" s="16">
        <v>2</v>
      </c>
      <c r="W1850" s="16">
        <v>0</v>
      </c>
      <c r="X1850" s="16">
        <v>3</v>
      </c>
      <c r="Y1850" s="12">
        <v>0</v>
      </c>
      <c r="Z1850" s="16">
        <v>0</v>
      </c>
      <c r="AA1850" s="16">
        <v>1</v>
      </c>
      <c r="AB1850" s="16">
        <v>0</v>
      </c>
      <c r="AC1850" s="16">
        <v>0</v>
      </c>
      <c r="AD1850" s="16">
        <v>0</v>
      </c>
      <c r="AE1850" s="16">
        <v>0</v>
      </c>
      <c r="AF1850" s="16">
        <v>20</v>
      </c>
      <c r="AG1850" s="16">
        <v>1</v>
      </c>
      <c r="AH1850" s="16">
        <v>3</v>
      </c>
      <c r="AI1850" s="12">
        <v>6</v>
      </c>
      <c r="AJ1850" s="12">
        <v>1</v>
      </c>
      <c r="AK1850" s="12">
        <v>0</v>
      </c>
      <c r="AL1850" s="12">
        <v>1.5</v>
      </c>
      <c r="AM1850" s="16">
        <v>0</v>
      </c>
      <c r="AN1850" s="16">
        <v>0</v>
      </c>
      <c r="AO1850" s="16">
        <v>0</v>
      </c>
      <c r="AP1850" s="16">
        <v>3</v>
      </c>
      <c r="AQ1850" s="16">
        <v>5000</v>
      </c>
      <c r="AR1850" s="16">
        <v>3</v>
      </c>
      <c r="AS1850" s="16">
        <v>0</v>
      </c>
      <c r="AT1850" s="12">
        <v>0</v>
      </c>
      <c r="AU1850" s="16" t="s">
        <v>198</v>
      </c>
      <c r="AV1850" s="16"/>
      <c r="AW1850" s="19" t="s">
        <v>256</v>
      </c>
      <c r="AX1850" s="16" t="s">
        <v>534</v>
      </c>
      <c r="AY1850" s="18">
        <v>10000007</v>
      </c>
      <c r="AZ1850" s="18">
        <v>70202002</v>
      </c>
      <c r="BA1850" s="17" t="s">
        <v>200</v>
      </c>
      <c r="BB1850" s="16" t="s">
        <v>4221</v>
      </c>
      <c r="BC1850" s="27">
        <v>0</v>
      </c>
      <c r="BD1850" s="27">
        <v>0</v>
      </c>
      <c r="BE1850" s="44" t="s">
        <v>4222</v>
      </c>
      <c r="BF1850" s="44" t="s">
        <v>4223</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70202003</v>
      </c>
      <c r="D1851" s="19" t="s">
        <v>1324</v>
      </c>
      <c r="E1851" s="19" t="s">
        <v>1325</v>
      </c>
      <c r="F1851" s="18">
        <v>1</v>
      </c>
      <c r="G1851" s="18">
        <v>60010500</v>
      </c>
      <c r="H1851" s="18">
        <v>0</v>
      </c>
      <c r="I1851" s="27">
        <v>0</v>
      </c>
      <c r="J1851" s="18">
        <v>1</v>
      </c>
      <c r="K1851" s="18">
        <v>0</v>
      </c>
      <c r="L1851" s="18">
        <v>0</v>
      </c>
      <c r="M1851" s="18">
        <v>0</v>
      </c>
      <c r="N1851" s="18">
        <v>0</v>
      </c>
      <c r="O1851" s="16">
        <v>2</v>
      </c>
      <c r="P1851" s="18">
        <v>0</v>
      </c>
      <c r="Q1851" s="18">
        <v>0</v>
      </c>
      <c r="R1851" s="18">
        <v>0</v>
      </c>
      <c r="S1851" s="12">
        <v>0</v>
      </c>
      <c r="T1851" s="27">
        <v>0</v>
      </c>
      <c r="U1851" s="16">
        <v>1</v>
      </c>
      <c r="V1851" s="18">
        <v>1</v>
      </c>
      <c r="W1851" s="18">
        <v>0</v>
      </c>
      <c r="X1851" s="18">
        <v>1</v>
      </c>
      <c r="Y1851" s="12">
        <v>0</v>
      </c>
      <c r="Z1851" s="18">
        <v>0</v>
      </c>
      <c r="AA1851" s="18">
        <v>0</v>
      </c>
      <c r="AB1851" s="18">
        <v>0</v>
      </c>
      <c r="AC1851" s="18">
        <v>0</v>
      </c>
      <c r="AD1851" s="16">
        <v>0</v>
      </c>
      <c r="AE1851" s="18">
        <v>0</v>
      </c>
      <c r="AF1851" s="18">
        <v>15</v>
      </c>
      <c r="AG1851" s="18">
        <v>0</v>
      </c>
      <c r="AH1851" s="18">
        <v>0</v>
      </c>
      <c r="AI1851" s="12">
        <v>7</v>
      </c>
      <c r="AJ1851" s="12">
        <v>0</v>
      </c>
      <c r="AK1851" s="12">
        <v>0</v>
      </c>
      <c r="AL1851" s="12">
        <v>0</v>
      </c>
      <c r="AM1851" s="18">
        <v>0</v>
      </c>
      <c r="AN1851" s="18">
        <v>0</v>
      </c>
      <c r="AO1851" s="18">
        <v>0</v>
      </c>
      <c r="AP1851" s="18">
        <v>0</v>
      </c>
      <c r="AQ1851" s="18">
        <v>1000</v>
      </c>
      <c r="AR1851" s="18">
        <v>0.5</v>
      </c>
      <c r="AS1851" s="18">
        <v>0</v>
      </c>
      <c r="AT1851" s="12">
        <v>0</v>
      </c>
      <c r="AU1851" s="12">
        <v>90202001</v>
      </c>
      <c r="AV1851" s="12"/>
      <c r="AW1851" s="19" t="s">
        <v>741</v>
      </c>
      <c r="AX1851" s="18">
        <v>0</v>
      </c>
      <c r="AY1851" s="18">
        <v>10007001</v>
      </c>
      <c r="AZ1851" s="18">
        <v>0</v>
      </c>
      <c r="BA1851" s="19" t="s">
        <v>200</v>
      </c>
      <c r="BB1851" s="19" t="s">
        <v>198</v>
      </c>
      <c r="BC1851" s="27">
        <v>0</v>
      </c>
      <c r="BD1851" s="27">
        <v>0</v>
      </c>
      <c r="BE1851" s="87" t="s">
        <v>2966</v>
      </c>
      <c r="BF1851" s="87" t="s">
        <v>2967</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spans="3:75" ht="19.5" customHeight="1">
      <c r="C1852" s="18">
        <v>70202004</v>
      </c>
      <c r="D1852" s="17" t="s">
        <v>1029</v>
      </c>
      <c r="E1852" s="17" t="s">
        <v>1030</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1</v>
      </c>
      <c r="Y1852" s="12">
        <v>0</v>
      </c>
      <c r="Z1852" s="16">
        <v>0</v>
      </c>
      <c r="AA1852" s="16">
        <v>1</v>
      </c>
      <c r="AB1852" s="16">
        <v>0</v>
      </c>
      <c r="AC1852" s="16">
        <v>0</v>
      </c>
      <c r="AD1852" s="16">
        <v>0</v>
      </c>
      <c r="AE1852" s="16">
        <v>0</v>
      </c>
      <c r="AF1852" s="16">
        <v>30</v>
      </c>
      <c r="AG1852" s="16">
        <v>1</v>
      </c>
      <c r="AH1852" s="16" t="s">
        <v>861</v>
      </c>
      <c r="AI1852" s="12">
        <v>0</v>
      </c>
      <c r="AJ1852" s="12">
        <v>0</v>
      </c>
      <c r="AK1852" s="12">
        <v>0</v>
      </c>
      <c r="AL1852" s="12">
        <v>0</v>
      </c>
      <c r="AM1852" s="16">
        <v>0</v>
      </c>
      <c r="AN1852" s="16">
        <v>0</v>
      </c>
      <c r="AO1852" s="16">
        <v>0</v>
      </c>
      <c r="AP1852" s="16">
        <v>0.5</v>
      </c>
      <c r="AQ1852" s="16">
        <v>999999</v>
      </c>
      <c r="AR1852" s="16">
        <v>0.5</v>
      </c>
      <c r="AS1852" s="16">
        <v>0</v>
      </c>
      <c r="AT1852" s="12">
        <v>0</v>
      </c>
      <c r="AU1852" s="338" t="s">
        <v>1019</v>
      </c>
      <c r="AV1852" s="12"/>
      <c r="AW1852" s="19" t="s">
        <v>287</v>
      </c>
      <c r="AX1852" s="16" t="s">
        <v>534</v>
      </c>
      <c r="AY1852" s="18">
        <v>10000007</v>
      </c>
      <c r="AZ1852" s="18">
        <v>70202004</v>
      </c>
      <c r="BA1852" s="19" t="s">
        <v>315</v>
      </c>
      <c r="BB1852" s="19" t="s">
        <v>371</v>
      </c>
      <c r="BC1852" s="27">
        <v>0</v>
      </c>
      <c r="BD1852" s="27">
        <v>0</v>
      </c>
      <c r="BE1852" s="44" t="s">
        <v>4224</v>
      </c>
      <c r="BF1852" s="44" t="s">
        <v>4225</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19.5" customHeight="1">
      <c r="C1853" s="18">
        <v>70203001</v>
      </c>
      <c r="D1853" s="17" t="s">
        <v>4226</v>
      </c>
      <c r="E1853" s="17" t="s">
        <v>4227</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2</v>
      </c>
      <c r="Y1853" s="12">
        <v>0</v>
      </c>
      <c r="Z1853" s="16">
        <v>0</v>
      </c>
      <c r="AA1853" s="16">
        <v>1</v>
      </c>
      <c r="AB1853" s="16">
        <v>0</v>
      </c>
      <c r="AC1853" s="16">
        <v>0</v>
      </c>
      <c r="AD1853" s="16">
        <v>0</v>
      </c>
      <c r="AE1853" s="16">
        <v>0</v>
      </c>
      <c r="AF1853" s="16">
        <v>20</v>
      </c>
      <c r="AG1853" s="16">
        <v>1</v>
      </c>
      <c r="AH1853" s="16" t="s">
        <v>861</v>
      </c>
      <c r="AI1853" s="12">
        <v>1</v>
      </c>
      <c r="AJ1853" s="12">
        <v>1</v>
      </c>
      <c r="AK1853" s="12">
        <v>0</v>
      </c>
      <c r="AL1853" s="12">
        <v>1.5</v>
      </c>
      <c r="AM1853" s="16">
        <v>0</v>
      </c>
      <c r="AN1853" s="16">
        <v>0</v>
      </c>
      <c r="AO1853" s="16">
        <v>0</v>
      </c>
      <c r="AP1853" s="16">
        <v>0.5</v>
      </c>
      <c r="AQ1853" s="16">
        <v>999999</v>
      </c>
      <c r="AR1853" s="16">
        <v>2</v>
      </c>
      <c r="AS1853" s="16">
        <v>0</v>
      </c>
      <c r="AT1853" s="12">
        <v>0</v>
      </c>
      <c r="AU1853" s="16" t="s">
        <v>198</v>
      </c>
      <c r="AV1853" s="16"/>
      <c r="AW1853" s="19" t="s">
        <v>199</v>
      </c>
      <c r="AX1853" s="16" t="s">
        <v>534</v>
      </c>
      <c r="AY1853" s="18">
        <v>10000007</v>
      </c>
      <c r="AZ1853" s="18">
        <v>70203001</v>
      </c>
      <c r="BA1853" s="19" t="s">
        <v>315</v>
      </c>
      <c r="BB1853" s="19" t="s">
        <v>371</v>
      </c>
      <c r="BC1853" s="27">
        <v>0</v>
      </c>
      <c r="BD1853" s="27">
        <v>0</v>
      </c>
      <c r="BE1853" s="44" t="s">
        <v>4228</v>
      </c>
      <c r="BF1853" s="44" t="s">
        <v>4229</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70203002</v>
      </c>
      <c r="D1854" s="17" t="s">
        <v>744</v>
      </c>
      <c r="E1854" s="17" t="s">
        <v>745</v>
      </c>
      <c r="F1854" s="18">
        <v>1</v>
      </c>
      <c r="G1854" s="18">
        <v>60010500</v>
      </c>
      <c r="H1854" s="18">
        <v>0</v>
      </c>
      <c r="I1854" s="27">
        <v>0</v>
      </c>
      <c r="J1854" s="18">
        <v>1</v>
      </c>
      <c r="K1854" s="18">
        <v>0</v>
      </c>
      <c r="L1854" s="18">
        <v>0</v>
      </c>
      <c r="M1854" s="18">
        <v>0</v>
      </c>
      <c r="N1854" s="18">
        <v>0</v>
      </c>
      <c r="O1854" s="16">
        <v>2</v>
      </c>
      <c r="P1854" s="18">
        <v>1</v>
      </c>
      <c r="Q1854" s="18">
        <v>0.05</v>
      </c>
      <c r="R1854" s="18">
        <v>0</v>
      </c>
      <c r="S1854" s="12">
        <v>0</v>
      </c>
      <c r="T1854" s="27">
        <v>0</v>
      </c>
      <c r="U1854" s="16">
        <v>1</v>
      </c>
      <c r="V1854" s="18">
        <v>1</v>
      </c>
      <c r="W1854" s="18">
        <v>0</v>
      </c>
      <c r="X1854" s="18">
        <v>2</v>
      </c>
      <c r="Y1854" s="12">
        <v>0</v>
      </c>
      <c r="Z1854" s="18">
        <v>0</v>
      </c>
      <c r="AA1854" s="18">
        <v>0</v>
      </c>
      <c r="AB1854" s="18">
        <v>0</v>
      </c>
      <c r="AC1854" s="18">
        <v>0</v>
      </c>
      <c r="AD1854" s="16">
        <v>0</v>
      </c>
      <c r="AE1854" s="18">
        <v>0</v>
      </c>
      <c r="AF1854" s="18">
        <v>10</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8" t="s">
        <v>659</v>
      </c>
      <c r="AV1854" s="18"/>
      <c r="AW1854" s="19" t="s">
        <v>741</v>
      </c>
      <c r="AX1854" s="18">
        <v>0</v>
      </c>
      <c r="AY1854" s="18">
        <v>10007001</v>
      </c>
      <c r="AZ1854" s="18">
        <v>0</v>
      </c>
      <c r="BA1854" s="19" t="s">
        <v>200</v>
      </c>
      <c r="BB1854" s="19" t="s">
        <v>198</v>
      </c>
      <c r="BC1854" s="27">
        <v>0</v>
      </c>
      <c r="BD1854" s="27">
        <v>0</v>
      </c>
      <c r="BE1854" s="87" t="s">
        <v>746</v>
      </c>
      <c r="BF1854" s="87" t="s">
        <v>747</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70203003</v>
      </c>
      <c r="D1855" s="17" t="s">
        <v>4230</v>
      </c>
      <c r="E1855" s="17" t="s">
        <v>1266</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2.5</v>
      </c>
      <c r="Y1855" s="12">
        <v>0</v>
      </c>
      <c r="Z1855" s="16">
        <v>0</v>
      </c>
      <c r="AA1855" s="16">
        <v>1</v>
      </c>
      <c r="AB1855" s="16">
        <v>0</v>
      </c>
      <c r="AC1855" s="16">
        <v>0</v>
      </c>
      <c r="AD1855" s="16">
        <v>0</v>
      </c>
      <c r="AE1855" s="16">
        <v>0</v>
      </c>
      <c r="AF1855" s="16">
        <v>15</v>
      </c>
      <c r="AG1855" s="16">
        <v>1</v>
      </c>
      <c r="AH1855" s="16">
        <v>3</v>
      </c>
      <c r="AI1855" s="12">
        <v>4</v>
      </c>
      <c r="AJ1855" s="12">
        <v>1</v>
      </c>
      <c r="AK1855" s="12">
        <v>0</v>
      </c>
      <c r="AL1855" s="12">
        <v>1.5</v>
      </c>
      <c r="AM1855" s="16">
        <v>0</v>
      </c>
      <c r="AN1855" s="16">
        <v>0</v>
      </c>
      <c r="AO1855" s="16">
        <v>0</v>
      </c>
      <c r="AP1855" s="16">
        <v>3</v>
      </c>
      <c r="AQ1855" s="16">
        <v>5000</v>
      </c>
      <c r="AR1855" s="16">
        <v>3</v>
      </c>
      <c r="AS1855" s="16">
        <v>0</v>
      </c>
      <c r="AT1855" s="12">
        <v>0</v>
      </c>
      <c r="AU1855" s="16" t="s">
        <v>198</v>
      </c>
      <c r="AV1855" s="16"/>
      <c r="AW1855" s="19" t="s">
        <v>256</v>
      </c>
      <c r="AX1855" s="16" t="s">
        <v>534</v>
      </c>
      <c r="AY1855" s="18">
        <v>10000007</v>
      </c>
      <c r="AZ1855" s="18">
        <v>70203003</v>
      </c>
      <c r="BA1855" s="17" t="s">
        <v>200</v>
      </c>
      <c r="BB1855" s="16" t="s">
        <v>4231</v>
      </c>
      <c r="BC1855" s="27">
        <v>0</v>
      </c>
      <c r="BD1855" s="27">
        <v>0</v>
      </c>
      <c r="BE1855" s="44" t="s">
        <v>4232</v>
      </c>
      <c r="BF1855" s="44" t="s">
        <v>4233</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19.5" customHeight="1">
      <c r="C1856" s="18">
        <v>70203004</v>
      </c>
      <c r="D1856" s="17" t="s">
        <v>1116</v>
      </c>
      <c r="E1856" s="17" t="s">
        <v>391</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0</v>
      </c>
      <c r="AJ1856" s="12">
        <v>1</v>
      </c>
      <c r="AK1856" s="12">
        <v>0</v>
      </c>
      <c r="AL1856" s="12">
        <v>3</v>
      </c>
      <c r="AM1856" s="16">
        <v>0</v>
      </c>
      <c r="AN1856" s="16">
        <v>0</v>
      </c>
      <c r="AO1856" s="16">
        <v>0</v>
      </c>
      <c r="AP1856" s="16">
        <v>3</v>
      </c>
      <c r="AQ1856" s="16">
        <v>5000</v>
      </c>
      <c r="AR1856" s="16">
        <v>2.5</v>
      </c>
      <c r="AS1856" s="16">
        <v>0</v>
      </c>
      <c r="AT1856" s="12">
        <v>0</v>
      </c>
      <c r="AU1856" s="16" t="s">
        <v>659</v>
      </c>
      <c r="AV1856" s="16"/>
      <c r="AW1856" s="19" t="s">
        <v>617</v>
      </c>
      <c r="AX1856" s="16" t="s">
        <v>534</v>
      </c>
      <c r="AY1856" s="18">
        <v>10000007</v>
      </c>
      <c r="AZ1856" s="18">
        <v>70203004</v>
      </c>
      <c r="BA1856" s="17" t="s">
        <v>200</v>
      </c>
      <c r="BB1856" s="16">
        <v>0</v>
      </c>
      <c r="BC1856" s="27">
        <v>0</v>
      </c>
      <c r="BD1856" s="27">
        <v>0</v>
      </c>
      <c r="BE1856" s="44" t="s">
        <v>4234</v>
      </c>
      <c r="BF1856" s="44" t="s">
        <v>4235</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19.5" customHeight="1">
      <c r="C1857" s="18">
        <v>70204001</v>
      </c>
      <c r="D1857" s="17" t="s">
        <v>4236</v>
      </c>
      <c r="E1857" s="17" t="s">
        <v>4237</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12</v>
      </c>
      <c r="AG1857" s="16">
        <v>1</v>
      </c>
      <c r="AH1857" s="16" t="s">
        <v>607</v>
      </c>
      <c r="AI1857" s="12">
        <v>0</v>
      </c>
      <c r="AJ1857" s="12">
        <v>1</v>
      </c>
      <c r="AK1857" s="12">
        <v>0</v>
      </c>
      <c r="AL1857" s="12">
        <v>3</v>
      </c>
      <c r="AM1857" s="16">
        <v>0</v>
      </c>
      <c r="AN1857" s="16">
        <v>0</v>
      </c>
      <c r="AO1857" s="16">
        <v>0</v>
      </c>
      <c r="AP1857" s="16">
        <v>3</v>
      </c>
      <c r="AQ1857" s="16">
        <v>5000</v>
      </c>
      <c r="AR1857" s="16">
        <v>2.5</v>
      </c>
      <c r="AS1857" s="16">
        <v>0</v>
      </c>
      <c r="AT1857" s="12">
        <v>0</v>
      </c>
      <c r="AU1857" s="16">
        <v>80001030</v>
      </c>
      <c r="AV1857" s="16"/>
      <c r="AW1857" s="19" t="s">
        <v>287</v>
      </c>
      <c r="AX1857" s="16" t="s">
        <v>534</v>
      </c>
      <c r="AY1857" s="18">
        <v>10000007</v>
      </c>
      <c r="AZ1857" s="18">
        <v>70204001</v>
      </c>
      <c r="BA1857" s="17" t="s">
        <v>200</v>
      </c>
      <c r="BB1857" s="16">
        <v>0</v>
      </c>
      <c r="BC1857" s="27">
        <v>0</v>
      </c>
      <c r="BD1857" s="27">
        <v>0</v>
      </c>
      <c r="BE1857" s="44" t="s">
        <v>4238</v>
      </c>
      <c r="BF1857" s="44" t="s">
        <v>4239</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70204002</v>
      </c>
      <c r="D1858" s="17" t="s">
        <v>610</v>
      </c>
      <c r="E1858" s="17" t="s">
        <v>611</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10</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v>80001030</v>
      </c>
      <c r="AV1858" s="16"/>
      <c r="AW1858" s="19" t="s">
        <v>256</v>
      </c>
      <c r="AX1858" s="16" t="s">
        <v>534</v>
      </c>
      <c r="AY1858" s="18">
        <v>10000007</v>
      </c>
      <c r="AZ1858" s="18">
        <v>70204002</v>
      </c>
      <c r="BA1858" s="17" t="s">
        <v>200</v>
      </c>
      <c r="BB1858" s="16" t="s">
        <v>4240</v>
      </c>
      <c r="BC1858" s="27">
        <v>0</v>
      </c>
      <c r="BD1858" s="27">
        <v>0</v>
      </c>
      <c r="BE1858" s="44" t="s">
        <v>1322</v>
      </c>
      <c r="BF1858" s="44" t="s">
        <v>1323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70204003</v>
      </c>
      <c r="D1859" s="17" t="s">
        <v>615</v>
      </c>
      <c r="E1859" s="17" t="s">
        <v>616</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12</v>
      </c>
      <c r="AG1859" s="16">
        <v>1</v>
      </c>
      <c r="AH1859" s="16">
        <v>3</v>
      </c>
      <c r="AI1859" s="12">
        <v>6</v>
      </c>
      <c r="AJ1859" s="12">
        <v>1</v>
      </c>
      <c r="AK1859" s="12">
        <v>0</v>
      </c>
      <c r="AL1859" s="12">
        <v>1.5</v>
      </c>
      <c r="AM1859" s="16">
        <v>0</v>
      </c>
      <c r="AN1859" s="16">
        <v>0</v>
      </c>
      <c r="AO1859" s="16">
        <v>0</v>
      </c>
      <c r="AP1859" s="16">
        <v>3</v>
      </c>
      <c r="AQ1859" s="16">
        <v>5000</v>
      </c>
      <c r="AR1859" s="16">
        <v>3</v>
      </c>
      <c r="AS1859" s="16">
        <v>0</v>
      </c>
      <c r="AT1859" s="12">
        <v>0</v>
      </c>
      <c r="AU1859" s="16">
        <v>80001030</v>
      </c>
      <c r="AV1859" s="16"/>
      <c r="AW1859" s="19" t="s">
        <v>617</v>
      </c>
      <c r="AX1859" s="16" t="s">
        <v>534</v>
      </c>
      <c r="AY1859" s="18">
        <v>10000007</v>
      </c>
      <c r="AZ1859" s="18">
        <v>70204003</v>
      </c>
      <c r="BA1859" s="17" t="s">
        <v>200</v>
      </c>
      <c r="BB1859" s="16" t="s">
        <v>4241</v>
      </c>
      <c r="BC1859" s="27">
        <v>0</v>
      </c>
      <c r="BD1859" s="27">
        <v>0</v>
      </c>
      <c r="BE1859" s="44" t="s">
        <v>4242</v>
      </c>
      <c r="BF1859" s="44" t="s">
        <v>4243</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20.100000000000001" customHeight="1">
      <c r="C1860" s="18">
        <v>70204004</v>
      </c>
      <c r="D1860" s="19" t="s">
        <v>621</v>
      </c>
      <c r="E1860" s="19" t="s">
        <v>622</v>
      </c>
      <c r="F1860" s="18">
        <v>1</v>
      </c>
      <c r="G1860" s="18">
        <v>60010500</v>
      </c>
      <c r="H1860" s="18">
        <v>0</v>
      </c>
      <c r="I1860" s="27">
        <v>0</v>
      </c>
      <c r="J1860" s="18">
        <v>1</v>
      </c>
      <c r="K1860" s="18">
        <v>0</v>
      </c>
      <c r="L1860" s="18">
        <v>0</v>
      </c>
      <c r="M1860" s="18">
        <v>0</v>
      </c>
      <c r="N1860" s="18">
        <v>0</v>
      </c>
      <c r="O1860" s="16">
        <v>2</v>
      </c>
      <c r="P1860" s="18">
        <v>2</v>
      </c>
      <c r="Q1860" s="18">
        <v>0.3</v>
      </c>
      <c r="R1860" s="18">
        <v>0</v>
      </c>
      <c r="S1860" s="12">
        <v>0</v>
      </c>
      <c r="T1860" s="27">
        <v>0</v>
      </c>
      <c r="U1860" s="16">
        <v>1</v>
      </c>
      <c r="V1860" s="18">
        <v>2</v>
      </c>
      <c r="W1860" s="18">
        <v>0</v>
      </c>
      <c r="X1860" s="18">
        <v>0</v>
      </c>
      <c r="Y1860" s="12">
        <v>0</v>
      </c>
      <c r="Z1860" s="18">
        <v>0</v>
      </c>
      <c r="AA1860" s="18">
        <v>0</v>
      </c>
      <c r="AB1860" s="18">
        <v>0</v>
      </c>
      <c r="AC1860" s="18">
        <v>0</v>
      </c>
      <c r="AD1860" s="16">
        <v>0</v>
      </c>
      <c r="AE1860" s="18">
        <v>0</v>
      </c>
      <c r="AF1860" s="16">
        <v>10</v>
      </c>
      <c r="AG1860" s="18">
        <v>0</v>
      </c>
      <c r="AH1860" s="18">
        <v>0</v>
      </c>
      <c r="AI1860" s="12">
        <v>7</v>
      </c>
      <c r="AJ1860" s="12">
        <v>0</v>
      </c>
      <c r="AK1860" s="12">
        <v>0</v>
      </c>
      <c r="AL1860" s="12">
        <v>0</v>
      </c>
      <c r="AM1860" s="18">
        <v>0</v>
      </c>
      <c r="AN1860" s="18">
        <v>0</v>
      </c>
      <c r="AO1860" s="18">
        <v>0</v>
      </c>
      <c r="AP1860" s="18">
        <v>0</v>
      </c>
      <c r="AQ1860" s="18">
        <v>1000</v>
      </c>
      <c r="AR1860" s="18">
        <v>0</v>
      </c>
      <c r="AS1860" s="18">
        <v>0</v>
      </c>
      <c r="AT1860" s="12">
        <v>0</v>
      </c>
      <c r="AU1860" s="18">
        <v>90204004</v>
      </c>
      <c r="AV1860" s="18"/>
      <c r="AW1860" s="19" t="s">
        <v>199</v>
      </c>
      <c r="AX1860" s="18" t="s">
        <v>348</v>
      </c>
      <c r="AY1860" s="18">
        <v>0</v>
      </c>
      <c r="AZ1860" s="18">
        <v>0</v>
      </c>
      <c r="BA1860" s="19" t="s">
        <v>200</v>
      </c>
      <c r="BB1860" s="19" t="s">
        <v>198</v>
      </c>
      <c r="BC1860" s="27">
        <v>0</v>
      </c>
      <c r="BD1860" s="27">
        <v>0</v>
      </c>
      <c r="BE1860" s="87" t="s">
        <v>623</v>
      </c>
      <c r="BF1860" s="87" t="s">
        <v>624</v>
      </c>
      <c r="BG1860" s="18">
        <v>0</v>
      </c>
      <c r="BH1860" s="16">
        <v>0</v>
      </c>
      <c r="BI1860" s="18">
        <v>0</v>
      </c>
      <c r="BJ1860" s="18">
        <v>0</v>
      </c>
      <c r="BK1860" s="18">
        <v>0</v>
      </c>
      <c r="BL1860" s="18">
        <v>0</v>
      </c>
      <c r="BM1860" s="15">
        <v>0</v>
      </c>
      <c r="BN1860" s="12">
        <v>0</v>
      </c>
      <c r="BO1860" s="12">
        <v>0</v>
      </c>
      <c r="BP1860" s="12">
        <v>0</v>
      </c>
      <c r="BQ1860" s="12">
        <v>0</v>
      </c>
      <c r="BR1860" s="12">
        <v>0</v>
      </c>
      <c r="BS1860" s="12">
        <v>0</v>
      </c>
      <c r="BT1860" s="12">
        <v>0</v>
      </c>
      <c r="BU1860" s="47">
        <v>0</v>
      </c>
      <c r="BV1860" s="47"/>
      <c r="BW1860" s="47"/>
    </row>
    <row r="1861" spans="3:75" ht="19.5" customHeight="1">
      <c r="C1861" s="18">
        <v>70204005</v>
      </c>
      <c r="D1861" s="19" t="s">
        <v>897</v>
      </c>
      <c r="E1861" s="19" t="s">
        <v>898</v>
      </c>
      <c r="F1861" s="18">
        <v>1</v>
      </c>
      <c r="G1861" s="18">
        <v>60010300</v>
      </c>
      <c r="H1861" s="18">
        <v>0</v>
      </c>
      <c r="I1861" s="27">
        <v>0</v>
      </c>
      <c r="J1861" s="18">
        <v>1</v>
      </c>
      <c r="K1861" s="18">
        <v>0</v>
      </c>
      <c r="L1861" s="18">
        <v>0</v>
      </c>
      <c r="M1861" s="18">
        <v>0</v>
      </c>
      <c r="N1861" s="18">
        <v>0</v>
      </c>
      <c r="O1861" s="16">
        <v>2</v>
      </c>
      <c r="P1861" s="18">
        <v>2</v>
      </c>
      <c r="Q1861" s="18">
        <v>0.8</v>
      </c>
      <c r="R1861" s="18">
        <v>0</v>
      </c>
      <c r="S1861" s="12">
        <v>0</v>
      </c>
      <c r="T1861" s="27">
        <v>0</v>
      </c>
      <c r="U1861" s="16">
        <v>1</v>
      </c>
      <c r="V1861" s="18">
        <v>2</v>
      </c>
      <c r="W1861" s="18">
        <v>0</v>
      </c>
      <c r="X1861" s="18">
        <v>3</v>
      </c>
      <c r="Y1861" s="12">
        <v>0</v>
      </c>
      <c r="Z1861" s="18">
        <v>0</v>
      </c>
      <c r="AA1861" s="18">
        <v>0</v>
      </c>
      <c r="AB1861" s="18">
        <v>0</v>
      </c>
      <c r="AC1861" s="18">
        <v>0</v>
      </c>
      <c r="AD1861" s="16">
        <v>0</v>
      </c>
      <c r="AE1861" s="18">
        <v>0</v>
      </c>
      <c r="AF1861" s="18">
        <v>20</v>
      </c>
      <c r="AG1861" s="18">
        <v>1</v>
      </c>
      <c r="AH1861" s="18">
        <v>1</v>
      </c>
      <c r="AI1861" s="12">
        <v>2</v>
      </c>
      <c r="AJ1861" s="12">
        <v>2</v>
      </c>
      <c r="AK1861" s="12">
        <v>0</v>
      </c>
      <c r="AL1861" s="12">
        <v>1.5</v>
      </c>
      <c r="AM1861" s="18">
        <v>0</v>
      </c>
      <c r="AN1861" s="18">
        <v>0</v>
      </c>
      <c r="AO1861" s="18">
        <v>0</v>
      </c>
      <c r="AP1861" s="18">
        <v>1</v>
      </c>
      <c r="AQ1861" s="18">
        <v>30000</v>
      </c>
      <c r="AR1861" s="18">
        <v>0</v>
      </c>
      <c r="AS1861" s="18">
        <v>4</v>
      </c>
      <c r="AT1861" s="12">
        <v>0</v>
      </c>
      <c r="AU1861" s="16" t="s">
        <v>659</v>
      </c>
      <c r="AV1861" s="16"/>
      <c r="AW1861" s="19" t="s">
        <v>199</v>
      </c>
      <c r="AX1861" s="18" t="s">
        <v>545</v>
      </c>
      <c r="AY1861" s="18">
        <v>10003002</v>
      </c>
      <c r="AZ1861" s="18">
        <v>70106005</v>
      </c>
      <c r="BA1861" s="19" t="s">
        <v>586</v>
      </c>
      <c r="BB1861" s="19">
        <v>0</v>
      </c>
      <c r="BC1861" s="27">
        <v>0</v>
      </c>
      <c r="BD1861" s="27">
        <v>0</v>
      </c>
      <c r="BE1861" s="87" t="s">
        <v>899</v>
      </c>
      <c r="BF1861" s="87" t="s">
        <v>900</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70205001</v>
      </c>
      <c r="D1862" s="17" t="s">
        <v>993</v>
      </c>
      <c r="E1862" s="17" t="s">
        <v>994</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999999</v>
      </c>
      <c r="AR1862" s="16">
        <v>3</v>
      </c>
      <c r="AS1862" s="16">
        <v>0</v>
      </c>
      <c r="AT1862" s="12">
        <v>0</v>
      </c>
      <c r="AU1862" s="16" t="s">
        <v>198</v>
      </c>
      <c r="AV1862" s="16"/>
      <c r="AW1862" s="19" t="s">
        <v>287</v>
      </c>
      <c r="AX1862" s="16" t="s">
        <v>534</v>
      </c>
      <c r="AY1862" s="18">
        <v>10000007</v>
      </c>
      <c r="AZ1862" s="18">
        <v>70205001</v>
      </c>
      <c r="BA1862" s="17" t="s">
        <v>200</v>
      </c>
      <c r="BB1862" s="16" t="s">
        <v>4244</v>
      </c>
      <c r="BC1862" s="27">
        <v>0</v>
      </c>
      <c r="BD1862" s="27">
        <v>0</v>
      </c>
      <c r="BE1862" s="44" t="s">
        <v>996</v>
      </c>
      <c r="BF1862" s="44" t="s">
        <v>997</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70205002</v>
      </c>
      <c r="D1863" s="19" t="s">
        <v>567</v>
      </c>
      <c r="E1863" s="19" t="s">
        <v>568</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99999</v>
      </c>
      <c r="AG1863" s="18">
        <v>0</v>
      </c>
      <c r="AH1863" s="18">
        <v>0</v>
      </c>
      <c r="AI1863" s="12">
        <v>8</v>
      </c>
      <c r="AJ1863" s="12">
        <v>0</v>
      </c>
      <c r="AK1863" s="12">
        <v>0</v>
      </c>
      <c r="AL1863" s="12">
        <v>0</v>
      </c>
      <c r="AM1863" s="18">
        <v>0</v>
      </c>
      <c r="AN1863" s="18">
        <v>0</v>
      </c>
      <c r="AO1863" s="18">
        <v>0</v>
      </c>
      <c r="AP1863" s="18">
        <v>0</v>
      </c>
      <c r="AQ1863" s="18">
        <v>1000</v>
      </c>
      <c r="AR1863" s="18">
        <v>0</v>
      </c>
      <c r="AS1863" s="18">
        <v>0</v>
      </c>
      <c r="AT1863" s="12">
        <v>90105002</v>
      </c>
      <c r="AU1863" s="18" t="s">
        <v>198</v>
      </c>
      <c r="AV1863" s="18"/>
      <c r="AW1863" s="19" t="s">
        <v>199</v>
      </c>
      <c r="AX1863" s="18" t="s">
        <v>348</v>
      </c>
      <c r="AY1863" s="18">
        <v>0</v>
      </c>
      <c r="AZ1863" s="18">
        <v>0</v>
      </c>
      <c r="BA1863" s="19" t="s">
        <v>200</v>
      </c>
      <c r="BB1863" s="19" t="s">
        <v>198</v>
      </c>
      <c r="BC1863" s="27">
        <v>0</v>
      </c>
      <c r="BD1863" s="27">
        <v>0</v>
      </c>
      <c r="BE1863" s="87" t="s">
        <v>850</v>
      </c>
      <c r="BF1863" s="87" t="s">
        <v>851</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70205003</v>
      </c>
      <c r="D1864" s="19" t="s">
        <v>669</v>
      </c>
      <c r="E1864" s="19" t="s">
        <v>670</v>
      </c>
      <c r="F1864" s="18">
        <v>1</v>
      </c>
      <c r="G1864" s="18">
        <v>60010500</v>
      </c>
      <c r="H1864" s="18">
        <v>0</v>
      </c>
      <c r="I1864" s="27">
        <v>0</v>
      </c>
      <c r="J1864" s="18">
        <v>1</v>
      </c>
      <c r="K1864" s="18">
        <v>0</v>
      </c>
      <c r="L1864" s="18">
        <v>0</v>
      </c>
      <c r="M1864" s="18">
        <v>0</v>
      </c>
      <c r="N1864" s="18">
        <v>0</v>
      </c>
      <c r="O1864" s="16">
        <v>2</v>
      </c>
      <c r="P1864" s="18">
        <v>2</v>
      </c>
      <c r="Q1864" s="18">
        <v>0.3</v>
      </c>
      <c r="R1864" s="18">
        <v>0</v>
      </c>
      <c r="S1864" s="12">
        <v>0</v>
      </c>
      <c r="T1864" s="27">
        <v>0</v>
      </c>
      <c r="U1864" s="16">
        <v>1</v>
      </c>
      <c r="V1864" s="18">
        <v>2</v>
      </c>
      <c r="W1864" s="18">
        <v>0</v>
      </c>
      <c r="X1864" s="18">
        <v>0</v>
      </c>
      <c r="Y1864" s="12">
        <v>0</v>
      </c>
      <c r="Z1864" s="18">
        <v>0</v>
      </c>
      <c r="AA1864" s="18">
        <v>0</v>
      </c>
      <c r="AB1864" s="18">
        <v>0</v>
      </c>
      <c r="AC1864" s="18">
        <v>0</v>
      </c>
      <c r="AD1864" s="16">
        <v>0</v>
      </c>
      <c r="AE1864" s="18">
        <v>0</v>
      </c>
      <c r="AF1864" s="16">
        <v>99999</v>
      </c>
      <c r="AG1864" s="18">
        <v>0</v>
      </c>
      <c r="AH1864" s="18">
        <v>0</v>
      </c>
      <c r="AI1864" s="12">
        <v>8</v>
      </c>
      <c r="AJ1864" s="12">
        <v>0</v>
      </c>
      <c r="AK1864" s="12">
        <v>0</v>
      </c>
      <c r="AL1864" s="12">
        <v>0</v>
      </c>
      <c r="AM1864" s="18">
        <v>0</v>
      </c>
      <c r="AN1864" s="18">
        <v>0</v>
      </c>
      <c r="AO1864" s="18">
        <v>0</v>
      </c>
      <c r="AP1864" s="18">
        <v>0</v>
      </c>
      <c r="AQ1864" s="18">
        <v>1000</v>
      </c>
      <c r="AR1864" s="18">
        <v>0</v>
      </c>
      <c r="AS1864" s="18">
        <v>0</v>
      </c>
      <c r="AT1864" s="12" t="s">
        <v>998</v>
      </c>
      <c r="AU1864" s="18" t="s">
        <v>198</v>
      </c>
      <c r="AV1864" s="18"/>
      <c r="AW1864" s="19" t="s">
        <v>199</v>
      </c>
      <c r="AX1864" s="18" t="s">
        <v>348</v>
      </c>
      <c r="AY1864" s="18">
        <v>0</v>
      </c>
      <c r="AZ1864" s="18">
        <v>0</v>
      </c>
      <c r="BA1864" s="19" t="s">
        <v>200</v>
      </c>
      <c r="BB1864" s="19" t="s">
        <v>198</v>
      </c>
      <c r="BC1864" s="27">
        <v>0</v>
      </c>
      <c r="BD1864" s="27">
        <v>0</v>
      </c>
      <c r="BE1864" s="87" t="s">
        <v>755</v>
      </c>
      <c r="BF1864" s="87" t="s">
        <v>756</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70205004</v>
      </c>
      <c r="D1865" s="17" t="s">
        <v>600</v>
      </c>
      <c r="E1865" s="17" t="s">
        <v>601</v>
      </c>
      <c r="F1865" s="16">
        <v>1</v>
      </c>
      <c r="G1865" s="16">
        <v>60010300</v>
      </c>
      <c r="H1865" s="18">
        <v>0</v>
      </c>
      <c r="I1865" s="27">
        <v>0</v>
      </c>
      <c r="J1865" s="18">
        <v>1</v>
      </c>
      <c r="K1865" s="18">
        <v>0</v>
      </c>
      <c r="L1865" s="18">
        <v>0</v>
      </c>
      <c r="M1865" s="16">
        <v>0</v>
      </c>
      <c r="N1865" s="16">
        <v>0</v>
      </c>
      <c r="O1865" s="16">
        <v>2</v>
      </c>
      <c r="P1865" s="16">
        <v>2</v>
      </c>
      <c r="Q1865" s="16">
        <v>0.9</v>
      </c>
      <c r="R1865" s="16">
        <v>0</v>
      </c>
      <c r="S1865" s="12">
        <v>0</v>
      </c>
      <c r="T1865" s="16">
        <v>0</v>
      </c>
      <c r="U1865" s="16">
        <v>1</v>
      </c>
      <c r="V1865" s="16">
        <v>2</v>
      </c>
      <c r="W1865" s="16">
        <v>0</v>
      </c>
      <c r="X1865" s="16">
        <v>0</v>
      </c>
      <c r="Y1865" s="12">
        <v>0</v>
      </c>
      <c r="Z1865" s="16">
        <v>0</v>
      </c>
      <c r="AA1865" s="16">
        <v>0</v>
      </c>
      <c r="AB1865" s="16">
        <v>0</v>
      </c>
      <c r="AC1865" s="16">
        <v>0</v>
      </c>
      <c r="AD1865" s="16">
        <v>0</v>
      </c>
      <c r="AE1865" s="16">
        <v>0</v>
      </c>
      <c r="AF1865" s="16">
        <v>30</v>
      </c>
      <c r="AG1865" s="16">
        <v>0</v>
      </c>
      <c r="AH1865" s="16">
        <v>0</v>
      </c>
      <c r="AI1865" s="12">
        <v>2</v>
      </c>
      <c r="AJ1865" s="12">
        <v>2</v>
      </c>
      <c r="AK1865" s="12">
        <v>0</v>
      </c>
      <c r="AL1865" s="12">
        <v>1.5</v>
      </c>
      <c r="AM1865" s="16">
        <v>0</v>
      </c>
      <c r="AN1865" s="16">
        <v>0</v>
      </c>
      <c r="AO1865" s="16">
        <v>0</v>
      </c>
      <c r="AP1865" s="16">
        <v>1</v>
      </c>
      <c r="AQ1865" s="16">
        <v>3000</v>
      </c>
      <c r="AR1865" s="16">
        <v>0.5</v>
      </c>
      <c r="AS1865" s="16">
        <v>0</v>
      </c>
      <c r="AT1865" s="12">
        <v>0</v>
      </c>
      <c r="AU1865" s="16" t="s">
        <v>198</v>
      </c>
      <c r="AV1865" s="16"/>
      <c r="AW1865" s="19" t="s">
        <v>287</v>
      </c>
      <c r="AX1865" s="16" t="s">
        <v>545</v>
      </c>
      <c r="AY1865" s="18">
        <v>0</v>
      </c>
      <c r="AZ1865" s="18">
        <v>0</v>
      </c>
      <c r="BA1865" s="17" t="s">
        <v>528</v>
      </c>
      <c r="BB1865" s="16" t="s">
        <v>4245</v>
      </c>
      <c r="BC1865" s="27">
        <v>0</v>
      </c>
      <c r="BD1865" s="27">
        <v>0</v>
      </c>
      <c r="BE1865" s="44" t="s">
        <v>4246</v>
      </c>
      <c r="BF1865" s="44" t="s">
        <v>4247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19.5" customHeight="1">
      <c r="C1866" s="18">
        <v>70205005</v>
      </c>
      <c r="D1866" s="17" t="s">
        <v>765</v>
      </c>
      <c r="E1866" s="17" t="s">
        <v>766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15</v>
      </c>
      <c r="AG1866" s="16">
        <v>1</v>
      </c>
      <c r="AH1866" s="16" t="s">
        <v>607</v>
      </c>
      <c r="AI1866" s="12">
        <v>0</v>
      </c>
      <c r="AJ1866" s="12">
        <v>1</v>
      </c>
      <c r="AK1866" s="12">
        <v>0</v>
      </c>
      <c r="AL1866" s="12">
        <v>3</v>
      </c>
      <c r="AM1866" s="16">
        <v>0</v>
      </c>
      <c r="AN1866" s="16">
        <v>0</v>
      </c>
      <c r="AO1866" s="16">
        <v>0</v>
      </c>
      <c r="AP1866" s="16">
        <v>3</v>
      </c>
      <c r="AQ1866" s="16">
        <v>5000</v>
      </c>
      <c r="AR1866" s="16">
        <v>2.5</v>
      </c>
      <c r="AS1866" s="16">
        <v>0</v>
      </c>
      <c r="AT1866" s="12">
        <v>0</v>
      </c>
      <c r="AU1866" s="16" t="s">
        <v>659</v>
      </c>
      <c r="AV1866" s="16"/>
      <c r="AW1866" s="19" t="s">
        <v>256</v>
      </c>
      <c r="AX1866" s="16" t="s">
        <v>534</v>
      </c>
      <c r="AY1866" s="18">
        <v>10000007</v>
      </c>
      <c r="AZ1866" s="18">
        <v>70205002</v>
      </c>
      <c r="BA1866" s="17" t="s">
        <v>200</v>
      </c>
      <c r="BB1866" s="16">
        <v>0</v>
      </c>
      <c r="BC1866" s="27">
        <v>0</v>
      </c>
      <c r="BD1866" s="27">
        <v>0</v>
      </c>
      <c r="BE1866" s="44" t="s">
        <v>767</v>
      </c>
      <c r="BF1866" s="44" t="s">
        <v>768</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19.5" customHeight="1">
      <c r="C1867" s="18">
        <v>70205006</v>
      </c>
      <c r="D1867" s="17" t="s">
        <v>999</v>
      </c>
      <c r="E1867" s="17" t="s">
        <v>1000</v>
      </c>
      <c r="F1867" s="18">
        <v>1</v>
      </c>
      <c r="G1867" s="16">
        <v>60010100</v>
      </c>
      <c r="H1867" s="18">
        <v>0</v>
      </c>
      <c r="I1867" s="27">
        <v>0</v>
      </c>
      <c r="J1867" s="18">
        <v>1</v>
      </c>
      <c r="K1867" s="18">
        <v>0</v>
      </c>
      <c r="L1867" s="18">
        <v>0</v>
      </c>
      <c r="M1867" s="16">
        <v>0</v>
      </c>
      <c r="N1867" s="16">
        <v>0</v>
      </c>
      <c r="O1867" s="16">
        <v>2</v>
      </c>
      <c r="P1867" s="16">
        <v>1</v>
      </c>
      <c r="Q1867" s="16">
        <v>0.3</v>
      </c>
      <c r="R1867" s="16">
        <v>0</v>
      </c>
      <c r="S1867" s="12">
        <v>0</v>
      </c>
      <c r="T1867" s="16">
        <v>0</v>
      </c>
      <c r="U1867" s="16">
        <v>1</v>
      </c>
      <c r="V1867" s="16">
        <v>2</v>
      </c>
      <c r="W1867" s="16">
        <v>0</v>
      </c>
      <c r="X1867" s="16">
        <v>1</v>
      </c>
      <c r="Y1867" s="12">
        <v>0</v>
      </c>
      <c r="Z1867" s="16">
        <v>0</v>
      </c>
      <c r="AA1867" s="16">
        <v>1</v>
      </c>
      <c r="AB1867" s="16">
        <v>0</v>
      </c>
      <c r="AC1867" s="16">
        <v>0</v>
      </c>
      <c r="AD1867" s="16">
        <v>0</v>
      </c>
      <c r="AE1867" s="16">
        <v>0</v>
      </c>
      <c r="AF1867" s="16">
        <v>15</v>
      </c>
      <c r="AG1867" s="16">
        <v>1</v>
      </c>
      <c r="AH1867" s="16" t="s">
        <v>861</v>
      </c>
      <c r="AI1867" s="12">
        <v>0</v>
      </c>
      <c r="AJ1867" s="12">
        <v>0</v>
      </c>
      <c r="AK1867" s="12">
        <v>0</v>
      </c>
      <c r="AL1867" s="12">
        <v>0</v>
      </c>
      <c r="AM1867" s="16">
        <v>0</v>
      </c>
      <c r="AN1867" s="16">
        <v>0</v>
      </c>
      <c r="AO1867" s="16">
        <v>0</v>
      </c>
      <c r="AP1867" s="16">
        <v>0.5</v>
      </c>
      <c r="AQ1867" s="16">
        <v>999999</v>
      </c>
      <c r="AR1867" s="16">
        <v>0.5</v>
      </c>
      <c r="AS1867" s="16">
        <v>0</v>
      </c>
      <c r="AT1867" s="12">
        <v>0</v>
      </c>
      <c r="AU1867" s="12">
        <v>90105006</v>
      </c>
      <c r="AV1867" s="12"/>
      <c r="AW1867" s="19" t="s">
        <v>617</v>
      </c>
      <c r="AX1867" s="16" t="s">
        <v>534</v>
      </c>
      <c r="AY1867" s="18">
        <v>10000007</v>
      </c>
      <c r="AZ1867" s="18">
        <v>70205003</v>
      </c>
      <c r="BA1867" s="19" t="s">
        <v>315</v>
      </c>
      <c r="BB1867" s="19" t="s">
        <v>371</v>
      </c>
      <c r="BC1867" s="27">
        <v>0</v>
      </c>
      <c r="BD1867" s="27">
        <v>0</v>
      </c>
      <c r="BE1867" s="44" t="s">
        <v>1001</v>
      </c>
      <c r="BF1867" s="44" t="s">
        <v>1002</v>
      </c>
      <c r="BG1867" s="16">
        <v>0</v>
      </c>
      <c r="BH1867" s="16">
        <v>0</v>
      </c>
      <c r="BI1867" s="16">
        <v>0</v>
      </c>
      <c r="BJ1867" s="16">
        <v>0</v>
      </c>
      <c r="BK1867" s="16">
        <v>0</v>
      </c>
      <c r="BL1867" s="16">
        <v>0</v>
      </c>
      <c r="BM1867" s="15">
        <v>0</v>
      </c>
      <c r="BN1867" s="12">
        <v>0</v>
      </c>
      <c r="BO1867" s="12">
        <v>0</v>
      </c>
      <c r="BP1867" s="12">
        <v>0</v>
      </c>
      <c r="BQ1867" s="12">
        <v>0</v>
      </c>
      <c r="BR1867" s="12">
        <v>0</v>
      </c>
      <c r="BS1867" s="12">
        <v>0</v>
      </c>
      <c r="BT1867" s="12">
        <v>0</v>
      </c>
      <c r="BU1867" s="47">
        <v>0</v>
      </c>
      <c r="BV1867" s="47"/>
      <c r="BW1867" s="47"/>
    </row>
    <row r="1868" spans="3:75" ht="19.5" customHeight="1">
      <c r="C1868" s="18">
        <v>70205007</v>
      </c>
      <c r="D1868" s="17" t="s">
        <v>4248</v>
      </c>
      <c r="E1868" s="17" t="s">
        <v>4249</v>
      </c>
      <c r="F1868" s="18">
        <v>1</v>
      </c>
      <c r="G1868" s="16">
        <v>60010100</v>
      </c>
      <c r="H1868" s="18">
        <v>0</v>
      </c>
      <c r="I1868" s="27">
        <v>0</v>
      </c>
      <c r="J1868" s="18">
        <v>1</v>
      </c>
      <c r="K1868" s="18">
        <v>0</v>
      </c>
      <c r="L1868" s="18">
        <v>0</v>
      </c>
      <c r="M1868" s="16">
        <v>0</v>
      </c>
      <c r="N1868" s="16">
        <v>0</v>
      </c>
      <c r="O1868" s="16">
        <v>2</v>
      </c>
      <c r="P1868" s="16">
        <v>1</v>
      </c>
      <c r="Q1868" s="16">
        <v>0.3</v>
      </c>
      <c r="R1868" s="16">
        <v>0</v>
      </c>
      <c r="S1868" s="12">
        <v>0</v>
      </c>
      <c r="T1868" s="16">
        <v>0</v>
      </c>
      <c r="U1868" s="16">
        <v>1</v>
      </c>
      <c r="V1868" s="16">
        <v>2</v>
      </c>
      <c r="W1868" s="16">
        <v>0</v>
      </c>
      <c r="X1868" s="16">
        <v>2</v>
      </c>
      <c r="Y1868" s="12">
        <v>0</v>
      </c>
      <c r="Z1868" s="16">
        <v>0</v>
      </c>
      <c r="AA1868" s="16">
        <v>1</v>
      </c>
      <c r="AB1868" s="16">
        <v>0</v>
      </c>
      <c r="AC1868" s="16">
        <v>0</v>
      </c>
      <c r="AD1868" s="16">
        <v>0</v>
      </c>
      <c r="AE1868" s="16">
        <v>0</v>
      </c>
      <c r="AF1868" s="16">
        <v>15</v>
      </c>
      <c r="AG1868" s="16">
        <v>1</v>
      </c>
      <c r="AH1868" s="16" t="s">
        <v>861</v>
      </c>
      <c r="AI1868" s="12">
        <v>0</v>
      </c>
      <c r="AJ1868" s="12">
        <v>0</v>
      </c>
      <c r="AK1868" s="12">
        <v>0</v>
      </c>
      <c r="AL1868" s="12">
        <v>0</v>
      </c>
      <c r="AM1868" s="16">
        <v>0</v>
      </c>
      <c r="AN1868" s="16">
        <v>0</v>
      </c>
      <c r="AO1868" s="16">
        <v>0</v>
      </c>
      <c r="AP1868" s="16">
        <v>0.5</v>
      </c>
      <c r="AQ1868" s="16">
        <v>999999</v>
      </c>
      <c r="AR1868" s="16">
        <v>0.5</v>
      </c>
      <c r="AS1868" s="16">
        <v>0</v>
      </c>
      <c r="AT1868" s="12">
        <v>0</v>
      </c>
      <c r="AU1868" s="12">
        <v>90205007</v>
      </c>
      <c r="AV1868" s="12"/>
      <c r="AW1868" s="19" t="s">
        <v>617</v>
      </c>
      <c r="AX1868" s="16" t="s">
        <v>534</v>
      </c>
      <c r="AY1868" s="18">
        <v>10000007</v>
      </c>
      <c r="AZ1868" s="18">
        <v>70205001</v>
      </c>
      <c r="BA1868" s="19" t="s">
        <v>315</v>
      </c>
      <c r="BB1868" s="19" t="s">
        <v>371</v>
      </c>
      <c r="BC1868" s="27">
        <v>0</v>
      </c>
      <c r="BD1868" s="27">
        <v>0</v>
      </c>
      <c r="BE1868" s="44"/>
      <c r="BF1868" s="44"/>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70301001</v>
      </c>
      <c r="D1869" s="17" t="s">
        <v>4250</v>
      </c>
      <c r="E1869" s="17" t="s">
        <v>4251</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617</v>
      </c>
      <c r="AX1869" s="16" t="s">
        <v>534</v>
      </c>
      <c r="AY1869" s="18">
        <v>10000007</v>
      </c>
      <c r="AZ1869" s="18">
        <v>70301001</v>
      </c>
      <c r="BA1869" s="17" t="s">
        <v>200</v>
      </c>
      <c r="BB1869" s="16">
        <v>0</v>
      </c>
      <c r="BC1869" s="27">
        <v>0</v>
      </c>
      <c r="BD1869" s="27">
        <v>0</v>
      </c>
      <c r="BE1869" s="44" t="s">
        <v>4252</v>
      </c>
      <c r="BF1869" s="44" t="s">
        <v>4253</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70301002</v>
      </c>
      <c r="D1870" s="17" t="s">
        <v>4254</v>
      </c>
      <c r="E1870" s="17" t="s">
        <v>4255</v>
      </c>
      <c r="F1870" s="16">
        <v>1</v>
      </c>
      <c r="G1870" s="16">
        <v>60010300</v>
      </c>
      <c r="H1870" s="18">
        <v>0</v>
      </c>
      <c r="I1870" s="27">
        <v>0</v>
      </c>
      <c r="J1870" s="18">
        <v>1</v>
      </c>
      <c r="K1870" s="18">
        <v>0</v>
      </c>
      <c r="L1870" s="18">
        <v>0</v>
      </c>
      <c r="M1870" s="16">
        <v>0</v>
      </c>
      <c r="N1870" s="16">
        <v>0</v>
      </c>
      <c r="O1870" s="16">
        <v>2</v>
      </c>
      <c r="P1870" s="16">
        <v>2</v>
      </c>
      <c r="Q1870" s="16">
        <v>0.8</v>
      </c>
      <c r="R1870" s="16">
        <v>0</v>
      </c>
      <c r="S1870" s="12">
        <v>0</v>
      </c>
      <c r="T1870" s="16">
        <v>0</v>
      </c>
      <c r="U1870" s="16">
        <v>1</v>
      </c>
      <c r="V1870" s="16">
        <v>2</v>
      </c>
      <c r="W1870" s="16">
        <v>0</v>
      </c>
      <c r="X1870" s="16">
        <v>0</v>
      </c>
      <c r="Y1870" s="12">
        <v>0</v>
      </c>
      <c r="Z1870" s="16">
        <v>0</v>
      </c>
      <c r="AA1870" s="16">
        <v>0</v>
      </c>
      <c r="AB1870" s="16">
        <v>0</v>
      </c>
      <c r="AC1870" s="16">
        <v>0</v>
      </c>
      <c r="AD1870" s="16">
        <v>0</v>
      </c>
      <c r="AE1870" s="16">
        <v>0</v>
      </c>
      <c r="AF1870" s="16">
        <v>20</v>
      </c>
      <c r="AG1870" s="16">
        <v>0</v>
      </c>
      <c r="AH1870" s="16">
        <v>0</v>
      </c>
      <c r="AI1870" s="12">
        <v>2</v>
      </c>
      <c r="AJ1870" s="12">
        <v>2</v>
      </c>
      <c r="AK1870" s="12">
        <v>0</v>
      </c>
      <c r="AL1870" s="12">
        <v>1.5</v>
      </c>
      <c r="AM1870" s="16">
        <v>0</v>
      </c>
      <c r="AN1870" s="16">
        <v>0</v>
      </c>
      <c r="AO1870" s="16">
        <v>0</v>
      </c>
      <c r="AP1870" s="16">
        <v>1</v>
      </c>
      <c r="AQ1870" s="16">
        <v>3000</v>
      </c>
      <c r="AR1870" s="16">
        <v>0.5</v>
      </c>
      <c r="AS1870" s="16">
        <v>0</v>
      </c>
      <c r="AT1870" s="12">
        <v>0</v>
      </c>
      <c r="AU1870" s="16" t="s">
        <v>198</v>
      </c>
      <c r="AV1870" s="16"/>
      <c r="AW1870" s="19" t="s">
        <v>199</v>
      </c>
      <c r="AX1870" s="16" t="s">
        <v>545</v>
      </c>
      <c r="AY1870" s="18">
        <v>0</v>
      </c>
      <c r="AZ1870" s="18">
        <v>0</v>
      </c>
      <c r="BA1870" s="17" t="s">
        <v>528</v>
      </c>
      <c r="BB1870" s="16" t="s">
        <v>4256</v>
      </c>
      <c r="BC1870" s="27">
        <v>0</v>
      </c>
      <c r="BD1870" s="27">
        <v>0</v>
      </c>
      <c r="BE1870" s="44" t="s">
        <v>4257</v>
      </c>
      <c r="BF1870" s="44" t="s">
        <v>4258</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70301003</v>
      </c>
      <c r="D1871" s="17" t="s">
        <v>1067</v>
      </c>
      <c r="E1871" s="17" t="s">
        <v>1068</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3</v>
      </c>
      <c r="Y1871" s="12">
        <v>0</v>
      </c>
      <c r="Z1871" s="16">
        <v>0</v>
      </c>
      <c r="AA1871" s="16">
        <v>1</v>
      </c>
      <c r="AB1871" s="16">
        <v>0</v>
      </c>
      <c r="AC1871" s="16">
        <v>0</v>
      </c>
      <c r="AD1871" s="16">
        <v>0</v>
      </c>
      <c r="AE1871" s="16">
        <v>0</v>
      </c>
      <c r="AF1871" s="16">
        <v>12</v>
      </c>
      <c r="AG1871" s="16">
        <v>1</v>
      </c>
      <c r="AH1871" s="16">
        <v>3</v>
      </c>
      <c r="AI1871" s="12">
        <v>6</v>
      </c>
      <c r="AJ1871" s="12">
        <v>1</v>
      </c>
      <c r="AK1871" s="12">
        <v>0</v>
      </c>
      <c r="AL1871" s="12">
        <v>1.5</v>
      </c>
      <c r="AM1871" s="16">
        <v>0</v>
      </c>
      <c r="AN1871" s="16">
        <v>0</v>
      </c>
      <c r="AO1871" s="16">
        <v>0</v>
      </c>
      <c r="AP1871" s="16">
        <v>3</v>
      </c>
      <c r="AQ1871" s="16">
        <v>5000</v>
      </c>
      <c r="AR1871" s="16">
        <v>3</v>
      </c>
      <c r="AS1871" s="16">
        <v>0</v>
      </c>
      <c r="AT1871" s="12">
        <v>0</v>
      </c>
      <c r="AU1871" s="16">
        <v>80001030</v>
      </c>
      <c r="AV1871" s="16"/>
      <c r="AW1871" s="19" t="s">
        <v>256</v>
      </c>
      <c r="AX1871" s="16" t="s">
        <v>534</v>
      </c>
      <c r="AY1871" s="18">
        <v>10000007</v>
      </c>
      <c r="AZ1871" s="18">
        <v>70301003</v>
      </c>
      <c r="BA1871" s="17" t="s">
        <v>200</v>
      </c>
      <c r="BB1871" s="16" t="s">
        <v>4259</v>
      </c>
      <c r="BC1871" s="27">
        <v>0</v>
      </c>
      <c r="BD1871" s="27">
        <v>0</v>
      </c>
      <c r="BE1871" s="44" t="s">
        <v>4260</v>
      </c>
      <c r="BF1871" s="44" t="s">
        <v>4261</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70301004</v>
      </c>
      <c r="D1872" s="19" t="s">
        <v>4262</v>
      </c>
      <c r="E1872" s="19" t="s">
        <v>4263</v>
      </c>
      <c r="F1872" s="18">
        <v>1</v>
      </c>
      <c r="G1872" s="18">
        <v>60010500</v>
      </c>
      <c r="H1872" s="18">
        <v>0</v>
      </c>
      <c r="I1872" s="27">
        <v>0</v>
      </c>
      <c r="J1872" s="18">
        <v>1</v>
      </c>
      <c r="K1872" s="18">
        <v>0</v>
      </c>
      <c r="L1872" s="18">
        <v>0</v>
      </c>
      <c r="M1872" s="18">
        <v>0</v>
      </c>
      <c r="N1872" s="18">
        <v>0</v>
      </c>
      <c r="O1872" s="16">
        <v>2</v>
      </c>
      <c r="P1872" s="18">
        <v>2</v>
      </c>
      <c r="Q1872" s="18">
        <v>0.3</v>
      </c>
      <c r="R1872" s="18">
        <v>0</v>
      </c>
      <c r="S1872" s="12">
        <v>0</v>
      </c>
      <c r="T1872" s="27">
        <v>0</v>
      </c>
      <c r="U1872" s="16">
        <v>1</v>
      </c>
      <c r="V1872" s="18">
        <v>2</v>
      </c>
      <c r="W1872" s="18">
        <v>0</v>
      </c>
      <c r="X1872" s="18">
        <v>0</v>
      </c>
      <c r="Y1872" s="12">
        <v>0</v>
      </c>
      <c r="Z1872" s="18">
        <v>0</v>
      </c>
      <c r="AA1872" s="18">
        <v>0</v>
      </c>
      <c r="AB1872" s="18">
        <v>0</v>
      </c>
      <c r="AC1872" s="18">
        <v>0</v>
      </c>
      <c r="AD1872" s="16">
        <v>0</v>
      </c>
      <c r="AE1872" s="18">
        <v>0</v>
      </c>
      <c r="AF1872" s="18">
        <v>20</v>
      </c>
      <c r="AG1872" s="18">
        <v>0</v>
      </c>
      <c r="AH1872" s="18">
        <v>0</v>
      </c>
      <c r="AI1872" s="12">
        <v>7</v>
      </c>
      <c r="AJ1872" s="12">
        <v>0</v>
      </c>
      <c r="AK1872" s="12">
        <v>0</v>
      </c>
      <c r="AL1872" s="12">
        <v>0</v>
      </c>
      <c r="AM1872" s="18">
        <v>0</v>
      </c>
      <c r="AN1872" s="18">
        <v>0</v>
      </c>
      <c r="AO1872" s="18">
        <v>0</v>
      </c>
      <c r="AP1872" s="18">
        <v>0</v>
      </c>
      <c r="AQ1872" s="18">
        <v>1000</v>
      </c>
      <c r="AR1872" s="18">
        <v>0</v>
      </c>
      <c r="AS1872" s="18">
        <v>0</v>
      </c>
      <c r="AT1872" s="12">
        <v>0</v>
      </c>
      <c r="AU1872" s="18" t="s">
        <v>4264</v>
      </c>
      <c r="AV1872" s="18"/>
      <c r="AW1872" s="19" t="s">
        <v>199</v>
      </c>
      <c r="AX1872" s="18" t="s">
        <v>348</v>
      </c>
      <c r="AY1872" s="18">
        <v>0</v>
      </c>
      <c r="AZ1872" s="18">
        <v>0</v>
      </c>
      <c r="BA1872" s="19" t="s">
        <v>200</v>
      </c>
      <c r="BB1872" s="19" t="s">
        <v>198</v>
      </c>
      <c r="BC1872" s="27">
        <v>0</v>
      </c>
      <c r="BD1872" s="27">
        <v>0</v>
      </c>
      <c r="BE1872" s="87" t="s">
        <v>4265</v>
      </c>
      <c r="BF1872" s="87" t="s">
        <v>4266</v>
      </c>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70301005</v>
      </c>
      <c r="D1873" s="19" t="s">
        <v>4267</v>
      </c>
      <c r="E1873" s="19" t="s">
        <v>4268</v>
      </c>
      <c r="F1873" s="18">
        <v>1</v>
      </c>
      <c r="G1873" s="18">
        <v>60010500</v>
      </c>
      <c r="H1873" s="18">
        <v>0</v>
      </c>
      <c r="I1873" s="27">
        <v>0</v>
      </c>
      <c r="J1873" s="18">
        <v>1</v>
      </c>
      <c r="K1873" s="18">
        <v>0</v>
      </c>
      <c r="L1873" s="18">
        <v>0</v>
      </c>
      <c r="M1873" s="18">
        <v>0</v>
      </c>
      <c r="N1873" s="18">
        <v>0</v>
      </c>
      <c r="O1873" s="16">
        <v>2</v>
      </c>
      <c r="P1873" s="18">
        <v>0</v>
      </c>
      <c r="Q1873" s="18">
        <v>0</v>
      </c>
      <c r="R1873" s="18">
        <v>0</v>
      </c>
      <c r="S1873" s="12">
        <v>0</v>
      </c>
      <c r="T1873" s="27">
        <v>0</v>
      </c>
      <c r="U1873" s="16">
        <v>1</v>
      </c>
      <c r="V1873" s="18">
        <v>1</v>
      </c>
      <c r="W1873" s="18">
        <v>0</v>
      </c>
      <c r="X1873" s="18">
        <v>1</v>
      </c>
      <c r="Y1873" s="12">
        <v>0</v>
      </c>
      <c r="Z1873" s="18">
        <v>0</v>
      </c>
      <c r="AA1873" s="18">
        <v>0</v>
      </c>
      <c r="AB1873" s="18">
        <v>0</v>
      </c>
      <c r="AC1873" s="18">
        <v>0</v>
      </c>
      <c r="AD1873" s="16">
        <v>0</v>
      </c>
      <c r="AE1873" s="18">
        <v>0</v>
      </c>
      <c r="AF1873" s="18">
        <v>1</v>
      </c>
      <c r="AG1873" s="18">
        <v>0</v>
      </c>
      <c r="AH1873" s="18">
        <v>0</v>
      </c>
      <c r="AI1873" s="12">
        <v>7</v>
      </c>
      <c r="AJ1873" s="12">
        <v>0</v>
      </c>
      <c r="AK1873" s="12">
        <v>0</v>
      </c>
      <c r="AL1873" s="12">
        <v>0</v>
      </c>
      <c r="AM1873" s="18">
        <v>0</v>
      </c>
      <c r="AN1873" s="18">
        <v>0</v>
      </c>
      <c r="AO1873" s="18">
        <v>0</v>
      </c>
      <c r="AP1873" s="18">
        <v>0</v>
      </c>
      <c r="AQ1873" s="18">
        <v>1000</v>
      </c>
      <c r="AR1873" s="18">
        <v>0.5</v>
      </c>
      <c r="AS1873" s="18">
        <v>10</v>
      </c>
      <c r="AT1873" s="12">
        <v>0</v>
      </c>
      <c r="AU1873" s="18" t="s">
        <v>4269</v>
      </c>
      <c r="AV1873" s="18"/>
      <c r="AW1873" s="19" t="s">
        <v>741</v>
      </c>
      <c r="AX1873" s="18">
        <v>0</v>
      </c>
      <c r="AY1873" s="18">
        <v>10000011</v>
      </c>
      <c r="AZ1873" s="18">
        <v>50000001</v>
      </c>
      <c r="BA1873" s="19" t="s">
        <v>250</v>
      </c>
      <c r="BB1873" s="19" t="s">
        <v>198</v>
      </c>
      <c r="BC1873" s="27">
        <v>0</v>
      </c>
      <c r="BD1873" s="27">
        <v>0</v>
      </c>
      <c r="BE1873" s="87" t="s">
        <v>4270</v>
      </c>
      <c r="BF1873" s="87" t="s">
        <v>4271</v>
      </c>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row>
    <row r="1874" spans="3:75" ht="19.5" customHeight="1">
      <c r="C1874" s="18">
        <v>70302001</v>
      </c>
      <c r="D1874" s="17" t="s">
        <v>1017</v>
      </c>
      <c r="E1874" s="17" t="s">
        <v>1018</v>
      </c>
      <c r="F1874" s="18">
        <v>1</v>
      </c>
      <c r="G1874" s="16">
        <v>60010100</v>
      </c>
      <c r="H1874" s="18">
        <v>0</v>
      </c>
      <c r="I1874" s="27">
        <v>0</v>
      </c>
      <c r="J1874" s="18">
        <v>1</v>
      </c>
      <c r="K1874" s="18">
        <v>0</v>
      </c>
      <c r="L1874" s="18">
        <v>0</v>
      </c>
      <c r="M1874" s="16">
        <v>0</v>
      </c>
      <c r="N1874" s="16">
        <v>0</v>
      </c>
      <c r="O1874" s="16">
        <v>2</v>
      </c>
      <c r="P1874" s="16">
        <v>1</v>
      </c>
      <c r="Q1874" s="16">
        <v>0.5</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10</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338" t="s">
        <v>1019</v>
      </c>
      <c r="AV1874" s="12"/>
      <c r="AW1874" s="19" t="s">
        <v>256</v>
      </c>
      <c r="AX1874" s="16" t="s">
        <v>534</v>
      </c>
      <c r="AY1874" s="18">
        <v>10000007</v>
      </c>
      <c r="AZ1874" s="18">
        <v>70302001</v>
      </c>
      <c r="BA1874" s="19" t="s">
        <v>315</v>
      </c>
      <c r="BB1874" s="19" t="s">
        <v>371</v>
      </c>
      <c r="BC1874" s="27">
        <v>0</v>
      </c>
      <c r="BD1874" s="27">
        <v>0</v>
      </c>
      <c r="BE1874" s="44" t="s">
        <v>1020</v>
      </c>
      <c r="BF1874" s="44" t="s">
        <v>1021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70302002</v>
      </c>
      <c r="D1875" s="19" t="s">
        <v>1022</v>
      </c>
      <c r="E1875" s="19" t="s">
        <v>1023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6">
        <v>30</v>
      </c>
      <c r="AG1875" s="18">
        <v>0</v>
      </c>
      <c r="AH1875" s="18">
        <v>0</v>
      </c>
      <c r="AI1875" s="12">
        <v>8</v>
      </c>
      <c r="AJ1875" s="12">
        <v>0</v>
      </c>
      <c r="AK1875" s="12">
        <v>0</v>
      </c>
      <c r="AL1875" s="12">
        <v>0</v>
      </c>
      <c r="AM1875" s="18">
        <v>0</v>
      </c>
      <c r="AN1875" s="18">
        <v>0</v>
      </c>
      <c r="AO1875" s="18">
        <v>0</v>
      </c>
      <c r="AP1875" s="18">
        <v>0</v>
      </c>
      <c r="AQ1875" s="18">
        <v>1000</v>
      </c>
      <c r="AR1875" s="18">
        <v>0</v>
      </c>
      <c r="AS1875" s="18">
        <v>0</v>
      </c>
      <c r="AT1875" s="12">
        <v>90301006</v>
      </c>
      <c r="AU1875" s="18" t="s">
        <v>198</v>
      </c>
      <c r="AV1875" s="18"/>
      <c r="AW1875" s="19" t="s">
        <v>199</v>
      </c>
      <c r="AX1875" s="18" t="s">
        <v>348</v>
      </c>
      <c r="AY1875" s="18">
        <v>0</v>
      </c>
      <c r="AZ1875" s="18">
        <v>0</v>
      </c>
      <c r="BA1875" s="19" t="s">
        <v>200</v>
      </c>
      <c r="BB1875" s="19" t="s">
        <v>198</v>
      </c>
      <c r="BC1875" s="27">
        <v>0</v>
      </c>
      <c r="BD1875" s="27">
        <v>0</v>
      </c>
      <c r="BE1875" s="87" t="s">
        <v>4222</v>
      </c>
      <c r="BF1875" s="87" t="s">
        <v>4223</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spans="3:75" ht="19.5" customHeight="1">
      <c r="C1876" s="18">
        <v>70302003</v>
      </c>
      <c r="D1876" s="17" t="s">
        <v>1324</v>
      </c>
      <c r="E1876" s="17" t="s">
        <v>1325</v>
      </c>
      <c r="F1876" s="18">
        <v>1</v>
      </c>
      <c r="G1876" s="16">
        <v>60010100</v>
      </c>
      <c r="H1876" s="18">
        <v>0</v>
      </c>
      <c r="I1876" s="27">
        <v>0</v>
      </c>
      <c r="J1876" s="18">
        <v>1</v>
      </c>
      <c r="K1876" s="18">
        <v>0</v>
      </c>
      <c r="L1876" s="18">
        <v>0</v>
      </c>
      <c r="M1876" s="16">
        <v>0</v>
      </c>
      <c r="N1876" s="16">
        <v>0</v>
      </c>
      <c r="O1876" s="16">
        <v>2</v>
      </c>
      <c r="P1876" s="16">
        <v>1</v>
      </c>
      <c r="Q1876" s="16">
        <v>0.5</v>
      </c>
      <c r="R1876" s="16">
        <v>0</v>
      </c>
      <c r="S1876" s="12">
        <v>0</v>
      </c>
      <c r="T1876" s="16">
        <v>0</v>
      </c>
      <c r="U1876" s="16">
        <v>1</v>
      </c>
      <c r="V1876" s="16">
        <v>2</v>
      </c>
      <c r="W1876" s="16">
        <v>0</v>
      </c>
      <c r="X1876" s="16">
        <v>2</v>
      </c>
      <c r="Y1876" s="12">
        <v>0</v>
      </c>
      <c r="Z1876" s="16">
        <v>0</v>
      </c>
      <c r="AA1876" s="16">
        <v>1</v>
      </c>
      <c r="AB1876" s="16">
        <v>0</v>
      </c>
      <c r="AC1876" s="16">
        <v>0</v>
      </c>
      <c r="AD1876" s="16">
        <v>0</v>
      </c>
      <c r="AE1876" s="16">
        <v>0</v>
      </c>
      <c r="AF1876" s="16">
        <v>12</v>
      </c>
      <c r="AG1876" s="16">
        <v>2</v>
      </c>
      <c r="AH1876" s="16" t="s">
        <v>213</v>
      </c>
      <c r="AI1876" s="12">
        <v>0</v>
      </c>
      <c r="AJ1876" s="12">
        <v>2</v>
      </c>
      <c r="AK1876" s="12">
        <v>0</v>
      </c>
      <c r="AL1876" s="12">
        <v>1.5</v>
      </c>
      <c r="AM1876" s="16">
        <v>0</v>
      </c>
      <c r="AN1876" s="16">
        <v>0</v>
      </c>
      <c r="AO1876" s="16">
        <v>0</v>
      </c>
      <c r="AP1876" s="16">
        <v>1.5</v>
      </c>
      <c r="AQ1876" s="16">
        <v>10000</v>
      </c>
      <c r="AR1876" s="16">
        <v>1</v>
      </c>
      <c r="AS1876" s="16">
        <v>5</v>
      </c>
      <c r="AT1876" s="12">
        <v>0</v>
      </c>
      <c r="AU1876" s="16" t="s">
        <v>198</v>
      </c>
      <c r="AV1876" s="16"/>
      <c r="AW1876" s="19" t="s">
        <v>617</v>
      </c>
      <c r="AX1876" s="16" t="s">
        <v>534</v>
      </c>
      <c r="AY1876" s="18">
        <v>10000007</v>
      </c>
      <c r="AZ1876" s="18">
        <v>70302003</v>
      </c>
      <c r="BA1876" s="19" t="s">
        <v>586</v>
      </c>
      <c r="BB1876" s="16">
        <v>0</v>
      </c>
      <c r="BC1876" s="27">
        <v>0</v>
      </c>
      <c r="BD1876" s="27">
        <v>0</v>
      </c>
      <c r="BE1876" s="44" t="s">
        <v>2966</v>
      </c>
      <c r="BF1876" s="44" t="s">
        <v>2967</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70302004</v>
      </c>
      <c r="D1877" s="17" t="s">
        <v>1029</v>
      </c>
      <c r="E1877" s="17" t="s">
        <v>1030</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2</v>
      </c>
      <c r="Y1877" s="12">
        <v>0</v>
      </c>
      <c r="Z1877" s="16">
        <v>0</v>
      </c>
      <c r="AA1877" s="16">
        <v>1</v>
      </c>
      <c r="AB1877" s="16">
        <v>0</v>
      </c>
      <c r="AC1877" s="16">
        <v>0</v>
      </c>
      <c r="AD1877" s="16">
        <v>0</v>
      </c>
      <c r="AE1877" s="16">
        <v>0</v>
      </c>
      <c r="AF1877" s="16">
        <v>12</v>
      </c>
      <c r="AG1877" s="16">
        <v>1</v>
      </c>
      <c r="AH1877" s="16">
        <v>3</v>
      </c>
      <c r="AI1877" s="12">
        <v>4</v>
      </c>
      <c r="AJ1877" s="12">
        <v>1</v>
      </c>
      <c r="AK1877" s="12">
        <v>0</v>
      </c>
      <c r="AL1877" s="12">
        <v>1.5</v>
      </c>
      <c r="AM1877" s="16">
        <v>0</v>
      </c>
      <c r="AN1877" s="16">
        <v>0</v>
      </c>
      <c r="AO1877" s="16">
        <v>0</v>
      </c>
      <c r="AP1877" s="16">
        <v>3</v>
      </c>
      <c r="AQ1877" s="16">
        <v>999999</v>
      </c>
      <c r="AR1877" s="16">
        <v>3</v>
      </c>
      <c r="AS1877" s="16">
        <v>0</v>
      </c>
      <c r="AT1877" s="12">
        <v>0</v>
      </c>
      <c r="AU1877" s="16" t="s">
        <v>198</v>
      </c>
      <c r="AV1877" s="16"/>
      <c r="AW1877" s="19" t="s">
        <v>287</v>
      </c>
      <c r="AX1877" s="16" t="s">
        <v>534</v>
      </c>
      <c r="AY1877" s="18">
        <v>10000007</v>
      </c>
      <c r="AZ1877" s="18">
        <v>70302004</v>
      </c>
      <c r="BA1877" s="17" t="s">
        <v>200</v>
      </c>
      <c r="BB1877" s="16" t="s">
        <v>4272</v>
      </c>
      <c r="BC1877" s="27">
        <v>0</v>
      </c>
      <c r="BD1877" s="27">
        <v>0</v>
      </c>
      <c r="BE1877" s="44" t="s">
        <v>4224</v>
      </c>
      <c r="BF1877" s="44" t="s">
        <v>4225</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70303001</v>
      </c>
      <c r="D1878" s="17" t="s">
        <v>1086</v>
      </c>
      <c r="E1878" s="17" t="s">
        <v>1087</v>
      </c>
      <c r="F1878" s="16">
        <v>1</v>
      </c>
      <c r="G1878" s="16">
        <v>60010300</v>
      </c>
      <c r="H1878" s="18">
        <v>0</v>
      </c>
      <c r="I1878" s="27">
        <v>0</v>
      </c>
      <c r="J1878" s="18">
        <v>1</v>
      </c>
      <c r="K1878" s="18">
        <v>0</v>
      </c>
      <c r="L1878" s="18">
        <v>0</v>
      </c>
      <c r="M1878" s="16">
        <v>0</v>
      </c>
      <c r="N1878" s="16">
        <v>0</v>
      </c>
      <c r="O1878" s="16">
        <v>2</v>
      </c>
      <c r="P1878" s="16">
        <v>2</v>
      </c>
      <c r="Q1878" s="16">
        <v>0.8</v>
      </c>
      <c r="R1878" s="16">
        <v>1</v>
      </c>
      <c r="S1878" s="12">
        <v>0</v>
      </c>
      <c r="T1878" s="16">
        <v>0</v>
      </c>
      <c r="U1878" s="16">
        <v>1</v>
      </c>
      <c r="V1878" s="16">
        <v>2</v>
      </c>
      <c r="W1878" s="16">
        <v>0</v>
      </c>
      <c r="X1878" s="16">
        <v>0</v>
      </c>
      <c r="Y1878" s="12">
        <v>0</v>
      </c>
      <c r="Z1878" s="16">
        <v>0</v>
      </c>
      <c r="AA1878" s="16">
        <v>0</v>
      </c>
      <c r="AB1878" s="16">
        <v>0</v>
      </c>
      <c r="AC1878" s="16">
        <v>0</v>
      </c>
      <c r="AD1878" s="16">
        <v>0</v>
      </c>
      <c r="AE1878" s="16">
        <v>0</v>
      </c>
      <c r="AF1878" s="16">
        <v>99999</v>
      </c>
      <c r="AG1878" s="16">
        <v>0</v>
      </c>
      <c r="AH1878" s="16">
        <v>0</v>
      </c>
      <c r="AI1878" s="12">
        <v>2</v>
      </c>
      <c r="AJ1878" s="12">
        <v>2</v>
      </c>
      <c r="AK1878" s="12">
        <v>0</v>
      </c>
      <c r="AL1878" s="12">
        <v>1.5</v>
      </c>
      <c r="AM1878" s="16">
        <v>0</v>
      </c>
      <c r="AN1878" s="16">
        <v>0</v>
      </c>
      <c r="AO1878" s="16">
        <v>0</v>
      </c>
      <c r="AP1878" s="16">
        <v>1</v>
      </c>
      <c r="AQ1878" s="16">
        <v>3000</v>
      </c>
      <c r="AR1878" s="16">
        <v>0.5</v>
      </c>
      <c r="AS1878" s="16">
        <v>0</v>
      </c>
      <c r="AT1878" s="12">
        <v>0</v>
      </c>
      <c r="AU1878" s="16" t="s">
        <v>198</v>
      </c>
      <c r="AV1878" s="16"/>
      <c r="AW1878" s="19" t="s">
        <v>199</v>
      </c>
      <c r="AX1878" s="16" t="s">
        <v>545</v>
      </c>
      <c r="AY1878" s="18">
        <v>0</v>
      </c>
      <c r="AZ1878" s="18">
        <v>0</v>
      </c>
      <c r="BA1878" s="17" t="s">
        <v>528</v>
      </c>
      <c r="BB1878" s="16" t="s">
        <v>4273</v>
      </c>
      <c r="BC1878" s="27">
        <v>0</v>
      </c>
      <c r="BD1878" s="27">
        <v>0</v>
      </c>
      <c r="BE1878" s="44" t="s">
        <v>1089</v>
      </c>
      <c r="BF1878" s="44" t="s">
        <v>1090</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19.5" customHeight="1">
      <c r="C1879" s="18">
        <v>70303002</v>
      </c>
      <c r="D1879" s="17" t="s">
        <v>1091</v>
      </c>
      <c r="E1879" s="17" t="s">
        <v>1092</v>
      </c>
      <c r="F1879" s="18">
        <v>1</v>
      </c>
      <c r="G1879" s="16">
        <v>60010100</v>
      </c>
      <c r="H1879" s="18">
        <v>0</v>
      </c>
      <c r="I1879" s="27">
        <v>0</v>
      </c>
      <c r="J1879" s="18">
        <v>1</v>
      </c>
      <c r="K1879" s="18">
        <v>0</v>
      </c>
      <c r="L1879" s="18">
        <v>0</v>
      </c>
      <c r="M1879" s="16">
        <v>0</v>
      </c>
      <c r="N1879" s="16">
        <v>0</v>
      </c>
      <c r="O1879" s="16">
        <v>2</v>
      </c>
      <c r="P1879" s="16">
        <v>1</v>
      </c>
      <c r="Q1879" s="16">
        <v>0.3</v>
      </c>
      <c r="R1879" s="16">
        <v>0</v>
      </c>
      <c r="S1879" s="12">
        <v>0</v>
      </c>
      <c r="T1879" s="16">
        <v>0</v>
      </c>
      <c r="U1879" s="16">
        <v>1</v>
      </c>
      <c r="V1879" s="16">
        <v>2</v>
      </c>
      <c r="W1879" s="16">
        <v>0</v>
      </c>
      <c r="X1879" s="16">
        <v>3</v>
      </c>
      <c r="Y1879" s="12">
        <v>0</v>
      </c>
      <c r="Z1879" s="16">
        <v>0</v>
      </c>
      <c r="AA1879" s="16">
        <v>1</v>
      </c>
      <c r="AB1879" s="16">
        <v>0</v>
      </c>
      <c r="AC1879" s="16">
        <v>0</v>
      </c>
      <c r="AD1879" s="16">
        <v>0</v>
      </c>
      <c r="AE1879" s="16">
        <v>0</v>
      </c>
      <c r="AF1879" s="16">
        <v>12</v>
      </c>
      <c r="AG1879" s="16">
        <v>1</v>
      </c>
      <c r="AH1879" s="16" t="s">
        <v>607</v>
      </c>
      <c r="AI1879" s="12">
        <v>0</v>
      </c>
      <c r="AJ1879" s="12">
        <v>1</v>
      </c>
      <c r="AK1879" s="12">
        <v>0</v>
      </c>
      <c r="AL1879" s="12">
        <v>3</v>
      </c>
      <c r="AM1879" s="16">
        <v>0</v>
      </c>
      <c r="AN1879" s="16">
        <v>0</v>
      </c>
      <c r="AO1879" s="16">
        <v>0</v>
      </c>
      <c r="AP1879" s="16">
        <v>3</v>
      </c>
      <c r="AQ1879" s="16">
        <v>5000</v>
      </c>
      <c r="AR1879" s="16">
        <v>2.5</v>
      </c>
      <c r="AS1879" s="16">
        <v>0</v>
      </c>
      <c r="AT1879" s="12">
        <v>0</v>
      </c>
      <c r="AU1879" s="16">
        <v>80001030</v>
      </c>
      <c r="AV1879" s="16"/>
      <c r="AW1879" s="19" t="s">
        <v>287</v>
      </c>
      <c r="AX1879" s="16" t="s">
        <v>534</v>
      </c>
      <c r="AY1879" s="18">
        <v>10000007</v>
      </c>
      <c r="AZ1879" s="18">
        <v>70204001</v>
      </c>
      <c r="BA1879" s="17" t="s">
        <v>200</v>
      </c>
      <c r="BB1879" s="16">
        <v>0</v>
      </c>
      <c r="BC1879" s="27">
        <v>0</v>
      </c>
      <c r="BD1879" s="27">
        <v>0</v>
      </c>
      <c r="BE1879" s="44" t="s">
        <v>1093</v>
      </c>
      <c r="BF1879" s="44" t="s">
        <v>1094</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70303003</v>
      </c>
      <c r="D1880" s="17" t="s">
        <v>946</v>
      </c>
      <c r="E1880" s="17" t="s">
        <v>947</v>
      </c>
      <c r="F1880" s="18">
        <v>1</v>
      </c>
      <c r="G1880" s="16">
        <v>60010100</v>
      </c>
      <c r="H1880" s="18">
        <v>0</v>
      </c>
      <c r="I1880" s="27">
        <v>0</v>
      </c>
      <c r="J1880" s="18">
        <v>1</v>
      </c>
      <c r="K1880" s="18">
        <v>0</v>
      </c>
      <c r="L1880" s="18">
        <v>0</v>
      </c>
      <c r="M1880" s="16">
        <v>0</v>
      </c>
      <c r="N1880" s="16">
        <v>0</v>
      </c>
      <c r="O1880" s="16">
        <v>2</v>
      </c>
      <c r="P1880" s="16">
        <v>1</v>
      </c>
      <c r="Q1880" s="16">
        <v>0.3</v>
      </c>
      <c r="R1880" s="16">
        <v>0</v>
      </c>
      <c r="S1880" s="12">
        <v>0</v>
      </c>
      <c r="T1880" s="16">
        <v>0</v>
      </c>
      <c r="U1880" s="16">
        <v>1</v>
      </c>
      <c r="V1880" s="16">
        <v>2</v>
      </c>
      <c r="W1880" s="16">
        <v>0</v>
      </c>
      <c r="X1880" s="16">
        <v>2.5</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5000</v>
      </c>
      <c r="AR1880" s="16">
        <v>3</v>
      </c>
      <c r="AS1880" s="16">
        <v>0</v>
      </c>
      <c r="AT1880" s="12">
        <v>0</v>
      </c>
      <c r="AU1880" s="16">
        <v>80001030</v>
      </c>
      <c r="AV1880" s="16"/>
      <c r="AW1880" s="19" t="s">
        <v>256</v>
      </c>
      <c r="AX1880" s="16" t="s">
        <v>534</v>
      </c>
      <c r="AY1880" s="18">
        <v>10000007</v>
      </c>
      <c r="AZ1880" s="18">
        <v>70204002</v>
      </c>
      <c r="BA1880" s="17" t="s">
        <v>200</v>
      </c>
      <c r="BB1880" s="16" t="s">
        <v>4274</v>
      </c>
      <c r="BC1880" s="27">
        <v>0</v>
      </c>
      <c r="BD1880" s="27">
        <v>0</v>
      </c>
      <c r="BE1880" s="44" t="s">
        <v>1096</v>
      </c>
      <c r="BF1880" s="44" t="s">
        <v>1097</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70303004</v>
      </c>
      <c r="D1881" s="17" t="s">
        <v>951</v>
      </c>
      <c r="E1881" s="17" t="s">
        <v>952</v>
      </c>
      <c r="F1881" s="18">
        <v>1</v>
      </c>
      <c r="G1881" s="16">
        <v>60010100</v>
      </c>
      <c r="H1881" s="18">
        <v>0</v>
      </c>
      <c r="I1881" s="27">
        <v>0</v>
      </c>
      <c r="J1881" s="18">
        <v>1</v>
      </c>
      <c r="K1881" s="18">
        <v>0</v>
      </c>
      <c r="L1881" s="18">
        <v>0</v>
      </c>
      <c r="M1881" s="16">
        <v>0</v>
      </c>
      <c r="N1881" s="16">
        <v>0</v>
      </c>
      <c r="O1881" s="16">
        <v>2</v>
      </c>
      <c r="P1881" s="16">
        <v>1</v>
      </c>
      <c r="Q1881" s="16">
        <v>0.3</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12</v>
      </c>
      <c r="AG1881" s="16">
        <v>1</v>
      </c>
      <c r="AH1881" s="16">
        <v>3</v>
      </c>
      <c r="AI1881" s="12">
        <v>6</v>
      </c>
      <c r="AJ1881" s="12">
        <v>1</v>
      </c>
      <c r="AK1881" s="12">
        <v>0</v>
      </c>
      <c r="AL1881" s="12">
        <v>1.5</v>
      </c>
      <c r="AM1881" s="16">
        <v>0</v>
      </c>
      <c r="AN1881" s="16">
        <v>0</v>
      </c>
      <c r="AO1881" s="16">
        <v>0</v>
      </c>
      <c r="AP1881" s="16">
        <v>3</v>
      </c>
      <c r="AQ1881" s="16">
        <v>5000</v>
      </c>
      <c r="AR1881" s="16">
        <v>3</v>
      </c>
      <c r="AS1881" s="16">
        <v>0</v>
      </c>
      <c r="AT1881" s="12">
        <v>0</v>
      </c>
      <c r="AU1881" s="16">
        <v>80001030</v>
      </c>
      <c r="AV1881" s="16"/>
      <c r="AW1881" s="19" t="s">
        <v>617</v>
      </c>
      <c r="AX1881" s="16" t="s">
        <v>534</v>
      </c>
      <c r="AY1881" s="18">
        <v>10000007</v>
      </c>
      <c r="AZ1881" s="18">
        <v>70204003</v>
      </c>
      <c r="BA1881" s="17" t="s">
        <v>200</v>
      </c>
      <c r="BB1881" s="16" t="s">
        <v>4241</v>
      </c>
      <c r="BC1881" s="27">
        <v>0</v>
      </c>
      <c r="BD1881" s="27">
        <v>0</v>
      </c>
      <c r="BE1881" s="44" t="s">
        <v>1099</v>
      </c>
      <c r="BF1881" s="44" t="s">
        <v>1100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70304001</v>
      </c>
      <c r="D1882" s="17" t="s">
        <v>4275</v>
      </c>
      <c r="E1882" s="17" t="s">
        <v>4276</v>
      </c>
      <c r="F1882" s="16">
        <v>1</v>
      </c>
      <c r="G1882" s="16">
        <v>60010300</v>
      </c>
      <c r="H1882" s="18">
        <v>0</v>
      </c>
      <c r="I1882" s="27">
        <v>0</v>
      </c>
      <c r="J1882" s="18">
        <v>1</v>
      </c>
      <c r="K1882" s="18">
        <v>0</v>
      </c>
      <c r="L1882" s="18">
        <v>0</v>
      </c>
      <c r="M1882" s="16">
        <v>0</v>
      </c>
      <c r="N1882" s="16">
        <v>0</v>
      </c>
      <c r="O1882" s="16">
        <v>2</v>
      </c>
      <c r="P1882" s="16">
        <v>2</v>
      </c>
      <c r="Q1882" s="16">
        <v>0.8</v>
      </c>
      <c r="R1882" s="16">
        <v>0</v>
      </c>
      <c r="S1882" s="12">
        <v>0</v>
      </c>
      <c r="T1882" s="16">
        <v>0</v>
      </c>
      <c r="U1882" s="16">
        <v>1</v>
      </c>
      <c r="V1882" s="16">
        <v>2</v>
      </c>
      <c r="W1882" s="16">
        <v>0</v>
      </c>
      <c r="X1882" s="16">
        <v>0</v>
      </c>
      <c r="Y1882" s="12">
        <v>0</v>
      </c>
      <c r="Z1882" s="16">
        <v>0</v>
      </c>
      <c r="AA1882" s="16">
        <v>0</v>
      </c>
      <c r="AB1882" s="16">
        <v>0</v>
      </c>
      <c r="AC1882" s="16">
        <v>0</v>
      </c>
      <c r="AD1882" s="16">
        <v>0</v>
      </c>
      <c r="AE1882" s="16">
        <v>0</v>
      </c>
      <c r="AF1882" s="16">
        <v>20</v>
      </c>
      <c r="AG1882" s="16">
        <v>0</v>
      </c>
      <c r="AH1882" s="16">
        <v>0</v>
      </c>
      <c r="AI1882" s="12">
        <v>2</v>
      </c>
      <c r="AJ1882" s="12">
        <v>2</v>
      </c>
      <c r="AK1882" s="12">
        <v>0</v>
      </c>
      <c r="AL1882" s="12">
        <v>1.5</v>
      </c>
      <c r="AM1882" s="16">
        <v>0</v>
      </c>
      <c r="AN1882" s="16">
        <v>0</v>
      </c>
      <c r="AO1882" s="16">
        <v>0</v>
      </c>
      <c r="AP1882" s="16">
        <v>1</v>
      </c>
      <c r="AQ1882" s="16">
        <v>3000</v>
      </c>
      <c r="AR1882" s="16">
        <v>0.5</v>
      </c>
      <c r="AS1882" s="16">
        <v>0</v>
      </c>
      <c r="AT1882" s="12">
        <v>0</v>
      </c>
      <c r="AU1882" s="16" t="s">
        <v>198</v>
      </c>
      <c r="AV1882" s="16"/>
      <c r="AW1882" s="19" t="s">
        <v>199</v>
      </c>
      <c r="AX1882" s="16" t="s">
        <v>545</v>
      </c>
      <c r="AY1882" s="18">
        <v>0</v>
      </c>
      <c r="AZ1882" s="18">
        <v>0</v>
      </c>
      <c r="BA1882" s="17" t="s">
        <v>528</v>
      </c>
      <c r="BB1882" s="16" t="s">
        <v>4277</v>
      </c>
      <c r="BC1882" s="27">
        <v>0</v>
      </c>
      <c r="BD1882" s="27">
        <v>0</v>
      </c>
      <c r="BE1882" s="44" t="s">
        <v>4278</v>
      </c>
      <c r="BF1882" s="44" t="s">
        <v>4279</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70304002</v>
      </c>
      <c r="D1883" s="19" t="s">
        <v>744</v>
      </c>
      <c r="E1883" s="19" t="s">
        <v>745</v>
      </c>
      <c r="F1883" s="18">
        <v>1</v>
      </c>
      <c r="G1883" s="18">
        <v>60010500</v>
      </c>
      <c r="H1883" s="18">
        <v>0</v>
      </c>
      <c r="I1883" s="27">
        <v>0</v>
      </c>
      <c r="J1883" s="18">
        <v>1</v>
      </c>
      <c r="K1883" s="18">
        <v>0</v>
      </c>
      <c r="L1883" s="18">
        <v>0</v>
      </c>
      <c r="M1883" s="18">
        <v>0</v>
      </c>
      <c r="N1883" s="18">
        <v>0</v>
      </c>
      <c r="O1883" s="16">
        <v>2</v>
      </c>
      <c r="P1883" s="18">
        <v>1</v>
      </c>
      <c r="Q1883" s="18">
        <v>0.05</v>
      </c>
      <c r="R1883" s="18">
        <v>0</v>
      </c>
      <c r="S1883" s="12">
        <v>0</v>
      </c>
      <c r="T1883" s="27">
        <v>0</v>
      </c>
      <c r="U1883" s="16">
        <v>1</v>
      </c>
      <c r="V1883" s="18">
        <v>1</v>
      </c>
      <c r="W1883" s="18">
        <v>0</v>
      </c>
      <c r="X1883" s="18">
        <v>2</v>
      </c>
      <c r="Y1883" s="12">
        <v>0</v>
      </c>
      <c r="Z1883" s="18">
        <v>0</v>
      </c>
      <c r="AA1883" s="18">
        <v>0</v>
      </c>
      <c r="AB1883" s="18">
        <v>0</v>
      </c>
      <c r="AC1883" s="18">
        <v>0</v>
      </c>
      <c r="AD1883" s="16">
        <v>0</v>
      </c>
      <c r="AE1883" s="18">
        <v>0</v>
      </c>
      <c r="AF1883" s="18">
        <v>10</v>
      </c>
      <c r="AG1883" s="18">
        <v>0</v>
      </c>
      <c r="AH1883" s="18">
        <v>0</v>
      </c>
      <c r="AI1883" s="12">
        <v>7</v>
      </c>
      <c r="AJ1883" s="12">
        <v>0</v>
      </c>
      <c r="AK1883" s="12">
        <v>0</v>
      </c>
      <c r="AL1883" s="12">
        <v>0</v>
      </c>
      <c r="AM1883" s="18">
        <v>0</v>
      </c>
      <c r="AN1883" s="18">
        <v>0</v>
      </c>
      <c r="AO1883" s="18">
        <v>0</v>
      </c>
      <c r="AP1883" s="18">
        <v>0</v>
      </c>
      <c r="AQ1883" s="18">
        <v>1000</v>
      </c>
      <c r="AR1883" s="18">
        <v>0.5</v>
      </c>
      <c r="AS1883" s="18">
        <v>0</v>
      </c>
      <c r="AT1883" s="12">
        <v>0</v>
      </c>
      <c r="AU1883" s="18" t="s">
        <v>659</v>
      </c>
      <c r="AV1883" s="18"/>
      <c r="AW1883" s="19" t="s">
        <v>741</v>
      </c>
      <c r="AX1883" s="18">
        <v>0</v>
      </c>
      <c r="AY1883" s="18">
        <v>10007001</v>
      </c>
      <c r="AZ1883" s="18">
        <v>0</v>
      </c>
      <c r="BA1883" s="19" t="s">
        <v>200</v>
      </c>
      <c r="BB1883" s="19" t="s">
        <v>198</v>
      </c>
      <c r="BC1883" s="27">
        <v>0</v>
      </c>
      <c r="BD1883" s="27">
        <v>0</v>
      </c>
      <c r="BE1883" s="87" t="s">
        <v>746</v>
      </c>
      <c r="BF1883" s="87" t="s">
        <v>747</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1</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2</v>
      </c>
      <c r="AH1884" s="16" t="s">
        <v>213</v>
      </c>
      <c r="AI1884" s="12">
        <v>0</v>
      </c>
      <c r="AJ1884" s="12">
        <v>0</v>
      </c>
      <c r="AK1884" s="12">
        <v>0</v>
      </c>
      <c r="AL1884" s="12">
        <v>1.5</v>
      </c>
      <c r="AM1884" s="16">
        <v>0</v>
      </c>
      <c r="AN1884" s="16">
        <v>0</v>
      </c>
      <c r="AO1884" s="16">
        <v>0</v>
      </c>
      <c r="AP1884" s="16">
        <v>1</v>
      </c>
      <c r="AQ1884" s="16">
        <v>5000</v>
      </c>
      <c r="AR1884" s="16">
        <v>0.5</v>
      </c>
      <c r="AS1884" s="16">
        <v>0</v>
      </c>
      <c r="AT1884" s="12">
        <v>0</v>
      </c>
      <c r="AU1884" s="16" t="s">
        <v>198</v>
      </c>
      <c r="AV1884" s="16"/>
      <c r="AW1884" s="19" t="s">
        <v>617</v>
      </c>
      <c r="AX1884" s="16" t="s">
        <v>534</v>
      </c>
      <c r="AY1884" s="18">
        <v>10000007</v>
      </c>
      <c r="AZ1884" s="18">
        <v>70201001</v>
      </c>
      <c r="BA1884" s="17" t="s">
        <v>200</v>
      </c>
      <c r="BB1884" s="16">
        <v>0</v>
      </c>
      <c r="BC1884" s="27">
        <v>0</v>
      </c>
      <c r="BD1884" s="27">
        <v>0</v>
      </c>
      <c r="BE1884" s="44" t="s">
        <v>750</v>
      </c>
      <c r="BF1884" s="44" t="s">
        <v>751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70304004</v>
      </c>
      <c r="D1885" s="19" t="s">
        <v>4219</v>
      </c>
      <c r="E1885" s="19" t="s">
        <v>4220</v>
      </c>
      <c r="F1885" s="18">
        <v>1</v>
      </c>
      <c r="G1885" s="18">
        <v>60010500</v>
      </c>
      <c r="H1885" s="18">
        <v>0</v>
      </c>
      <c r="I1885" s="27">
        <v>0</v>
      </c>
      <c r="J1885" s="18">
        <v>1</v>
      </c>
      <c r="K1885" s="18">
        <v>0</v>
      </c>
      <c r="L1885" s="18">
        <v>0</v>
      </c>
      <c r="M1885" s="18">
        <v>0</v>
      </c>
      <c r="N1885" s="18">
        <v>0</v>
      </c>
      <c r="O1885" s="16">
        <v>2</v>
      </c>
      <c r="P1885" s="18">
        <v>2</v>
      </c>
      <c r="Q1885" s="18">
        <v>0.3</v>
      </c>
      <c r="R1885" s="18">
        <v>0</v>
      </c>
      <c r="S1885" s="12">
        <v>0</v>
      </c>
      <c r="T1885" s="27">
        <v>0</v>
      </c>
      <c r="U1885" s="16">
        <v>1</v>
      </c>
      <c r="V1885" s="18">
        <v>2</v>
      </c>
      <c r="W1885" s="18">
        <v>0</v>
      </c>
      <c r="X1885" s="18">
        <v>0</v>
      </c>
      <c r="Y1885" s="12">
        <v>0</v>
      </c>
      <c r="Z1885" s="18">
        <v>0</v>
      </c>
      <c r="AA1885" s="18">
        <v>0</v>
      </c>
      <c r="AB1885" s="18">
        <v>0</v>
      </c>
      <c r="AC1885" s="18">
        <v>0</v>
      </c>
      <c r="AD1885" s="16">
        <v>0</v>
      </c>
      <c r="AE1885" s="18">
        <v>0</v>
      </c>
      <c r="AF1885" s="16">
        <v>99999</v>
      </c>
      <c r="AG1885" s="18">
        <v>0</v>
      </c>
      <c r="AH1885" s="18">
        <v>0</v>
      </c>
      <c r="AI1885" s="12">
        <v>2</v>
      </c>
      <c r="AJ1885" s="12">
        <v>0</v>
      </c>
      <c r="AK1885" s="12">
        <v>0</v>
      </c>
      <c r="AL1885" s="12">
        <v>0</v>
      </c>
      <c r="AM1885" s="18">
        <v>0</v>
      </c>
      <c r="AN1885" s="18">
        <v>0</v>
      </c>
      <c r="AO1885" s="18">
        <v>0</v>
      </c>
      <c r="AP1885" s="18">
        <v>0</v>
      </c>
      <c r="AQ1885" s="18">
        <v>1000</v>
      </c>
      <c r="AR1885" s="18">
        <v>0</v>
      </c>
      <c r="AS1885" s="18">
        <v>0</v>
      </c>
      <c r="AT1885" s="12" t="s">
        <v>754</v>
      </c>
      <c r="AU1885" s="18" t="s">
        <v>198</v>
      </c>
      <c r="AV1885" s="18"/>
      <c r="AW1885" s="19" t="s">
        <v>199</v>
      </c>
      <c r="AX1885" s="18" t="s">
        <v>348</v>
      </c>
      <c r="AY1885" s="18">
        <v>0</v>
      </c>
      <c r="AZ1885" s="18">
        <v>0</v>
      </c>
      <c r="BA1885" s="19" t="s">
        <v>200</v>
      </c>
      <c r="BB1885" s="19" t="s">
        <v>198</v>
      </c>
      <c r="BC1885" s="27">
        <v>0</v>
      </c>
      <c r="BD1885" s="27">
        <v>0</v>
      </c>
      <c r="BE1885" s="87" t="s">
        <v>755</v>
      </c>
      <c r="BF1885" s="87" t="s">
        <v>756</v>
      </c>
      <c r="BG1885" s="18">
        <v>0</v>
      </c>
      <c r="BH1885" s="16">
        <v>0</v>
      </c>
      <c r="BI1885" s="18">
        <v>0</v>
      </c>
      <c r="BJ1885" s="18">
        <v>0</v>
      </c>
      <c r="BK1885" s="18">
        <v>0</v>
      </c>
      <c r="BL1885" s="18">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70304005</v>
      </c>
      <c r="D1886" s="19" t="s">
        <v>757</v>
      </c>
      <c r="E1886" s="19" t="s">
        <v>399</v>
      </c>
      <c r="F1886" s="18">
        <v>1</v>
      </c>
      <c r="G1886" s="18">
        <v>60010500</v>
      </c>
      <c r="H1886" s="18">
        <v>0</v>
      </c>
      <c r="I1886" s="27">
        <v>0</v>
      </c>
      <c r="J1886" s="18">
        <v>1</v>
      </c>
      <c r="K1886" s="18">
        <v>0</v>
      </c>
      <c r="L1886" s="18">
        <v>0</v>
      </c>
      <c r="M1886" s="18">
        <v>0</v>
      </c>
      <c r="N1886" s="18">
        <v>0</v>
      </c>
      <c r="O1886" s="16">
        <v>2</v>
      </c>
      <c r="P1886" s="18">
        <v>2</v>
      </c>
      <c r="Q1886" s="18">
        <v>1</v>
      </c>
      <c r="R1886" s="18">
        <v>0</v>
      </c>
      <c r="S1886" s="12">
        <v>0</v>
      </c>
      <c r="T1886" s="27">
        <v>0</v>
      </c>
      <c r="U1886" s="16">
        <v>1</v>
      </c>
      <c r="V1886" s="18">
        <v>2</v>
      </c>
      <c r="W1886" s="18">
        <v>0</v>
      </c>
      <c r="X1886" s="18">
        <v>0</v>
      </c>
      <c r="Y1886" s="12">
        <v>0</v>
      </c>
      <c r="Z1886" s="18">
        <v>0</v>
      </c>
      <c r="AA1886" s="18">
        <v>0</v>
      </c>
      <c r="AB1886" s="18">
        <v>0</v>
      </c>
      <c r="AC1886" s="18">
        <v>0</v>
      </c>
      <c r="AD1886" s="16">
        <v>0</v>
      </c>
      <c r="AE1886" s="18">
        <v>0</v>
      </c>
      <c r="AF1886" s="16">
        <v>20</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90304001</v>
      </c>
      <c r="AU1886" s="18" t="s">
        <v>198</v>
      </c>
      <c r="AV1886" s="18"/>
      <c r="AW1886" s="19" t="s">
        <v>199</v>
      </c>
      <c r="AX1886" s="18" t="s">
        <v>348</v>
      </c>
      <c r="AY1886" s="18">
        <v>0</v>
      </c>
      <c r="AZ1886" s="18">
        <v>0</v>
      </c>
      <c r="BA1886" s="19" t="s">
        <v>200</v>
      </c>
      <c r="BB1886" s="19" t="s">
        <v>198</v>
      </c>
      <c r="BC1886" s="27">
        <v>0</v>
      </c>
      <c r="BD1886" s="27">
        <v>0</v>
      </c>
      <c r="BE1886" s="87" t="s">
        <v>758</v>
      </c>
      <c r="BF1886" s="87" t="s">
        <v>759</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70304006</v>
      </c>
      <c r="D1887" s="17" t="s">
        <v>760</v>
      </c>
      <c r="E1887" s="17" t="s">
        <v>761</v>
      </c>
      <c r="F1887" s="16">
        <v>2</v>
      </c>
      <c r="G1887" s="16">
        <v>61012301</v>
      </c>
      <c r="H1887" s="16">
        <v>0</v>
      </c>
      <c r="I1887" s="27">
        <v>0</v>
      </c>
      <c r="J1887" s="18">
        <v>1</v>
      </c>
      <c r="K1887" s="18">
        <v>0</v>
      </c>
      <c r="L1887" s="18">
        <v>0</v>
      </c>
      <c r="M1887" s="16">
        <v>0</v>
      </c>
      <c r="N1887" s="16">
        <v>0</v>
      </c>
      <c r="O1887" s="16">
        <v>2</v>
      </c>
      <c r="P1887" s="16">
        <v>1</v>
      </c>
      <c r="Q1887" s="16">
        <v>0.5</v>
      </c>
      <c r="R1887" s="16">
        <v>0</v>
      </c>
      <c r="S1887" s="12">
        <v>0</v>
      </c>
      <c r="T1887" s="16">
        <v>0</v>
      </c>
      <c r="U1887" s="16">
        <v>1</v>
      </c>
      <c r="V1887" s="16">
        <v>2</v>
      </c>
      <c r="W1887" s="16">
        <v>0</v>
      </c>
      <c r="X1887" s="16">
        <v>1.4</v>
      </c>
      <c r="Y1887" s="12">
        <v>0</v>
      </c>
      <c r="Z1887" s="16">
        <v>150</v>
      </c>
      <c r="AA1887" s="16">
        <v>1</v>
      </c>
      <c r="AB1887" s="16">
        <v>0</v>
      </c>
      <c r="AC1887" s="16">
        <v>0</v>
      </c>
      <c r="AD1887" s="16">
        <v>0</v>
      </c>
      <c r="AE1887" s="16">
        <v>0</v>
      </c>
      <c r="AF1887" s="16">
        <v>12</v>
      </c>
      <c r="AG1887" s="16">
        <v>2</v>
      </c>
      <c r="AH1887" s="16" t="s">
        <v>213</v>
      </c>
      <c r="AI1887" s="12">
        <v>0</v>
      </c>
      <c r="AJ1887" s="12">
        <v>2</v>
      </c>
      <c r="AK1887" s="12">
        <v>0</v>
      </c>
      <c r="AL1887" s="12">
        <v>1.5</v>
      </c>
      <c r="AM1887" s="16">
        <v>0</v>
      </c>
      <c r="AN1887" s="16">
        <v>0</v>
      </c>
      <c r="AO1887" s="16">
        <v>0</v>
      </c>
      <c r="AP1887" s="16">
        <v>1.5</v>
      </c>
      <c r="AQ1887" s="16">
        <v>1200</v>
      </c>
      <c r="AR1887" s="16">
        <v>1</v>
      </c>
      <c r="AS1887" s="16">
        <v>15</v>
      </c>
      <c r="AT1887" s="12">
        <v>0</v>
      </c>
      <c r="AU1887" s="16" t="s">
        <v>198</v>
      </c>
      <c r="AV1887" s="16"/>
      <c r="AW1887" s="17" t="s">
        <v>256</v>
      </c>
      <c r="AX1887" s="16" t="s">
        <v>215</v>
      </c>
      <c r="AY1887" s="18">
        <v>10000011</v>
      </c>
      <c r="AZ1887" s="18">
        <v>70404001</v>
      </c>
      <c r="BA1887" s="17" t="s">
        <v>216</v>
      </c>
      <c r="BB1887" s="16">
        <v>0</v>
      </c>
      <c r="BC1887" s="27">
        <v>0</v>
      </c>
      <c r="BD1887" s="27">
        <v>0</v>
      </c>
      <c r="BE1887" s="44" t="s">
        <v>798</v>
      </c>
      <c r="BF1887" s="44" t="s">
        <v>799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19.5" customHeight="1">
      <c r="C1888" s="18">
        <v>70304007</v>
      </c>
      <c r="D1888" s="17" t="s">
        <v>765</v>
      </c>
      <c r="E1888" s="17" t="s">
        <v>766</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15</v>
      </c>
      <c r="AG1888" s="16">
        <v>1</v>
      </c>
      <c r="AH1888" s="16" t="s">
        <v>607</v>
      </c>
      <c r="AI1888" s="12">
        <v>0</v>
      </c>
      <c r="AJ1888" s="12">
        <v>1</v>
      </c>
      <c r="AK1888" s="12">
        <v>0</v>
      </c>
      <c r="AL1888" s="12">
        <v>3</v>
      </c>
      <c r="AM1888" s="16">
        <v>0</v>
      </c>
      <c r="AN1888" s="16">
        <v>0</v>
      </c>
      <c r="AO1888" s="16">
        <v>0</v>
      </c>
      <c r="AP1888" s="16">
        <v>3</v>
      </c>
      <c r="AQ1888" s="16">
        <v>5000</v>
      </c>
      <c r="AR1888" s="16">
        <v>2.5</v>
      </c>
      <c r="AS1888" s="16">
        <v>0</v>
      </c>
      <c r="AT1888" s="12">
        <v>0</v>
      </c>
      <c r="AU1888" s="16" t="s">
        <v>659</v>
      </c>
      <c r="AV1888" s="16"/>
      <c r="AW1888" s="19" t="s">
        <v>256</v>
      </c>
      <c r="AX1888" s="16" t="s">
        <v>534</v>
      </c>
      <c r="AY1888" s="18">
        <v>10000007</v>
      </c>
      <c r="AZ1888" s="18">
        <v>70205002</v>
      </c>
      <c r="BA1888" s="17" t="s">
        <v>200</v>
      </c>
      <c r="BB1888" s="16">
        <v>0</v>
      </c>
      <c r="BC1888" s="27">
        <v>0</v>
      </c>
      <c r="BD1888" s="27">
        <v>0</v>
      </c>
      <c r="BE1888" s="44" t="s">
        <v>767</v>
      </c>
      <c r="BF1888" s="44" t="s">
        <v>768</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70304008</v>
      </c>
      <c r="D1889" s="15" t="s">
        <v>800</v>
      </c>
      <c r="E1889" s="15" t="s">
        <v>455</v>
      </c>
      <c r="F1889" s="15">
        <v>1</v>
      </c>
      <c r="G1889" s="15">
        <v>60010002</v>
      </c>
      <c r="H1889" s="15">
        <v>0</v>
      </c>
      <c r="I1889" s="26">
        <v>0</v>
      </c>
      <c r="J1889" s="15">
        <v>0</v>
      </c>
      <c r="K1889" s="15">
        <v>0</v>
      </c>
      <c r="L1889" s="26">
        <v>0</v>
      </c>
      <c r="M1889" s="26">
        <v>0</v>
      </c>
      <c r="N1889" s="15">
        <v>0</v>
      </c>
      <c r="O1889" s="16">
        <v>2</v>
      </c>
      <c r="P1889" s="15">
        <v>2</v>
      </c>
      <c r="Q1889" s="15">
        <v>0.95</v>
      </c>
      <c r="R1889" s="15">
        <v>0</v>
      </c>
      <c r="S1889" s="12">
        <v>0</v>
      </c>
      <c r="T1889" s="15">
        <v>0</v>
      </c>
      <c r="U1889" s="16">
        <v>1</v>
      </c>
      <c r="V1889" s="15">
        <v>2</v>
      </c>
      <c r="W1889" s="26">
        <v>0</v>
      </c>
      <c r="X1889" s="15">
        <v>3</v>
      </c>
      <c r="Y1889" s="12">
        <v>0</v>
      </c>
      <c r="Z1889" s="15">
        <v>0</v>
      </c>
      <c r="AA1889" s="15">
        <v>0</v>
      </c>
      <c r="AB1889" s="15">
        <v>0</v>
      </c>
      <c r="AC1889" s="26">
        <v>0</v>
      </c>
      <c r="AD1889" s="15">
        <v>0</v>
      </c>
      <c r="AE1889" s="15">
        <v>0</v>
      </c>
      <c r="AF1889" s="15">
        <v>15</v>
      </c>
      <c r="AG1889" s="15">
        <v>2</v>
      </c>
      <c r="AH1889" s="15" t="s">
        <v>801</v>
      </c>
      <c r="AI1889" s="69">
        <v>0</v>
      </c>
      <c r="AJ1889" s="69">
        <v>2</v>
      </c>
      <c r="AK1889" s="12">
        <v>0</v>
      </c>
      <c r="AL1889" s="15">
        <v>4</v>
      </c>
      <c r="AM1889" s="33">
        <v>0</v>
      </c>
      <c r="AN1889" s="15">
        <v>0</v>
      </c>
      <c r="AO1889" s="15">
        <v>0</v>
      </c>
      <c r="AP1889" s="15">
        <v>2</v>
      </c>
      <c r="AQ1889" s="16">
        <v>4000</v>
      </c>
      <c r="AR1889" s="15">
        <v>2</v>
      </c>
      <c r="AS1889" s="15">
        <v>0</v>
      </c>
      <c r="AT1889" s="12">
        <v>0</v>
      </c>
      <c r="AU1889" s="16" t="s">
        <v>659</v>
      </c>
      <c r="AV1889" s="16"/>
      <c r="AW1889" s="19" t="s">
        <v>287</v>
      </c>
      <c r="AX1889" s="26">
        <v>0</v>
      </c>
      <c r="AY1889" s="26">
        <v>0</v>
      </c>
      <c r="AZ1889" s="26">
        <v>70205004</v>
      </c>
      <c r="BA1889" s="19" t="s">
        <v>200</v>
      </c>
      <c r="BB1889" s="16">
        <v>0</v>
      </c>
      <c r="BC1889" s="27">
        <v>0</v>
      </c>
      <c r="BD1889" s="27">
        <v>0</v>
      </c>
      <c r="BE1889" s="44" t="s">
        <v>802</v>
      </c>
      <c r="BF1889" s="86" t="s">
        <v>803</v>
      </c>
      <c r="BG1889" s="15">
        <v>2</v>
      </c>
      <c r="BH1889" s="15">
        <v>0</v>
      </c>
      <c r="BI1889" s="18">
        <v>0</v>
      </c>
      <c r="BJ1889" s="15">
        <v>1</v>
      </c>
      <c r="BK1889" s="15">
        <v>2</v>
      </c>
      <c r="BL1889" s="33">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70305001</v>
      </c>
      <c r="D1890" s="17" t="s">
        <v>1116</v>
      </c>
      <c r="E1890" s="17" t="s">
        <v>391</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2.5</v>
      </c>
      <c r="Y1890" s="12">
        <v>0</v>
      </c>
      <c r="Z1890" s="16">
        <v>0</v>
      </c>
      <c r="AA1890" s="16">
        <v>1</v>
      </c>
      <c r="AB1890" s="16">
        <v>0</v>
      </c>
      <c r="AC1890" s="16">
        <v>0</v>
      </c>
      <c r="AD1890" s="16">
        <v>0</v>
      </c>
      <c r="AE1890" s="16">
        <v>0</v>
      </c>
      <c r="AF1890" s="16">
        <v>12</v>
      </c>
      <c r="AG1890" s="16">
        <v>1</v>
      </c>
      <c r="AH1890" s="16">
        <v>3</v>
      </c>
      <c r="AI1890" s="12">
        <v>4</v>
      </c>
      <c r="AJ1890" s="12">
        <v>1</v>
      </c>
      <c r="AK1890" s="12">
        <v>0</v>
      </c>
      <c r="AL1890" s="12">
        <v>1.5</v>
      </c>
      <c r="AM1890" s="16">
        <v>0</v>
      </c>
      <c r="AN1890" s="16">
        <v>0</v>
      </c>
      <c r="AO1890" s="16">
        <v>0</v>
      </c>
      <c r="AP1890" s="16">
        <v>3</v>
      </c>
      <c r="AQ1890" s="16">
        <v>5000</v>
      </c>
      <c r="AR1890" s="16">
        <v>3</v>
      </c>
      <c r="AS1890" s="16">
        <v>0</v>
      </c>
      <c r="AT1890" s="12">
        <v>0</v>
      </c>
      <c r="AU1890" s="16">
        <v>80001030</v>
      </c>
      <c r="AV1890" s="16"/>
      <c r="AW1890" s="19" t="s">
        <v>256</v>
      </c>
      <c r="AX1890" s="16" t="s">
        <v>534</v>
      </c>
      <c r="AY1890" s="18">
        <v>10000007</v>
      </c>
      <c r="AZ1890" s="18">
        <v>70204002</v>
      </c>
      <c r="BA1890" s="17" t="s">
        <v>200</v>
      </c>
      <c r="BB1890" s="16" t="s">
        <v>4280</v>
      </c>
      <c r="BC1890" s="27">
        <v>0</v>
      </c>
      <c r="BD1890" s="27">
        <v>0</v>
      </c>
      <c r="BE1890" s="44" t="s">
        <v>1322</v>
      </c>
      <c r="BF1890" s="44" t="s">
        <v>1323</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70305002</v>
      </c>
      <c r="D1891" s="17" t="s">
        <v>1324</v>
      </c>
      <c r="E1891" s="17" t="s">
        <v>1325</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2</v>
      </c>
      <c r="AK1891" s="12">
        <v>0</v>
      </c>
      <c r="AL1891" s="12">
        <v>1.5</v>
      </c>
      <c r="AM1891" s="16">
        <v>0</v>
      </c>
      <c r="AN1891" s="16">
        <v>0</v>
      </c>
      <c r="AO1891" s="16">
        <v>0</v>
      </c>
      <c r="AP1891" s="16">
        <v>1.5</v>
      </c>
      <c r="AQ1891" s="16">
        <v>10000</v>
      </c>
      <c r="AR1891" s="16">
        <v>1</v>
      </c>
      <c r="AS1891" s="16">
        <v>5</v>
      </c>
      <c r="AT1891" s="12">
        <v>0</v>
      </c>
      <c r="AU1891" s="16" t="s">
        <v>198</v>
      </c>
      <c r="AV1891" s="16"/>
      <c r="AW1891" s="19" t="s">
        <v>617</v>
      </c>
      <c r="AX1891" s="16" t="s">
        <v>534</v>
      </c>
      <c r="AY1891" s="18">
        <v>10000007</v>
      </c>
      <c r="AZ1891" s="18">
        <v>70302003</v>
      </c>
      <c r="BA1891" s="19" t="s">
        <v>586</v>
      </c>
      <c r="BB1891" s="16">
        <v>0</v>
      </c>
      <c r="BC1891" s="27">
        <v>0</v>
      </c>
      <c r="BD1891" s="27">
        <v>0</v>
      </c>
      <c r="BE1891" s="44" t="s">
        <v>1108</v>
      </c>
      <c r="BF1891" s="44" t="s">
        <v>1109</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70305003</v>
      </c>
      <c r="D1892" s="19" t="s">
        <v>621</v>
      </c>
      <c r="E1892" s="19" t="s">
        <v>622</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12</v>
      </c>
      <c r="AG1892" s="18">
        <v>0</v>
      </c>
      <c r="AH1892" s="18">
        <v>0</v>
      </c>
      <c r="AI1892" s="12">
        <v>7</v>
      </c>
      <c r="AJ1892" s="12">
        <v>0</v>
      </c>
      <c r="AK1892" s="12">
        <v>0</v>
      </c>
      <c r="AL1892" s="12">
        <v>0</v>
      </c>
      <c r="AM1892" s="18">
        <v>0</v>
      </c>
      <c r="AN1892" s="18">
        <v>0</v>
      </c>
      <c r="AO1892" s="18">
        <v>0</v>
      </c>
      <c r="AP1892" s="18">
        <v>0</v>
      </c>
      <c r="AQ1892" s="18">
        <v>1000</v>
      </c>
      <c r="AR1892" s="18">
        <v>0</v>
      </c>
      <c r="AS1892" s="18">
        <v>0</v>
      </c>
      <c r="AT1892" s="12">
        <v>0</v>
      </c>
      <c r="AU1892" s="18">
        <v>90204004</v>
      </c>
      <c r="AV1892" s="18"/>
      <c r="AW1892" s="19" t="s">
        <v>199</v>
      </c>
      <c r="AX1892" s="18" t="s">
        <v>348</v>
      </c>
      <c r="AY1892" s="18">
        <v>0</v>
      </c>
      <c r="AZ1892" s="18">
        <v>0</v>
      </c>
      <c r="BA1892" s="19" t="s">
        <v>200</v>
      </c>
      <c r="BB1892" s="19" t="s">
        <v>198</v>
      </c>
      <c r="BC1892" s="27">
        <v>0</v>
      </c>
      <c r="BD1892" s="27">
        <v>0</v>
      </c>
      <c r="BE1892" s="87" t="s">
        <v>623</v>
      </c>
      <c r="BF1892" s="87" t="s">
        <v>624</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19.5" customHeight="1">
      <c r="C1893" s="18">
        <v>70305004</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0.3</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15</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t="s">
        <v>754</v>
      </c>
      <c r="AU1893" s="18" t="s">
        <v>198</v>
      </c>
      <c r="AV1893" s="18"/>
      <c r="AW1893" s="19" t="s">
        <v>199</v>
      </c>
      <c r="AX1893" s="18" t="s">
        <v>348</v>
      </c>
      <c r="AY1893" s="18">
        <v>0</v>
      </c>
      <c r="AZ1893" s="18">
        <v>0</v>
      </c>
      <c r="BA1893" s="19" t="s">
        <v>200</v>
      </c>
      <c r="BB1893" s="19" t="s">
        <v>198</v>
      </c>
      <c r="BC1893" s="27">
        <v>0</v>
      </c>
      <c r="BD1893" s="27">
        <v>0</v>
      </c>
      <c r="BE1893" s="87" t="s">
        <v>1118</v>
      </c>
      <c r="BF1893" s="87" t="s">
        <v>1119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19.5" customHeight="1">
      <c r="C1894" s="18">
        <v>70305005</v>
      </c>
      <c r="D1894" s="17" t="s">
        <v>1326</v>
      </c>
      <c r="E1894" s="17" t="s">
        <v>1327</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15</v>
      </c>
      <c r="AG1894" s="16">
        <v>1</v>
      </c>
      <c r="AH1894" s="16" t="s">
        <v>607</v>
      </c>
      <c r="AI1894" s="12">
        <v>0</v>
      </c>
      <c r="AJ1894" s="12">
        <v>1</v>
      </c>
      <c r="AK1894" s="12">
        <v>0</v>
      </c>
      <c r="AL1894" s="12">
        <v>3</v>
      </c>
      <c r="AM1894" s="16">
        <v>0</v>
      </c>
      <c r="AN1894" s="16">
        <v>0</v>
      </c>
      <c r="AO1894" s="16">
        <v>0</v>
      </c>
      <c r="AP1894" s="16">
        <v>3</v>
      </c>
      <c r="AQ1894" s="16">
        <v>5000</v>
      </c>
      <c r="AR1894" s="16">
        <v>2.5</v>
      </c>
      <c r="AS1894" s="16">
        <v>0</v>
      </c>
      <c r="AT1894" s="12">
        <v>0</v>
      </c>
      <c r="AU1894" s="16" t="s">
        <v>659</v>
      </c>
      <c r="AV1894" s="16"/>
      <c r="AW1894" s="19" t="s">
        <v>287</v>
      </c>
      <c r="AX1894" s="16" t="s">
        <v>534</v>
      </c>
      <c r="AY1894" s="18">
        <v>10000007</v>
      </c>
      <c r="AZ1894" s="18">
        <v>70305005</v>
      </c>
      <c r="BA1894" s="17" t="s">
        <v>200</v>
      </c>
      <c r="BB1894" s="16">
        <v>0</v>
      </c>
      <c r="BC1894" s="27">
        <v>0</v>
      </c>
      <c r="BD1894" s="27">
        <v>0</v>
      </c>
      <c r="BE1894" s="44" t="s">
        <v>4281</v>
      </c>
      <c r="BF1894" s="44" t="s">
        <v>4282</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70305006</v>
      </c>
      <c r="D1895" s="17" t="s">
        <v>4283</v>
      </c>
      <c r="E1895" s="17" t="s">
        <v>4284</v>
      </c>
      <c r="F1895" s="16">
        <v>1</v>
      </c>
      <c r="G1895" s="16">
        <v>60010300</v>
      </c>
      <c r="H1895" s="18">
        <v>0</v>
      </c>
      <c r="I1895" s="27">
        <v>0</v>
      </c>
      <c r="J1895" s="18">
        <v>1</v>
      </c>
      <c r="K1895" s="18">
        <v>0</v>
      </c>
      <c r="L1895" s="18">
        <v>0</v>
      </c>
      <c r="M1895" s="16">
        <v>0</v>
      </c>
      <c r="N1895" s="16">
        <v>0</v>
      </c>
      <c r="O1895" s="16">
        <v>2</v>
      </c>
      <c r="P1895" s="16">
        <v>2</v>
      </c>
      <c r="Q1895" s="16">
        <v>0.8</v>
      </c>
      <c r="R1895" s="16">
        <v>0</v>
      </c>
      <c r="S1895" s="12">
        <v>0</v>
      </c>
      <c r="T1895" s="16">
        <v>0</v>
      </c>
      <c r="U1895" s="16">
        <v>1</v>
      </c>
      <c r="V1895" s="16">
        <v>2</v>
      </c>
      <c r="W1895" s="16">
        <v>0</v>
      </c>
      <c r="X1895" s="16">
        <v>0</v>
      </c>
      <c r="Y1895" s="12">
        <v>0</v>
      </c>
      <c r="Z1895" s="16">
        <v>0</v>
      </c>
      <c r="AA1895" s="16">
        <v>0</v>
      </c>
      <c r="AB1895" s="16">
        <v>0</v>
      </c>
      <c r="AC1895" s="16">
        <v>0</v>
      </c>
      <c r="AD1895" s="16">
        <v>0</v>
      </c>
      <c r="AE1895" s="16">
        <v>0</v>
      </c>
      <c r="AF1895" s="16">
        <v>15</v>
      </c>
      <c r="AG1895" s="16">
        <v>0</v>
      </c>
      <c r="AH1895" s="16">
        <v>0</v>
      </c>
      <c r="AI1895" s="12">
        <v>2</v>
      </c>
      <c r="AJ1895" s="12">
        <v>2</v>
      </c>
      <c r="AK1895" s="12">
        <v>0</v>
      </c>
      <c r="AL1895" s="12">
        <v>1.5</v>
      </c>
      <c r="AM1895" s="16">
        <v>0</v>
      </c>
      <c r="AN1895" s="16">
        <v>0</v>
      </c>
      <c r="AO1895" s="16">
        <v>0</v>
      </c>
      <c r="AP1895" s="16">
        <v>1</v>
      </c>
      <c r="AQ1895" s="16">
        <v>3000</v>
      </c>
      <c r="AR1895" s="16">
        <v>0.5</v>
      </c>
      <c r="AS1895" s="16">
        <v>0</v>
      </c>
      <c r="AT1895" s="12">
        <v>0</v>
      </c>
      <c r="AU1895" s="16" t="s">
        <v>198</v>
      </c>
      <c r="AV1895" s="16"/>
      <c r="AW1895" s="19" t="s">
        <v>199</v>
      </c>
      <c r="AX1895" s="16" t="s">
        <v>545</v>
      </c>
      <c r="AY1895" s="18">
        <v>0</v>
      </c>
      <c r="AZ1895" s="18">
        <v>0</v>
      </c>
      <c r="BA1895" s="17" t="s">
        <v>528</v>
      </c>
      <c r="BB1895" s="16" t="s">
        <v>4285</v>
      </c>
      <c r="BC1895" s="27">
        <v>0</v>
      </c>
      <c r="BD1895" s="27">
        <v>0</v>
      </c>
      <c r="BE1895" s="44" t="s">
        <v>4286</v>
      </c>
      <c r="BF1895" s="44" t="s">
        <v>4287</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19.5" customHeight="1">
      <c r="C1896" s="18">
        <v>70305007</v>
      </c>
      <c r="D1896" s="17" t="s">
        <v>4288</v>
      </c>
      <c r="E1896" s="17" t="s">
        <v>4289</v>
      </c>
      <c r="F1896" s="18">
        <v>1</v>
      </c>
      <c r="G1896" s="16">
        <v>60010100</v>
      </c>
      <c r="H1896" s="18">
        <v>0</v>
      </c>
      <c r="I1896" s="27">
        <v>0</v>
      </c>
      <c r="J1896" s="18">
        <v>1</v>
      </c>
      <c r="K1896" s="18">
        <v>0</v>
      </c>
      <c r="L1896" s="18">
        <v>0</v>
      </c>
      <c r="M1896" s="16">
        <v>0</v>
      </c>
      <c r="N1896" s="16">
        <v>0</v>
      </c>
      <c r="O1896" s="16">
        <v>2</v>
      </c>
      <c r="P1896" s="16">
        <v>1</v>
      </c>
      <c r="Q1896" s="16">
        <v>1</v>
      </c>
      <c r="R1896" s="16">
        <v>0</v>
      </c>
      <c r="S1896" s="12">
        <v>0</v>
      </c>
      <c r="T1896" s="16">
        <v>0</v>
      </c>
      <c r="U1896" s="16">
        <v>1</v>
      </c>
      <c r="V1896" s="16">
        <v>2</v>
      </c>
      <c r="W1896" s="16">
        <v>0</v>
      </c>
      <c r="X1896" s="16">
        <v>3</v>
      </c>
      <c r="Y1896" s="12">
        <v>0</v>
      </c>
      <c r="Z1896" s="16">
        <v>0</v>
      </c>
      <c r="AA1896" s="16">
        <v>1</v>
      </c>
      <c r="AB1896" s="16">
        <v>0</v>
      </c>
      <c r="AC1896" s="16">
        <v>0</v>
      </c>
      <c r="AD1896" s="16">
        <v>0</v>
      </c>
      <c r="AE1896" s="16">
        <v>0</v>
      </c>
      <c r="AF1896" s="16">
        <v>7</v>
      </c>
      <c r="AG1896" s="16">
        <v>1</v>
      </c>
      <c r="AH1896" s="16" t="s">
        <v>607</v>
      </c>
      <c r="AI1896" s="12">
        <v>0</v>
      </c>
      <c r="AJ1896" s="12">
        <v>1</v>
      </c>
      <c r="AK1896" s="12">
        <v>0</v>
      </c>
      <c r="AL1896" s="12">
        <v>3</v>
      </c>
      <c r="AM1896" s="16">
        <v>0</v>
      </c>
      <c r="AN1896" s="16">
        <v>0</v>
      </c>
      <c r="AO1896" s="16">
        <v>0</v>
      </c>
      <c r="AP1896" s="16">
        <v>3</v>
      </c>
      <c r="AQ1896" s="16">
        <v>5000</v>
      </c>
      <c r="AR1896" s="16">
        <v>2.5</v>
      </c>
      <c r="AS1896" s="16">
        <v>0</v>
      </c>
      <c r="AT1896" s="12">
        <v>0</v>
      </c>
      <c r="AU1896" s="16" t="s">
        <v>198</v>
      </c>
      <c r="AV1896" s="16"/>
      <c r="AW1896" s="19" t="s">
        <v>199</v>
      </c>
      <c r="AX1896" s="16" t="s">
        <v>534</v>
      </c>
      <c r="AY1896" s="18">
        <v>10000007</v>
      </c>
      <c r="AZ1896" s="18">
        <v>70305007</v>
      </c>
      <c r="BA1896" s="17" t="s">
        <v>200</v>
      </c>
      <c r="BB1896" s="16">
        <v>0</v>
      </c>
      <c r="BC1896" s="27">
        <v>0</v>
      </c>
      <c r="BD1896" s="27">
        <v>0</v>
      </c>
      <c r="BE1896" s="44" t="s">
        <v>582</v>
      </c>
      <c r="BF1896" s="44" t="s">
        <v>583</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70401001</v>
      </c>
      <c r="D1897" s="17" t="s">
        <v>600</v>
      </c>
      <c r="E1897" s="17" t="s">
        <v>601</v>
      </c>
      <c r="F1897" s="16">
        <v>1</v>
      </c>
      <c r="G1897" s="16">
        <v>60010300</v>
      </c>
      <c r="H1897" s="18">
        <v>0</v>
      </c>
      <c r="I1897" s="27">
        <v>0</v>
      </c>
      <c r="J1897" s="18">
        <v>1</v>
      </c>
      <c r="K1897" s="18">
        <v>0</v>
      </c>
      <c r="L1897" s="18">
        <v>0</v>
      </c>
      <c r="M1897" s="16">
        <v>0</v>
      </c>
      <c r="N1897" s="16">
        <v>0</v>
      </c>
      <c r="O1897" s="16">
        <v>2</v>
      </c>
      <c r="P1897" s="16">
        <v>2</v>
      </c>
      <c r="Q1897" s="16">
        <v>0.8</v>
      </c>
      <c r="R1897" s="16">
        <v>0</v>
      </c>
      <c r="S1897" s="12">
        <v>0</v>
      </c>
      <c r="T1897" s="16">
        <v>0</v>
      </c>
      <c r="U1897" s="16">
        <v>1</v>
      </c>
      <c r="V1897" s="16">
        <v>2</v>
      </c>
      <c r="W1897" s="16">
        <v>0</v>
      </c>
      <c r="X1897" s="16">
        <v>0</v>
      </c>
      <c r="Y1897" s="12">
        <v>0</v>
      </c>
      <c r="Z1897" s="16">
        <v>0</v>
      </c>
      <c r="AA1897" s="16">
        <v>0</v>
      </c>
      <c r="AB1897" s="16">
        <v>0</v>
      </c>
      <c r="AC1897" s="16">
        <v>0</v>
      </c>
      <c r="AD1897" s="16">
        <v>0</v>
      </c>
      <c r="AE1897" s="16">
        <v>0</v>
      </c>
      <c r="AF1897" s="16">
        <v>20</v>
      </c>
      <c r="AG1897" s="16">
        <v>0</v>
      </c>
      <c r="AH1897" s="16">
        <v>0</v>
      </c>
      <c r="AI1897" s="12">
        <v>2</v>
      </c>
      <c r="AJ1897" s="12">
        <v>2</v>
      </c>
      <c r="AK1897" s="12">
        <v>0</v>
      </c>
      <c r="AL1897" s="12">
        <v>1.5</v>
      </c>
      <c r="AM1897" s="16">
        <v>0</v>
      </c>
      <c r="AN1897" s="16">
        <v>0</v>
      </c>
      <c r="AO1897" s="16">
        <v>0</v>
      </c>
      <c r="AP1897" s="16">
        <v>1</v>
      </c>
      <c r="AQ1897" s="16">
        <v>3000</v>
      </c>
      <c r="AR1897" s="16">
        <v>0.5</v>
      </c>
      <c r="AS1897" s="16">
        <v>0</v>
      </c>
      <c r="AT1897" s="12">
        <v>0</v>
      </c>
      <c r="AU1897" s="16" t="s">
        <v>198</v>
      </c>
      <c r="AV1897" s="16"/>
      <c r="AW1897" s="19" t="s">
        <v>199</v>
      </c>
      <c r="AX1897" s="16" t="s">
        <v>545</v>
      </c>
      <c r="AY1897" s="18">
        <v>0</v>
      </c>
      <c r="AZ1897" s="18">
        <v>0</v>
      </c>
      <c r="BA1897" s="17" t="s">
        <v>528</v>
      </c>
      <c r="BB1897" s="16" t="s">
        <v>4290</v>
      </c>
      <c r="BC1897" s="27">
        <v>0</v>
      </c>
      <c r="BD1897" s="27">
        <v>0</v>
      </c>
      <c r="BE1897" s="44" t="s">
        <v>4291</v>
      </c>
      <c r="BF1897" s="44" t="s">
        <v>4292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70401002</v>
      </c>
      <c r="D1898" s="17" t="s">
        <v>4293</v>
      </c>
      <c r="E1898" s="17" t="s">
        <v>4294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30</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4295</v>
      </c>
      <c r="BC1898" s="27">
        <v>0</v>
      </c>
      <c r="BD1898" s="27">
        <v>0</v>
      </c>
      <c r="BE1898" s="44" t="s">
        <v>4296</v>
      </c>
      <c r="BF1898" s="44" t="s">
        <v>4297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70401003</v>
      </c>
      <c r="D1899" s="19" t="s">
        <v>744</v>
      </c>
      <c r="E1899" s="19" t="s">
        <v>745</v>
      </c>
      <c r="F1899" s="18">
        <v>1</v>
      </c>
      <c r="G1899" s="18">
        <v>60010500</v>
      </c>
      <c r="H1899" s="18">
        <v>0</v>
      </c>
      <c r="I1899" s="27">
        <v>0</v>
      </c>
      <c r="J1899" s="18">
        <v>1</v>
      </c>
      <c r="K1899" s="18">
        <v>0</v>
      </c>
      <c r="L1899" s="18">
        <v>0</v>
      </c>
      <c r="M1899" s="18">
        <v>0</v>
      </c>
      <c r="N1899" s="18">
        <v>0</v>
      </c>
      <c r="O1899" s="16">
        <v>2</v>
      </c>
      <c r="P1899" s="18">
        <v>1</v>
      </c>
      <c r="Q1899" s="18">
        <v>0.05</v>
      </c>
      <c r="R1899" s="18">
        <v>0</v>
      </c>
      <c r="S1899" s="12">
        <v>0</v>
      </c>
      <c r="T1899" s="27">
        <v>0</v>
      </c>
      <c r="U1899" s="16">
        <v>1</v>
      </c>
      <c r="V1899" s="18">
        <v>1</v>
      </c>
      <c r="W1899" s="18">
        <v>0</v>
      </c>
      <c r="X1899" s="18">
        <v>2</v>
      </c>
      <c r="Y1899" s="12">
        <v>0</v>
      </c>
      <c r="Z1899" s="18">
        <v>0</v>
      </c>
      <c r="AA1899" s="18">
        <v>0</v>
      </c>
      <c r="AB1899" s="18">
        <v>0</v>
      </c>
      <c r="AC1899" s="18">
        <v>0</v>
      </c>
      <c r="AD1899" s="16">
        <v>0</v>
      </c>
      <c r="AE1899" s="18">
        <v>0</v>
      </c>
      <c r="AF1899" s="18">
        <v>10</v>
      </c>
      <c r="AG1899" s="18">
        <v>0</v>
      </c>
      <c r="AH1899" s="18">
        <v>0</v>
      </c>
      <c r="AI1899" s="12">
        <v>7</v>
      </c>
      <c r="AJ1899" s="12">
        <v>0</v>
      </c>
      <c r="AK1899" s="12">
        <v>0</v>
      </c>
      <c r="AL1899" s="12">
        <v>0</v>
      </c>
      <c r="AM1899" s="18">
        <v>0</v>
      </c>
      <c r="AN1899" s="18">
        <v>0</v>
      </c>
      <c r="AO1899" s="18">
        <v>0</v>
      </c>
      <c r="AP1899" s="18">
        <v>0</v>
      </c>
      <c r="AQ1899" s="18">
        <v>1000</v>
      </c>
      <c r="AR1899" s="18">
        <v>0.5</v>
      </c>
      <c r="AS1899" s="18">
        <v>0</v>
      </c>
      <c r="AT1899" s="12">
        <v>0</v>
      </c>
      <c r="AU1899" s="18" t="s">
        <v>659</v>
      </c>
      <c r="AV1899" s="18"/>
      <c r="AW1899" s="19" t="s">
        <v>741</v>
      </c>
      <c r="AX1899" s="18">
        <v>0</v>
      </c>
      <c r="AY1899" s="18">
        <v>10007001</v>
      </c>
      <c r="AZ1899" s="18">
        <v>0</v>
      </c>
      <c r="BA1899" s="19" t="s">
        <v>200</v>
      </c>
      <c r="BB1899" s="19" t="s">
        <v>198</v>
      </c>
      <c r="BC1899" s="27">
        <v>0</v>
      </c>
      <c r="BD1899" s="27">
        <v>0</v>
      </c>
      <c r="BE1899" s="87" t="s">
        <v>746</v>
      </c>
      <c r="BF1899" s="87" t="s">
        <v>747</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20.100000000000001" customHeight="1">
      <c r="C1900" s="18">
        <v>70401004</v>
      </c>
      <c r="D1900" s="19" t="s">
        <v>538</v>
      </c>
      <c r="E1900" s="19" t="s">
        <v>539</v>
      </c>
      <c r="F1900" s="18">
        <v>1</v>
      </c>
      <c r="G1900" s="18">
        <v>60010500</v>
      </c>
      <c r="H1900" s="18">
        <v>0</v>
      </c>
      <c r="I1900" s="27">
        <v>0</v>
      </c>
      <c r="J1900" s="18">
        <v>1</v>
      </c>
      <c r="K1900" s="18">
        <v>0</v>
      </c>
      <c r="L1900" s="18">
        <v>0</v>
      </c>
      <c r="M1900" s="18">
        <v>0</v>
      </c>
      <c r="N1900" s="18">
        <v>0</v>
      </c>
      <c r="O1900" s="16">
        <v>2</v>
      </c>
      <c r="P1900" s="18">
        <v>2</v>
      </c>
      <c r="Q1900" s="18">
        <v>0.6</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8">
        <v>20</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v>90401004</v>
      </c>
      <c r="AU1900" s="18" t="s">
        <v>198</v>
      </c>
      <c r="AV1900" s="18"/>
      <c r="AW1900" s="19" t="s">
        <v>198</v>
      </c>
      <c r="AX1900" s="18" t="s">
        <v>348</v>
      </c>
      <c r="AY1900" s="18">
        <v>0</v>
      </c>
      <c r="AZ1900" s="18">
        <v>40000003</v>
      </c>
      <c r="BA1900" s="19" t="s">
        <v>200</v>
      </c>
      <c r="BB1900" s="19" t="s">
        <v>198</v>
      </c>
      <c r="BC1900" s="27">
        <v>0</v>
      </c>
      <c r="BD1900" s="27">
        <v>0</v>
      </c>
      <c r="BE1900" s="87" t="s">
        <v>864</v>
      </c>
      <c r="BF1900" s="87" t="s">
        <v>865</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70401005</v>
      </c>
      <c r="D1901" s="19" t="s">
        <v>757</v>
      </c>
      <c r="E1901" s="19" t="s">
        <v>399</v>
      </c>
      <c r="F1901" s="18">
        <v>1</v>
      </c>
      <c r="G1901" s="18">
        <v>60010500</v>
      </c>
      <c r="H1901" s="18">
        <v>0</v>
      </c>
      <c r="I1901" s="27">
        <v>0</v>
      </c>
      <c r="J1901" s="18">
        <v>1</v>
      </c>
      <c r="K1901" s="18">
        <v>0</v>
      </c>
      <c r="L1901" s="18">
        <v>0</v>
      </c>
      <c r="M1901" s="18">
        <v>0</v>
      </c>
      <c r="N1901" s="18">
        <v>0</v>
      </c>
      <c r="O1901" s="16">
        <v>2</v>
      </c>
      <c r="P1901" s="18">
        <v>2</v>
      </c>
      <c r="Q1901" s="18">
        <v>0.3</v>
      </c>
      <c r="R1901" s="18">
        <v>0</v>
      </c>
      <c r="S1901" s="12">
        <v>0</v>
      </c>
      <c r="T1901" s="27">
        <v>0</v>
      </c>
      <c r="U1901" s="16">
        <v>1</v>
      </c>
      <c r="V1901" s="18">
        <v>2</v>
      </c>
      <c r="W1901" s="18">
        <v>0</v>
      </c>
      <c r="X1901" s="18">
        <v>0</v>
      </c>
      <c r="Y1901" s="12">
        <v>0</v>
      </c>
      <c r="Z1901" s="18">
        <v>0</v>
      </c>
      <c r="AA1901" s="18">
        <v>0</v>
      </c>
      <c r="AB1901" s="18">
        <v>0</v>
      </c>
      <c r="AC1901" s="18">
        <v>0</v>
      </c>
      <c r="AD1901" s="16">
        <v>0</v>
      </c>
      <c r="AE1901" s="18">
        <v>0</v>
      </c>
      <c r="AF1901" s="16">
        <v>15</v>
      </c>
      <c r="AG1901" s="18">
        <v>0</v>
      </c>
      <c r="AH1901" s="18">
        <v>0</v>
      </c>
      <c r="AI1901" s="12">
        <v>2</v>
      </c>
      <c r="AJ1901" s="12">
        <v>0</v>
      </c>
      <c r="AK1901" s="12">
        <v>0</v>
      </c>
      <c r="AL1901" s="12">
        <v>0</v>
      </c>
      <c r="AM1901" s="18">
        <v>0</v>
      </c>
      <c r="AN1901" s="18">
        <v>0</v>
      </c>
      <c r="AO1901" s="18">
        <v>0</v>
      </c>
      <c r="AP1901" s="18">
        <v>0</v>
      </c>
      <c r="AQ1901" s="18">
        <v>1000</v>
      </c>
      <c r="AR1901" s="18">
        <v>0</v>
      </c>
      <c r="AS1901" s="18">
        <v>0</v>
      </c>
      <c r="AT1901" s="12">
        <v>90304001</v>
      </c>
      <c r="AU1901" s="18" t="s">
        <v>198</v>
      </c>
      <c r="AV1901" s="18"/>
      <c r="AW1901" s="19" t="s">
        <v>287</v>
      </c>
      <c r="AX1901" s="18" t="s">
        <v>348</v>
      </c>
      <c r="AY1901" s="18">
        <v>0</v>
      </c>
      <c r="AZ1901" s="18">
        <v>0</v>
      </c>
      <c r="BA1901" s="19" t="s">
        <v>200</v>
      </c>
      <c r="BB1901" s="19" t="s">
        <v>198</v>
      </c>
      <c r="BC1901" s="27">
        <v>0</v>
      </c>
      <c r="BD1901" s="27">
        <v>0</v>
      </c>
      <c r="BE1901" s="87" t="s">
        <v>758</v>
      </c>
      <c r="BF1901" s="87" t="s">
        <v>759</v>
      </c>
      <c r="BG1901" s="18">
        <v>0</v>
      </c>
      <c r="BH1901" s="16">
        <v>0</v>
      </c>
      <c r="BI1901" s="18">
        <v>0</v>
      </c>
      <c r="BJ1901" s="18">
        <v>0</v>
      </c>
      <c r="BK1901" s="18">
        <v>0</v>
      </c>
      <c r="BL1901" s="18">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70401006</v>
      </c>
      <c r="D1902" s="17" t="s">
        <v>4298</v>
      </c>
      <c r="E1902" s="17" t="s">
        <v>4299</v>
      </c>
      <c r="F1902" s="18">
        <v>1</v>
      </c>
      <c r="G1902" s="16">
        <v>60010300</v>
      </c>
      <c r="H1902" s="18">
        <v>0</v>
      </c>
      <c r="I1902" s="27">
        <v>0</v>
      </c>
      <c r="J1902" s="18">
        <v>1</v>
      </c>
      <c r="K1902" s="18">
        <v>0</v>
      </c>
      <c r="L1902" s="18">
        <v>0</v>
      </c>
      <c r="M1902" s="16">
        <v>0</v>
      </c>
      <c r="N1902" s="16">
        <v>0</v>
      </c>
      <c r="O1902" s="16">
        <v>2</v>
      </c>
      <c r="P1902" s="16">
        <v>1</v>
      </c>
      <c r="Q1902" s="16">
        <v>0.3</v>
      </c>
      <c r="R1902" s="16">
        <v>0</v>
      </c>
      <c r="S1902" s="12">
        <v>0</v>
      </c>
      <c r="T1902" s="16">
        <v>0</v>
      </c>
      <c r="U1902" s="16">
        <v>1</v>
      </c>
      <c r="V1902" s="16">
        <v>2</v>
      </c>
      <c r="W1902" s="16">
        <v>0</v>
      </c>
      <c r="X1902" s="16">
        <v>3</v>
      </c>
      <c r="Y1902" s="12">
        <v>0</v>
      </c>
      <c r="Z1902" s="16">
        <v>350</v>
      </c>
      <c r="AA1902" s="16">
        <v>0</v>
      </c>
      <c r="AB1902" s="16">
        <v>0</v>
      </c>
      <c r="AC1902" s="16">
        <v>0</v>
      </c>
      <c r="AD1902" s="16">
        <v>0</v>
      </c>
      <c r="AE1902" s="16">
        <v>0</v>
      </c>
      <c r="AF1902" s="16">
        <v>9</v>
      </c>
      <c r="AG1902" s="16">
        <v>2</v>
      </c>
      <c r="AH1902" s="16" t="s">
        <v>213</v>
      </c>
      <c r="AI1902" s="12">
        <v>0</v>
      </c>
      <c r="AJ1902" s="12">
        <v>2</v>
      </c>
      <c r="AK1902" s="12">
        <v>0</v>
      </c>
      <c r="AL1902" s="12">
        <v>1.5</v>
      </c>
      <c r="AM1902" s="16">
        <v>0</v>
      </c>
      <c r="AN1902" s="16">
        <v>0</v>
      </c>
      <c r="AO1902" s="16">
        <v>0</v>
      </c>
      <c r="AP1902" s="16">
        <v>1.5</v>
      </c>
      <c r="AQ1902" s="16">
        <v>3000</v>
      </c>
      <c r="AR1902" s="16">
        <v>1</v>
      </c>
      <c r="AS1902" s="16">
        <v>0</v>
      </c>
      <c r="AT1902" s="12">
        <v>0</v>
      </c>
      <c r="AU1902" s="16" t="s">
        <v>4300</v>
      </c>
      <c r="AV1902" s="16"/>
      <c r="AW1902" s="19" t="s">
        <v>617</v>
      </c>
      <c r="AX1902" s="16" t="s">
        <v>545</v>
      </c>
      <c r="AY1902" s="18">
        <v>10000007</v>
      </c>
      <c r="AZ1902" s="18">
        <v>70401006</v>
      </c>
      <c r="BA1902" s="17" t="s">
        <v>200</v>
      </c>
      <c r="BB1902" s="16">
        <v>0</v>
      </c>
      <c r="BC1902" s="27">
        <v>0</v>
      </c>
      <c r="BD1902" s="27">
        <v>0</v>
      </c>
      <c r="BE1902" s="44" t="s">
        <v>4301</v>
      </c>
      <c r="BF1902" s="44" t="s">
        <v>4302</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70402001</v>
      </c>
      <c r="D1903" s="17" t="s">
        <v>1124</v>
      </c>
      <c r="E1903" s="17" t="s">
        <v>1125</v>
      </c>
      <c r="F1903" s="18">
        <v>1</v>
      </c>
      <c r="G1903" s="16">
        <v>60010100</v>
      </c>
      <c r="H1903" s="18">
        <v>0</v>
      </c>
      <c r="I1903" s="27">
        <v>0</v>
      </c>
      <c r="J1903" s="18">
        <v>1</v>
      </c>
      <c r="K1903" s="18">
        <v>0</v>
      </c>
      <c r="L1903" s="18">
        <v>0</v>
      </c>
      <c r="M1903" s="16">
        <v>0</v>
      </c>
      <c r="N1903" s="16">
        <v>0</v>
      </c>
      <c r="O1903" s="16">
        <v>2</v>
      </c>
      <c r="P1903" s="16">
        <v>1</v>
      </c>
      <c r="Q1903" s="16">
        <v>0.3</v>
      </c>
      <c r="R1903" s="16">
        <v>0</v>
      </c>
      <c r="S1903" s="12">
        <v>0</v>
      </c>
      <c r="T1903" s="16">
        <v>0</v>
      </c>
      <c r="U1903" s="16">
        <v>1</v>
      </c>
      <c r="V1903" s="16">
        <v>2</v>
      </c>
      <c r="W1903" s="16">
        <v>0</v>
      </c>
      <c r="X1903" s="16">
        <v>1</v>
      </c>
      <c r="Y1903" s="12">
        <v>0</v>
      </c>
      <c r="Z1903" s="16">
        <v>0</v>
      </c>
      <c r="AA1903" s="16">
        <v>1</v>
      </c>
      <c r="AB1903" s="16">
        <v>0</v>
      </c>
      <c r="AC1903" s="16">
        <v>0</v>
      </c>
      <c r="AD1903" s="16">
        <v>0</v>
      </c>
      <c r="AE1903" s="16">
        <v>0</v>
      </c>
      <c r="AF1903" s="16">
        <v>30</v>
      </c>
      <c r="AG1903" s="16">
        <v>1</v>
      </c>
      <c r="AH1903" s="16" t="s">
        <v>861</v>
      </c>
      <c r="AI1903" s="12">
        <v>0</v>
      </c>
      <c r="AJ1903" s="12">
        <v>0</v>
      </c>
      <c r="AK1903" s="12">
        <v>0</v>
      </c>
      <c r="AL1903" s="12">
        <v>0</v>
      </c>
      <c r="AM1903" s="16">
        <v>0</v>
      </c>
      <c r="AN1903" s="16">
        <v>0</v>
      </c>
      <c r="AO1903" s="16">
        <v>0</v>
      </c>
      <c r="AP1903" s="16">
        <v>0.5</v>
      </c>
      <c r="AQ1903" s="16">
        <v>999999</v>
      </c>
      <c r="AR1903" s="16">
        <v>0.5</v>
      </c>
      <c r="AS1903" s="16">
        <v>0</v>
      </c>
      <c r="AT1903" s="12">
        <v>0</v>
      </c>
      <c r="AU1903" s="338" t="s">
        <v>1019</v>
      </c>
      <c r="AV1903" s="12"/>
      <c r="AW1903" s="19" t="s">
        <v>287</v>
      </c>
      <c r="AX1903" s="16" t="s">
        <v>534</v>
      </c>
      <c r="AY1903" s="18">
        <v>10000007</v>
      </c>
      <c r="AZ1903" s="18">
        <v>70202004</v>
      </c>
      <c r="BA1903" s="19" t="s">
        <v>315</v>
      </c>
      <c r="BB1903" s="19" t="s">
        <v>371</v>
      </c>
      <c r="BC1903" s="27">
        <v>0</v>
      </c>
      <c r="BD1903" s="27">
        <v>0</v>
      </c>
      <c r="BE1903" s="44" t="s">
        <v>1001</v>
      </c>
      <c r="BF1903" s="44" t="s">
        <v>1002</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70402002</v>
      </c>
      <c r="D1904" s="17" t="s">
        <v>4303</v>
      </c>
      <c r="E1904" s="17" t="s">
        <v>4304</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15</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4305</v>
      </c>
      <c r="BC1904" s="27">
        <v>0</v>
      </c>
      <c r="BD1904" s="27">
        <v>0</v>
      </c>
      <c r="BE1904" s="44" t="s">
        <v>4306</v>
      </c>
      <c r="BF1904" s="44" t="s">
        <v>4307</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19.5" customHeight="1">
      <c r="C1905" s="18">
        <v>70402003</v>
      </c>
      <c r="D1905" s="17" t="s">
        <v>4250</v>
      </c>
      <c r="E1905" s="17" t="s">
        <v>4251</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15</v>
      </c>
      <c r="AG1905" s="16">
        <v>1</v>
      </c>
      <c r="AH1905" s="16" t="s">
        <v>607</v>
      </c>
      <c r="AI1905" s="12">
        <v>0</v>
      </c>
      <c r="AJ1905" s="12">
        <v>1</v>
      </c>
      <c r="AK1905" s="12">
        <v>0</v>
      </c>
      <c r="AL1905" s="12">
        <v>3</v>
      </c>
      <c r="AM1905" s="16">
        <v>0</v>
      </c>
      <c r="AN1905" s="16">
        <v>0</v>
      </c>
      <c r="AO1905" s="16">
        <v>0</v>
      </c>
      <c r="AP1905" s="16">
        <v>2.5</v>
      </c>
      <c r="AQ1905" s="16">
        <v>5000</v>
      </c>
      <c r="AR1905" s="16">
        <v>2</v>
      </c>
      <c r="AS1905" s="16">
        <v>0</v>
      </c>
      <c r="AT1905" s="12">
        <v>0</v>
      </c>
      <c r="AU1905" s="16" t="s">
        <v>659</v>
      </c>
      <c r="AV1905" s="16"/>
      <c r="AW1905" s="19" t="s">
        <v>617</v>
      </c>
      <c r="AX1905" s="16" t="s">
        <v>534</v>
      </c>
      <c r="AY1905" s="18">
        <v>10000007</v>
      </c>
      <c r="AZ1905" s="18">
        <v>70402003</v>
      </c>
      <c r="BA1905" s="17" t="s">
        <v>200</v>
      </c>
      <c r="BB1905" s="16">
        <v>0</v>
      </c>
      <c r="BC1905" s="27">
        <v>0</v>
      </c>
      <c r="BD1905" s="27">
        <v>0</v>
      </c>
      <c r="BE1905" s="44" t="s">
        <v>4281</v>
      </c>
      <c r="BF1905" s="44" t="s">
        <v>4282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70402004</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854</v>
      </c>
      <c r="AV1906" s="18"/>
      <c r="AW1906" s="19" t="s">
        <v>741</v>
      </c>
      <c r="AX1906" s="18">
        <v>0</v>
      </c>
      <c r="AY1906" s="18">
        <v>10007001</v>
      </c>
      <c r="AZ1906" s="18">
        <v>0</v>
      </c>
      <c r="BA1906" s="19" t="s">
        <v>200</v>
      </c>
      <c r="BB1906" s="19" t="s">
        <v>198</v>
      </c>
      <c r="BC1906" s="27">
        <v>0</v>
      </c>
      <c r="BD1906" s="27">
        <v>0</v>
      </c>
      <c r="BE1906" s="87" t="s">
        <v>4308</v>
      </c>
      <c r="BF1906" s="87" t="s">
        <v>4309</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70402005</v>
      </c>
      <c r="D1907" s="19" t="s">
        <v>567</v>
      </c>
      <c r="E1907" s="19" t="s">
        <v>568</v>
      </c>
      <c r="F1907" s="18">
        <v>1</v>
      </c>
      <c r="G1907" s="18">
        <v>60010500</v>
      </c>
      <c r="H1907" s="18">
        <v>0</v>
      </c>
      <c r="I1907" s="27">
        <v>0</v>
      </c>
      <c r="J1907" s="18">
        <v>1</v>
      </c>
      <c r="K1907" s="18">
        <v>0</v>
      </c>
      <c r="L1907" s="18">
        <v>0</v>
      </c>
      <c r="M1907" s="18">
        <v>0</v>
      </c>
      <c r="N1907" s="18">
        <v>0</v>
      </c>
      <c r="O1907" s="16">
        <v>2</v>
      </c>
      <c r="P1907" s="18">
        <v>2</v>
      </c>
      <c r="Q1907" s="18">
        <v>0.3</v>
      </c>
      <c r="R1907" s="18">
        <v>1</v>
      </c>
      <c r="S1907" s="12">
        <v>0</v>
      </c>
      <c r="T1907" s="27">
        <v>0</v>
      </c>
      <c r="U1907" s="16">
        <v>1</v>
      </c>
      <c r="V1907" s="18">
        <v>2</v>
      </c>
      <c r="W1907" s="18">
        <v>0</v>
      </c>
      <c r="X1907" s="18">
        <v>0</v>
      </c>
      <c r="Y1907" s="12">
        <v>0</v>
      </c>
      <c r="Z1907" s="18">
        <v>0</v>
      </c>
      <c r="AA1907" s="18">
        <v>0</v>
      </c>
      <c r="AB1907" s="18">
        <v>0</v>
      </c>
      <c r="AC1907" s="18">
        <v>0</v>
      </c>
      <c r="AD1907" s="16">
        <v>0</v>
      </c>
      <c r="AE1907" s="18">
        <v>0</v>
      </c>
      <c r="AF1907" s="16">
        <v>15</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90402005</v>
      </c>
      <c r="AU1907" s="18" t="s">
        <v>198</v>
      </c>
      <c r="AV1907" s="18"/>
      <c r="AW1907" s="19" t="s">
        <v>199</v>
      </c>
      <c r="AX1907" s="18" t="s">
        <v>348</v>
      </c>
      <c r="AY1907" s="18">
        <v>0</v>
      </c>
      <c r="AZ1907" s="18">
        <v>0</v>
      </c>
      <c r="BA1907" s="19" t="s">
        <v>200</v>
      </c>
      <c r="BB1907" s="19" t="s">
        <v>198</v>
      </c>
      <c r="BC1907" s="27">
        <v>0</v>
      </c>
      <c r="BD1907" s="27">
        <v>0</v>
      </c>
      <c r="BE1907" s="87" t="s">
        <v>850</v>
      </c>
      <c r="BF1907" s="87" t="s">
        <v>851</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70403001</v>
      </c>
      <c r="D1908" s="17" t="s">
        <v>4310</v>
      </c>
      <c r="E1908" s="17" t="s">
        <v>4311</v>
      </c>
      <c r="F1908" s="16">
        <v>1</v>
      </c>
      <c r="G1908" s="16">
        <v>60010300</v>
      </c>
      <c r="H1908" s="18">
        <v>0</v>
      </c>
      <c r="I1908" s="27">
        <v>0</v>
      </c>
      <c r="J1908" s="18">
        <v>1</v>
      </c>
      <c r="K1908" s="18">
        <v>0</v>
      </c>
      <c r="L1908" s="18">
        <v>0</v>
      </c>
      <c r="M1908" s="16">
        <v>0</v>
      </c>
      <c r="N1908" s="16">
        <v>0</v>
      </c>
      <c r="O1908" s="16">
        <v>2</v>
      </c>
      <c r="P1908" s="16">
        <v>2</v>
      </c>
      <c r="Q1908" s="16">
        <v>0.8</v>
      </c>
      <c r="R1908" s="16">
        <v>0</v>
      </c>
      <c r="S1908" s="12">
        <v>0</v>
      </c>
      <c r="T1908" s="16">
        <v>0</v>
      </c>
      <c r="U1908" s="16">
        <v>1</v>
      </c>
      <c r="V1908" s="16">
        <v>2</v>
      </c>
      <c r="W1908" s="16">
        <v>0</v>
      </c>
      <c r="X1908" s="16">
        <v>0</v>
      </c>
      <c r="Y1908" s="12">
        <v>0</v>
      </c>
      <c r="Z1908" s="16">
        <v>0</v>
      </c>
      <c r="AA1908" s="16">
        <v>0</v>
      </c>
      <c r="AB1908" s="16">
        <v>0</v>
      </c>
      <c r="AC1908" s="16">
        <v>0</v>
      </c>
      <c r="AD1908" s="16">
        <v>0</v>
      </c>
      <c r="AE1908" s="16">
        <v>0</v>
      </c>
      <c r="AF1908" s="16">
        <v>15</v>
      </c>
      <c r="AG1908" s="16">
        <v>0</v>
      </c>
      <c r="AH1908" s="16">
        <v>0</v>
      </c>
      <c r="AI1908" s="12">
        <v>2</v>
      </c>
      <c r="AJ1908" s="12">
        <v>2</v>
      </c>
      <c r="AK1908" s="12">
        <v>0</v>
      </c>
      <c r="AL1908" s="12">
        <v>1.5</v>
      </c>
      <c r="AM1908" s="16">
        <v>0</v>
      </c>
      <c r="AN1908" s="16">
        <v>0</v>
      </c>
      <c r="AO1908" s="16">
        <v>0</v>
      </c>
      <c r="AP1908" s="16">
        <v>1</v>
      </c>
      <c r="AQ1908" s="16">
        <v>3000</v>
      </c>
      <c r="AR1908" s="16">
        <v>0.5</v>
      </c>
      <c r="AS1908" s="16">
        <v>0</v>
      </c>
      <c r="AT1908" s="12">
        <v>0</v>
      </c>
      <c r="AU1908" s="16" t="s">
        <v>198</v>
      </c>
      <c r="AV1908" s="16"/>
      <c r="AW1908" s="19" t="s">
        <v>199</v>
      </c>
      <c r="AX1908" s="16" t="s">
        <v>545</v>
      </c>
      <c r="AY1908" s="18">
        <v>0</v>
      </c>
      <c r="AZ1908" s="18">
        <v>0</v>
      </c>
      <c r="BA1908" s="17" t="s">
        <v>528</v>
      </c>
      <c r="BB1908" s="16" t="s">
        <v>4312</v>
      </c>
      <c r="BC1908" s="27">
        <v>0</v>
      </c>
      <c r="BD1908" s="27">
        <v>0</v>
      </c>
      <c r="BE1908" s="44" t="s">
        <v>4313</v>
      </c>
      <c r="BF1908" s="44" t="s">
        <v>4314</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70403002</v>
      </c>
      <c r="D1909" s="17" t="s">
        <v>4315</v>
      </c>
      <c r="E1909" s="17" t="s">
        <v>4316</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v>
      </c>
      <c r="AQ1909" s="16">
        <v>3000</v>
      </c>
      <c r="AR1909" s="16">
        <v>0.5</v>
      </c>
      <c r="AS1909" s="16">
        <v>0</v>
      </c>
      <c r="AT1909" s="12">
        <v>0</v>
      </c>
      <c r="AU1909" s="16" t="s">
        <v>854</v>
      </c>
      <c r="AV1909" s="16"/>
      <c r="AW1909" s="17" t="s">
        <v>287</v>
      </c>
      <c r="AX1909" s="16" t="s">
        <v>545</v>
      </c>
      <c r="AY1909" s="18">
        <v>10000007</v>
      </c>
      <c r="AZ1909" s="18">
        <v>70403002</v>
      </c>
      <c r="BA1909" s="17" t="s">
        <v>200</v>
      </c>
      <c r="BB1909" s="16">
        <v>0</v>
      </c>
      <c r="BC1909" s="27">
        <v>0</v>
      </c>
      <c r="BD1909" s="27">
        <v>0</v>
      </c>
      <c r="BE1909" s="44" t="s">
        <v>4301</v>
      </c>
      <c r="BF1909" s="44" t="s">
        <v>4302</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70403003</v>
      </c>
      <c r="D1910" s="17" t="s">
        <v>1091</v>
      </c>
      <c r="E1910" s="17" t="s">
        <v>1092</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3</v>
      </c>
      <c r="Y1910" s="12">
        <v>0</v>
      </c>
      <c r="Z1910" s="16">
        <v>0</v>
      </c>
      <c r="AA1910" s="16">
        <v>1</v>
      </c>
      <c r="AB1910" s="16">
        <v>0</v>
      </c>
      <c r="AC1910" s="16">
        <v>0</v>
      </c>
      <c r="AD1910" s="16">
        <v>0</v>
      </c>
      <c r="AE1910" s="16">
        <v>0</v>
      </c>
      <c r="AF1910" s="16">
        <v>15</v>
      </c>
      <c r="AG1910" s="16">
        <v>1</v>
      </c>
      <c r="AH1910" s="16" t="s">
        <v>607</v>
      </c>
      <c r="AI1910" s="12">
        <v>0</v>
      </c>
      <c r="AJ1910" s="12">
        <v>1</v>
      </c>
      <c r="AK1910" s="12">
        <v>0</v>
      </c>
      <c r="AL1910" s="12">
        <v>3</v>
      </c>
      <c r="AM1910" s="16">
        <v>0</v>
      </c>
      <c r="AN1910" s="16">
        <v>0</v>
      </c>
      <c r="AO1910" s="16">
        <v>0</v>
      </c>
      <c r="AP1910" s="16">
        <v>3</v>
      </c>
      <c r="AQ1910" s="16">
        <v>5000</v>
      </c>
      <c r="AR1910" s="16">
        <v>2.5</v>
      </c>
      <c r="AS1910" s="16">
        <v>0</v>
      </c>
      <c r="AT1910" s="12">
        <v>0</v>
      </c>
      <c r="AU1910" s="16" t="s">
        <v>659</v>
      </c>
      <c r="AV1910" s="16"/>
      <c r="AW1910" s="19" t="s">
        <v>256</v>
      </c>
      <c r="AX1910" s="16" t="s">
        <v>534</v>
      </c>
      <c r="AY1910" s="18">
        <v>10000007</v>
      </c>
      <c r="AZ1910" s="18">
        <v>70403003</v>
      </c>
      <c r="BA1910" s="17" t="s">
        <v>200</v>
      </c>
      <c r="BB1910" s="16">
        <v>0</v>
      </c>
      <c r="BC1910" s="27">
        <v>0</v>
      </c>
      <c r="BD1910" s="27">
        <v>0</v>
      </c>
      <c r="BE1910" s="44" t="s">
        <v>4281</v>
      </c>
      <c r="BF1910" s="44" t="s">
        <v>4282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70403004</v>
      </c>
      <c r="D1911" s="17" t="s">
        <v>951</v>
      </c>
      <c r="E1911" s="17" t="s">
        <v>952</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2.5</v>
      </c>
      <c r="Y1911" s="12">
        <v>0</v>
      </c>
      <c r="Z1911" s="16">
        <v>0</v>
      </c>
      <c r="AA1911" s="16">
        <v>1</v>
      </c>
      <c r="AB1911" s="16">
        <v>0</v>
      </c>
      <c r="AC1911" s="16">
        <v>0</v>
      </c>
      <c r="AD1911" s="16">
        <v>0</v>
      </c>
      <c r="AE1911" s="16">
        <v>0</v>
      </c>
      <c r="AF1911" s="16">
        <v>12</v>
      </c>
      <c r="AG1911" s="16">
        <v>1</v>
      </c>
      <c r="AH1911" s="16">
        <v>3</v>
      </c>
      <c r="AI1911" s="12">
        <v>4</v>
      </c>
      <c r="AJ1911" s="12">
        <v>1</v>
      </c>
      <c r="AK1911" s="12">
        <v>0</v>
      </c>
      <c r="AL1911" s="12">
        <v>1.5</v>
      </c>
      <c r="AM1911" s="16">
        <v>0</v>
      </c>
      <c r="AN1911" s="16">
        <v>0</v>
      </c>
      <c r="AO1911" s="16">
        <v>0</v>
      </c>
      <c r="AP1911" s="16">
        <v>2.5</v>
      </c>
      <c r="AQ1911" s="16">
        <v>5000</v>
      </c>
      <c r="AR1911" s="16">
        <v>2</v>
      </c>
      <c r="AS1911" s="16">
        <v>0</v>
      </c>
      <c r="AT1911" s="12">
        <v>0</v>
      </c>
      <c r="AU1911" s="16">
        <v>80001030</v>
      </c>
      <c r="AV1911" s="16"/>
      <c r="AW1911" s="19" t="s">
        <v>617</v>
      </c>
      <c r="AX1911" s="16" t="s">
        <v>534</v>
      </c>
      <c r="AY1911" s="18">
        <v>10000007</v>
      </c>
      <c r="AZ1911" s="18">
        <v>70403004</v>
      </c>
      <c r="BA1911" s="17" t="s">
        <v>200</v>
      </c>
      <c r="BB1911" s="16" t="s">
        <v>4317</v>
      </c>
      <c r="BC1911" s="27">
        <v>0</v>
      </c>
      <c r="BD1911" s="27">
        <v>0</v>
      </c>
      <c r="BE1911" s="44" t="s">
        <v>4318</v>
      </c>
      <c r="BF1911" s="44" t="s">
        <v>4319</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70403005</v>
      </c>
      <c r="D1912" s="19" t="s">
        <v>567</v>
      </c>
      <c r="E1912" s="19" t="s">
        <v>568</v>
      </c>
      <c r="F1912" s="18">
        <v>1</v>
      </c>
      <c r="G1912" s="18">
        <v>60010500</v>
      </c>
      <c r="H1912" s="18">
        <v>0</v>
      </c>
      <c r="I1912" s="27">
        <v>0</v>
      </c>
      <c r="J1912" s="18">
        <v>1</v>
      </c>
      <c r="K1912" s="18">
        <v>0</v>
      </c>
      <c r="L1912" s="18">
        <v>0</v>
      </c>
      <c r="M1912" s="18">
        <v>0</v>
      </c>
      <c r="N1912" s="18">
        <v>0</v>
      </c>
      <c r="O1912" s="16">
        <v>2</v>
      </c>
      <c r="P1912" s="18">
        <v>2</v>
      </c>
      <c r="Q1912" s="18">
        <v>0.3</v>
      </c>
      <c r="R1912" s="18">
        <v>1</v>
      </c>
      <c r="S1912" s="12">
        <v>0</v>
      </c>
      <c r="T1912" s="27">
        <v>0</v>
      </c>
      <c r="U1912" s="16">
        <v>1</v>
      </c>
      <c r="V1912" s="18">
        <v>2</v>
      </c>
      <c r="W1912" s="18">
        <v>0</v>
      </c>
      <c r="X1912" s="18">
        <v>0</v>
      </c>
      <c r="Y1912" s="12">
        <v>0</v>
      </c>
      <c r="Z1912" s="18">
        <v>0</v>
      </c>
      <c r="AA1912" s="18">
        <v>0</v>
      </c>
      <c r="AB1912" s="18">
        <v>0</v>
      </c>
      <c r="AC1912" s="18">
        <v>0</v>
      </c>
      <c r="AD1912" s="16">
        <v>0</v>
      </c>
      <c r="AE1912" s="18">
        <v>0</v>
      </c>
      <c r="AF1912" s="16">
        <v>15</v>
      </c>
      <c r="AG1912" s="18">
        <v>0</v>
      </c>
      <c r="AH1912" s="18">
        <v>0</v>
      </c>
      <c r="AI1912" s="12">
        <v>2</v>
      </c>
      <c r="AJ1912" s="12">
        <v>0</v>
      </c>
      <c r="AK1912" s="12">
        <v>0</v>
      </c>
      <c r="AL1912" s="12">
        <v>0</v>
      </c>
      <c r="AM1912" s="18">
        <v>0</v>
      </c>
      <c r="AN1912" s="18">
        <v>0</v>
      </c>
      <c r="AO1912" s="18">
        <v>0</v>
      </c>
      <c r="AP1912" s="18">
        <v>0</v>
      </c>
      <c r="AQ1912" s="18">
        <v>1000</v>
      </c>
      <c r="AR1912" s="18">
        <v>0</v>
      </c>
      <c r="AS1912" s="18">
        <v>0</v>
      </c>
      <c r="AT1912" s="12">
        <v>90402005</v>
      </c>
      <c r="AU1912" s="18" t="s">
        <v>198</v>
      </c>
      <c r="AV1912" s="18"/>
      <c r="AW1912" s="19" t="s">
        <v>199</v>
      </c>
      <c r="AX1912" s="18" t="s">
        <v>348</v>
      </c>
      <c r="AY1912" s="18">
        <v>0</v>
      </c>
      <c r="AZ1912" s="18">
        <v>0</v>
      </c>
      <c r="BA1912" s="19" t="s">
        <v>200</v>
      </c>
      <c r="BB1912" s="19" t="s">
        <v>198</v>
      </c>
      <c r="BC1912" s="27">
        <v>0</v>
      </c>
      <c r="BD1912" s="27">
        <v>0</v>
      </c>
      <c r="BE1912" s="87" t="s">
        <v>798</v>
      </c>
      <c r="BF1912" s="87" t="s">
        <v>799</v>
      </c>
      <c r="BG1912" s="18">
        <v>0</v>
      </c>
      <c r="BH1912" s="16">
        <v>0</v>
      </c>
      <c r="BI1912" s="18">
        <v>0</v>
      </c>
      <c r="BJ1912" s="18">
        <v>0</v>
      </c>
      <c r="BK1912" s="18">
        <v>0</v>
      </c>
      <c r="BL1912" s="18">
        <v>0</v>
      </c>
      <c r="BM1912" s="15">
        <v>0</v>
      </c>
      <c r="BN1912" s="12">
        <v>0</v>
      </c>
      <c r="BO1912" s="12">
        <v>0</v>
      </c>
      <c r="BP1912" s="12">
        <v>0</v>
      </c>
      <c r="BQ1912" s="12">
        <v>0</v>
      </c>
      <c r="BR1912" s="12">
        <v>0</v>
      </c>
      <c r="BS1912" s="12">
        <v>0</v>
      </c>
      <c r="BT1912" s="12">
        <v>0</v>
      </c>
      <c r="BU1912" s="47">
        <v>0</v>
      </c>
      <c r="BV1912" s="47"/>
      <c r="BW1912" s="47"/>
    </row>
    <row r="1913" spans="3:75" ht="19.5" customHeight="1">
      <c r="C1913" s="18">
        <v>70404001</v>
      </c>
      <c r="D1913" s="19" t="s">
        <v>760</v>
      </c>
      <c r="E1913" s="19" t="s">
        <v>761</v>
      </c>
      <c r="F1913" s="18">
        <v>1</v>
      </c>
      <c r="G1913" s="18">
        <v>60010300</v>
      </c>
      <c r="H1913" s="18">
        <v>0</v>
      </c>
      <c r="I1913" s="27">
        <v>0</v>
      </c>
      <c r="J1913" s="18">
        <v>1</v>
      </c>
      <c r="K1913" s="18">
        <v>0</v>
      </c>
      <c r="L1913" s="18">
        <v>0</v>
      </c>
      <c r="M1913" s="18">
        <v>0</v>
      </c>
      <c r="N1913" s="18">
        <v>0</v>
      </c>
      <c r="O1913" s="16">
        <v>2</v>
      </c>
      <c r="P1913" s="18">
        <v>0</v>
      </c>
      <c r="Q1913" s="18">
        <v>0</v>
      </c>
      <c r="R1913" s="18">
        <v>0</v>
      </c>
      <c r="S1913" s="12">
        <v>0</v>
      </c>
      <c r="T1913" s="27">
        <v>0</v>
      </c>
      <c r="U1913" s="16">
        <v>1</v>
      </c>
      <c r="V1913" s="18">
        <v>2</v>
      </c>
      <c r="W1913" s="18">
        <v>0</v>
      </c>
      <c r="X1913" s="18">
        <v>3</v>
      </c>
      <c r="Y1913" s="12">
        <v>0</v>
      </c>
      <c r="Z1913" s="18">
        <v>0</v>
      </c>
      <c r="AA1913" s="18">
        <v>0</v>
      </c>
      <c r="AB1913" s="18">
        <v>0</v>
      </c>
      <c r="AC1913" s="18">
        <v>0</v>
      </c>
      <c r="AD1913" s="16">
        <v>0</v>
      </c>
      <c r="AE1913" s="18">
        <v>0</v>
      </c>
      <c r="AF1913" s="18">
        <v>20</v>
      </c>
      <c r="AG1913" s="18">
        <v>1</v>
      </c>
      <c r="AH1913" s="18">
        <v>1</v>
      </c>
      <c r="AI1913" s="12">
        <v>2</v>
      </c>
      <c r="AJ1913" s="12">
        <v>2</v>
      </c>
      <c r="AK1913" s="12">
        <v>0</v>
      </c>
      <c r="AL1913" s="12">
        <v>1.5</v>
      </c>
      <c r="AM1913" s="18">
        <v>0</v>
      </c>
      <c r="AN1913" s="18">
        <v>0</v>
      </c>
      <c r="AO1913" s="18">
        <v>0</v>
      </c>
      <c r="AP1913" s="18">
        <v>1</v>
      </c>
      <c r="AQ1913" s="18">
        <v>30000</v>
      </c>
      <c r="AR1913" s="18">
        <v>0</v>
      </c>
      <c r="AS1913" s="18">
        <v>4</v>
      </c>
      <c r="AT1913" s="12">
        <v>0</v>
      </c>
      <c r="AU1913" s="16" t="s">
        <v>659</v>
      </c>
      <c r="AV1913" s="16"/>
      <c r="AW1913" s="19" t="s">
        <v>199</v>
      </c>
      <c r="AX1913" s="18" t="s">
        <v>545</v>
      </c>
      <c r="AY1913" s="18">
        <v>10003002</v>
      </c>
      <c r="AZ1913" s="18">
        <v>70106005</v>
      </c>
      <c r="BA1913" s="19" t="s">
        <v>586</v>
      </c>
      <c r="BB1913" s="19">
        <v>0</v>
      </c>
      <c r="BC1913" s="27">
        <v>0</v>
      </c>
      <c r="BD1913" s="27">
        <v>0</v>
      </c>
      <c r="BE1913" s="87" t="s">
        <v>1065</v>
      </c>
      <c r="BF1913" s="87" t="s">
        <v>1066</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70404002</v>
      </c>
      <c r="D1914" s="17" t="s">
        <v>1067</v>
      </c>
      <c r="E1914" s="17" t="s">
        <v>1068</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0</v>
      </c>
      <c r="AV1914" s="16"/>
      <c r="AW1914" s="19" t="s">
        <v>617</v>
      </c>
      <c r="AX1914" s="16" t="s">
        <v>534</v>
      </c>
      <c r="AY1914" s="18">
        <v>10000007</v>
      </c>
      <c r="AZ1914" s="18">
        <v>70404002</v>
      </c>
      <c r="BA1914" s="17" t="s">
        <v>200</v>
      </c>
      <c r="BB1914" s="16" t="s">
        <v>4320</v>
      </c>
      <c r="BC1914" s="27">
        <v>0</v>
      </c>
      <c r="BD1914" s="27">
        <v>0</v>
      </c>
      <c r="BE1914" s="44" t="s">
        <v>4321</v>
      </c>
      <c r="BF1914" s="44" t="s">
        <v>4322</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70404003</v>
      </c>
      <c r="D1915" s="17" t="s">
        <v>793</v>
      </c>
      <c r="E1915" s="17" t="s">
        <v>794</v>
      </c>
      <c r="F1915" s="16">
        <v>1</v>
      </c>
      <c r="G1915" s="16">
        <v>60010300</v>
      </c>
      <c r="H1915" s="18">
        <v>0</v>
      </c>
      <c r="I1915" s="27">
        <v>0</v>
      </c>
      <c r="J1915" s="18">
        <v>1</v>
      </c>
      <c r="K1915" s="18">
        <v>0</v>
      </c>
      <c r="L1915" s="18">
        <v>0</v>
      </c>
      <c r="M1915" s="16">
        <v>0</v>
      </c>
      <c r="N1915" s="16">
        <v>0</v>
      </c>
      <c r="O1915" s="16">
        <v>2</v>
      </c>
      <c r="P1915" s="16">
        <v>2</v>
      </c>
      <c r="Q1915" s="16">
        <v>0.5</v>
      </c>
      <c r="R1915" s="16">
        <v>1</v>
      </c>
      <c r="S1915" s="12">
        <v>0</v>
      </c>
      <c r="T1915" s="16">
        <v>0</v>
      </c>
      <c r="U1915" s="16">
        <v>1</v>
      </c>
      <c r="V1915" s="16">
        <v>2</v>
      </c>
      <c r="W1915" s="16">
        <v>0</v>
      </c>
      <c r="X1915" s="16">
        <v>0</v>
      </c>
      <c r="Y1915" s="12">
        <v>0</v>
      </c>
      <c r="Z1915" s="16">
        <v>0</v>
      </c>
      <c r="AA1915" s="16">
        <v>0</v>
      </c>
      <c r="AB1915" s="16">
        <v>0</v>
      </c>
      <c r="AC1915" s="16">
        <v>0</v>
      </c>
      <c r="AD1915" s="16">
        <v>0</v>
      </c>
      <c r="AE1915" s="16">
        <v>0</v>
      </c>
      <c r="AF1915" s="16">
        <v>99999</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287</v>
      </c>
      <c r="AX1915" s="16" t="s">
        <v>545</v>
      </c>
      <c r="AY1915" s="18">
        <v>0</v>
      </c>
      <c r="AZ1915" s="18">
        <v>0</v>
      </c>
      <c r="BA1915" s="17" t="s">
        <v>528</v>
      </c>
      <c r="BB1915" s="16" t="s">
        <v>4323</v>
      </c>
      <c r="BC1915" s="27">
        <v>0</v>
      </c>
      <c r="BD1915" s="27">
        <v>0</v>
      </c>
      <c r="BE1915" s="44" t="s">
        <v>864</v>
      </c>
      <c r="BF1915" s="44" t="s">
        <v>865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70404004</v>
      </c>
      <c r="D1916" s="19" t="s">
        <v>538</v>
      </c>
      <c r="E1916" s="19" t="s">
        <v>539</v>
      </c>
      <c r="F1916" s="18">
        <v>1</v>
      </c>
      <c r="G1916" s="18">
        <v>60010500</v>
      </c>
      <c r="H1916" s="18">
        <v>0</v>
      </c>
      <c r="I1916" s="27">
        <v>0</v>
      </c>
      <c r="J1916" s="18">
        <v>1</v>
      </c>
      <c r="K1916" s="18">
        <v>0</v>
      </c>
      <c r="L1916" s="18">
        <v>0</v>
      </c>
      <c r="M1916" s="18">
        <v>0</v>
      </c>
      <c r="N1916" s="18">
        <v>0</v>
      </c>
      <c r="O1916" s="16">
        <v>2</v>
      </c>
      <c r="P1916" s="18">
        <v>2</v>
      </c>
      <c r="Q1916" s="18">
        <v>0.6</v>
      </c>
      <c r="R1916" s="18">
        <v>0</v>
      </c>
      <c r="S1916" s="12">
        <v>0</v>
      </c>
      <c r="T1916" s="27">
        <v>0</v>
      </c>
      <c r="U1916" s="16">
        <v>1</v>
      </c>
      <c r="V1916" s="18">
        <v>2</v>
      </c>
      <c r="W1916" s="18">
        <v>0</v>
      </c>
      <c r="X1916" s="18">
        <v>0</v>
      </c>
      <c r="Y1916" s="12">
        <v>0</v>
      </c>
      <c r="Z1916" s="18">
        <v>0</v>
      </c>
      <c r="AA1916" s="18">
        <v>0</v>
      </c>
      <c r="AB1916" s="18">
        <v>0</v>
      </c>
      <c r="AC1916" s="18">
        <v>0</v>
      </c>
      <c r="AD1916" s="16">
        <v>0</v>
      </c>
      <c r="AE1916" s="18">
        <v>0</v>
      </c>
      <c r="AF1916" s="18">
        <v>20</v>
      </c>
      <c r="AG1916" s="18">
        <v>0</v>
      </c>
      <c r="AH1916" s="18">
        <v>0</v>
      </c>
      <c r="AI1916" s="12">
        <v>2</v>
      </c>
      <c r="AJ1916" s="12">
        <v>0</v>
      </c>
      <c r="AK1916" s="12">
        <v>0</v>
      </c>
      <c r="AL1916" s="12">
        <v>0</v>
      </c>
      <c r="AM1916" s="18">
        <v>0</v>
      </c>
      <c r="AN1916" s="18">
        <v>0</v>
      </c>
      <c r="AO1916" s="18">
        <v>0</v>
      </c>
      <c r="AP1916" s="18">
        <v>0</v>
      </c>
      <c r="AQ1916" s="18">
        <v>1000</v>
      </c>
      <c r="AR1916" s="18">
        <v>0</v>
      </c>
      <c r="AS1916" s="18">
        <v>0</v>
      </c>
      <c r="AT1916" s="12">
        <v>90401004</v>
      </c>
      <c r="AU1916" s="18" t="s">
        <v>198</v>
      </c>
      <c r="AV1916" s="18"/>
      <c r="AW1916" s="19" t="s">
        <v>198</v>
      </c>
      <c r="AX1916" s="18" t="s">
        <v>348</v>
      </c>
      <c r="AY1916" s="18">
        <v>0</v>
      </c>
      <c r="AZ1916" s="18">
        <v>40000003</v>
      </c>
      <c r="BA1916" s="19" t="s">
        <v>200</v>
      </c>
      <c r="BB1916" s="19" t="s">
        <v>198</v>
      </c>
      <c r="BC1916" s="27">
        <v>0</v>
      </c>
      <c r="BD1916" s="27">
        <v>0</v>
      </c>
      <c r="BE1916" s="87" t="s">
        <v>850</v>
      </c>
      <c r="BF1916" s="87" t="s">
        <v>851</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70404005</v>
      </c>
      <c r="D1917" s="19" t="s">
        <v>567</v>
      </c>
      <c r="E1917" s="19" t="s">
        <v>568</v>
      </c>
      <c r="F1917" s="18">
        <v>1</v>
      </c>
      <c r="G1917" s="18">
        <v>60010500</v>
      </c>
      <c r="H1917" s="18">
        <v>0</v>
      </c>
      <c r="I1917" s="27">
        <v>0</v>
      </c>
      <c r="J1917" s="18">
        <v>1</v>
      </c>
      <c r="K1917" s="18">
        <v>0</v>
      </c>
      <c r="L1917" s="18">
        <v>0</v>
      </c>
      <c r="M1917" s="18">
        <v>0</v>
      </c>
      <c r="N1917" s="18">
        <v>0</v>
      </c>
      <c r="O1917" s="16">
        <v>2</v>
      </c>
      <c r="P1917" s="18">
        <v>2</v>
      </c>
      <c r="Q1917" s="18">
        <v>0.3</v>
      </c>
      <c r="R1917" s="18">
        <v>0</v>
      </c>
      <c r="S1917" s="12">
        <v>0</v>
      </c>
      <c r="T1917" s="27">
        <v>0</v>
      </c>
      <c r="U1917" s="16">
        <v>1</v>
      </c>
      <c r="V1917" s="18">
        <v>2</v>
      </c>
      <c r="W1917" s="18">
        <v>0</v>
      </c>
      <c r="X1917" s="18">
        <v>0</v>
      </c>
      <c r="Y1917" s="12">
        <v>0</v>
      </c>
      <c r="Z1917" s="18">
        <v>0</v>
      </c>
      <c r="AA1917" s="18">
        <v>0</v>
      </c>
      <c r="AB1917" s="18">
        <v>0</v>
      </c>
      <c r="AC1917" s="18">
        <v>0</v>
      </c>
      <c r="AD1917" s="16">
        <v>0</v>
      </c>
      <c r="AE1917" s="18">
        <v>0</v>
      </c>
      <c r="AF1917" s="16">
        <v>15</v>
      </c>
      <c r="AG1917" s="18">
        <v>0</v>
      </c>
      <c r="AH1917" s="18">
        <v>0</v>
      </c>
      <c r="AI1917" s="12">
        <v>2</v>
      </c>
      <c r="AJ1917" s="12">
        <v>0</v>
      </c>
      <c r="AK1917" s="12">
        <v>0</v>
      </c>
      <c r="AL1917" s="12">
        <v>0</v>
      </c>
      <c r="AM1917" s="18">
        <v>0</v>
      </c>
      <c r="AN1917" s="18">
        <v>0</v>
      </c>
      <c r="AO1917" s="18">
        <v>0</v>
      </c>
      <c r="AP1917" s="18">
        <v>0</v>
      </c>
      <c r="AQ1917" s="18">
        <v>1000</v>
      </c>
      <c r="AR1917" s="18">
        <v>0</v>
      </c>
      <c r="AS1917" s="18">
        <v>0</v>
      </c>
      <c r="AT1917" s="12">
        <v>90402005</v>
      </c>
      <c r="AU1917" s="18" t="s">
        <v>198</v>
      </c>
      <c r="AV1917" s="18"/>
      <c r="AW1917" s="19" t="s">
        <v>199</v>
      </c>
      <c r="AX1917" s="18" t="s">
        <v>348</v>
      </c>
      <c r="AY1917" s="18">
        <v>0</v>
      </c>
      <c r="AZ1917" s="18">
        <v>0</v>
      </c>
      <c r="BA1917" s="19" t="s">
        <v>200</v>
      </c>
      <c r="BB1917" s="19" t="s">
        <v>198</v>
      </c>
      <c r="BC1917" s="27">
        <v>0</v>
      </c>
      <c r="BD1917" s="27">
        <v>0</v>
      </c>
      <c r="BE1917" s="87" t="s">
        <v>755</v>
      </c>
      <c r="BF1917" s="87" t="s">
        <v>756</v>
      </c>
      <c r="BG1917" s="18">
        <v>0</v>
      </c>
      <c r="BH1917" s="16">
        <v>0</v>
      </c>
      <c r="BI1917" s="18">
        <v>0</v>
      </c>
      <c r="BJ1917" s="18">
        <v>0</v>
      </c>
      <c r="BK1917" s="18">
        <v>0</v>
      </c>
      <c r="BL1917" s="18">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70404006</v>
      </c>
      <c r="D1918" s="17" t="s">
        <v>1494</v>
      </c>
      <c r="E1918" s="17" t="s">
        <v>1495</v>
      </c>
      <c r="F1918" s="16">
        <v>2</v>
      </c>
      <c r="G1918" s="16">
        <v>61012301</v>
      </c>
      <c r="H1918" s="16">
        <v>0</v>
      </c>
      <c r="I1918" s="27">
        <v>0</v>
      </c>
      <c r="J1918" s="18">
        <v>1</v>
      </c>
      <c r="K1918" s="18">
        <v>0</v>
      </c>
      <c r="L1918" s="18">
        <v>0</v>
      </c>
      <c r="M1918" s="16">
        <v>0</v>
      </c>
      <c r="N1918" s="16">
        <v>0</v>
      </c>
      <c r="O1918" s="16">
        <v>2</v>
      </c>
      <c r="P1918" s="16">
        <v>1</v>
      </c>
      <c r="Q1918" s="16">
        <v>0.5</v>
      </c>
      <c r="R1918" s="16">
        <v>0</v>
      </c>
      <c r="S1918" s="12">
        <v>0</v>
      </c>
      <c r="T1918" s="16">
        <v>0</v>
      </c>
      <c r="U1918" s="16">
        <v>1</v>
      </c>
      <c r="V1918" s="16">
        <v>2</v>
      </c>
      <c r="W1918" s="16">
        <v>0</v>
      </c>
      <c r="X1918" s="16">
        <v>3</v>
      </c>
      <c r="Y1918" s="12">
        <v>0</v>
      </c>
      <c r="Z1918" s="16">
        <v>0</v>
      </c>
      <c r="AA1918" s="16">
        <v>1</v>
      </c>
      <c r="AB1918" s="16">
        <v>0</v>
      </c>
      <c r="AC1918" s="16">
        <v>0</v>
      </c>
      <c r="AD1918" s="16">
        <v>0</v>
      </c>
      <c r="AE1918" s="16">
        <v>0</v>
      </c>
      <c r="AF1918" s="16">
        <v>12</v>
      </c>
      <c r="AG1918" s="16">
        <v>2</v>
      </c>
      <c r="AH1918" s="16" t="s">
        <v>213</v>
      </c>
      <c r="AI1918" s="12">
        <v>0</v>
      </c>
      <c r="AJ1918" s="12">
        <v>2</v>
      </c>
      <c r="AK1918" s="12">
        <v>0</v>
      </c>
      <c r="AL1918" s="12">
        <v>1.5</v>
      </c>
      <c r="AM1918" s="16">
        <v>0</v>
      </c>
      <c r="AN1918" s="16">
        <v>0</v>
      </c>
      <c r="AO1918" s="16">
        <v>0</v>
      </c>
      <c r="AP1918" s="16">
        <v>1.5</v>
      </c>
      <c r="AQ1918" s="16">
        <v>1200</v>
      </c>
      <c r="AR1918" s="16">
        <v>1</v>
      </c>
      <c r="AS1918" s="16">
        <v>30</v>
      </c>
      <c r="AT1918" s="12">
        <v>0</v>
      </c>
      <c r="AU1918" s="16" t="s">
        <v>198</v>
      </c>
      <c r="AV1918" s="16"/>
      <c r="AW1918" s="17" t="s">
        <v>256</v>
      </c>
      <c r="AX1918" s="16" t="s">
        <v>215</v>
      </c>
      <c r="AY1918" s="18">
        <v>10000011</v>
      </c>
      <c r="AZ1918" s="18">
        <v>70404001</v>
      </c>
      <c r="BA1918" s="17" t="s">
        <v>216</v>
      </c>
      <c r="BB1918" s="16">
        <v>0</v>
      </c>
      <c r="BC1918" s="27">
        <v>0</v>
      </c>
      <c r="BD1918" s="27">
        <v>0</v>
      </c>
      <c r="BE1918" s="44" t="s">
        <v>4324</v>
      </c>
      <c r="BF1918" s="44" t="s">
        <v>4325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19.5" customHeight="1">
      <c r="C1919" s="18">
        <v>70405001</v>
      </c>
      <c r="D1919" s="17" t="s">
        <v>600</v>
      </c>
      <c r="E1919" s="17" t="s">
        <v>601</v>
      </c>
      <c r="F1919" s="16">
        <v>1</v>
      </c>
      <c r="G1919" s="16">
        <v>60010300</v>
      </c>
      <c r="H1919" s="18">
        <v>0</v>
      </c>
      <c r="I1919" s="27">
        <v>0</v>
      </c>
      <c r="J1919" s="18">
        <v>1</v>
      </c>
      <c r="K1919" s="18">
        <v>0</v>
      </c>
      <c r="L1919" s="18">
        <v>0</v>
      </c>
      <c r="M1919" s="16">
        <v>0</v>
      </c>
      <c r="N1919" s="16">
        <v>0</v>
      </c>
      <c r="O1919" s="16">
        <v>2</v>
      </c>
      <c r="P1919" s="16">
        <v>2</v>
      </c>
      <c r="Q1919" s="16">
        <v>0.8</v>
      </c>
      <c r="R1919" s="16">
        <v>0</v>
      </c>
      <c r="S1919" s="12">
        <v>0</v>
      </c>
      <c r="T1919" s="16">
        <v>0</v>
      </c>
      <c r="U1919" s="16">
        <v>1</v>
      </c>
      <c r="V1919" s="16">
        <v>2</v>
      </c>
      <c r="W1919" s="16">
        <v>0</v>
      </c>
      <c r="X1919" s="16">
        <v>0</v>
      </c>
      <c r="Y1919" s="12">
        <v>0</v>
      </c>
      <c r="Z1919" s="16">
        <v>0</v>
      </c>
      <c r="AA1919" s="16">
        <v>0</v>
      </c>
      <c r="AB1919" s="16">
        <v>0</v>
      </c>
      <c r="AC1919" s="16">
        <v>0</v>
      </c>
      <c r="AD1919" s="16">
        <v>0</v>
      </c>
      <c r="AE1919" s="16">
        <v>0</v>
      </c>
      <c r="AF1919" s="16">
        <v>30</v>
      </c>
      <c r="AG1919" s="16">
        <v>0</v>
      </c>
      <c r="AH1919" s="16">
        <v>0</v>
      </c>
      <c r="AI1919" s="12">
        <v>2</v>
      </c>
      <c r="AJ1919" s="12">
        <v>2</v>
      </c>
      <c r="AK1919" s="12">
        <v>0</v>
      </c>
      <c r="AL1919" s="12">
        <v>1.5</v>
      </c>
      <c r="AM1919" s="16">
        <v>0</v>
      </c>
      <c r="AN1919" s="16">
        <v>0</v>
      </c>
      <c r="AO1919" s="16">
        <v>0</v>
      </c>
      <c r="AP1919" s="16">
        <v>1</v>
      </c>
      <c r="AQ1919" s="16">
        <v>3000</v>
      </c>
      <c r="AR1919" s="16">
        <v>0.5</v>
      </c>
      <c r="AS1919" s="16">
        <v>0</v>
      </c>
      <c r="AT1919" s="12">
        <v>0</v>
      </c>
      <c r="AU1919" s="16" t="s">
        <v>198</v>
      </c>
      <c r="AV1919" s="16"/>
      <c r="AW1919" s="19" t="s">
        <v>199</v>
      </c>
      <c r="AX1919" s="16" t="s">
        <v>545</v>
      </c>
      <c r="AY1919" s="18">
        <v>0</v>
      </c>
      <c r="AZ1919" s="18">
        <v>0</v>
      </c>
      <c r="BA1919" s="17" t="s">
        <v>528</v>
      </c>
      <c r="BB1919" s="16" t="s">
        <v>838</v>
      </c>
      <c r="BC1919" s="27">
        <v>0</v>
      </c>
      <c r="BD1919" s="27">
        <v>0</v>
      </c>
      <c r="BE1919" s="44" t="s">
        <v>4326</v>
      </c>
      <c r="BF1919" s="44" t="s">
        <v>4327</v>
      </c>
      <c r="BG1919" s="16">
        <v>0</v>
      </c>
      <c r="BH1919" s="16">
        <v>0</v>
      </c>
      <c r="BI1919" s="16">
        <v>0</v>
      </c>
      <c r="BJ1919" s="16">
        <v>0</v>
      </c>
      <c r="BK1919" s="16">
        <v>0</v>
      </c>
      <c r="BL1919" s="16">
        <v>0</v>
      </c>
      <c r="BM1919" s="15">
        <v>0</v>
      </c>
      <c r="BN1919" s="12">
        <v>0</v>
      </c>
      <c r="BO1919" s="12">
        <v>0</v>
      </c>
      <c r="BP1919" s="12">
        <v>0</v>
      </c>
      <c r="BQ1919" s="12">
        <v>0</v>
      </c>
      <c r="BR1919" s="12">
        <v>0</v>
      </c>
      <c r="BS1919" s="12">
        <v>0</v>
      </c>
      <c r="BT1919" s="12">
        <v>0</v>
      </c>
      <c r="BU1919" s="47">
        <v>0</v>
      </c>
      <c r="BV1919" s="47"/>
      <c r="BW1919" s="47"/>
    </row>
    <row r="1920" spans="3:75" ht="19.5" customHeight="1">
      <c r="C1920" s="18">
        <v>70405002</v>
      </c>
      <c r="D1920" s="17" t="s">
        <v>1101</v>
      </c>
      <c r="E1920" s="17" t="s">
        <v>1102</v>
      </c>
      <c r="F1920" s="18">
        <v>1</v>
      </c>
      <c r="G1920" s="16">
        <v>60010100</v>
      </c>
      <c r="H1920" s="18">
        <v>0</v>
      </c>
      <c r="I1920" s="27">
        <v>0</v>
      </c>
      <c r="J1920" s="18">
        <v>1</v>
      </c>
      <c r="K1920" s="18">
        <v>0</v>
      </c>
      <c r="L1920" s="18">
        <v>0</v>
      </c>
      <c r="M1920" s="16">
        <v>0</v>
      </c>
      <c r="N1920" s="16">
        <v>0</v>
      </c>
      <c r="O1920" s="16">
        <v>2</v>
      </c>
      <c r="P1920" s="16">
        <v>1</v>
      </c>
      <c r="Q1920" s="16">
        <v>0.3</v>
      </c>
      <c r="R1920" s="16">
        <v>0</v>
      </c>
      <c r="S1920" s="12">
        <v>0</v>
      </c>
      <c r="T1920" s="16">
        <v>0</v>
      </c>
      <c r="U1920" s="16">
        <v>1</v>
      </c>
      <c r="V1920" s="16">
        <v>2</v>
      </c>
      <c r="W1920" s="16">
        <v>0</v>
      </c>
      <c r="X1920" s="16">
        <v>3</v>
      </c>
      <c r="Y1920" s="12">
        <v>0</v>
      </c>
      <c r="Z1920" s="16">
        <v>0</v>
      </c>
      <c r="AA1920" s="16">
        <v>1</v>
      </c>
      <c r="AB1920" s="16">
        <v>0</v>
      </c>
      <c r="AC1920" s="16">
        <v>0</v>
      </c>
      <c r="AD1920" s="16">
        <v>0</v>
      </c>
      <c r="AE1920" s="16">
        <v>0</v>
      </c>
      <c r="AF1920" s="16">
        <v>15</v>
      </c>
      <c r="AG1920" s="16">
        <v>1</v>
      </c>
      <c r="AH1920" s="16" t="s">
        <v>607</v>
      </c>
      <c r="AI1920" s="12">
        <v>0</v>
      </c>
      <c r="AJ1920" s="12">
        <v>1</v>
      </c>
      <c r="AK1920" s="12">
        <v>0</v>
      </c>
      <c r="AL1920" s="12">
        <v>3</v>
      </c>
      <c r="AM1920" s="16">
        <v>0</v>
      </c>
      <c r="AN1920" s="16">
        <v>0</v>
      </c>
      <c r="AO1920" s="16">
        <v>0</v>
      </c>
      <c r="AP1920" s="16">
        <v>2.5</v>
      </c>
      <c r="AQ1920" s="16">
        <v>5000</v>
      </c>
      <c r="AR1920" s="16">
        <v>2</v>
      </c>
      <c r="AS1920" s="16">
        <v>0</v>
      </c>
      <c r="AT1920" s="12">
        <v>0</v>
      </c>
      <c r="AU1920" s="16">
        <v>80001030</v>
      </c>
      <c r="AV1920" s="16"/>
      <c r="AW1920" s="19" t="s">
        <v>256</v>
      </c>
      <c r="AX1920" s="16" t="s">
        <v>534</v>
      </c>
      <c r="AY1920" s="18">
        <v>10000007</v>
      </c>
      <c r="AZ1920" s="18">
        <v>70405001</v>
      </c>
      <c r="BA1920" s="17" t="s">
        <v>200</v>
      </c>
      <c r="BB1920" s="16">
        <v>0</v>
      </c>
      <c r="BC1920" s="27">
        <v>0</v>
      </c>
      <c r="BD1920" s="27">
        <v>0</v>
      </c>
      <c r="BE1920" s="44" t="s">
        <v>1103</v>
      </c>
      <c r="BF1920" s="44" t="s">
        <v>1104</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70405003</v>
      </c>
      <c r="D1921" s="17" t="s">
        <v>4230</v>
      </c>
      <c r="E1921" s="17" t="s">
        <v>1266</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15</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80001030</v>
      </c>
      <c r="AV1921" s="16"/>
      <c r="AW1921" s="19" t="s">
        <v>256</v>
      </c>
      <c r="AX1921" s="16" t="s">
        <v>534</v>
      </c>
      <c r="AY1921" s="18">
        <v>10000007</v>
      </c>
      <c r="AZ1921" s="18">
        <v>70405002</v>
      </c>
      <c r="BA1921" s="17" t="s">
        <v>200</v>
      </c>
      <c r="BB1921" s="16" t="s">
        <v>4328</v>
      </c>
      <c r="BC1921" s="27">
        <v>0</v>
      </c>
      <c r="BD1921" s="27">
        <v>0</v>
      </c>
      <c r="BE1921" s="44" t="s">
        <v>1322</v>
      </c>
      <c r="BF1921" s="44" t="s">
        <v>1323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70405004</v>
      </c>
      <c r="D1922" s="17" t="s">
        <v>1116</v>
      </c>
      <c r="E1922" s="17" t="s">
        <v>391</v>
      </c>
      <c r="F1922" s="18">
        <v>1</v>
      </c>
      <c r="G1922" s="16">
        <v>60010100</v>
      </c>
      <c r="H1922" s="18">
        <v>0</v>
      </c>
      <c r="I1922" s="27">
        <v>0</v>
      </c>
      <c r="J1922" s="18">
        <v>1</v>
      </c>
      <c r="K1922" s="18">
        <v>0</v>
      </c>
      <c r="L1922" s="18">
        <v>0</v>
      </c>
      <c r="M1922" s="16">
        <v>0</v>
      </c>
      <c r="N1922" s="16">
        <v>0</v>
      </c>
      <c r="O1922" s="16">
        <v>2</v>
      </c>
      <c r="P1922" s="16">
        <v>1</v>
      </c>
      <c r="Q1922" s="16">
        <v>1</v>
      </c>
      <c r="R1922" s="16">
        <v>0</v>
      </c>
      <c r="S1922" s="12">
        <v>0</v>
      </c>
      <c r="T1922" s="16">
        <v>0</v>
      </c>
      <c r="U1922" s="16">
        <v>1</v>
      </c>
      <c r="V1922" s="16">
        <v>2</v>
      </c>
      <c r="W1922" s="16">
        <v>0</v>
      </c>
      <c r="X1922" s="16">
        <v>3</v>
      </c>
      <c r="Y1922" s="12">
        <v>0</v>
      </c>
      <c r="Z1922" s="16">
        <v>0</v>
      </c>
      <c r="AA1922" s="16">
        <v>1</v>
      </c>
      <c r="AB1922" s="16">
        <v>0</v>
      </c>
      <c r="AC1922" s="16">
        <v>0</v>
      </c>
      <c r="AD1922" s="16">
        <v>0</v>
      </c>
      <c r="AE1922" s="16">
        <v>0</v>
      </c>
      <c r="AF1922" s="16">
        <v>6</v>
      </c>
      <c r="AG1922" s="16">
        <v>1</v>
      </c>
      <c r="AH1922" s="16">
        <v>3</v>
      </c>
      <c r="AI1922" s="12">
        <v>6</v>
      </c>
      <c r="AJ1922" s="12">
        <v>1</v>
      </c>
      <c r="AK1922" s="12">
        <v>0</v>
      </c>
      <c r="AL1922" s="12">
        <v>1.5</v>
      </c>
      <c r="AM1922" s="16">
        <v>0</v>
      </c>
      <c r="AN1922" s="16">
        <v>0</v>
      </c>
      <c r="AO1922" s="16">
        <v>0</v>
      </c>
      <c r="AP1922" s="16">
        <v>2.5</v>
      </c>
      <c r="AQ1922" s="16">
        <v>5000</v>
      </c>
      <c r="AR1922" s="16">
        <v>2</v>
      </c>
      <c r="AS1922" s="16">
        <v>0</v>
      </c>
      <c r="AT1922" s="12">
        <v>0</v>
      </c>
      <c r="AU1922" s="16">
        <v>80001030</v>
      </c>
      <c r="AV1922" s="16"/>
      <c r="AW1922" s="19" t="s">
        <v>256</v>
      </c>
      <c r="AX1922" s="16" t="s">
        <v>534</v>
      </c>
      <c r="AY1922" s="18">
        <v>10000007</v>
      </c>
      <c r="AZ1922" s="18">
        <v>70405003</v>
      </c>
      <c r="BA1922" s="17" t="s">
        <v>200</v>
      </c>
      <c r="BB1922" s="16" t="s">
        <v>4329</v>
      </c>
      <c r="BC1922" s="27">
        <v>0</v>
      </c>
      <c r="BD1922" s="27">
        <v>0</v>
      </c>
      <c r="BE1922" s="44" t="s">
        <v>4260</v>
      </c>
      <c r="BF1922" s="44" t="s">
        <v>4261</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70405005</v>
      </c>
      <c r="D1923" s="19" t="s">
        <v>567</v>
      </c>
      <c r="E1923" s="19" t="s">
        <v>568</v>
      </c>
      <c r="F1923" s="18">
        <v>1</v>
      </c>
      <c r="G1923" s="18">
        <v>60010500</v>
      </c>
      <c r="H1923" s="18">
        <v>0</v>
      </c>
      <c r="I1923" s="27">
        <v>0</v>
      </c>
      <c r="J1923" s="18">
        <v>1</v>
      </c>
      <c r="K1923" s="18">
        <v>0</v>
      </c>
      <c r="L1923" s="18">
        <v>0</v>
      </c>
      <c r="M1923" s="18">
        <v>0</v>
      </c>
      <c r="N1923" s="18">
        <v>0</v>
      </c>
      <c r="O1923" s="16">
        <v>2</v>
      </c>
      <c r="P1923" s="18">
        <v>2</v>
      </c>
      <c r="Q1923" s="18">
        <v>0.3</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6">
        <v>15</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90402005</v>
      </c>
      <c r="AU1923" s="18" t="s">
        <v>198</v>
      </c>
      <c r="AV1923" s="18"/>
      <c r="AW1923" s="19" t="s">
        <v>199</v>
      </c>
      <c r="AX1923" s="18" t="s">
        <v>348</v>
      </c>
      <c r="AY1923" s="18">
        <v>0</v>
      </c>
      <c r="AZ1923" s="18">
        <v>0</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70405006</v>
      </c>
      <c r="D1924" s="17" t="s">
        <v>748</v>
      </c>
      <c r="E1924" s="17" t="s">
        <v>749</v>
      </c>
      <c r="F1924" s="18">
        <v>1</v>
      </c>
      <c r="G1924" s="16">
        <v>60010300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350</v>
      </c>
      <c r="AA1924" s="16">
        <v>0</v>
      </c>
      <c r="AB1924" s="16">
        <v>0</v>
      </c>
      <c r="AC1924" s="16">
        <v>0</v>
      </c>
      <c r="AD1924" s="16">
        <v>0</v>
      </c>
      <c r="AE1924" s="16">
        <v>0</v>
      </c>
      <c r="AF1924" s="16">
        <v>9</v>
      </c>
      <c r="AG1924" s="16">
        <v>2</v>
      </c>
      <c r="AH1924" s="16" t="s">
        <v>213</v>
      </c>
      <c r="AI1924" s="12">
        <v>0</v>
      </c>
      <c r="AJ1924" s="12">
        <v>2</v>
      </c>
      <c r="AK1924" s="12">
        <v>0</v>
      </c>
      <c r="AL1924" s="12">
        <v>1.5</v>
      </c>
      <c r="AM1924" s="16">
        <v>0</v>
      </c>
      <c r="AN1924" s="16">
        <v>0</v>
      </c>
      <c r="AO1924" s="16">
        <v>0</v>
      </c>
      <c r="AP1924" s="16">
        <v>1</v>
      </c>
      <c r="AQ1924" s="16">
        <v>3000</v>
      </c>
      <c r="AR1924" s="16">
        <v>0.5</v>
      </c>
      <c r="AS1924" s="16">
        <v>0</v>
      </c>
      <c r="AT1924" s="12">
        <v>0</v>
      </c>
      <c r="AU1924" s="16" t="s">
        <v>854</v>
      </c>
      <c r="AV1924" s="16"/>
      <c r="AW1924" s="17" t="s">
        <v>617</v>
      </c>
      <c r="AX1924" s="16" t="s">
        <v>545</v>
      </c>
      <c r="AY1924" s="18">
        <v>10000007</v>
      </c>
      <c r="AZ1924" s="18">
        <v>70403002</v>
      </c>
      <c r="BA1924" s="17" t="s">
        <v>200</v>
      </c>
      <c r="BB1924" s="16">
        <v>0</v>
      </c>
      <c r="BC1924" s="27">
        <v>0</v>
      </c>
      <c r="BD1924" s="27">
        <v>0</v>
      </c>
      <c r="BE1924" s="44" t="s">
        <v>750</v>
      </c>
      <c r="BF1924" s="44" t="s">
        <v>751</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19.5" customHeight="1">
      <c r="C1925" s="18">
        <v>70405007</v>
      </c>
      <c r="D1925" s="17" t="s">
        <v>4330</v>
      </c>
      <c r="E1925" s="17" t="s">
        <v>4331</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v>
      </c>
      <c r="Y1925" s="12">
        <v>0</v>
      </c>
      <c r="Z1925" s="16">
        <v>0</v>
      </c>
      <c r="AA1925" s="16">
        <v>1</v>
      </c>
      <c r="AB1925" s="16">
        <v>0</v>
      </c>
      <c r="AC1925" s="16">
        <v>0</v>
      </c>
      <c r="AD1925" s="16">
        <v>0</v>
      </c>
      <c r="AE1925" s="16">
        <v>0</v>
      </c>
      <c r="AF1925" s="16">
        <v>20</v>
      </c>
      <c r="AG1925" s="16">
        <v>1</v>
      </c>
      <c r="AH1925" s="16" t="s">
        <v>861</v>
      </c>
      <c r="AI1925" s="12">
        <v>1</v>
      </c>
      <c r="AJ1925" s="12">
        <v>0</v>
      </c>
      <c r="AK1925" s="12">
        <v>0</v>
      </c>
      <c r="AL1925" s="12">
        <v>0</v>
      </c>
      <c r="AM1925" s="16">
        <v>0</v>
      </c>
      <c r="AN1925" s="16">
        <v>0</v>
      </c>
      <c r="AO1925" s="16">
        <v>0</v>
      </c>
      <c r="AP1925" s="16">
        <v>0.5</v>
      </c>
      <c r="AQ1925" s="16">
        <v>999999</v>
      </c>
      <c r="AR1925" s="16">
        <v>2</v>
      </c>
      <c r="AS1925" s="16">
        <v>0</v>
      </c>
      <c r="AT1925" s="12">
        <v>0</v>
      </c>
      <c r="AU1925" s="16" t="s">
        <v>854</v>
      </c>
      <c r="AV1925" s="16"/>
      <c r="AW1925" s="19" t="s">
        <v>287</v>
      </c>
      <c r="AX1925" s="16" t="s">
        <v>534</v>
      </c>
      <c r="AY1925" s="18">
        <v>10000007</v>
      </c>
      <c r="AZ1925" s="18">
        <v>70405007</v>
      </c>
      <c r="BA1925" s="19" t="s">
        <v>315</v>
      </c>
      <c r="BB1925" s="19" t="s">
        <v>371</v>
      </c>
      <c r="BC1925" s="27">
        <v>0</v>
      </c>
      <c r="BD1925" s="27">
        <v>0</v>
      </c>
      <c r="BE1925" s="44" t="s">
        <v>4332</v>
      </c>
      <c r="BF1925" s="44" t="s">
        <v>4333</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70405008</v>
      </c>
      <c r="D1926" s="19" t="s">
        <v>538</v>
      </c>
      <c r="E1926" s="19" t="s">
        <v>539</v>
      </c>
      <c r="F1926" s="18">
        <v>1</v>
      </c>
      <c r="G1926" s="18">
        <v>60010500</v>
      </c>
      <c r="H1926" s="18">
        <v>0</v>
      </c>
      <c r="I1926" s="27">
        <v>0</v>
      </c>
      <c r="J1926" s="18">
        <v>1</v>
      </c>
      <c r="K1926" s="18">
        <v>0</v>
      </c>
      <c r="L1926" s="18">
        <v>0</v>
      </c>
      <c r="M1926" s="18">
        <v>0</v>
      </c>
      <c r="N1926" s="18">
        <v>0</v>
      </c>
      <c r="O1926" s="16">
        <v>2</v>
      </c>
      <c r="P1926" s="18">
        <v>2</v>
      </c>
      <c r="Q1926" s="18">
        <v>0.6</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8">
        <v>20</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90401004</v>
      </c>
      <c r="AU1926" s="18" t="s">
        <v>198</v>
      </c>
      <c r="AV1926" s="18"/>
      <c r="AW1926" s="19" t="s">
        <v>199</v>
      </c>
      <c r="AX1926" s="18" t="s">
        <v>348</v>
      </c>
      <c r="AY1926" s="18">
        <v>0</v>
      </c>
      <c r="AZ1926" s="18">
        <v>40000003</v>
      </c>
      <c r="BA1926" s="19" t="s">
        <v>200</v>
      </c>
      <c r="BB1926" s="19" t="s">
        <v>198</v>
      </c>
      <c r="BC1926" s="27">
        <v>0</v>
      </c>
      <c r="BD1926" s="27">
        <v>0</v>
      </c>
      <c r="BE1926" s="87" t="s">
        <v>864</v>
      </c>
      <c r="BF1926" s="87" t="s">
        <v>865</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spans="3:75" ht="19.5" customHeight="1">
      <c r="C1927" s="18">
        <v>70405009</v>
      </c>
      <c r="D1927" s="19" t="s">
        <v>1324</v>
      </c>
      <c r="E1927" s="19" t="s">
        <v>1325</v>
      </c>
      <c r="F1927" s="18">
        <v>1</v>
      </c>
      <c r="G1927" s="18">
        <v>60010300</v>
      </c>
      <c r="H1927" s="18">
        <v>0</v>
      </c>
      <c r="I1927" s="27">
        <v>0</v>
      </c>
      <c r="J1927" s="18">
        <v>1</v>
      </c>
      <c r="K1927" s="18">
        <v>0</v>
      </c>
      <c r="L1927" s="18">
        <v>0</v>
      </c>
      <c r="M1927" s="18">
        <v>0</v>
      </c>
      <c r="N1927" s="18">
        <v>0</v>
      </c>
      <c r="O1927" s="16">
        <v>2</v>
      </c>
      <c r="P1927" s="18">
        <v>2</v>
      </c>
      <c r="Q1927" s="18">
        <v>0.8</v>
      </c>
      <c r="R1927" s="18">
        <v>0</v>
      </c>
      <c r="S1927" s="12">
        <v>0</v>
      </c>
      <c r="T1927" s="27">
        <v>0</v>
      </c>
      <c r="U1927" s="16">
        <v>1</v>
      </c>
      <c r="V1927" s="18">
        <v>2</v>
      </c>
      <c r="W1927" s="18">
        <v>0</v>
      </c>
      <c r="X1927" s="18">
        <v>5</v>
      </c>
      <c r="Y1927" s="12">
        <v>0</v>
      </c>
      <c r="Z1927" s="18">
        <v>0</v>
      </c>
      <c r="AA1927" s="18">
        <v>0</v>
      </c>
      <c r="AB1927" s="18">
        <v>0</v>
      </c>
      <c r="AC1927" s="18">
        <v>0</v>
      </c>
      <c r="AD1927" s="16">
        <v>0</v>
      </c>
      <c r="AE1927" s="18">
        <v>0</v>
      </c>
      <c r="AF1927" s="18">
        <v>30</v>
      </c>
      <c r="AG1927" s="18">
        <v>1</v>
      </c>
      <c r="AH1927" s="18">
        <v>1</v>
      </c>
      <c r="AI1927" s="12">
        <v>2</v>
      </c>
      <c r="AJ1927" s="12">
        <v>2</v>
      </c>
      <c r="AK1927" s="12">
        <v>0</v>
      </c>
      <c r="AL1927" s="12">
        <v>1.5</v>
      </c>
      <c r="AM1927" s="18">
        <v>0</v>
      </c>
      <c r="AN1927" s="18">
        <v>0</v>
      </c>
      <c r="AO1927" s="18">
        <v>0</v>
      </c>
      <c r="AP1927" s="18">
        <v>1</v>
      </c>
      <c r="AQ1927" s="18">
        <v>30000</v>
      </c>
      <c r="AR1927" s="18">
        <v>0</v>
      </c>
      <c r="AS1927" s="18">
        <v>4</v>
      </c>
      <c r="AT1927" s="12">
        <v>0</v>
      </c>
      <c r="AU1927" s="18" t="s">
        <v>198</v>
      </c>
      <c r="AV1927" s="18"/>
      <c r="AW1927" s="19" t="s">
        <v>199</v>
      </c>
      <c r="AX1927" s="18" t="s">
        <v>545</v>
      </c>
      <c r="AY1927" s="18">
        <v>10003002</v>
      </c>
      <c r="AZ1927" s="18">
        <v>70405007</v>
      </c>
      <c r="BA1927" s="19" t="s">
        <v>586</v>
      </c>
      <c r="BB1927" s="19">
        <v>0</v>
      </c>
      <c r="BC1927" s="27">
        <v>0</v>
      </c>
      <c r="BD1927" s="27">
        <v>0</v>
      </c>
      <c r="BE1927" s="87" t="s">
        <v>868</v>
      </c>
      <c r="BF1927" s="87" t="s">
        <v>869</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row>
    <row r="1928" spans="3:75" ht="19.5" customHeight="1">
      <c r="C1928" s="18">
        <v>70501001</v>
      </c>
      <c r="D1928" s="17" t="s">
        <v>600</v>
      </c>
      <c r="E1928" s="17" t="s">
        <v>601</v>
      </c>
      <c r="F1928" s="16">
        <v>1</v>
      </c>
      <c r="G1928" s="16">
        <v>60010300</v>
      </c>
      <c r="H1928" s="18">
        <v>0</v>
      </c>
      <c r="I1928" s="27">
        <v>0</v>
      </c>
      <c r="J1928" s="18">
        <v>1</v>
      </c>
      <c r="K1928" s="18">
        <v>0</v>
      </c>
      <c r="L1928" s="18">
        <v>0</v>
      </c>
      <c r="M1928" s="16">
        <v>0</v>
      </c>
      <c r="N1928" s="16">
        <v>0</v>
      </c>
      <c r="O1928" s="16">
        <v>2</v>
      </c>
      <c r="P1928" s="16">
        <v>2</v>
      </c>
      <c r="Q1928" s="16">
        <v>0.8</v>
      </c>
      <c r="R1928" s="16">
        <v>0</v>
      </c>
      <c r="S1928" s="12">
        <v>0</v>
      </c>
      <c r="T1928" s="16">
        <v>0</v>
      </c>
      <c r="U1928" s="16">
        <v>1</v>
      </c>
      <c r="V1928" s="16">
        <v>2</v>
      </c>
      <c r="W1928" s="16">
        <v>0</v>
      </c>
      <c r="X1928" s="16">
        <v>0</v>
      </c>
      <c r="Y1928" s="12">
        <v>0</v>
      </c>
      <c r="Z1928" s="16">
        <v>0</v>
      </c>
      <c r="AA1928" s="16">
        <v>0</v>
      </c>
      <c r="AB1928" s="16">
        <v>0</v>
      </c>
      <c r="AC1928" s="16">
        <v>0</v>
      </c>
      <c r="AD1928" s="16">
        <v>0</v>
      </c>
      <c r="AE1928" s="16">
        <v>0</v>
      </c>
      <c r="AF1928" s="16">
        <v>15</v>
      </c>
      <c r="AG1928" s="16">
        <v>0</v>
      </c>
      <c r="AH1928" s="16">
        <v>0</v>
      </c>
      <c r="AI1928" s="12">
        <v>2</v>
      </c>
      <c r="AJ1928" s="12">
        <v>2</v>
      </c>
      <c r="AK1928" s="12">
        <v>0</v>
      </c>
      <c r="AL1928" s="12">
        <v>1.5</v>
      </c>
      <c r="AM1928" s="16">
        <v>0</v>
      </c>
      <c r="AN1928" s="16">
        <v>0</v>
      </c>
      <c r="AO1928" s="16">
        <v>0</v>
      </c>
      <c r="AP1928" s="16">
        <v>1</v>
      </c>
      <c r="AQ1928" s="16">
        <v>3000</v>
      </c>
      <c r="AR1928" s="16">
        <v>0.5</v>
      </c>
      <c r="AS1928" s="16">
        <v>0</v>
      </c>
      <c r="AT1928" s="12">
        <v>0</v>
      </c>
      <c r="AU1928" s="16" t="s">
        <v>198</v>
      </c>
      <c r="AV1928" s="16"/>
      <c r="AW1928" s="19" t="s">
        <v>199</v>
      </c>
      <c r="AX1928" s="16" t="s">
        <v>545</v>
      </c>
      <c r="AY1928" s="18">
        <v>0</v>
      </c>
      <c r="AZ1928" s="18">
        <v>0</v>
      </c>
      <c r="BA1928" s="17" t="s">
        <v>528</v>
      </c>
      <c r="BB1928" s="16" t="s">
        <v>4334</v>
      </c>
      <c r="BC1928" s="27">
        <v>0</v>
      </c>
      <c r="BD1928" s="27">
        <v>0</v>
      </c>
      <c r="BE1928" s="44" t="s">
        <v>4326</v>
      </c>
      <c r="BF1928" s="44" t="s">
        <v>4327</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70501002</v>
      </c>
      <c r="D1929" s="19" t="s">
        <v>744</v>
      </c>
      <c r="E1929" s="19" t="s">
        <v>745</v>
      </c>
      <c r="F1929" s="18">
        <v>1</v>
      </c>
      <c r="G1929" s="18">
        <v>60010500</v>
      </c>
      <c r="H1929" s="18">
        <v>0</v>
      </c>
      <c r="I1929" s="27">
        <v>0</v>
      </c>
      <c r="J1929" s="18">
        <v>1</v>
      </c>
      <c r="K1929" s="18">
        <v>0</v>
      </c>
      <c r="L1929" s="18">
        <v>0</v>
      </c>
      <c r="M1929" s="18">
        <v>0</v>
      </c>
      <c r="N1929" s="18">
        <v>0</v>
      </c>
      <c r="O1929" s="16">
        <v>2</v>
      </c>
      <c r="P1929" s="18">
        <v>1</v>
      </c>
      <c r="Q1929" s="18">
        <v>0.05</v>
      </c>
      <c r="R1929" s="18">
        <v>0</v>
      </c>
      <c r="S1929" s="12">
        <v>0</v>
      </c>
      <c r="T1929" s="27">
        <v>0</v>
      </c>
      <c r="U1929" s="16">
        <v>1</v>
      </c>
      <c r="V1929" s="18">
        <v>1</v>
      </c>
      <c r="W1929" s="18">
        <v>0</v>
      </c>
      <c r="X1929" s="18">
        <v>2</v>
      </c>
      <c r="Y1929" s="12">
        <v>0</v>
      </c>
      <c r="Z1929" s="18">
        <v>0</v>
      </c>
      <c r="AA1929" s="18">
        <v>0</v>
      </c>
      <c r="AB1929" s="18">
        <v>0</v>
      </c>
      <c r="AC1929" s="18">
        <v>0</v>
      </c>
      <c r="AD1929" s="16">
        <v>0</v>
      </c>
      <c r="AE1929" s="18">
        <v>0</v>
      </c>
      <c r="AF1929" s="18">
        <v>10</v>
      </c>
      <c r="AG1929" s="18">
        <v>0</v>
      </c>
      <c r="AH1929" s="18">
        <v>0</v>
      </c>
      <c r="AI1929" s="12">
        <v>7</v>
      </c>
      <c r="AJ1929" s="12">
        <v>0</v>
      </c>
      <c r="AK1929" s="12">
        <v>0</v>
      </c>
      <c r="AL1929" s="12">
        <v>0</v>
      </c>
      <c r="AM1929" s="18">
        <v>0</v>
      </c>
      <c r="AN1929" s="18">
        <v>0</v>
      </c>
      <c r="AO1929" s="18">
        <v>0</v>
      </c>
      <c r="AP1929" s="18">
        <v>0</v>
      </c>
      <c r="AQ1929" s="18">
        <v>1000</v>
      </c>
      <c r="AR1929" s="18">
        <v>0.5</v>
      </c>
      <c r="AS1929" s="18">
        <v>0</v>
      </c>
      <c r="AT1929" s="12">
        <v>0</v>
      </c>
      <c r="AU1929" s="18" t="s">
        <v>659</v>
      </c>
      <c r="AV1929" s="18"/>
      <c r="AW1929" s="19" t="s">
        <v>741</v>
      </c>
      <c r="AX1929" s="18">
        <v>0</v>
      </c>
      <c r="AY1929" s="18">
        <v>10007001</v>
      </c>
      <c r="AZ1929" s="18">
        <v>0</v>
      </c>
      <c r="BA1929" s="19" t="s">
        <v>200</v>
      </c>
      <c r="BB1929" s="19" t="s">
        <v>198</v>
      </c>
      <c r="BC1929" s="27">
        <v>0</v>
      </c>
      <c r="BD1929" s="27">
        <v>0</v>
      </c>
      <c r="BE1929" s="87" t="s">
        <v>746</v>
      </c>
      <c r="BF1929" s="87" t="s">
        <v>747</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70501003</v>
      </c>
      <c r="D1930" s="19" t="s">
        <v>538</v>
      </c>
      <c r="E1930" s="19" t="s">
        <v>539</v>
      </c>
      <c r="F1930" s="18">
        <v>1</v>
      </c>
      <c r="G1930" s="18">
        <v>60010500</v>
      </c>
      <c r="H1930" s="18">
        <v>0</v>
      </c>
      <c r="I1930" s="27">
        <v>0</v>
      </c>
      <c r="J1930" s="18">
        <v>1</v>
      </c>
      <c r="K1930" s="18">
        <v>0</v>
      </c>
      <c r="L1930" s="18">
        <v>0</v>
      </c>
      <c r="M1930" s="18">
        <v>0</v>
      </c>
      <c r="N1930" s="18">
        <v>0</v>
      </c>
      <c r="O1930" s="16">
        <v>2</v>
      </c>
      <c r="P1930" s="18">
        <v>2</v>
      </c>
      <c r="Q1930" s="18">
        <v>0.6</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8">
        <v>20</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90401004</v>
      </c>
      <c r="AU1930" s="18" t="s">
        <v>198</v>
      </c>
      <c r="AV1930" s="18"/>
      <c r="AW1930" s="19" t="s">
        <v>198</v>
      </c>
      <c r="AX1930" s="18" t="s">
        <v>348</v>
      </c>
      <c r="AY1930" s="18">
        <v>0</v>
      </c>
      <c r="AZ1930" s="18">
        <v>40000003</v>
      </c>
      <c r="BA1930" s="19" t="s">
        <v>200</v>
      </c>
      <c r="BB1930" s="19" t="s">
        <v>198</v>
      </c>
      <c r="BC1930" s="27">
        <v>0</v>
      </c>
      <c r="BD1930" s="27">
        <v>0</v>
      </c>
      <c r="BE1930" s="87" t="s">
        <v>864</v>
      </c>
      <c r="BF1930" s="87" t="s">
        <v>865</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70501004</v>
      </c>
      <c r="D1931" s="19" t="s">
        <v>757</v>
      </c>
      <c r="E1931" s="19" t="s">
        <v>399</v>
      </c>
      <c r="F1931" s="18">
        <v>1</v>
      </c>
      <c r="G1931" s="18">
        <v>60010500</v>
      </c>
      <c r="H1931" s="18">
        <v>0</v>
      </c>
      <c r="I1931" s="27">
        <v>0</v>
      </c>
      <c r="J1931" s="18">
        <v>1</v>
      </c>
      <c r="K1931" s="18">
        <v>0</v>
      </c>
      <c r="L1931" s="18">
        <v>0</v>
      </c>
      <c r="M1931" s="18">
        <v>0</v>
      </c>
      <c r="N1931" s="18">
        <v>0</v>
      </c>
      <c r="O1931" s="16">
        <v>2</v>
      </c>
      <c r="P1931" s="18">
        <v>2</v>
      </c>
      <c r="Q1931" s="18">
        <v>0.3</v>
      </c>
      <c r="R1931" s="18">
        <v>0</v>
      </c>
      <c r="S1931" s="12">
        <v>0</v>
      </c>
      <c r="T1931" s="27">
        <v>0</v>
      </c>
      <c r="U1931" s="16">
        <v>1</v>
      </c>
      <c r="V1931" s="18">
        <v>2</v>
      </c>
      <c r="W1931" s="18">
        <v>0</v>
      </c>
      <c r="X1931" s="18">
        <v>0</v>
      </c>
      <c r="Y1931" s="12">
        <v>0</v>
      </c>
      <c r="Z1931" s="18">
        <v>0</v>
      </c>
      <c r="AA1931" s="18">
        <v>0</v>
      </c>
      <c r="AB1931" s="18">
        <v>0</v>
      </c>
      <c r="AC1931" s="18">
        <v>0</v>
      </c>
      <c r="AD1931" s="16">
        <v>0</v>
      </c>
      <c r="AE1931" s="18">
        <v>0</v>
      </c>
      <c r="AF1931" s="16">
        <v>15</v>
      </c>
      <c r="AG1931" s="18">
        <v>0</v>
      </c>
      <c r="AH1931" s="18">
        <v>0</v>
      </c>
      <c r="AI1931" s="12">
        <v>2</v>
      </c>
      <c r="AJ1931" s="12">
        <v>0</v>
      </c>
      <c r="AK1931" s="12">
        <v>0</v>
      </c>
      <c r="AL1931" s="12">
        <v>0</v>
      </c>
      <c r="AM1931" s="18">
        <v>0</v>
      </c>
      <c r="AN1931" s="18">
        <v>0</v>
      </c>
      <c r="AO1931" s="18">
        <v>0</v>
      </c>
      <c r="AP1931" s="18">
        <v>0</v>
      </c>
      <c r="AQ1931" s="18">
        <v>1000</v>
      </c>
      <c r="AR1931" s="18">
        <v>0</v>
      </c>
      <c r="AS1931" s="18">
        <v>0</v>
      </c>
      <c r="AT1931" s="12">
        <v>90304001</v>
      </c>
      <c r="AU1931" s="18" t="s">
        <v>198</v>
      </c>
      <c r="AV1931" s="18"/>
      <c r="AW1931" s="19" t="s">
        <v>287</v>
      </c>
      <c r="AX1931" s="18" t="s">
        <v>348</v>
      </c>
      <c r="AY1931" s="18">
        <v>0</v>
      </c>
      <c r="AZ1931" s="18">
        <v>0</v>
      </c>
      <c r="BA1931" s="19" t="s">
        <v>200</v>
      </c>
      <c r="BB1931" s="19" t="s">
        <v>198</v>
      </c>
      <c r="BC1931" s="27">
        <v>0</v>
      </c>
      <c r="BD1931" s="27">
        <v>0</v>
      </c>
      <c r="BE1931" s="87" t="s">
        <v>4335</v>
      </c>
      <c r="BF1931" s="87" t="s">
        <v>4336</v>
      </c>
      <c r="BG1931" s="18">
        <v>0</v>
      </c>
      <c r="BH1931" s="16">
        <v>0</v>
      </c>
      <c r="BI1931" s="18">
        <v>0</v>
      </c>
      <c r="BJ1931" s="18">
        <v>0</v>
      </c>
      <c r="BK1931" s="18">
        <v>0</v>
      </c>
      <c r="BL1931" s="18">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70501005</v>
      </c>
      <c r="D1932" s="17" t="s">
        <v>4298</v>
      </c>
      <c r="E1932" s="17" t="s">
        <v>4299</v>
      </c>
      <c r="F1932" s="18">
        <v>1</v>
      </c>
      <c r="G1932" s="16">
        <v>60010300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3</v>
      </c>
      <c r="Y1932" s="12">
        <v>0</v>
      </c>
      <c r="Z1932" s="16">
        <v>350</v>
      </c>
      <c r="AA1932" s="16">
        <v>0</v>
      </c>
      <c r="AB1932" s="16">
        <v>0</v>
      </c>
      <c r="AC1932" s="16">
        <v>0</v>
      </c>
      <c r="AD1932" s="16">
        <v>0</v>
      </c>
      <c r="AE1932" s="16">
        <v>0</v>
      </c>
      <c r="AF1932" s="16">
        <v>9</v>
      </c>
      <c r="AG1932" s="16">
        <v>2</v>
      </c>
      <c r="AH1932" s="16" t="s">
        <v>213</v>
      </c>
      <c r="AI1932" s="12">
        <v>0</v>
      </c>
      <c r="AJ1932" s="12">
        <v>2</v>
      </c>
      <c r="AK1932" s="12">
        <v>0</v>
      </c>
      <c r="AL1932" s="12">
        <v>1.5</v>
      </c>
      <c r="AM1932" s="16">
        <v>0</v>
      </c>
      <c r="AN1932" s="16">
        <v>0</v>
      </c>
      <c r="AO1932" s="16">
        <v>0</v>
      </c>
      <c r="AP1932" s="16">
        <v>1.5</v>
      </c>
      <c r="AQ1932" s="16">
        <v>3000</v>
      </c>
      <c r="AR1932" s="16">
        <v>1</v>
      </c>
      <c r="AS1932" s="16">
        <v>0</v>
      </c>
      <c r="AT1932" s="12">
        <v>0</v>
      </c>
      <c r="AU1932" s="16" t="s">
        <v>4300</v>
      </c>
      <c r="AV1932" s="16"/>
      <c r="AW1932" s="19" t="s">
        <v>617</v>
      </c>
      <c r="AX1932" s="16" t="s">
        <v>545</v>
      </c>
      <c r="AY1932" s="18">
        <v>10000007</v>
      </c>
      <c r="AZ1932" s="18">
        <v>70401006</v>
      </c>
      <c r="BA1932" s="17" t="s">
        <v>200</v>
      </c>
      <c r="BB1932" s="16">
        <v>0</v>
      </c>
      <c r="BC1932" s="27">
        <v>0</v>
      </c>
      <c r="BD1932" s="27">
        <v>0</v>
      </c>
      <c r="BE1932" s="44" t="s">
        <v>4301</v>
      </c>
      <c r="BF1932" s="44" t="s">
        <v>4302</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19.5" customHeight="1">
      <c r="C1933" s="18">
        <v>70501006</v>
      </c>
      <c r="D1933" s="19" t="s">
        <v>1324</v>
      </c>
      <c r="E1933" s="19" t="s">
        <v>1325</v>
      </c>
      <c r="F1933" s="18">
        <v>1</v>
      </c>
      <c r="G1933" s="18">
        <v>60010300</v>
      </c>
      <c r="H1933" s="18">
        <v>0</v>
      </c>
      <c r="I1933" s="27">
        <v>0</v>
      </c>
      <c r="J1933" s="18">
        <v>1</v>
      </c>
      <c r="K1933" s="18">
        <v>0</v>
      </c>
      <c r="L1933" s="18">
        <v>0</v>
      </c>
      <c r="M1933" s="18">
        <v>0</v>
      </c>
      <c r="N1933" s="18">
        <v>0</v>
      </c>
      <c r="O1933" s="16">
        <v>2</v>
      </c>
      <c r="P1933" s="18">
        <v>2</v>
      </c>
      <c r="Q1933" s="18">
        <v>0.8</v>
      </c>
      <c r="R1933" s="18">
        <v>0</v>
      </c>
      <c r="S1933" s="12">
        <v>0</v>
      </c>
      <c r="T1933" s="27">
        <v>0</v>
      </c>
      <c r="U1933" s="16">
        <v>1</v>
      </c>
      <c r="V1933" s="18">
        <v>2</v>
      </c>
      <c r="W1933" s="18">
        <v>0</v>
      </c>
      <c r="X1933" s="18">
        <v>5</v>
      </c>
      <c r="Y1933" s="12">
        <v>0</v>
      </c>
      <c r="Z1933" s="18">
        <v>0</v>
      </c>
      <c r="AA1933" s="18">
        <v>0</v>
      </c>
      <c r="AB1933" s="18">
        <v>0</v>
      </c>
      <c r="AC1933" s="18">
        <v>0</v>
      </c>
      <c r="AD1933" s="16">
        <v>0</v>
      </c>
      <c r="AE1933" s="18">
        <v>0</v>
      </c>
      <c r="AF1933" s="18">
        <v>30</v>
      </c>
      <c r="AG1933" s="18">
        <v>1</v>
      </c>
      <c r="AH1933" s="18">
        <v>1</v>
      </c>
      <c r="AI1933" s="12">
        <v>2</v>
      </c>
      <c r="AJ1933" s="12">
        <v>2</v>
      </c>
      <c r="AK1933" s="12">
        <v>0</v>
      </c>
      <c r="AL1933" s="12">
        <v>1.5</v>
      </c>
      <c r="AM1933" s="18">
        <v>0</v>
      </c>
      <c r="AN1933" s="18">
        <v>0</v>
      </c>
      <c r="AO1933" s="18">
        <v>0</v>
      </c>
      <c r="AP1933" s="18">
        <v>1</v>
      </c>
      <c r="AQ1933" s="18">
        <v>30000</v>
      </c>
      <c r="AR1933" s="18">
        <v>0</v>
      </c>
      <c r="AS1933" s="18">
        <v>4</v>
      </c>
      <c r="AT1933" s="12">
        <v>0</v>
      </c>
      <c r="AU1933" s="18" t="s">
        <v>198</v>
      </c>
      <c r="AV1933" s="18"/>
      <c r="AW1933" s="19" t="s">
        <v>199</v>
      </c>
      <c r="AX1933" s="18" t="s">
        <v>545</v>
      </c>
      <c r="AY1933" s="18">
        <v>10003002</v>
      </c>
      <c r="AZ1933" s="18">
        <v>70405007</v>
      </c>
      <c r="BA1933" s="19" t="s">
        <v>586</v>
      </c>
      <c r="BB1933" s="19">
        <v>0</v>
      </c>
      <c r="BC1933" s="27">
        <v>0</v>
      </c>
      <c r="BD1933" s="27">
        <v>0</v>
      </c>
      <c r="BE1933" s="87" t="s">
        <v>868</v>
      </c>
      <c r="BF1933" s="87" t="s">
        <v>869</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70502001</v>
      </c>
      <c r="D1934" s="17" t="s">
        <v>605</v>
      </c>
      <c r="E1934" s="17" t="s">
        <v>606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607</v>
      </c>
      <c r="AI1934" s="12">
        <v>1</v>
      </c>
      <c r="AJ1934" s="12">
        <v>1</v>
      </c>
      <c r="AK1934" s="12">
        <v>0</v>
      </c>
      <c r="AL1934" s="12">
        <v>3</v>
      </c>
      <c r="AM1934" s="16">
        <v>0</v>
      </c>
      <c r="AN1934" s="16">
        <v>0</v>
      </c>
      <c r="AO1934" s="16">
        <v>0</v>
      </c>
      <c r="AP1934" s="16">
        <v>3</v>
      </c>
      <c r="AQ1934" s="16">
        <v>5000</v>
      </c>
      <c r="AR1934" s="16">
        <v>2.5</v>
      </c>
      <c r="AS1934" s="16">
        <v>0</v>
      </c>
      <c r="AT1934" s="12">
        <v>0</v>
      </c>
      <c r="AU1934" s="16" t="s">
        <v>198</v>
      </c>
      <c r="AV1934" s="16"/>
      <c r="AW1934" s="19" t="s">
        <v>287</v>
      </c>
      <c r="AX1934" s="16" t="s">
        <v>534</v>
      </c>
      <c r="AY1934" s="18">
        <v>10000007</v>
      </c>
      <c r="AZ1934" s="18">
        <v>70107001</v>
      </c>
      <c r="BA1934" s="17" t="s">
        <v>200</v>
      </c>
      <c r="BB1934" s="16">
        <v>0</v>
      </c>
      <c r="BC1934" s="27">
        <v>0</v>
      </c>
      <c r="BD1934" s="27">
        <v>0</v>
      </c>
      <c r="BE1934" s="44" t="s">
        <v>608</v>
      </c>
      <c r="BF1934" s="44" t="s">
        <v>609</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70502002</v>
      </c>
      <c r="D1935" s="17" t="s">
        <v>660</v>
      </c>
      <c r="E1935" s="17" t="s">
        <v>661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t="s">
        <v>198</v>
      </c>
      <c r="AV1935" s="16"/>
      <c r="AW1935" s="19" t="s">
        <v>199</v>
      </c>
      <c r="AX1935" s="16" t="s">
        <v>534</v>
      </c>
      <c r="AY1935" s="18">
        <v>10000007</v>
      </c>
      <c r="AZ1935" s="18">
        <v>70103003</v>
      </c>
      <c r="BA1935" s="17" t="s">
        <v>200</v>
      </c>
      <c r="BB1935" s="16" t="s">
        <v>4337</v>
      </c>
      <c r="BC1935" s="27">
        <v>0</v>
      </c>
      <c r="BD1935" s="27">
        <v>0</v>
      </c>
      <c r="BE1935" s="44" t="s">
        <v>663</v>
      </c>
      <c r="BF1935" s="44" t="s">
        <v>664</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70502003</v>
      </c>
      <c r="D1936" s="17" t="s">
        <v>665</v>
      </c>
      <c r="E1936" s="17" t="s">
        <v>606</v>
      </c>
      <c r="F1936" s="16">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0</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t="s">
        <v>198</v>
      </c>
      <c r="AV1936" s="16"/>
      <c r="AW1936" s="19" t="s">
        <v>256</v>
      </c>
      <c r="AX1936" s="16" t="s">
        <v>534</v>
      </c>
      <c r="AY1936" s="18">
        <v>10000007</v>
      </c>
      <c r="AZ1936" s="18">
        <v>70103003</v>
      </c>
      <c r="BA1936" s="17" t="s">
        <v>200</v>
      </c>
      <c r="BB1936" s="16" t="s">
        <v>4338</v>
      </c>
      <c r="BC1936" s="27">
        <v>0</v>
      </c>
      <c r="BD1936" s="27">
        <v>0</v>
      </c>
      <c r="BE1936" s="44" t="s">
        <v>667</v>
      </c>
      <c r="BF1936" s="44" t="s">
        <v>668</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70502004</v>
      </c>
      <c r="D1937" s="19" t="s">
        <v>669</v>
      </c>
      <c r="E1937" s="19" t="s">
        <v>670</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8">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90102001</v>
      </c>
      <c r="AU1937" s="18" t="s">
        <v>198</v>
      </c>
      <c r="AV1937" s="18"/>
      <c r="AW1937" s="19" t="s">
        <v>199</v>
      </c>
      <c r="AX1937" s="18" t="s">
        <v>348</v>
      </c>
      <c r="AY1937" s="18">
        <v>0</v>
      </c>
      <c r="AZ1937" s="18">
        <v>40000003</v>
      </c>
      <c r="BA1937" s="19" t="s">
        <v>200</v>
      </c>
      <c r="BB1937" s="19" t="s">
        <v>198</v>
      </c>
      <c r="BC1937" s="27">
        <v>0</v>
      </c>
      <c r="BD1937" s="27">
        <v>0</v>
      </c>
      <c r="BE1937" s="87" t="s">
        <v>671</v>
      </c>
      <c r="BF1937" s="87" t="s">
        <v>672</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70502005</v>
      </c>
      <c r="D1938" s="19" t="s">
        <v>673</v>
      </c>
      <c r="E1938" s="19" t="s">
        <v>674</v>
      </c>
      <c r="F1938" s="18">
        <v>1</v>
      </c>
      <c r="G1938" s="18">
        <v>60010500</v>
      </c>
      <c r="H1938" s="18">
        <v>0</v>
      </c>
      <c r="I1938" s="27">
        <v>0</v>
      </c>
      <c r="J1938" s="18">
        <v>1</v>
      </c>
      <c r="K1938" s="18">
        <v>0</v>
      </c>
      <c r="L1938" s="18">
        <v>0</v>
      </c>
      <c r="M1938" s="18">
        <v>0</v>
      </c>
      <c r="N1938" s="18">
        <v>0</v>
      </c>
      <c r="O1938" s="16">
        <v>2</v>
      </c>
      <c r="P1938" s="18">
        <v>2</v>
      </c>
      <c r="Q1938" s="18">
        <v>0.6</v>
      </c>
      <c r="R1938" s="18">
        <v>0</v>
      </c>
      <c r="S1938" s="12">
        <v>0</v>
      </c>
      <c r="T1938" s="27">
        <v>0</v>
      </c>
      <c r="U1938" s="16">
        <v>1</v>
      </c>
      <c r="V1938" s="18">
        <v>2</v>
      </c>
      <c r="W1938" s="18">
        <v>0</v>
      </c>
      <c r="X1938" s="18">
        <v>0</v>
      </c>
      <c r="Y1938" s="12">
        <v>0</v>
      </c>
      <c r="Z1938" s="18">
        <v>0</v>
      </c>
      <c r="AA1938" s="18">
        <v>0</v>
      </c>
      <c r="AB1938" s="18">
        <v>0</v>
      </c>
      <c r="AC1938" s="18">
        <v>0</v>
      </c>
      <c r="AD1938" s="18">
        <v>0</v>
      </c>
      <c r="AE1938" s="18">
        <v>0</v>
      </c>
      <c r="AF1938" s="16">
        <v>99999</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90104002</v>
      </c>
      <c r="AU1938" s="18" t="s">
        <v>198</v>
      </c>
      <c r="AV1938" s="18"/>
      <c r="AW1938" s="19" t="s">
        <v>199</v>
      </c>
      <c r="AX1938" s="18" t="s">
        <v>348</v>
      </c>
      <c r="AY1938" s="18">
        <v>0</v>
      </c>
      <c r="AZ1938" s="18">
        <v>0</v>
      </c>
      <c r="BA1938" s="19" t="s">
        <v>200</v>
      </c>
      <c r="BB1938" s="19" t="s">
        <v>198</v>
      </c>
      <c r="BC1938" s="27">
        <v>0</v>
      </c>
      <c r="BD1938" s="27">
        <v>0</v>
      </c>
      <c r="BE1938" s="87" t="s">
        <v>675</v>
      </c>
      <c r="BF1938" s="87" t="s">
        <v>676</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19.5" customHeight="1">
      <c r="C1939" s="18">
        <v>70503001</v>
      </c>
      <c r="D1939" s="19" t="s">
        <v>760</v>
      </c>
      <c r="E1939" s="19" t="s">
        <v>761</v>
      </c>
      <c r="F1939" s="18">
        <v>1</v>
      </c>
      <c r="G1939" s="18">
        <v>60010300</v>
      </c>
      <c r="H1939" s="18">
        <v>0</v>
      </c>
      <c r="I1939" s="27">
        <v>0</v>
      </c>
      <c r="J1939" s="18">
        <v>1</v>
      </c>
      <c r="K1939" s="18">
        <v>0</v>
      </c>
      <c r="L1939" s="18">
        <v>0</v>
      </c>
      <c r="M1939" s="18">
        <v>0</v>
      </c>
      <c r="N1939" s="18">
        <v>0</v>
      </c>
      <c r="O1939" s="16">
        <v>2</v>
      </c>
      <c r="P1939" s="18">
        <v>0</v>
      </c>
      <c r="Q1939" s="18">
        <v>0</v>
      </c>
      <c r="R1939" s="18">
        <v>0</v>
      </c>
      <c r="S1939" s="12">
        <v>0</v>
      </c>
      <c r="T1939" s="27">
        <v>0</v>
      </c>
      <c r="U1939" s="16">
        <v>1</v>
      </c>
      <c r="V1939" s="18">
        <v>2</v>
      </c>
      <c r="W1939" s="18">
        <v>0</v>
      </c>
      <c r="X1939" s="18">
        <v>3</v>
      </c>
      <c r="Y1939" s="12">
        <v>0</v>
      </c>
      <c r="Z1939" s="18">
        <v>0</v>
      </c>
      <c r="AA1939" s="18">
        <v>0</v>
      </c>
      <c r="AB1939" s="18">
        <v>0</v>
      </c>
      <c r="AC1939" s="18">
        <v>0</v>
      </c>
      <c r="AD1939" s="16">
        <v>0</v>
      </c>
      <c r="AE1939" s="18">
        <v>0</v>
      </c>
      <c r="AF1939" s="18">
        <v>20</v>
      </c>
      <c r="AG1939" s="18">
        <v>1</v>
      </c>
      <c r="AH1939" s="18">
        <v>1</v>
      </c>
      <c r="AI1939" s="12">
        <v>2</v>
      </c>
      <c r="AJ1939" s="12">
        <v>2</v>
      </c>
      <c r="AK1939" s="12">
        <v>0</v>
      </c>
      <c r="AL1939" s="12">
        <v>1.5</v>
      </c>
      <c r="AM1939" s="18">
        <v>0</v>
      </c>
      <c r="AN1939" s="18">
        <v>0</v>
      </c>
      <c r="AO1939" s="18">
        <v>0</v>
      </c>
      <c r="AP1939" s="18">
        <v>1</v>
      </c>
      <c r="AQ1939" s="18">
        <v>30000</v>
      </c>
      <c r="AR1939" s="18">
        <v>0</v>
      </c>
      <c r="AS1939" s="18">
        <v>4</v>
      </c>
      <c r="AT1939" s="12">
        <v>0</v>
      </c>
      <c r="AU1939" s="16" t="s">
        <v>659</v>
      </c>
      <c r="AV1939" s="16"/>
      <c r="AW1939" s="19" t="s">
        <v>199</v>
      </c>
      <c r="AX1939" s="18" t="s">
        <v>545</v>
      </c>
      <c r="AY1939" s="18">
        <v>10003002</v>
      </c>
      <c r="AZ1939" s="18">
        <v>70106005</v>
      </c>
      <c r="BA1939" s="19" t="s">
        <v>586</v>
      </c>
      <c r="BB1939" s="19">
        <v>0</v>
      </c>
      <c r="BC1939" s="27">
        <v>0</v>
      </c>
      <c r="BD1939" s="27">
        <v>0</v>
      </c>
      <c r="BE1939" s="87" t="s">
        <v>1065</v>
      </c>
      <c r="BF1939" s="87" t="s">
        <v>1066</v>
      </c>
      <c r="BG1939" s="18">
        <v>0</v>
      </c>
      <c r="BH1939" s="16">
        <v>0</v>
      </c>
      <c r="BI1939" s="18">
        <v>0</v>
      </c>
      <c r="BJ1939" s="18">
        <v>0</v>
      </c>
      <c r="BK1939" s="18">
        <v>0</v>
      </c>
      <c r="BL1939" s="18">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70503002</v>
      </c>
      <c r="D1940" s="17" t="s">
        <v>1067</v>
      </c>
      <c r="E1940" s="17" t="s">
        <v>1068</v>
      </c>
      <c r="F1940" s="18">
        <v>1</v>
      </c>
      <c r="G1940" s="16">
        <v>60010100</v>
      </c>
      <c r="H1940" s="18">
        <v>0</v>
      </c>
      <c r="I1940" s="27">
        <v>0</v>
      </c>
      <c r="J1940" s="18">
        <v>1</v>
      </c>
      <c r="K1940" s="18">
        <v>0</v>
      </c>
      <c r="L1940" s="18">
        <v>0</v>
      </c>
      <c r="M1940" s="16">
        <v>0</v>
      </c>
      <c r="N1940" s="16">
        <v>0</v>
      </c>
      <c r="O1940" s="16">
        <v>2</v>
      </c>
      <c r="P1940" s="16">
        <v>1</v>
      </c>
      <c r="Q1940" s="16">
        <v>0.3</v>
      </c>
      <c r="R1940" s="16">
        <v>0</v>
      </c>
      <c r="S1940" s="12">
        <v>0</v>
      </c>
      <c r="T1940" s="16">
        <v>0</v>
      </c>
      <c r="U1940" s="16">
        <v>1</v>
      </c>
      <c r="V1940" s="16">
        <v>2</v>
      </c>
      <c r="W1940" s="16">
        <v>0</v>
      </c>
      <c r="X1940" s="16">
        <v>2.5</v>
      </c>
      <c r="Y1940" s="12">
        <v>0</v>
      </c>
      <c r="Z1940" s="16">
        <v>0</v>
      </c>
      <c r="AA1940" s="16">
        <v>1</v>
      </c>
      <c r="AB1940" s="16">
        <v>0</v>
      </c>
      <c r="AC1940" s="16">
        <v>0</v>
      </c>
      <c r="AD1940" s="16">
        <v>0</v>
      </c>
      <c r="AE1940" s="16">
        <v>0</v>
      </c>
      <c r="AF1940" s="16">
        <v>12</v>
      </c>
      <c r="AG1940" s="16">
        <v>1</v>
      </c>
      <c r="AH1940" s="16">
        <v>3</v>
      </c>
      <c r="AI1940" s="12">
        <v>4</v>
      </c>
      <c r="AJ1940" s="12">
        <v>1</v>
      </c>
      <c r="AK1940" s="12">
        <v>0</v>
      </c>
      <c r="AL1940" s="12">
        <v>1.5</v>
      </c>
      <c r="AM1940" s="16">
        <v>0</v>
      </c>
      <c r="AN1940" s="16">
        <v>0</v>
      </c>
      <c r="AO1940" s="16">
        <v>0</v>
      </c>
      <c r="AP1940" s="16">
        <v>2.5</v>
      </c>
      <c r="AQ1940" s="16">
        <v>5000</v>
      </c>
      <c r="AR1940" s="16">
        <v>2</v>
      </c>
      <c r="AS1940" s="16">
        <v>0</v>
      </c>
      <c r="AT1940" s="12">
        <v>0</v>
      </c>
      <c r="AU1940" s="16">
        <v>0</v>
      </c>
      <c r="AV1940" s="16"/>
      <c r="AW1940" s="19" t="s">
        <v>617</v>
      </c>
      <c r="AX1940" s="16" t="s">
        <v>534</v>
      </c>
      <c r="AY1940" s="18">
        <v>10000007</v>
      </c>
      <c r="AZ1940" s="18">
        <v>70404002</v>
      </c>
      <c r="BA1940" s="17" t="s">
        <v>200</v>
      </c>
      <c r="BB1940" s="16" t="s">
        <v>4339</v>
      </c>
      <c r="BC1940" s="27">
        <v>0</v>
      </c>
      <c r="BD1940" s="27">
        <v>0</v>
      </c>
      <c r="BE1940" s="44" t="s">
        <v>4321</v>
      </c>
      <c r="BF1940" s="44" t="s">
        <v>4322</v>
      </c>
      <c r="BG1940" s="16">
        <v>0</v>
      </c>
      <c r="BH1940" s="16">
        <v>0</v>
      </c>
      <c r="BI1940" s="16">
        <v>0</v>
      </c>
      <c r="BJ1940" s="16">
        <v>0</v>
      </c>
      <c r="BK1940" s="16">
        <v>0</v>
      </c>
      <c r="BL1940" s="16">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70503003</v>
      </c>
      <c r="D1941" s="19" t="s">
        <v>538</v>
      </c>
      <c r="E1941" s="19" t="s">
        <v>539</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8">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90401004</v>
      </c>
      <c r="AU1941" s="18" t="s">
        <v>198</v>
      </c>
      <c r="AV1941" s="18"/>
      <c r="AW1941" s="19" t="s">
        <v>198</v>
      </c>
      <c r="AX1941" s="18" t="s">
        <v>348</v>
      </c>
      <c r="AY1941" s="18">
        <v>0</v>
      </c>
      <c r="AZ1941" s="18">
        <v>40000003</v>
      </c>
      <c r="BA1941" s="19" t="s">
        <v>200</v>
      </c>
      <c r="BB1941" s="19" t="s">
        <v>198</v>
      </c>
      <c r="BC1941" s="27">
        <v>0</v>
      </c>
      <c r="BD1941" s="27">
        <v>0</v>
      </c>
      <c r="BE1941" s="87" t="s">
        <v>850</v>
      </c>
      <c r="BF1941" s="87" t="s">
        <v>851</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70503004</v>
      </c>
      <c r="D1942" s="19" t="s">
        <v>567</v>
      </c>
      <c r="E1942" s="19" t="s">
        <v>568</v>
      </c>
      <c r="F1942" s="18">
        <v>1</v>
      </c>
      <c r="G1942" s="18">
        <v>60010500</v>
      </c>
      <c r="H1942" s="18">
        <v>0</v>
      </c>
      <c r="I1942" s="27">
        <v>0</v>
      </c>
      <c r="J1942" s="18">
        <v>1</v>
      </c>
      <c r="K1942" s="18">
        <v>0</v>
      </c>
      <c r="L1942" s="18">
        <v>0</v>
      </c>
      <c r="M1942" s="18">
        <v>0</v>
      </c>
      <c r="N1942" s="18">
        <v>0</v>
      </c>
      <c r="O1942" s="16">
        <v>2</v>
      </c>
      <c r="P1942" s="18">
        <v>2</v>
      </c>
      <c r="Q1942" s="18">
        <v>0.3</v>
      </c>
      <c r="R1942" s="18">
        <v>0</v>
      </c>
      <c r="S1942" s="12">
        <v>0</v>
      </c>
      <c r="T1942" s="27">
        <v>0</v>
      </c>
      <c r="U1942" s="16">
        <v>1</v>
      </c>
      <c r="V1942" s="18">
        <v>2</v>
      </c>
      <c r="W1942" s="18">
        <v>0</v>
      </c>
      <c r="X1942" s="18">
        <v>0</v>
      </c>
      <c r="Y1942" s="12">
        <v>0</v>
      </c>
      <c r="Z1942" s="18">
        <v>0</v>
      </c>
      <c r="AA1942" s="18">
        <v>0</v>
      </c>
      <c r="AB1942" s="18">
        <v>0</v>
      </c>
      <c r="AC1942" s="18">
        <v>0</v>
      </c>
      <c r="AD1942" s="16">
        <v>0</v>
      </c>
      <c r="AE1942" s="18">
        <v>0</v>
      </c>
      <c r="AF1942" s="16">
        <v>15</v>
      </c>
      <c r="AG1942" s="18">
        <v>0</v>
      </c>
      <c r="AH1942" s="18">
        <v>0</v>
      </c>
      <c r="AI1942" s="12">
        <v>2</v>
      </c>
      <c r="AJ1942" s="12">
        <v>0</v>
      </c>
      <c r="AK1942" s="12">
        <v>0</v>
      </c>
      <c r="AL1942" s="12">
        <v>0</v>
      </c>
      <c r="AM1942" s="18">
        <v>0</v>
      </c>
      <c r="AN1942" s="18">
        <v>0</v>
      </c>
      <c r="AO1942" s="18">
        <v>0</v>
      </c>
      <c r="AP1942" s="18">
        <v>0</v>
      </c>
      <c r="AQ1942" s="18">
        <v>1000</v>
      </c>
      <c r="AR1942" s="18">
        <v>0</v>
      </c>
      <c r="AS1942" s="18">
        <v>0</v>
      </c>
      <c r="AT1942" s="12">
        <v>90402005</v>
      </c>
      <c r="AU1942" s="18" t="s">
        <v>198</v>
      </c>
      <c r="AV1942" s="18"/>
      <c r="AW1942" s="19" t="s">
        <v>199</v>
      </c>
      <c r="AX1942" s="18" t="s">
        <v>348</v>
      </c>
      <c r="AY1942" s="18">
        <v>0</v>
      </c>
      <c r="AZ1942" s="18">
        <v>0</v>
      </c>
      <c r="BA1942" s="19" t="s">
        <v>200</v>
      </c>
      <c r="BB1942" s="19" t="s">
        <v>198</v>
      </c>
      <c r="BC1942" s="27">
        <v>0</v>
      </c>
      <c r="BD1942" s="27">
        <v>0</v>
      </c>
      <c r="BE1942" s="87" t="s">
        <v>755</v>
      </c>
      <c r="BF1942" s="87" t="s">
        <v>756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70503005</v>
      </c>
      <c r="D1943" s="17" t="s">
        <v>1494</v>
      </c>
      <c r="E1943" s="17" t="s">
        <v>1495</v>
      </c>
      <c r="F1943" s="16">
        <v>2</v>
      </c>
      <c r="G1943" s="16">
        <v>61012301</v>
      </c>
      <c r="H1943" s="16">
        <v>0</v>
      </c>
      <c r="I1943" s="27">
        <v>0</v>
      </c>
      <c r="J1943" s="18">
        <v>1</v>
      </c>
      <c r="K1943" s="18">
        <v>0</v>
      </c>
      <c r="L1943" s="18">
        <v>0</v>
      </c>
      <c r="M1943" s="16">
        <v>0</v>
      </c>
      <c r="N1943" s="16">
        <v>0</v>
      </c>
      <c r="O1943" s="16">
        <v>2</v>
      </c>
      <c r="P1943" s="16">
        <v>1</v>
      </c>
      <c r="Q1943" s="16">
        <v>0.5</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12</v>
      </c>
      <c r="AG1943" s="16">
        <v>2</v>
      </c>
      <c r="AH1943" s="16" t="s">
        <v>213</v>
      </c>
      <c r="AI1943" s="12">
        <v>0</v>
      </c>
      <c r="AJ1943" s="12">
        <v>2</v>
      </c>
      <c r="AK1943" s="12">
        <v>0</v>
      </c>
      <c r="AL1943" s="12">
        <v>1.5</v>
      </c>
      <c r="AM1943" s="16">
        <v>0</v>
      </c>
      <c r="AN1943" s="16">
        <v>0</v>
      </c>
      <c r="AO1943" s="16">
        <v>0</v>
      </c>
      <c r="AP1943" s="16">
        <v>0.2</v>
      </c>
      <c r="AQ1943" s="16">
        <v>200</v>
      </c>
      <c r="AR1943" s="16">
        <v>1</v>
      </c>
      <c r="AS1943" s="16">
        <v>30</v>
      </c>
      <c r="AT1943" s="12">
        <v>0</v>
      </c>
      <c r="AU1943" s="16" t="s">
        <v>198</v>
      </c>
      <c r="AV1943" s="16"/>
      <c r="AW1943" s="17" t="s">
        <v>256</v>
      </c>
      <c r="AX1943" s="16" t="s">
        <v>215</v>
      </c>
      <c r="AY1943" s="18">
        <v>10000011</v>
      </c>
      <c r="AZ1943" s="18">
        <v>70404001</v>
      </c>
      <c r="BA1943" s="17" t="s">
        <v>216</v>
      </c>
      <c r="BB1943" s="16">
        <v>0</v>
      </c>
      <c r="BC1943" s="27">
        <v>0</v>
      </c>
      <c r="BD1943" s="27">
        <v>0</v>
      </c>
      <c r="BE1943" s="44" t="s">
        <v>4324</v>
      </c>
      <c r="BF1943" s="44" t="s">
        <v>4325</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70503006</v>
      </c>
      <c r="D1944" s="17" t="s">
        <v>1029</v>
      </c>
      <c r="E1944" s="17" t="s">
        <v>1030</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v>
      </c>
      <c r="Y1944" s="12">
        <v>0</v>
      </c>
      <c r="Z1944" s="16">
        <v>0</v>
      </c>
      <c r="AA1944" s="16">
        <v>1</v>
      </c>
      <c r="AB1944" s="16">
        <v>0</v>
      </c>
      <c r="AC1944" s="16">
        <v>0</v>
      </c>
      <c r="AD1944" s="16">
        <v>0</v>
      </c>
      <c r="AE1944" s="16">
        <v>0</v>
      </c>
      <c r="AF1944" s="16">
        <v>12</v>
      </c>
      <c r="AG1944" s="16">
        <v>1</v>
      </c>
      <c r="AH1944" s="16">
        <v>3</v>
      </c>
      <c r="AI1944" s="12">
        <v>4</v>
      </c>
      <c r="AJ1944" s="12">
        <v>1</v>
      </c>
      <c r="AK1944" s="12">
        <v>0</v>
      </c>
      <c r="AL1944" s="12">
        <v>1.5</v>
      </c>
      <c r="AM1944" s="16">
        <v>0</v>
      </c>
      <c r="AN1944" s="16">
        <v>0</v>
      </c>
      <c r="AO1944" s="16">
        <v>0</v>
      </c>
      <c r="AP1944" s="16">
        <v>3</v>
      </c>
      <c r="AQ1944" s="16">
        <v>999999</v>
      </c>
      <c r="AR1944" s="16">
        <v>3</v>
      </c>
      <c r="AS1944" s="16">
        <v>0</v>
      </c>
      <c r="AT1944" s="12">
        <v>0</v>
      </c>
      <c r="AU1944" s="16" t="s">
        <v>198</v>
      </c>
      <c r="AV1944" s="16"/>
      <c r="AW1944" s="19" t="s">
        <v>287</v>
      </c>
      <c r="AX1944" s="16" t="s">
        <v>534</v>
      </c>
      <c r="AY1944" s="18">
        <v>10000007</v>
      </c>
      <c r="AZ1944" s="18">
        <v>70302004</v>
      </c>
      <c r="BA1944" s="17" t="s">
        <v>200</v>
      </c>
      <c r="BB1944" s="16" t="s">
        <v>4340</v>
      </c>
      <c r="BC1944" s="27">
        <v>0</v>
      </c>
      <c r="BD1944" s="27">
        <v>0</v>
      </c>
      <c r="BE1944" s="44" t="s">
        <v>4224</v>
      </c>
      <c r="BF1944" s="44" t="s">
        <v>4225</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70504001</v>
      </c>
      <c r="D1945" s="17" t="s">
        <v>1086</v>
      </c>
      <c r="E1945" s="17" t="s">
        <v>1087</v>
      </c>
      <c r="F1945" s="16">
        <v>1</v>
      </c>
      <c r="G1945" s="16">
        <v>60010300</v>
      </c>
      <c r="H1945" s="18">
        <v>0</v>
      </c>
      <c r="I1945" s="27">
        <v>0</v>
      </c>
      <c r="J1945" s="18">
        <v>1</v>
      </c>
      <c r="K1945" s="18">
        <v>0</v>
      </c>
      <c r="L1945" s="18">
        <v>0</v>
      </c>
      <c r="M1945" s="16">
        <v>0</v>
      </c>
      <c r="N1945" s="16">
        <v>0</v>
      </c>
      <c r="O1945" s="16">
        <v>2</v>
      </c>
      <c r="P1945" s="16">
        <v>2</v>
      </c>
      <c r="Q1945" s="16">
        <v>0.8</v>
      </c>
      <c r="R1945" s="16">
        <v>1</v>
      </c>
      <c r="S1945" s="12">
        <v>0</v>
      </c>
      <c r="T1945" s="16">
        <v>0</v>
      </c>
      <c r="U1945" s="16">
        <v>1</v>
      </c>
      <c r="V1945" s="16">
        <v>2</v>
      </c>
      <c r="W1945" s="16">
        <v>0</v>
      </c>
      <c r="X1945" s="16">
        <v>0</v>
      </c>
      <c r="Y1945" s="12">
        <v>0</v>
      </c>
      <c r="Z1945" s="16">
        <v>0</v>
      </c>
      <c r="AA1945" s="16">
        <v>0</v>
      </c>
      <c r="AB1945" s="16">
        <v>0</v>
      </c>
      <c r="AC1945" s="16">
        <v>0</v>
      </c>
      <c r="AD1945" s="16">
        <v>0</v>
      </c>
      <c r="AE1945" s="16">
        <v>0</v>
      </c>
      <c r="AF1945" s="16">
        <v>99999</v>
      </c>
      <c r="AG1945" s="16">
        <v>0</v>
      </c>
      <c r="AH1945" s="16">
        <v>0</v>
      </c>
      <c r="AI1945" s="12">
        <v>2</v>
      </c>
      <c r="AJ1945" s="12">
        <v>2</v>
      </c>
      <c r="AK1945" s="12">
        <v>0</v>
      </c>
      <c r="AL1945" s="12">
        <v>1.5</v>
      </c>
      <c r="AM1945" s="16">
        <v>0</v>
      </c>
      <c r="AN1945" s="16">
        <v>0</v>
      </c>
      <c r="AO1945" s="16">
        <v>0</v>
      </c>
      <c r="AP1945" s="16">
        <v>1</v>
      </c>
      <c r="AQ1945" s="16">
        <v>3000</v>
      </c>
      <c r="AR1945" s="16">
        <v>0.5</v>
      </c>
      <c r="AS1945" s="16">
        <v>0</v>
      </c>
      <c r="AT1945" s="12">
        <v>0</v>
      </c>
      <c r="AU1945" s="16" t="s">
        <v>198</v>
      </c>
      <c r="AV1945" s="16"/>
      <c r="AW1945" s="19" t="s">
        <v>199</v>
      </c>
      <c r="AX1945" s="16" t="s">
        <v>545</v>
      </c>
      <c r="AY1945" s="18">
        <v>0</v>
      </c>
      <c r="AZ1945" s="18">
        <v>0</v>
      </c>
      <c r="BA1945" s="17" t="s">
        <v>528</v>
      </c>
      <c r="BB1945" s="16" t="s">
        <v>1088</v>
      </c>
      <c r="BC1945" s="27">
        <v>0</v>
      </c>
      <c r="BD1945" s="27">
        <v>0</v>
      </c>
      <c r="BE1945" s="44" t="s">
        <v>1089</v>
      </c>
      <c r="BF1945" s="44" t="s">
        <v>1090</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row>
    <row r="1946" spans="3:75" ht="19.5" customHeight="1">
      <c r="C1946" s="18">
        <v>70504002</v>
      </c>
      <c r="D1946" s="17" t="s">
        <v>1091</v>
      </c>
      <c r="E1946" s="17" t="s">
        <v>1092</v>
      </c>
      <c r="F1946" s="18">
        <v>1</v>
      </c>
      <c r="G1946" s="16">
        <v>60010100</v>
      </c>
      <c r="H1946" s="18">
        <v>0</v>
      </c>
      <c r="I1946" s="27">
        <v>0</v>
      </c>
      <c r="J1946" s="18">
        <v>1</v>
      </c>
      <c r="K1946" s="18">
        <v>0</v>
      </c>
      <c r="L1946" s="18">
        <v>0</v>
      </c>
      <c r="M1946" s="16">
        <v>0</v>
      </c>
      <c r="N1946" s="16">
        <v>0</v>
      </c>
      <c r="O1946" s="16">
        <v>2</v>
      </c>
      <c r="P1946" s="16">
        <v>1</v>
      </c>
      <c r="Q1946" s="16">
        <v>0.3</v>
      </c>
      <c r="R1946" s="16">
        <v>0</v>
      </c>
      <c r="S1946" s="12">
        <v>0</v>
      </c>
      <c r="T1946" s="16">
        <v>0</v>
      </c>
      <c r="U1946" s="16">
        <v>1</v>
      </c>
      <c r="V1946" s="16">
        <v>2</v>
      </c>
      <c r="W1946" s="16">
        <v>0</v>
      </c>
      <c r="X1946" s="16">
        <v>2.5</v>
      </c>
      <c r="Y1946" s="12">
        <v>0</v>
      </c>
      <c r="Z1946" s="16">
        <v>0</v>
      </c>
      <c r="AA1946" s="16">
        <v>1</v>
      </c>
      <c r="AB1946" s="16">
        <v>0</v>
      </c>
      <c r="AC1946" s="16">
        <v>0</v>
      </c>
      <c r="AD1946" s="16">
        <v>0</v>
      </c>
      <c r="AE1946" s="16">
        <v>0</v>
      </c>
      <c r="AF1946" s="16">
        <v>16</v>
      </c>
      <c r="AG1946" s="16">
        <v>1</v>
      </c>
      <c r="AH1946" s="16" t="s">
        <v>607</v>
      </c>
      <c r="AI1946" s="12">
        <v>0</v>
      </c>
      <c r="AJ1946" s="12">
        <v>1</v>
      </c>
      <c r="AK1946" s="12">
        <v>0</v>
      </c>
      <c r="AL1946" s="12">
        <v>3</v>
      </c>
      <c r="AM1946" s="16">
        <v>0</v>
      </c>
      <c r="AN1946" s="16">
        <v>0</v>
      </c>
      <c r="AO1946" s="16">
        <v>0</v>
      </c>
      <c r="AP1946" s="16">
        <v>3</v>
      </c>
      <c r="AQ1946" s="16">
        <v>5000</v>
      </c>
      <c r="AR1946" s="16">
        <v>2.5</v>
      </c>
      <c r="AS1946" s="16">
        <v>0</v>
      </c>
      <c r="AT1946" s="12">
        <v>0</v>
      </c>
      <c r="AU1946" s="16">
        <v>80001030</v>
      </c>
      <c r="AV1946" s="16"/>
      <c r="AW1946" s="19" t="s">
        <v>287</v>
      </c>
      <c r="AX1946" s="16" t="s">
        <v>534</v>
      </c>
      <c r="AY1946" s="18">
        <v>10000007</v>
      </c>
      <c r="AZ1946" s="18">
        <v>70204001</v>
      </c>
      <c r="BA1946" s="17" t="s">
        <v>200</v>
      </c>
      <c r="BB1946" s="16">
        <v>0</v>
      </c>
      <c r="BC1946" s="27">
        <v>0</v>
      </c>
      <c r="BD1946" s="27">
        <v>0</v>
      </c>
      <c r="BE1946" s="44" t="s">
        <v>1093</v>
      </c>
      <c r="BF1946" s="44" t="s">
        <v>1094</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70504003</v>
      </c>
      <c r="D1947" s="17" t="s">
        <v>946</v>
      </c>
      <c r="E1947" s="17" t="s">
        <v>947</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16</v>
      </c>
      <c r="AG1947" s="16">
        <v>1</v>
      </c>
      <c r="AH1947" s="16">
        <v>3</v>
      </c>
      <c r="AI1947" s="12">
        <v>4</v>
      </c>
      <c r="AJ1947" s="12">
        <v>1</v>
      </c>
      <c r="AK1947" s="12">
        <v>0</v>
      </c>
      <c r="AL1947" s="12">
        <v>1.5</v>
      </c>
      <c r="AM1947" s="16">
        <v>0</v>
      </c>
      <c r="AN1947" s="16">
        <v>0</v>
      </c>
      <c r="AO1947" s="16">
        <v>0</v>
      </c>
      <c r="AP1947" s="16">
        <v>3</v>
      </c>
      <c r="AQ1947" s="16">
        <v>5000</v>
      </c>
      <c r="AR1947" s="16">
        <v>3</v>
      </c>
      <c r="AS1947" s="16">
        <v>0</v>
      </c>
      <c r="AT1947" s="12">
        <v>0</v>
      </c>
      <c r="AU1947" s="16">
        <v>80001030</v>
      </c>
      <c r="AV1947" s="16"/>
      <c r="AW1947" s="19" t="s">
        <v>256</v>
      </c>
      <c r="AX1947" s="16" t="s">
        <v>534</v>
      </c>
      <c r="AY1947" s="18">
        <v>10000007</v>
      </c>
      <c r="AZ1947" s="18">
        <v>70204002</v>
      </c>
      <c r="BA1947" s="17" t="s">
        <v>200</v>
      </c>
      <c r="BB1947" s="16" t="s">
        <v>4341</v>
      </c>
      <c r="BC1947" s="27">
        <v>0</v>
      </c>
      <c r="BD1947" s="27">
        <v>0</v>
      </c>
      <c r="BE1947" s="44" t="s">
        <v>1096</v>
      </c>
      <c r="BF1947" s="44" t="s">
        <v>1097</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70504004</v>
      </c>
      <c r="D1948" s="17" t="s">
        <v>951</v>
      </c>
      <c r="E1948" s="17" t="s">
        <v>952</v>
      </c>
      <c r="F1948" s="18">
        <v>1</v>
      </c>
      <c r="G1948" s="16">
        <v>60010100</v>
      </c>
      <c r="H1948" s="18">
        <v>0</v>
      </c>
      <c r="I1948" s="27">
        <v>0</v>
      </c>
      <c r="J1948" s="18">
        <v>1</v>
      </c>
      <c r="K1948" s="18">
        <v>0</v>
      </c>
      <c r="L1948" s="18">
        <v>0</v>
      </c>
      <c r="M1948" s="16">
        <v>0</v>
      </c>
      <c r="N1948" s="16">
        <v>0</v>
      </c>
      <c r="O1948" s="16">
        <v>2</v>
      </c>
      <c r="P1948" s="16">
        <v>1</v>
      </c>
      <c r="Q1948" s="16">
        <v>0.3</v>
      </c>
      <c r="R1948" s="16">
        <v>0</v>
      </c>
      <c r="S1948" s="12">
        <v>0</v>
      </c>
      <c r="T1948" s="16">
        <v>0</v>
      </c>
      <c r="U1948" s="16">
        <v>1</v>
      </c>
      <c r="V1948" s="16">
        <v>2</v>
      </c>
      <c r="W1948" s="16">
        <v>0</v>
      </c>
      <c r="X1948" s="16">
        <v>2.5</v>
      </c>
      <c r="Y1948" s="12">
        <v>0</v>
      </c>
      <c r="Z1948" s="16">
        <v>0</v>
      </c>
      <c r="AA1948" s="16">
        <v>1</v>
      </c>
      <c r="AB1948" s="16">
        <v>0</v>
      </c>
      <c r="AC1948" s="16">
        <v>0</v>
      </c>
      <c r="AD1948" s="16">
        <v>0</v>
      </c>
      <c r="AE1948" s="16">
        <v>0</v>
      </c>
      <c r="AF1948" s="16">
        <v>16</v>
      </c>
      <c r="AG1948" s="16">
        <v>1</v>
      </c>
      <c r="AH1948" s="16">
        <v>3</v>
      </c>
      <c r="AI1948" s="12">
        <v>6</v>
      </c>
      <c r="AJ1948" s="12">
        <v>1</v>
      </c>
      <c r="AK1948" s="12">
        <v>0</v>
      </c>
      <c r="AL1948" s="12">
        <v>1.5</v>
      </c>
      <c r="AM1948" s="16">
        <v>0</v>
      </c>
      <c r="AN1948" s="16">
        <v>0</v>
      </c>
      <c r="AO1948" s="16">
        <v>0</v>
      </c>
      <c r="AP1948" s="16">
        <v>3</v>
      </c>
      <c r="AQ1948" s="16">
        <v>5000</v>
      </c>
      <c r="AR1948" s="16">
        <v>3</v>
      </c>
      <c r="AS1948" s="16">
        <v>0</v>
      </c>
      <c r="AT1948" s="12">
        <v>0</v>
      </c>
      <c r="AU1948" s="16">
        <v>80001030</v>
      </c>
      <c r="AV1948" s="16"/>
      <c r="AW1948" s="19" t="s">
        <v>617</v>
      </c>
      <c r="AX1948" s="16" t="s">
        <v>534</v>
      </c>
      <c r="AY1948" s="18">
        <v>10000007</v>
      </c>
      <c r="AZ1948" s="18">
        <v>70204003</v>
      </c>
      <c r="BA1948" s="17" t="s">
        <v>200</v>
      </c>
      <c r="BB1948" s="16" t="s">
        <v>4342</v>
      </c>
      <c r="BC1948" s="27">
        <v>0</v>
      </c>
      <c r="BD1948" s="27">
        <v>0</v>
      </c>
      <c r="BE1948" s="44" t="s">
        <v>1099</v>
      </c>
      <c r="BF1948" s="44" t="s">
        <v>1100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19.5" customHeight="1">
      <c r="C1949" s="18">
        <v>70504005</v>
      </c>
      <c r="D1949" s="17" t="s">
        <v>1101</v>
      </c>
      <c r="E1949" s="17" t="s">
        <v>1102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2.5</v>
      </c>
      <c r="AQ1949" s="16">
        <v>5000</v>
      </c>
      <c r="AR1949" s="16">
        <v>2</v>
      </c>
      <c r="AS1949" s="16">
        <v>0</v>
      </c>
      <c r="AT1949" s="12">
        <v>0</v>
      </c>
      <c r="AU1949" s="16">
        <v>80001030</v>
      </c>
      <c r="AV1949" s="16"/>
      <c r="AW1949" s="19" t="s">
        <v>256</v>
      </c>
      <c r="AX1949" s="16" t="s">
        <v>534</v>
      </c>
      <c r="AY1949" s="18">
        <v>10000007</v>
      </c>
      <c r="AZ1949" s="18">
        <v>70405001</v>
      </c>
      <c r="BA1949" s="17" t="s">
        <v>200</v>
      </c>
      <c r="BB1949" s="16">
        <v>0</v>
      </c>
      <c r="BC1949" s="27">
        <v>0</v>
      </c>
      <c r="BD1949" s="27">
        <v>0</v>
      </c>
      <c r="BE1949" s="44" t="s">
        <v>1103</v>
      </c>
      <c r="BF1949" s="44" t="s">
        <v>1104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70505001</v>
      </c>
      <c r="D1950" s="17" t="s">
        <v>1116</v>
      </c>
      <c r="E1950" s="17" t="s">
        <v>391</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12</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4343</v>
      </c>
      <c r="BC1950" s="27">
        <v>0</v>
      </c>
      <c r="BD1950" s="27">
        <v>0</v>
      </c>
      <c r="BE1950" s="44" t="s">
        <v>1322</v>
      </c>
      <c r="BF1950" s="44" t="s">
        <v>1323</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70505002</v>
      </c>
      <c r="D1951" s="17" t="s">
        <v>1324</v>
      </c>
      <c r="E1951" s="17" t="s">
        <v>1325</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2</v>
      </c>
      <c r="AH1951" s="16" t="s">
        <v>213</v>
      </c>
      <c r="AI1951" s="12">
        <v>0</v>
      </c>
      <c r="AJ1951" s="12">
        <v>2</v>
      </c>
      <c r="AK1951" s="12">
        <v>0</v>
      </c>
      <c r="AL1951" s="12">
        <v>1.5</v>
      </c>
      <c r="AM1951" s="16">
        <v>0</v>
      </c>
      <c r="AN1951" s="16">
        <v>0</v>
      </c>
      <c r="AO1951" s="16">
        <v>0</v>
      </c>
      <c r="AP1951" s="16">
        <v>1.5</v>
      </c>
      <c r="AQ1951" s="16">
        <v>10000</v>
      </c>
      <c r="AR1951" s="16">
        <v>1</v>
      </c>
      <c r="AS1951" s="16">
        <v>5</v>
      </c>
      <c r="AT1951" s="12">
        <v>0</v>
      </c>
      <c r="AU1951" s="16" t="s">
        <v>198</v>
      </c>
      <c r="AV1951" s="16"/>
      <c r="AW1951" s="19" t="s">
        <v>617</v>
      </c>
      <c r="AX1951" s="16" t="s">
        <v>534</v>
      </c>
      <c r="AY1951" s="18">
        <v>10000007</v>
      </c>
      <c r="AZ1951" s="18">
        <v>70302003</v>
      </c>
      <c r="BA1951" s="19" t="s">
        <v>586</v>
      </c>
      <c r="BB1951" s="16">
        <v>0</v>
      </c>
      <c r="BC1951" s="27">
        <v>0</v>
      </c>
      <c r="BD1951" s="27">
        <v>0</v>
      </c>
      <c r="BE1951" s="44" t="s">
        <v>1108</v>
      </c>
      <c r="BF1951" s="44" t="s">
        <v>1109</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70505003</v>
      </c>
      <c r="D1952" s="19" t="s">
        <v>621</v>
      </c>
      <c r="E1952" s="19" t="s">
        <v>622</v>
      </c>
      <c r="F1952" s="18">
        <v>1</v>
      </c>
      <c r="G1952" s="18">
        <v>60010500</v>
      </c>
      <c r="H1952" s="18">
        <v>0</v>
      </c>
      <c r="I1952" s="27">
        <v>0</v>
      </c>
      <c r="J1952" s="18">
        <v>1</v>
      </c>
      <c r="K1952" s="18">
        <v>0</v>
      </c>
      <c r="L1952" s="18">
        <v>0</v>
      </c>
      <c r="M1952" s="18">
        <v>0</v>
      </c>
      <c r="N1952" s="18">
        <v>0</v>
      </c>
      <c r="O1952" s="16">
        <v>2</v>
      </c>
      <c r="P1952" s="18">
        <v>2</v>
      </c>
      <c r="Q1952" s="18">
        <v>0.3</v>
      </c>
      <c r="R1952" s="18">
        <v>0</v>
      </c>
      <c r="S1952" s="12">
        <v>0</v>
      </c>
      <c r="T1952" s="27">
        <v>0</v>
      </c>
      <c r="U1952" s="16">
        <v>1</v>
      </c>
      <c r="V1952" s="18">
        <v>2</v>
      </c>
      <c r="W1952" s="18">
        <v>0</v>
      </c>
      <c r="X1952" s="18">
        <v>0</v>
      </c>
      <c r="Y1952" s="12">
        <v>0</v>
      </c>
      <c r="Z1952" s="18">
        <v>0</v>
      </c>
      <c r="AA1952" s="18">
        <v>0</v>
      </c>
      <c r="AB1952" s="18">
        <v>0</v>
      </c>
      <c r="AC1952" s="18">
        <v>0</v>
      </c>
      <c r="AD1952" s="16">
        <v>0</v>
      </c>
      <c r="AE1952" s="18">
        <v>0</v>
      </c>
      <c r="AF1952" s="16">
        <v>12</v>
      </c>
      <c r="AG1952" s="18">
        <v>0</v>
      </c>
      <c r="AH1952" s="18">
        <v>0</v>
      </c>
      <c r="AI1952" s="12">
        <v>7</v>
      </c>
      <c r="AJ1952" s="12">
        <v>0</v>
      </c>
      <c r="AK1952" s="12">
        <v>0</v>
      </c>
      <c r="AL1952" s="12">
        <v>0</v>
      </c>
      <c r="AM1952" s="18">
        <v>0</v>
      </c>
      <c r="AN1952" s="18">
        <v>0</v>
      </c>
      <c r="AO1952" s="18">
        <v>0</v>
      </c>
      <c r="AP1952" s="18">
        <v>0</v>
      </c>
      <c r="AQ1952" s="18">
        <v>1000</v>
      </c>
      <c r="AR1952" s="18">
        <v>0</v>
      </c>
      <c r="AS1952" s="18">
        <v>0</v>
      </c>
      <c r="AT1952" s="12">
        <v>0</v>
      </c>
      <c r="AU1952" s="18">
        <v>90204004</v>
      </c>
      <c r="AV1952" s="18"/>
      <c r="AW1952" s="19" t="s">
        <v>199</v>
      </c>
      <c r="AX1952" s="18" t="s">
        <v>348</v>
      </c>
      <c r="AY1952" s="18">
        <v>0</v>
      </c>
      <c r="AZ1952" s="18">
        <v>0</v>
      </c>
      <c r="BA1952" s="19" t="s">
        <v>200</v>
      </c>
      <c r="BB1952" s="19" t="s">
        <v>198</v>
      </c>
      <c r="BC1952" s="27">
        <v>0</v>
      </c>
      <c r="BD1952" s="27">
        <v>0</v>
      </c>
      <c r="BE1952" s="87" t="s">
        <v>623</v>
      </c>
      <c r="BF1952" s="87" t="s">
        <v>624</v>
      </c>
      <c r="BG1952" s="18">
        <v>0</v>
      </c>
      <c r="BH1952" s="16">
        <v>0</v>
      </c>
      <c r="BI1952" s="18">
        <v>0</v>
      </c>
      <c r="BJ1952" s="18">
        <v>0</v>
      </c>
      <c r="BK1952" s="18">
        <v>0</v>
      </c>
      <c r="BL1952" s="18">
        <v>0</v>
      </c>
      <c r="BM1952" s="15">
        <v>0</v>
      </c>
      <c r="BN1952" s="12">
        <v>0</v>
      </c>
      <c r="BO1952" s="12">
        <v>0</v>
      </c>
      <c r="BP1952" s="12">
        <v>0</v>
      </c>
      <c r="BQ1952" s="12">
        <v>0</v>
      </c>
      <c r="BR1952" s="12">
        <v>0</v>
      </c>
      <c r="BS1952" s="12">
        <v>0</v>
      </c>
      <c r="BT1952" s="12">
        <v>0</v>
      </c>
      <c r="BU1952" s="47">
        <v>0</v>
      </c>
      <c r="BV1952" s="47"/>
      <c r="BW1952" s="47"/>
    </row>
    <row r="1953" spans="3:75" ht="19.5" customHeight="1">
      <c r="C1953" s="18">
        <v>70505004</v>
      </c>
      <c r="D1953" s="19" t="s">
        <v>757</v>
      </c>
      <c r="E1953" s="19" t="s">
        <v>399</v>
      </c>
      <c r="F1953" s="18">
        <v>1</v>
      </c>
      <c r="G1953" s="18">
        <v>60010500</v>
      </c>
      <c r="H1953" s="18">
        <v>0</v>
      </c>
      <c r="I1953" s="27">
        <v>0</v>
      </c>
      <c r="J1953" s="18">
        <v>1</v>
      </c>
      <c r="K1953" s="18">
        <v>0</v>
      </c>
      <c r="L1953" s="18">
        <v>0</v>
      </c>
      <c r="M1953" s="18">
        <v>0</v>
      </c>
      <c r="N1953" s="18">
        <v>0</v>
      </c>
      <c r="O1953" s="16">
        <v>2</v>
      </c>
      <c r="P1953" s="18">
        <v>2</v>
      </c>
      <c r="Q1953" s="18">
        <v>0.3</v>
      </c>
      <c r="R1953" s="18">
        <v>0</v>
      </c>
      <c r="S1953" s="12">
        <v>0</v>
      </c>
      <c r="T1953" s="27">
        <v>0</v>
      </c>
      <c r="U1953" s="16">
        <v>1</v>
      </c>
      <c r="V1953" s="18">
        <v>2</v>
      </c>
      <c r="W1953" s="18">
        <v>0</v>
      </c>
      <c r="X1953" s="18">
        <v>0</v>
      </c>
      <c r="Y1953" s="12">
        <v>0</v>
      </c>
      <c r="Z1953" s="18">
        <v>0</v>
      </c>
      <c r="AA1953" s="18">
        <v>0</v>
      </c>
      <c r="AB1953" s="18">
        <v>0</v>
      </c>
      <c r="AC1953" s="18">
        <v>0</v>
      </c>
      <c r="AD1953" s="16">
        <v>0</v>
      </c>
      <c r="AE1953" s="18">
        <v>0</v>
      </c>
      <c r="AF1953" s="16">
        <v>15</v>
      </c>
      <c r="AG1953" s="18">
        <v>0</v>
      </c>
      <c r="AH1953" s="18">
        <v>0</v>
      </c>
      <c r="AI1953" s="12">
        <v>2</v>
      </c>
      <c r="AJ1953" s="12">
        <v>0</v>
      </c>
      <c r="AK1953" s="12">
        <v>0</v>
      </c>
      <c r="AL1953" s="12">
        <v>0</v>
      </c>
      <c r="AM1953" s="18">
        <v>0</v>
      </c>
      <c r="AN1953" s="18">
        <v>0</v>
      </c>
      <c r="AO1953" s="18">
        <v>0</v>
      </c>
      <c r="AP1953" s="18">
        <v>0</v>
      </c>
      <c r="AQ1953" s="18">
        <v>1000</v>
      </c>
      <c r="AR1953" s="18">
        <v>0</v>
      </c>
      <c r="AS1953" s="18">
        <v>0</v>
      </c>
      <c r="AT1953" s="12" t="s">
        <v>754</v>
      </c>
      <c r="AU1953" s="18" t="s">
        <v>198</v>
      </c>
      <c r="AV1953" s="18"/>
      <c r="AW1953" s="19" t="s">
        <v>199</v>
      </c>
      <c r="AX1953" s="18" t="s">
        <v>348</v>
      </c>
      <c r="AY1953" s="18">
        <v>0</v>
      </c>
      <c r="AZ1953" s="18">
        <v>0</v>
      </c>
      <c r="BA1953" s="19" t="s">
        <v>200</v>
      </c>
      <c r="BB1953" s="19" t="s">
        <v>198</v>
      </c>
      <c r="BC1953" s="27">
        <v>0</v>
      </c>
      <c r="BD1953" s="27">
        <v>0</v>
      </c>
      <c r="BE1953" s="87" t="s">
        <v>1118</v>
      </c>
      <c r="BF1953" s="87" t="s">
        <v>1119</v>
      </c>
      <c r="BG1953" s="18">
        <v>0</v>
      </c>
      <c r="BH1953" s="16">
        <v>0</v>
      </c>
      <c r="BI1953" s="18">
        <v>0</v>
      </c>
      <c r="BJ1953" s="18">
        <v>0</v>
      </c>
      <c r="BK1953" s="18">
        <v>0</v>
      </c>
      <c r="BL1953" s="18">
        <v>0</v>
      </c>
      <c r="BM1953" s="15">
        <v>0</v>
      </c>
      <c r="BN1953" s="12">
        <v>0</v>
      </c>
      <c r="BO1953" s="12">
        <v>0</v>
      </c>
      <c r="BP1953" s="12">
        <v>0</v>
      </c>
      <c r="BQ1953" s="12">
        <v>0</v>
      </c>
      <c r="BR1953" s="12">
        <v>0</v>
      </c>
      <c r="BS1953" s="12">
        <v>0</v>
      </c>
      <c r="BT1953" s="12">
        <v>0</v>
      </c>
      <c r="BU1953" s="47">
        <v>0</v>
      </c>
      <c r="BV1953" s="47"/>
      <c r="BW1953" s="47"/>
    </row>
    <row r="1954" spans="3:75" ht="19.5" customHeight="1">
      <c r="C1954" s="18">
        <v>70505005</v>
      </c>
      <c r="D1954" s="17" t="s">
        <v>1326</v>
      </c>
      <c r="E1954" s="17" t="s">
        <v>1327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3</v>
      </c>
      <c r="Y1954" s="12">
        <v>0</v>
      </c>
      <c r="Z1954" s="16">
        <v>0</v>
      </c>
      <c r="AA1954" s="16">
        <v>1</v>
      </c>
      <c r="AB1954" s="16">
        <v>0</v>
      </c>
      <c r="AC1954" s="16">
        <v>0</v>
      </c>
      <c r="AD1954" s="16">
        <v>0</v>
      </c>
      <c r="AE1954" s="16">
        <v>0</v>
      </c>
      <c r="AF1954" s="16">
        <v>15</v>
      </c>
      <c r="AG1954" s="16">
        <v>1</v>
      </c>
      <c r="AH1954" s="16" t="s">
        <v>607</v>
      </c>
      <c r="AI1954" s="12">
        <v>0</v>
      </c>
      <c r="AJ1954" s="12">
        <v>1</v>
      </c>
      <c r="AK1954" s="12">
        <v>0</v>
      </c>
      <c r="AL1954" s="12">
        <v>3</v>
      </c>
      <c r="AM1954" s="16">
        <v>0</v>
      </c>
      <c r="AN1954" s="16">
        <v>0</v>
      </c>
      <c r="AO1954" s="16">
        <v>0</v>
      </c>
      <c r="AP1954" s="16">
        <v>3</v>
      </c>
      <c r="AQ1954" s="16">
        <v>5000</v>
      </c>
      <c r="AR1954" s="16">
        <v>2.5</v>
      </c>
      <c r="AS1954" s="16">
        <v>0</v>
      </c>
      <c r="AT1954" s="12">
        <v>0</v>
      </c>
      <c r="AU1954" s="16" t="s">
        <v>659</v>
      </c>
      <c r="AV1954" s="16"/>
      <c r="AW1954" s="19" t="s">
        <v>287</v>
      </c>
      <c r="AX1954" s="16" t="s">
        <v>534</v>
      </c>
      <c r="AY1954" s="18">
        <v>10000007</v>
      </c>
      <c r="AZ1954" s="18">
        <v>70305005</v>
      </c>
      <c r="BA1954" s="17" t="s">
        <v>200</v>
      </c>
      <c r="BB1954" s="16">
        <v>0</v>
      </c>
      <c r="BC1954" s="27">
        <v>0</v>
      </c>
      <c r="BD1954" s="27">
        <v>0</v>
      </c>
      <c r="BE1954" s="44" t="s">
        <v>1122</v>
      </c>
      <c r="BF1954" s="44" t="s">
        <v>1123</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19.5" customHeight="1">
      <c r="C1955" s="18">
        <v>70505006</v>
      </c>
      <c r="D1955" s="17" t="s">
        <v>4288</v>
      </c>
      <c r="E1955" s="17" t="s">
        <v>4289</v>
      </c>
      <c r="F1955" s="18">
        <v>1</v>
      </c>
      <c r="G1955" s="16">
        <v>60010100</v>
      </c>
      <c r="H1955" s="18">
        <v>0</v>
      </c>
      <c r="I1955" s="27">
        <v>0</v>
      </c>
      <c r="J1955" s="18">
        <v>1</v>
      </c>
      <c r="K1955" s="18">
        <v>0</v>
      </c>
      <c r="L1955" s="18">
        <v>0</v>
      </c>
      <c r="M1955" s="16">
        <v>0</v>
      </c>
      <c r="N1955" s="16">
        <v>0</v>
      </c>
      <c r="O1955" s="16">
        <v>2</v>
      </c>
      <c r="P1955" s="16">
        <v>1</v>
      </c>
      <c r="Q1955" s="16">
        <v>1</v>
      </c>
      <c r="R1955" s="16">
        <v>0</v>
      </c>
      <c r="S1955" s="12">
        <v>0</v>
      </c>
      <c r="T1955" s="16">
        <v>0</v>
      </c>
      <c r="U1955" s="16">
        <v>1</v>
      </c>
      <c r="V1955" s="16">
        <v>2</v>
      </c>
      <c r="W1955" s="16">
        <v>0</v>
      </c>
      <c r="X1955" s="16">
        <v>3</v>
      </c>
      <c r="Y1955" s="12">
        <v>0</v>
      </c>
      <c r="Z1955" s="16">
        <v>0</v>
      </c>
      <c r="AA1955" s="16">
        <v>1</v>
      </c>
      <c r="AB1955" s="16">
        <v>0</v>
      </c>
      <c r="AC1955" s="16">
        <v>0</v>
      </c>
      <c r="AD1955" s="16">
        <v>0</v>
      </c>
      <c r="AE1955" s="16">
        <v>0</v>
      </c>
      <c r="AF1955" s="16">
        <v>7</v>
      </c>
      <c r="AG1955" s="16">
        <v>1</v>
      </c>
      <c r="AH1955" s="16" t="s">
        <v>607</v>
      </c>
      <c r="AI1955" s="12">
        <v>0</v>
      </c>
      <c r="AJ1955" s="12">
        <v>1</v>
      </c>
      <c r="AK1955" s="12">
        <v>0</v>
      </c>
      <c r="AL1955" s="12">
        <v>3</v>
      </c>
      <c r="AM1955" s="16">
        <v>0</v>
      </c>
      <c r="AN1955" s="16">
        <v>0</v>
      </c>
      <c r="AO1955" s="16">
        <v>0</v>
      </c>
      <c r="AP1955" s="16">
        <v>3</v>
      </c>
      <c r="AQ1955" s="16">
        <v>5000</v>
      </c>
      <c r="AR1955" s="16">
        <v>2.5</v>
      </c>
      <c r="AS1955" s="16">
        <v>0</v>
      </c>
      <c r="AT1955" s="12">
        <v>0</v>
      </c>
      <c r="AU1955" s="16" t="s">
        <v>198</v>
      </c>
      <c r="AV1955" s="16"/>
      <c r="AW1955" s="19" t="s">
        <v>199</v>
      </c>
      <c r="AX1955" s="16" t="s">
        <v>534</v>
      </c>
      <c r="AY1955" s="18">
        <v>10000007</v>
      </c>
      <c r="AZ1955" s="18">
        <v>70305007</v>
      </c>
      <c r="BA1955" s="17" t="s">
        <v>200</v>
      </c>
      <c r="BB1955" s="16">
        <v>0</v>
      </c>
      <c r="BC1955" s="27">
        <v>0</v>
      </c>
      <c r="BD1955" s="27">
        <v>0</v>
      </c>
      <c r="BE1955" s="44" t="s">
        <v>582</v>
      </c>
      <c r="BF1955" s="44" t="s">
        <v>583</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70505007</v>
      </c>
      <c r="D1956" s="17" t="s">
        <v>1124</v>
      </c>
      <c r="E1956" s="17" t="s">
        <v>1125</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1</v>
      </c>
      <c r="Y1956" s="12">
        <v>0</v>
      </c>
      <c r="Z1956" s="16">
        <v>0</v>
      </c>
      <c r="AA1956" s="16">
        <v>1</v>
      </c>
      <c r="AB1956" s="16">
        <v>0</v>
      </c>
      <c r="AC1956" s="16">
        <v>0</v>
      </c>
      <c r="AD1956" s="16">
        <v>0</v>
      </c>
      <c r="AE1956" s="16">
        <v>0</v>
      </c>
      <c r="AF1956" s="16">
        <v>30</v>
      </c>
      <c r="AG1956" s="16">
        <v>1</v>
      </c>
      <c r="AH1956" s="16" t="s">
        <v>861</v>
      </c>
      <c r="AI1956" s="12">
        <v>0</v>
      </c>
      <c r="AJ1956" s="12">
        <v>0</v>
      </c>
      <c r="AK1956" s="12">
        <v>0</v>
      </c>
      <c r="AL1956" s="12">
        <v>0</v>
      </c>
      <c r="AM1956" s="16">
        <v>0</v>
      </c>
      <c r="AN1956" s="16">
        <v>0</v>
      </c>
      <c r="AO1956" s="16">
        <v>0</v>
      </c>
      <c r="AP1956" s="16">
        <v>0.5</v>
      </c>
      <c r="AQ1956" s="16">
        <v>999999</v>
      </c>
      <c r="AR1956" s="16">
        <v>0.5</v>
      </c>
      <c r="AS1956" s="16">
        <v>0</v>
      </c>
      <c r="AT1956" s="12">
        <v>0</v>
      </c>
      <c r="AU1956" s="338" t="s">
        <v>1019</v>
      </c>
      <c r="AV1956" s="12"/>
      <c r="AW1956" s="19" t="s">
        <v>287</v>
      </c>
      <c r="AX1956" s="16" t="s">
        <v>534</v>
      </c>
      <c r="AY1956" s="18">
        <v>10000007</v>
      </c>
      <c r="AZ1956" s="18">
        <v>70202004</v>
      </c>
      <c r="BA1956" s="19" t="s">
        <v>315</v>
      </c>
      <c r="BB1956" s="19" t="s">
        <v>371</v>
      </c>
      <c r="BC1956" s="27">
        <v>0</v>
      </c>
      <c r="BD1956" s="27">
        <v>0</v>
      </c>
      <c r="BE1956" s="44" t="s">
        <v>1001</v>
      </c>
      <c r="BF1956" s="44" t="s">
        <v>1002</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19.5" customHeight="1">
      <c r="C1957" s="18">
        <v>70505008</v>
      </c>
      <c r="D1957" s="17" t="s">
        <v>1091</v>
      </c>
      <c r="E1957" s="17" t="s">
        <v>1092</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256</v>
      </c>
      <c r="AX1957" s="16" t="s">
        <v>534</v>
      </c>
      <c r="AY1957" s="18">
        <v>10000007</v>
      </c>
      <c r="AZ1957" s="18">
        <v>70403003</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71000001</v>
      </c>
      <c r="D1958" s="19" t="s">
        <v>4344</v>
      </c>
      <c r="E1958" s="19" t="s">
        <v>4345</v>
      </c>
      <c r="F1958" s="18">
        <v>1</v>
      </c>
      <c r="G1958" s="18">
        <v>60010100</v>
      </c>
      <c r="H1958" s="18">
        <v>0</v>
      </c>
      <c r="I1958" s="27">
        <v>0</v>
      </c>
      <c r="J1958" s="18">
        <v>1</v>
      </c>
      <c r="K1958" s="18">
        <v>0</v>
      </c>
      <c r="L1958" s="18">
        <v>0</v>
      </c>
      <c r="M1958" s="18">
        <v>0</v>
      </c>
      <c r="N1958" s="18">
        <v>0</v>
      </c>
      <c r="O1958" s="16">
        <v>2</v>
      </c>
      <c r="P1958" s="18">
        <v>0</v>
      </c>
      <c r="Q1958" s="18">
        <v>0</v>
      </c>
      <c r="R1958" s="18">
        <v>0</v>
      </c>
      <c r="S1958" s="12">
        <v>0</v>
      </c>
      <c r="T1958" s="27">
        <v>0</v>
      </c>
      <c r="U1958" s="16">
        <v>1</v>
      </c>
      <c r="V1958" s="18">
        <v>2</v>
      </c>
      <c r="W1958" s="18">
        <v>0</v>
      </c>
      <c r="X1958" s="18">
        <v>0</v>
      </c>
      <c r="Y1958" s="12">
        <v>0</v>
      </c>
      <c r="Z1958" s="18">
        <v>0</v>
      </c>
      <c r="AA1958" s="18">
        <v>1</v>
      </c>
      <c r="AB1958" s="18">
        <v>0</v>
      </c>
      <c r="AC1958" s="18">
        <v>0</v>
      </c>
      <c r="AD1958" s="16">
        <v>0</v>
      </c>
      <c r="AE1958" s="18">
        <v>0</v>
      </c>
      <c r="AF1958" s="18">
        <v>5</v>
      </c>
      <c r="AG1958" s="18">
        <v>1</v>
      </c>
      <c r="AH1958" s="18">
        <v>3</v>
      </c>
      <c r="AI1958" s="12">
        <v>2</v>
      </c>
      <c r="AJ1958" s="12">
        <v>0</v>
      </c>
      <c r="AK1958" s="12">
        <v>0</v>
      </c>
      <c r="AL1958" s="12">
        <v>1.6</v>
      </c>
      <c r="AM1958" s="18">
        <v>0</v>
      </c>
      <c r="AN1958" s="18">
        <v>0</v>
      </c>
      <c r="AO1958" s="18">
        <v>0</v>
      </c>
      <c r="AP1958" s="18">
        <v>0.5</v>
      </c>
      <c r="AQ1958" s="18">
        <v>3000</v>
      </c>
      <c r="AR1958" s="18">
        <v>0</v>
      </c>
      <c r="AS1958" s="18">
        <v>0</v>
      </c>
      <c r="AT1958" s="12">
        <v>0</v>
      </c>
      <c r="AU1958" s="18" t="s">
        <v>4346</v>
      </c>
      <c r="AV1958" s="18"/>
      <c r="AW1958" s="19" t="s">
        <v>256</v>
      </c>
      <c r="AX1958" s="18" t="s">
        <v>534</v>
      </c>
      <c r="AY1958" s="18" t="s">
        <v>198</v>
      </c>
      <c r="AZ1958" s="18" t="s">
        <v>198</v>
      </c>
      <c r="BA1958" s="19" t="s">
        <v>200</v>
      </c>
      <c r="BB1958" s="19">
        <v>0</v>
      </c>
      <c r="BC1958" s="27">
        <v>0</v>
      </c>
      <c r="BD1958" s="27">
        <v>0</v>
      </c>
      <c r="BE1958" s="87" t="s">
        <v>4347</v>
      </c>
      <c r="BF1958" s="87" t="s">
        <v>4348</v>
      </c>
      <c r="BG1958" s="18">
        <v>0</v>
      </c>
      <c r="BH1958" s="16">
        <v>0</v>
      </c>
      <c r="BI1958" s="18">
        <v>0</v>
      </c>
      <c r="BJ1958" s="18">
        <v>0</v>
      </c>
      <c r="BK1958" s="18">
        <v>0</v>
      </c>
      <c r="BL1958" s="18">
        <v>0</v>
      </c>
      <c r="BM1958" s="15">
        <v>0</v>
      </c>
      <c r="BN1958" s="12">
        <v>0</v>
      </c>
      <c r="BO1958" s="12">
        <v>0</v>
      </c>
      <c r="BP1958" s="12">
        <v>0</v>
      </c>
      <c r="BQ1958" s="12">
        <v>0</v>
      </c>
      <c r="BR1958" s="12">
        <v>0</v>
      </c>
      <c r="BS1958" s="12">
        <v>0</v>
      </c>
      <c r="BT1958" s="12">
        <v>0</v>
      </c>
      <c r="BU1958" s="47">
        <v>0</v>
      </c>
      <c r="BV1958" s="47"/>
      <c r="BW1958" s="47"/>
    </row>
    <row r="1959" spans="3:75" ht="19.5" customHeight="1">
      <c r="C1959" s="18">
        <v>71000002</v>
      </c>
      <c r="D1959" s="19" t="s">
        <v>4349</v>
      </c>
      <c r="E1959" s="19" t="s">
        <v>4350</v>
      </c>
      <c r="F1959" s="18">
        <v>1</v>
      </c>
      <c r="G1959" s="18">
        <v>60010100</v>
      </c>
      <c r="H1959" s="18">
        <v>0</v>
      </c>
      <c r="I1959" s="27">
        <v>0</v>
      </c>
      <c r="J1959" s="18">
        <v>1</v>
      </c>
      <c r="K1959" s="18">
        <v>0</v>
      </c>
      <c r="L1959" s="18">
        <v>0</v>
      </c>
      <c r="M1959" s="18">
        <v>0</v>
      </c>
      <c r="N1959" s="18">
        <v>0</v>
      </c>
      <c r="O1959" s="16">
        <v>2</v>
      </c>
      <c r="P1959" s="18">
        <v>0</v>
      </c>
      <c r="Q1959" s="18">
        <v>0</v>
      </c>
      <c r="R1959" s="18">
        <v>0</v>
      </c>
      <c r="S1959" s="12">
        <v>0</v>
      </c>
      <c r="T1959" s="27">
        <v>0</v>
      </c>
      <c r="U1959" s="16">
        <v>1</v>
      </c>
      <c r="V1959" s="18">
        <v>2</v>
      </c>
      <c r="W1959" s="18">
        <v>0</v>
      </c>
      <c r="X1959" s="18">
        <v>0</v>
      </c>
      <c r="Y1959" s="12">
        <v>0</v>
      </c>
      <c r="Z1959" s="18">
        <v>0</v>
      </c>
      <c r="AA1959" s="18">
        <v>1</v>
      </c>
      <c r="AB1959" s="18">
        <v>0</v>
      </c>
      <c r="AC1959" s="18">
        <v>0</v>
      </c>
      <c r="AD1959" s="16">
        <v>0</v>
      </c>
      <c r="AE1959" s="18">
        <v>0</v>
      </c>
      <c r="AF1959" s="18">
        <v>5</v>
      </c>
      <c r="AG1959" s="18">
        <v>1</v>
      </c>
      <c r="AH1959" s="18">
        <v>3</v>
      </c>
      <c r="AI1959" s="12">
        <v>2</v>
      </c>
      <c r="AJ1959" s="12">
        <v>0</v>
      </c>
      <c r="AK1959" s="12">
        <v>0</v>
      </c>
      <c r="AL1959" s="12">
        <v>1.6</v>
      </c>
      <c r="AM1959" s="18">
        <v>0</v>
      </c>
      <c r="AN1959" s="18">
        <v>0</v>
      </c>
      <c r="AO1959" s="18">
        <v>0</v>
      </c>
      <c r="AP1959" s="18">
        <v>0.5</v>
      </c>
      <c r="AQ1959" s="18">
        <v>3000</v>
      </c>
      <c r="AR1959" s="18">
        <v>0</v>
      </c>
      <c r="AS1959" s="18">
        <v>0</v>
      </c>
      <c r="AT1959" s="12">
        <v>0</v>
      </c>
      <c r="AU1959" s="18">
        <v>99004005</v>
      </c>
      <c r="AV1959" s="18"/>
      <c r="AW1959" s="19" t="s">
        <v>256</v>
      </c>
      <c r="AX1959" s="18" t="s">
        <v>534</v>
      </c>
      <c r="AY1959" s="18" t="s">
        <v>198</v>
      </c>
      <c r="AZ1959" s="18" t="s">
        <v>198</v>
      </c>
      <c r="BA1959" s="19" t="s">
        <v>200</v>
      </c>
      <c r="BB1959" s="19">
        <v>0</v>
      </c>
      <c r="BC1959" s="27">
        <v>0</v>
      </c>
      <c r="BD1959" s="27">
        <v>0</v>
      </c>
      <c r="BE1959" s="87" t="s">
        <v>4347</v>
      </c>
      <c r="BF1959" s="87" t="s">
        <v>4348</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20.100000000000001" customHeight="1">
      <c r="C1960" s="18">
        <v>73001101</v>
      </c>
      <c r="D1960" s="19" t="s">
        <v>1587</v>
      </c>
      <c r="E1960" s="19" t="s">
        <v>1588</v>
      </c>
      <c r="F1960" s="18">
        <v>1</v>
      </c>
      <c r="G1960" s="15">
        <v>0</v>
      </c>
      <c r="H1960" s="18">
        <v>0</v>
      </c>
      <c r="I1960" s="27">
        <v>0</v>
      </c>
      <c r="J1960" s="18">
        <v>1</v>
      </c>
      <c r="K1960" s="18">
        <v>0</v>
      </c>
      <c r="L1960" s="18">
        <v>0</v>
      </c>
      <c r="M1960" s="18">
        <v>0</v>
      </c>
      <c r="N1960" s="18">
        <v>0</v>
      </c>
      <c r="O1960" s="18">
        <v>2</v>
      </c>
      <c r="P1960" s="18">
        <v>1</v>
      </c>
      <c r="Q1960" s="18">
        <v>0.1</v>
      </c>
      <c r="R1960" s="18">
        <v>0</v>
      </c>
      <c r="S1960" s="12">
        <v>0</v>
      </c>
      <c r="T1960" s="27">
        <v>0</v>
      </c>
      <c r="U1960" s="16">
        <v>1</v>
      </c>
      <c r="V1960" s="18">
        <v>1</v>
      </c>
      <c r="W1960" s="18">
        <v>0</v>
      </c>
      <c r="X1960" s="18">
        <v>1.5</v>
      </c>
      <c r="Y1960" s="12">
        <v>0</v>
      </c>
      <c r="Z1960" s="18">
        <v>0</v>
      </c>
      <c r="AA1960" s="18">
        <v>0</v>
      </c>
      <c r="AB1960" s="18">
        <v>0</v>
      </c>
      <c r="AC1960" s="18">
        <v>0</v>
      </c>
      <c r="AD1960" s="18">
        <v>1</v>
      </c>
      <c r="AE1960" s="18">
        <v>0</v>
      </c>
      <c r="AF1960" s="18">
        <v>5</v>
      </c>
      <c r="AG1960" s="18">
        <v>1</v>
      </c>
      <c r="AH1960" s="18">
        <v>3</v>
      </c>
      <c r="AI1960" s="12">
        <v>2</v>
      </c>
      <c r="AJ1960" s="12">
        <v>1</v>
      </c>
      <c r="AK1960" s="12">
        <v>0</v>
      </c>
      <c r="AL1960" s="12">
        <v>6</v>
      </c>
      <c r="AM1960" s="18">
        <v>0</v>
      </c>
      <c r="AN1960" s="18">
        <v>0</v>
      </c>
      <c r="AO1960" s="18">
        <v>0</v>
      </c>
      <c r="AP1960" s="18">
        <v>0.5</v>
      </c>
      <c r="AQ1960" s="18">
        <v>5000</v>
      </c>
      <c r="AR1960" s="18">
        <v>0.2</v>
      </c>
      <c r="AS1960" s="18">
        <v>0</v>
      </c>
      <c r="AT1960" s="12">
        <v>0</v>
      </c>
      <c r="AU1960" s="18" t="s">
        <v>198</v>
      </c>
      <c r="AV1960" s="18"/>
      <c r="AW1960" s="19" t="s">
        <v>199</v>
      </c>
      <c r="AX1960" s="18">
        <v>0</v>
      </c>
      <c r="AY1960" s="18">
        <v>10000006</v>
      </c>
      <c r="AZ1960" s="26">
        <v>60000004</v>
      </c>
      <c r="BA1960" s="19" t="s">
        <v>1591</v>
      </c>
      <c r="BB1960" s="19" t="s">
        <v>198</v>
      </c>
      <c r="BC1960" s="27">
        <v>0</v>
      </c>
      <c r="BD1960" s="27">
        <v>0</v>
      </c>
      <c r="BE1960" s="87"/>
      <c r="BF1960" s="87"/>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20.100000000000001" customHeight="1">
      <c r="C1961" s="18">
        <v>73001102</v>
      </c>
      <c r="D1961" s="17" t="s">
        <v>532</v>
      </c>
      <c r="E1961" s="17" t="s">
        <v>255</v>
      </c>
      <c r="F1961" s="18">
        <v>1</v>
      </c>
      <c r="G1961" s="16">
        <v>0</v>
      </c>
      <c r="H1961" s="18">
        <v>0</v>
      </c>
      <c r="I1961" s="27">
        <v>0</v>
      </c>
      <c r="J1961" s="18">
        <v>1</v>
      </c>
      <c r="K1961" s="18">
        <v>0</v>
      </c>
      <c r="L1961" s="18">
        <v>0</v>
      </c>
      <c r="M1961" s="16">
        <v>0</v>
      </c>
      <c r="N1961" s="16">
        <v>0</v>
      </c>
      <c r="O1961" s="16">
        <v>2</v>
      </c>
      <c r="P1961" s="16">
        <v>1</v>
      </c>
      <c r="Q1961" s="16">
        <v>1</v>
      </c>
      <c r="R1961" s="16">
        <v>0</v>
      </c>
      <c r="S1961" s="12">
        <v>0</v>
      </c>
      <c r="T1961" s="16">
        <v>0</v>
      </c>
      <c r="U1961" s="16">
        <v>1</v>
      </c>
      <c r="V1961" s="16">
        <v>2</v>
      </c>
      <c r="W1961" s="16">
        <v>0</v>
      </c>
      <c r="X1961" s="16">
        <v>2</v>
      </c>
      <c r="Y1961" s="12">
        <v>0</v>
      </c>
      <c r="Z1961" s="16">
        <v>0</v>
      </c>
      <c r="AA1961" s="16">
        <v>1</v>
      </c>
      <c r="AB1961" s="16">
        <v>0</v>
      </c>
      <c r="AC1961" s="16">
        <v>0</v>
      </c>
      <c r="AD1961" s="16">
        <v>0</v>
      </c>
      <c r="AE1961" s="16">
        <v>0</v>
      </c>
      <c r="AF1961" s="16">
        <v>6</v>
      </c>
      <c r="AG1961" s="16">
        <v>1</v>
      </c>
      <c r="AH1961" s="16">
        <v>3</v>
      </c>
      <c r="AI1961" s="12">
        <v>0</v>
      </c>
      <c r="AJ1961" s="12">
        <v>0</v>
      </c>
      <c r="AK1961" s="12">
        <v>0</v>
      </c>
      <c r="AL1961" s="12">
        <v>1.5</v>
      </c>
      <c r="AM1961" s="16">
        <v>0</v>
      </c>
      <c r="AN1961" s="16">
        <v>0</v>
      </c>
      <c r="AO1961" s="16">
        <v>0</v>
      </c>
      <c r="AP1961" s="16">
        <v>1</v>
      </c>
      <c r="AQ1961" s="16">
        <v>5000</v>
      </c>
      <c r="AR1961" s="16">
        <v>0.5</v>
      </c>
      <c r="AS1961" s="16">
        <v>0</v>
      </c>
      <c r="AT1961" s="12">
        <v>0</v>
      </c>
      <c r="AU1961" s="16" t="s">
        <v>198</v>
      </c>
      <c r="AV1961" s="16"/>
      <c r="AW1961" s="19" t="s">
        <v>199</v>
      </c>
      <c r="AX1961" s="16" t="s">
        <v>534</v>
      </c>
      <c r="AY1961" s="18">
        <v>10000007</v>
      </c>
      <c r="AZ1961" s="18">
        <v>70105001</v>
      </c>
      <c r="BA1961" s="17" t="s">
        <v>200</v>
      </c>
      <c r="BB1961" s="16" t="s">
        <v>4199</v>
      </c>
      <c r="BC1961" s="27">
        <v>0</v>
      </c>
      <c r="BD1961" s="27">
        <v>0</v>
      </c>
      <c r="BE1961" s="44" t="s">
        <v>4200</v>
      </c>
      <c r="BF1961" s="44" t="s">
        <v>4201</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21.75" customHeight="1">
      <c r="C1962" s="18">
        <v>73001103</v>
      </c>
      <c r="D1962" s="17" t="s">
        <v>532</v>
      </c>
      <c r="E1962" s="17" t="s">
        <v>255</v>
      </c>
      <c r="F1962" s="18">
        <v>1</v>
      </c>
      <c r="G1962" s="16">
        <v>0</v>
      </c>
      <c r="H1962" s="18">
        <v>0</v>
      </c>
      <c r="I1962" s="27">
        <v>0</v>
      </c>
      <c r="J1962" s="18">
        <v>1</v>
      </c>
      <c r="K1962" s="18">
        <v>0</v>
      </c>
      <c r="L1962" s="18">
        <v>0</v>
      </c>
      <c r="M1962" s="16">
        <v>0</v>
      </c>
      <c r="N1962" s="16">
        <v>0</v>
      </c>
      <c r="O1962" s="16">
        <v>2</v>
      </c>
      <c r="P1962" s="16">
        <v>3</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9</v>
      </c>
      <c r="AG1962" s="16">
        <v>1</v>
      </c>
      <c r="AH1962" s="16">
        <v>4</v>
      </c>
      <c r="AI1962" s="12">
        <v>0</v>
      </c>
      <c r="AJ1962" s="12">
        <v>1</v>
      </c>
      <c r="AK1962" s="12">
        <v>0</v>
      </c>
      <c r="AL1962" s="12">
        <v>2</v>
      </c>
      <c r="AM1962" s="16">
        <v>0</v>
      </c>
      <c r="AN1962" s="16">
        <v>0</v>
      </c>
      <c r="AO1962" s="16">
        <v>0</v>
      </c>
      <c r="AP1962" s="16">
        <v>3</v>
      </c>
      <c r="AQ1962" s="16">
        <v>5000</v>
      </c>
      <c r="AR1962" s="16">
        <v>2.5</v>
      </c>
      <c r="AS1962" s="16">
        <v>0</v>
      </c>
      <c r="AT1962" s="12">
        <v>0</v>
      </c>
      <c r="AU1962" s="16" t="s">
        <v>533</v>
      </c>
      <c r="AV1962" s="16"/>
      <c r="AW1962" s="17" t="s">
        <v>287</v>
      </c>
      <c r="AX1962" s="16" t="s">
        <v>534</v>
      </c>
      <c r="AY1962" s="18">
        <v>10000007</v>
      </c>
      <c r="AZ1962" s="18">
        <v>70102001</v>
      </c>
      <c r="BA1962" s="17" t="s">
        <v>200</v>
      </c>
      <c r="BB1962" s="16" t="s">
        <v>4194</v>
      </c>
      <c r="BC1962" s="27">
        <v>0</v>
      </c>
      <c r="BD1962" s="27">
        <v>0</v>
      </c>
      <c r="BE1962" s="44" t="s">
        <v>536</v>
      </c>
      <c r="BF1962" s="44" t="s">
        <v>537</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73001201</v>
      </c>
      <c r="D1963" s="17" t="s">
        <v>4330</v>
      </c>
      <c r="E1963" s="17" t="s">
        <v>4331</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2</v>
      </c>
      <c r="Y1963" s="12">
        <v>0</v>
      </c>
      <c r="Z1963" s="16">
        <v>0</v>
      </c>
      <c r="AA1963" s="16">
        <v>1</v>
      </c>
      <c r="AB1963" s="16">
        <v>0</v>
      </c>
      <c r="AC1963" s="16">
        <v>0</v>
      </c>
      <c r="AD1963" s="16">
        <v>0</v>
      </c>
      <c r="AE1963" s="16">
        <v>0</v>
      </c>
      <c r="AF1963" s="16">
        <v>20</v>
      </c>
      <c r="AG1963" s="16">
        <v>1</v>
      </c>
      <c r="AH1963" s="16" t="s">
        <v>861</v>
      </c>
      <c r="AI1963" s="12">
        <v>1</v>
      </c>
      <c r="AJ1963" s="12">
        <v>0</v>
      </c>
      <c r="AK1963" s="12">
        <v>0</v>
      </c>
      <c r="AL1963" s="12">
        <v>0</v>
      </c>
      <c r="AM1963" s="16">
        <v>0</v>
      </c>
      <c r="AN1963" s="16">
        <v>0</v>
      </c>
      <c r="AO1963" s="16">
        <v>0</v>
      </c>
      <c r="AP1963" s="16">
        <v>0.5</v>
      </c>
      <c r="AQ1963" s="16">
        <v>999999</v>
      </c>
      <c r="AR1963" s="16">
        <v>2</v>
      </c>
      <c r="AS1963" s="16">
        <v>0</v>
      </c>
      <c r="AT1963" s="12">
        <v>0</v>
      </c>
      <c r="AU1963" s="16" t="s">
        <v>854</v>
      </c>
      <c r="AV1963" s="16"/>
      <c r="AW1963" s="19" t="s">
        <v>287</v>
      </c>
      <c r="AX1963" s="16" t="s">
        <v>534</v>
      </c>
      <c r="AY1963" s="18">
        <v>10000007</v>
      </c>
      <c r="AZ1963" s="18">
        <v>70405007</v>
      </c>
      <c r="BA1963" s="19" t="s">
        <v>315</v>
      </c>
      <c r="BB1963" s="19" t="s">
        <v>371</v>
      </c>
      <c r="BC1963" s="27">
        <v>0</v>
      </c>
      <c r="BD1963" s="27">
        <v>0</v>
      </c>
      <c r="BE1963" s="44" t="s">
        <v>4332</v>
      </c>
      <c r="BF1963" s="44" t="s">
        <v>4333</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73001203</v>
      </c>
      <c r="D1964" s="17" t="s">
        <v>4202</v>
      </c>
      <c r="E1964" s="17" t="s">
        <v>4203</v>
      </c>
      <c r="F1964" s="18">
        <v>1</v>
      </c>
      <c r="G1964" s="16">
        <v>60010300</v>
      </c>
      <c r="H1964" s="18">
        <v>0</v>
      </c>
      <c r="I1964" s="27">
        <v>0</v>
      </c>
      <c r="J1964" s="18">
        <v>1</v>
      </c>
      <c r="K1964" s="18">
        <v>0</v>
      </c>
      <c r="L1964" s="18">
        <v>0</v>
      </c>
      <c r="M1964" s="16">
        <v>0</v>
      </c>
      <c r="N1964" s="16">
        <v>0</v>
      </c>
      <c r="O1964" s="16">
        <v>2</v>
      </c>
      <c r="P1964" s="16">
        <v>2</v>
      </c>
      <c r="Q1964" s="16">
        <v>0.8</v>
      </c>
      <c r="R1964" s="16">
        <v>0</v>
      </c>
      <c r="S1964" s="12">
        <v>0</v>
      </c>
      <c r="T1964" s="16">
        <v>0</v>
      </c>
      <c r="U1964" s="16">
        <v>1</v>
      </c>
      <c r="V1964" s="16">
        <v>2</v>
      </c>
      <c r="W1964" s="16">
        <v>0</v>
      </c>
      <c r="X1964" s="16">
        <v>0</v>
      </c>
      <c r="Y1964" s="12">
        <v>0</v>
      </c>
      <c r="Z1964" s="16">
        <v>0</v>
      </c>
      <c r="AA1964" s="16">
        <v>0</v>
      </c>
      <c r="AB1964" s="16">
        <v>0</v>
      </c>
      <c r="AC1964" s="16">
        <v>0</v>
      </c>
      <c r="AD1964" s="16">
        <v>0</v>
      </c>
      <c r="AE1964" s="16">
        <v>0</v>
      </c>
      <c r="AF1964" s="16">
        <v>30</v>
      </c>
      <c r="AG1964" s="16">
        <v>0</v>
      </c>
      <c r="AH1964" s="16">
        <v>0</v>
      </c>
      <c r="AI1964" s="12">
        <v>2</v>
      </c>
      <c r="AJ1964" s="12">
        <v>2</v>
      </c>
      <c r="AK1964" s="12">
        <v>0</v>
      </c>
      <c r="AL1964" s="12">
        <v>1.5</v>
      </c>
      <c r="AM1964" s="16">
        <v>0</v>
      </c>
      <c r="AN1964" s="16">
        <v>0</v>
      </c>
      <c r="AO1964" s="16">
        <v>0</v>
      </c>
      <c r="AP1964" s="16">
        <v>1</v>
      </c>
      <c r="AQ1964" s="16">
        <v>3000</v>
      </c>
      <c r="AR1964" s="16">
        <v>0.5</v>
      </c>
      <c r="AS1964" s="16">
        <v>0</v>
      </c>
      <c r="AT1964" s="12">
        <v>0</v>
      </c>
      <c r="AU1964" s="16" t="s">
        <v>198</v>
      </c>
      <c r="AV1964" s="16"/>
      <c r="AW1964" s="19" t="s">
        <v>199</v>
      </c>
      <c r="AX1964" s="16" t="s">
        <v>545</v>
      </c>
      <c r="AY1964" s="18">
        <v>0</v>
      </c>
      <c r="AZ1964" s="18">
        <v>0</v>
      </c>
      <c r="BA1964" s="17" t="s">
        <v>528</v>
      </c>
      <c r="BB1964" s="16" t="s">
        <v>4351</v>
      </c>
      <c r="BC1964" s="27">
        <v>0</v>
      </c>
      <c r="BD1964" s="27">
        <v>0</v>
      </c>
      <c r="BE1964" s="44" t="s">
        <v>4205</v>
      </c>
      <c r="BF1964" s="44" t="s">
        <v>4206</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73001204</v>
      </c>
      <c r="D1965" s="17" t="s">
        <v>2957</v>
      </c>
      <c r="E1965" s="17" t="s">
        <v>2958</v>
      </c>
      <c r="F1965" s="18">
        <v>1</v>
      </c>
      <c r="G1965" s="16">
        <v>60010100</v>
      </c>
      <c r="H1965" s="18">
        <v>0</v>
      </c>
      <c r="I1965" s="27">
        <v>0</v>
      </c>
      <c r="J1965" s="18">
        <v>1</v>
      </c>
      <c r="K1965" s="18">
        <v>0</v>
      </c>
      <c r="L1965" s="18">
        <v>0</v>
      </c>
      <c r="M1965" s="16">
        <v>0</v>
      </c>
      <c r="N1965" s="16">
        <v>0</v>
      </c>
      <c r="O1965" s="16">
        <v>2</v>
      </c>
      <c r="P1965" s="16">
        <v>1</v>
      </c>
      <c r="Q1965" s="16">
        <v>0.5</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10</v>
      </c>
      <c r="AG1965" s="16">
        <v>1</v>
      </c>
      <c r="AH1965" s="16">
        <v>3</v>
      </c>
      <c r="AI1965" s="12">
        <v>1</v>
      </c>
      <c r="AJ1965" s="12">
        <v>1</v>
      </c>
      <c r="AK1965" s="12">
        <v>0</v>
      </c>
      <c r="AL1965" s="12">
        <v>1.5</v>
      </c>
      <c r="AM1965" s="16">
        <v>0</v>
      </c>
      <c r="AN1965" s="16">
        <v>0</v>
      </c>
      <c r="AO1965" s="16">
        <v>0</v>
      </c>
      <c r="AP1965" s="16">
        <v>0.5</v>
      </c>
      <c r="AQ1965" s="16">
        <v>5000</v>
      </c>
      <c r="AR1965" s="16">
        <v>3</v>
      </c>
      <c r="AS1965" s="16">
        <v>0</v>
      </c>
      <c r="AT1965" s="12">
        <v>0</v>
      </c>
      <c r="AU1965" s="16" t="s">
        <v>198</v>
      </c>
      <c r="AV1965" s="16"/>
      <c r="AW1965" s="19" t="s">
        <v>199</v>
      </c>
      <c r="AX1965" s="16" t="s">
        <v>534</v>
      </c>
      <c r="AY1965" s="18">
        <v>10000007</v>
      </c>
      <c r="AZ1965" s="18">
        <v>70103003</v>
      </c>
      <c r="BA1965" s="17" t="s">
        <v>200</v>
      </c>
      <c r="BB1965" s="16" t="s">
        <v>4352</v>
      </c>
      <c r="BC1965" s="27">
        <v>0</v>
      </c>
      <c r="BD1965" s="27">
        <v>0</v>
      </c>
      <c r="BE1965" s="44" t="s">
        <v>2960</v>
      </c>
      <c r="BF1965" s="44" t="s">
        <v>2961</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19.5" customHeight="1">
      <c r="C1966" s="18">
        <v>73001205</v>
      </c>
      <c r="D1966" s="19" t="s">
        <v>584</v>
      </c>
      <c r="E1966" s="19" t="s">
        <v>585</v>
      </c>
      <c r="F1966" s="18">
        <v>1</v>
      </c>
      <c r="G1966" s="18">
        <v>60010300</v>
      </c>
      <c r="H1966" s="18">
        <v>0</v>
      </c>
      <c r="I1966" s="27">
        <v>0</v>
      </c>
      <c r="J1966" s="18">
        <v>1</v>
      </c>
      <c r="K1966" s="18">
        <v>0</v>
      </c>
      <c r="L1966" s="18">
        <v>0</v>
      </c>
      <c r="M1966" s="18">
        <v>0</v>
      </c>
      <c r="N1966" s="18">
        <v>0</v>
      </c>
      <c r="O1966" s="16">
        <v>2</v>
      </c>
      <c r="P1966" s="18">
        <v>1</v>
      </c>
      <c r="Q1966" s="18">
        <v>0.5</v>
      </c>
      <c r="R1966" s="18">
        <v>0</v>
      </c>
      <c r="S1966" s="12">
        <v>0</v>
      </c>
      <c r="T1966" s="27">
        <v>0</v>
      </c>
      <c r="U1966" s="16">
        <v>1</v>
      </c>
      <c r="V1966" s="18">
        <v>2</v>
      </c>
      <c r="W1966" s="18">
        <v>0</v>
      </c>
      <c r="X1966" s="18">
        <v>3</v>
      </c>
      <c r="Y1966" s="12">
        <v>0</v>
      </c>
      <c r="Z1966" s="18">
        <v>0</v>
      </c>
      <c r="AA1966" s="18">
        <v>0</v>
      </c>
      <c r="AB1966" s="18">
        <v>0</v>
      </c>
      <c r="AC1966" s="18">
        <v>0</v>
      </c>
      <c r="AD1966" s="18">
        <v>0</v>
      </c>
      <c r="AE1966" s="18">
        <v>0</v>
      </c>
      <c r="AF1966" s="18">
        <v>15</v>
      </c>
      <c r="AG1966" s="18">
        <v>1</v>
      </c>
      <c r="AH1966" s="18">
        <v>2</v>
      </c>
      <c r="AI1966" s="12">
        <v>2</v>
      </c>
      <c r="AJ1966" s="12">
        <v>2</v>
      </c>
      <c r="AK1966" s="12">
        <v>0</v>
      </c>
      <c r="AL1966" s="12">
        <v>3</v>
      </c>
      <c r="AM1966" s="18">
        <v>0</v>
      </c>
      <c r="AN1966" s="18">
        <v>0</v>
      </c>
      <c r="AO1966" s="18">
        <v>0</v>
      </c>
      <c r="AP1966" s="18">
        <v>2</v>
      </c>
      <c r="AQ1966" s="18">
        <v>30000</v>
      </c>
      <c r="AR1966" s="18">
        <v>2</v>
      </c>
      <c r="AS1966" s="18">
        <v>4</v>
      </c>
      <c r="AT1966" s="12">
        <v>0</v>
      </c>
      <c r="AU1966" s="18" t="s">
        <v>198</v>
      </c>
      <c r="AV1966" s="18"/>
      <c r="AW1966" s="19" t="s">
        <v>199</v>
      </c>
      <c r="AX1966" s="18" t="s">
        <v>545</v>
      </c>
      <c r="AY1966" s="18">
        <v>10003002</v>
      </c>
      <c r="AZ1966" s="18">
        <v>70106005</v>
      </c>
      <c r="BA1966" s="19" t="s">
        <v>586</v>
      </c>
      <c r="BB1966" s="19">
        <v>0</v>
      </c>
      <c r="BC1966" s="27">
        <v>0</v>
      </c>
      <c r="BD1966" s="27">
        <v>0</v>
      </c>
      <c r="BE1966" s="87" t="s">
        <v>577</v>
      </c>
      <c r="BF1966" s="87" t="s">
        <v>578</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73001301</v>
      </c>
      <c r="D1967" s="17" t="s">
        <v>760</v>
      </c>
      <c r="E1967" s="17" t="s">
        <v>761</v>
      </c>
      <c r="F1967" s="16">
        <v>2</v>
      </c>
      <c r="G1967" s="16">
        <v>61012301</v>
      </c>
      <c r="H1967" s="16">
        <v>0</v>
      </c>
      <c r="I1967" s="27">
        <v>0</v>
      </c>
      <c r="J1967" s="18">
        <v>1</v>
      </c>
      <c r="K1967" s="18">
        <v>0</v>
      </c>
      <c r="L1967" s="18">
        <v>0</v>
      </c>
      <c r="M1967" s="16">
        <v>0</v>
      </c>
      <c r="N1967" s="16">
        <v>0</v>
      </c>
      <c r="O1967" s="16">
        <v>2</v>
      </c>
      <c r="P1967" s="16">
        <v>1</v>
      </c>
      <c r="Q1967" s="16">
        <v>0.5</v>
      </c>
      <c r="R1967" s="16">
        <v>0</v>
      </c>
      <c r="S1967" s="12">
        <v>0</v>
      </c>
      <c r="T1967" s="16">
        <v>0</v>
      </c>
      <c r="U1967" s="16">
        <v>1</v>
      </c>
      <c r="V1967" s="16">
        <v>2</v>
      </c>
      <c r="W1967" s="16">
        <v>0</v>
      </c>
      <c r="X1967" s="16">
        <v>1.4</v>
      </c>
      <c r="Y1967" s="12">
        <v>0</v>
      </c>
      <c r="Z1967" s="16">
        <v>150</v>
      </c>
      <c r="AA1967" s="16">
        <v>1</v>
      </c>
      <c r="AB1967" s="16">
        <v>0</v>
      </c>
      <c r="AC1967" s="16">
        <v>0</v>
      </c>
      <c r="AD1967" s="16">
        <v>0</v>
      </c>
      <c r="AE1967" s="16">
        <v>0</v>
      </c>
      <c r="AF1967" s="16">
        <v>12</v>
      </c>
      <c r="AG1967" s="16">
        <v>2</v>
      </c>
      <c r="AH1967" s="16" t="s">
        <v>213</v>
      </c>
      <c r="AI1967" s="12">
        <v>0</v>
      </c>
      <c r="AJ1967" s="12">
        <v>2</v>
      </c>
      <c r="AK1967" s="12">
        <v>0</v>
      </c>
      <c r="AL1967" s="12">
        <v>1.5</v>
      </c>
      <c r="AM1967" s="16">
        <v>0</v>
      </c>
      <c r="AN1967" s="16">
        <v>0</v>
      </c>
      <c r="AO1967" s="16">
        <v>0</v>
      </c>
      <c r="AP1967" s="16">
        <v>1.5</v>
      </c>
      <c r="AQ1967" s="16">
        <v>1200</v>
      </c>
      <c r="AR1967" s="16">
        <v>1</v>
      </c>
      <c r="AS1967" s="16">
        <v>15</v>
      </c>
      <c r="AT1967" s="12">
        <v>0</v>
      </c>
      <c r="AU1967" s="16" t="s">
        <v>198</v>
      </c>
      <c r="AV1967" s="16"/>
      <c r="AW1967" s="17" t="s">
        <v>256</v>
      </c>
      <c r="AX1967" s="16" t="s">
        <v>215</v>
      </c>
      <c r="AY1967" s="18">
        <v>10000011</v>
      </c>
      <c r="AZ1967" s="18">
        <v>70404001</v>
      </c>
      <c r="BA1967" s="17" t="s">
        <v>216</v>
      </c>
      <c r="BB1967" s="16">
        <v>0</v>
      </c>
      <c r="BC1967" s="27">
        <v>0</v>
      </c>
      <c r="BD1967" s="27">
        <v>0</v>
      </c>
      <c r="BE1967" s="44" t="s">
        <v>798</v>
      </c>
      <c r="BF1967" s="44" t="s">
        <v>799</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73001302</v>
      </c>
      <c r="D1968" s="17" t="s">
        <v>4202</v>
      </c>
      <c r="E1968" s="17" t="s">
        <v>4203</v>
      </c>
      <c r="F1968" s="18">
        <v>1</v>
      </c>
      <c r="G1968" s="16">
        <v>60010300</v>
      </c>
      <c r="H1968" s="18">
        <v>0</v>
      </c>
      <c r="I1968" s="27">
        <v>0</v>
      </c>
      <c r="J1968" s="18">
        <v>1</v>
      </c>
      <c r="K1968" s="18">
        <v>0</v>
      </c>
      <c r="L1968" s="18">
        <v>0</v>
      </c>
      <c r="M1968" s="16">
        <v>0</v>
      </c>
      <c r="N1968" s="16">
        <v>0</v>
      </c>
      <c r="O1968" s="16">
        <v>2</v>
      </c>
      <c r="P1968" s="16">
        <v>2</v>
      </c>
      <c r="Q1968" s="16">
        <v>0.8</v>
      </c>
      <c r="R1968" s="16">
        <v>0</v>
      </c>
      <c r="S1968" s="12">
        <v>0</v>
      </c>
      <c r="T1968" s="16">
        <v>0</v>
      </c>
      <c r="U1968" s="16">
        <v>1</v>
      </c>
      <c r="V1968" s="16">
        <v>2</v>
      </c>
      <c r="W1968" s="16">
        <v>0</v>
      </c>
      <c r="X1968" s="16">
        <v>0</v>
      </c>
      <c r="Y1968" s="12">
        <v>0</v>
      </c>
      <c r="Z1968" s="16">
        <v>0</v>
      </c>
      <c r="AA1968" s="16">
        <v>0</v>
      </c>
      <c r="AB1968" s="16">
        <v>0</v>
      </c>
      <c r="AC1968" s="16">
        <v>0</v>
      </c>
      <c r="AD1968" s="16">
        <v>0</v>
      </c>
      <c r="AE1968" s="16">
        <v>0</v>
      </c>
      <c r="AF1968" s="16">
        <v>20</v>
      </c>
      <c r="AG1968" s="16">
        <v>0</v>
      </c>
      <c r="AH1968" s="16">
        <v>0</v>
      </c>
      <c r="AI1968" s="12">
        <v>2</v>
      </c>
      <c r="AJ1968" s="12">
        <v>2</v>
      </c>
      <c r="AK1968" s="12">
        <v>0</v>
      </c>
      <c r="AL1968" s="12">
        <v>1.5</v>
      </c>
      <c r="AM1968" s="16">
        <v>0</v>
      </c>
      <c r="AN1968" s="16">
        <v>0</v>
      </c>
      <c r="AO1968" s="16">
        <v>0</v>
      </c>
      <c r="AP1968" s="16">
        <v>1</v>
      </c>
      <c r="AQ1968" s="16">
        <v>3000</v>
      </c>
      <c r="AR1968" s="16">
        <v>0.5</v>
      </c>
      <c r="AS1968" s="16">
        <v>0</v>
      </c>
      <c r="AT1968" s="12">
        <v>0</v>
      </c>
      <c r="AU1968" s="16" t="s">
        <v>198</v>
      </c>
      <c r="AV1968" s="16"/>
      <c r="AW1968" s="19" t="s">
        <v>199</v>
      </c>
      <c r="AX1968" s="16" t="s">
        <v>545</v>
      </c>
      <c r="AY1968" s="18">
        <v>0</v>
      </c>
      <c r="AZ1968" s="18">
        <v>0</v>
      </c>
      <c r="BA1968" s="17" t="s">
        <v>528</v>
      </c>
      <c r="BB1968" s="16" t="s">
        <v>4353</v>
      </c>
      <c r="BC1968" s="27">
        <v>0</v>
      </c>
      <c r="BD1968" s="27">
        <v>0</v>
      </c>
      <c r="BE1968" s="44" t="s">
        <v>4205</v>
      </c>
      <c r="BF1968" s="44" t="s">
        <v>4206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18">
        <v>73001303</v>
      </c>
      <c r="D1969" s="17" t="s">
        <v>543</v>
      </c>
      <c r="E1969" s="17" t="s">
        <v>544</v>
      </c>
      <c r="F1969" s="18">
        <v>1</v>
      </c>
      <c r="G1969" s="16">
        <v>60010300</v>
      </c>
      <c r="H1969" s="18">
        <v>0</v>
      </c>
      <c r="I1969" s="27">
        <v>0</v>
      </c>
      <c r="J1969" s="18">
        <v>1</v>
      </c>
      <c r="K1969" s="18">
        <v>0</v>
      </c>
      <c r="L1969" s="18">
        <v>0</v>
      </c>
      <c r="M1969" s="16">
        <v>0</v>
      </c>
      <c r="N1969" s="16">
        <v>0</v>
      </c>
      <c r="O1969" s="16">
        <v>2</v>
      </c>
      <c r="P1969" s="16">
        <v>1</v>
      </c>
      <c r="Q1969" s="16">
        <v>0.5</v>
      </c>
      <c r="R1969" s="16">
        <v>0</v>
      </c>
      <c r="S1969" s="12">
        <v>0</v>
      </c>
      <c r="T1969" s="16">
        <v>0</v>
      </c>
      <c r="U1969" s="16">
        <v>1</v>
      </c>
      <c r="V1969" s="16">
        <v>2</v>
      </c>
      <c r="W1969" s="16">
        <v>0</v>
      </c>
      <c r="X1969" s="16">
        <v>3</v>
      </c>
      <c r="Y1969" s="12">
        <v>0</v>
      </c>
      <c r="Z1969" s="16">
        <v>0</v>
      </c>
      <c r="AA1969" s="16">
        <v>0</v>
      </c>
      <c r="AB1969" s="16">
        <v>0</v>
      </c>
      <c r="AC1969" s="16">
        <v>0</v>
      </c>
      <c r="AD1969" s="16">
        <v>0</v>
      </c>
      <c r="AE1969" s="16">
        <v>0</v>
      </c>
      <c r="AF1969" s="16">
        <v>12</v>
      </c>
      <c r="AG1969" s="16">
        <v>2</v>
      </c>
      <c r="AH1969" s="16" t="s">
        <v>213</v>
      </c>
      <c r="AI1969" s="12">
        <v>0</v>
      </c>
      <c r="AJ1969" s="12">
        <v>2</v>
      </c>
      <c r="AK1969" s="12">
        <v>0</v>
      </c>
      <c r="AL1969" s="12">
        <v>1.5</v>
      </c>
      <c r="AM1969" s="16">
        <v>0</v>
      </c>
      <c r="AN1969" s="16">
        <v>0</v>
      </c>
      <c r="AO1969" s="16">
        <v>0</v>
      </c>
      <c r="AP1969" s="16">
        <v>2.5</v>
      </c>
      <c r="AQ1969" s="16">
        <v>4000</v>
      </c>
      <c r="AR1969" s="16">
        <v>2</v>
      </c>
      <c r="AS1969" s="16">
        <v>0</v>
      </c>
      <c r="AT1969" s="12">
        <v>0</v>
      </c>
      <c r="AU1969" s="16" t="s">
        <v>198</v>
      </c>
      <c r="AV1969" s="16"/>
      <c r="AW1969" s="19" t="s">
        <v>287</v>
      </c>
      <c r="AX1969" s="16" t="s">
        <v>545</v>
      </c>
      <c r="AY1969" s="18">
        <v>10001007</v>
      </c>
      <c r="AZ1969" s="18">
        <v>70103001</v>
      </c>
      <c r="BA1969" s="17" t="s">
        <v>200</v>
      </c>
      <c r="BB1969" s="16">
        <v>0</v>
      </c>
      <c r="BC1969" s="27">
        <v>0</v>
      </c>
      <c r="BD1969" s="27">
        <v>0</v>
      </c>
      <c r="BE1969" s="44" t="s">
        <v>546</v>
      </c>
      <c r="BF1969" s="44" t="s">
        <v>547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73001305</v>
      </c>
      <c r="D1970" s="19" t="s">
        <v>757</v>
      </c>
      <c r="E1970" s="19" t="s">
        <v>399</v>
      </c>
      <c r="F1970" s="18">
        <v>1</v>
      </c>
      <c r="G1970" s="18">
        <v>60010500</v>
      </c>
      <c r="H1970" s="18">
        <v>0</v>
      </c>
      <c r="I1970" s="27">
        <v>0</v>
      </c>
      <c r="J1970" s="18">
        <v>1</v>
      </c>
      <c r="K1970" s="18">
        <v>0</v>
      </c>
      <c r="L1970" s="18">
        <v>0</v>
      </c>
      <c r="M1970" s="18">
        <v>0</v>
      </c>
      <c r="N1970" s="18">
        <v>0</v>
      </c>
      <c r="O1970" s="16">
        <v>2</v>
      </c>
      <c r="P1970" s="18">
        <v>2</v>
      </c>
      <c r="Q1970" s="18">
        <v>0.5</v>
      </c>
      <c r="R1970" s="18">
        <v>0</v>
      </c>
      <c r="S1970" s="12">
        <v>0</v>
      </c>
      <c r="T1970" s="27">
        <v>0</v>
      </c>
      <c r="U1970" s="16">
        <v>1</v>
      </c>
      <c r="V1970" s="18">
        <v>2</v>
      </c>
      <c r="W1970" s="18">
        <v>0</v>
      </c>
      <c r="X1970" s="18">
        <v>0</v>
      </c>
      <c r="Y1970" s="12">
        <v>0</v>
      </c>
      <c r="Z1970" s="18">
        <v>0</v>
      </c>
      <c r="AA1970" s="18">
        <v>0</v>
      </c>
      <c r="AB1970" s="18">
        <v>0</v>
      </c>
      <c r="AC1970" s="18">
        <v>0</v>
      </c>
      <c r="AD1970" s="16">
        <v>0</v>
      </c>
      <c r="AE1970" s="18">
        <v>0</v>
      </c>
      <c r="AF1970" s="16">
        <v>15</v>
      </c>
      <c r="AG1970" s="18">
        <v>0</v>
      </c>
      <c r="AH1970" s="18">
        <v>0</v>
      </c>
      <c r="AI1970" s="12">
        <v>2</v>
      </c>
      <c r="AJ1970" s="12">
        <v>0</v>
      </c>
      <c r="AK1970" s="12">
        <v>0</v>
      </c>
      <c r="AL1970" s="12">
        <v>0</v>
      </c>
      <c r="AM1970" s="18">
        <v>0</v>
      </c>
      <c r="AN1970" s="18">
        <v>0</v>
      </c>
      <c r="AO1970" s="18">
        <v>0</v>
      </c>
      <c r="AP1970" s="18">
        <v>0</v>
      </c>
      <c r="AQ1970" s="18">
        <v>1000</v>
      </c>
      <c r="AR1970" s="18">
        <v>0</v>
      </c>
      <c r="AS1970" s="18">
        <v>0</v>
      </c>
      <c r="AT1970" s="12" t="s">
        <v>754</v>
      </c>
      <c r="AU1970" s="18" t="s">
        <v>198</v>
      </c>
      <c r="AV1970" s="18"/>
      <c r="AW1970" s="19" t="s">
        <v>199</v>
      </c>
      <c r="AX1970" s="18" t="s">
        <v>348</v>
      </c>
      <c r="AY1970" s="18">
        <v>0</v>
      </c>
      <c r="AZ1970" s="18">
        <v>0</v>
      </c>
      <c r="BA1970" s="19" t="s">
        <v>200</v>
      </c>
      <c r="BB1970" s="19" t="s">
        <v>198</v>
      </c>
      <c r="BC1970" s="27">
        <v>0</v>
      </c>
      <c r="BD1970" s="27">
        <v>0</v>
      </c>
      <c r="BE1970" s="87" t="s">
        <v>1118</v>
      </c>
      <c r="BF1970" s="87" t="s">
        <v>1119</v>
      </c>
      <c r="BG1970" s="18">
        <v>0</v>
      </c>
      <c r="BH1970" s="16">
        <v>0</v>
      </c>
      <c r="BI1970" s="18">
        <v>0</v>
      </c>
      <c r="BJ1970" s="18">
        <v>0</v>
      </c>
      <c r="BK1970" s="18">
        <v>0</v>
      </c>
      <c r="BL1970" s="18">
        <v>0</v>
      </c>
      <c r="BM1970" s="15">
        <v>0</v>
      </c>
      <c r="BN1970" s="12">
        <v>0</v>
      </c>
      <c r="BO1970" s="12">
        <v>0</v>
      </c>
      <c r="BP1970" s="12">
        <v>0</v>
      </c>
      <c r="BQ1970" s="12">
        <v>0</v>
      </c>
      <c r="BR1970" s="12">
        <v>0</v>
      </c>
      <c r="BS1970" s="12">
        <v>0</v>
      </c>
      <c r="BT1970" s="12">
        <v>0</v>
      </c>
      <c r="BU1970" s="47">
        <v>0</v>
      </c>
      <c r="BV1970" s="47"/>
      <c r="BW1970" s="47"/>
    </row>
    <row r="1971" spans="3:75" ht="20.25" customHeight="1">
      <c r="C1971" s="18">
        <v>73001306</v>
      </c>
      <c r="D1971" s="19" t="s">
        <v>2664</v>
      </c>
      <c r="E1971" s="19" t="s">
        <v>2665</v>
      </c>
      <c r="F1971" s="18">
        <v>1</v>
      </c>
      <c r="G1971" s="18">
        <v>62000101</v>
      </c>
      <c r="H1971" s="18">
        <v>0</v>
      </c>
      <c r="I1971" s="27">
        <v>0</v>
      </c>
      <c r="J1971" s="18">
        <v>1</v>
      </c>
      <c r="K1971" s="18">
        <v>0</v>
      </c>
      <c r="L1971" s="16">
        <v>0</v>
      </c>
      <c r="M1971" s="18">
        <v>0</v>
      </c>
      <c r="N1971" s="18">
        <v>0</v>
      </c>
      <c r="O1971" s="16">
        <v>2</v>
      </c>
      <c r="P1971" s="18">
        <v>1</v>
      </c>
      <c r="Q1971" s="18">
        <v>0.3</v>
      </c>
      <c r="R1971" s="18">
        <v>0</v>
      </c>
      <c r="S1971" s="12">
        <v>0</v>
      </c>
      <c r="T1971" s="27">
        <v>0</v>
      </c>
      <c r="U1971" s="16">
        <v>1</v>
      </c>
      <c r="V1971" s="18">
        <v>1</v>
      </c>
      <c r="W1971" s="18">
        <v>0</v>
      </c>
      <c r="X1971" s="18">
        <v>3</v>
      </c>
      <c r="Y1971" s="12">
        <v>0</v>
      </c>
      <c r="Z1971" s="18">
        <v>0</v>
      </c>
      <c r="AA1971" s="18">
        <v>0</v>
      </c>
      <c r="AB1971" s="18">
        <v>0</v>
      </c>
      <c r="AC1971" s="18">
        <v>0</v>
      </c>
      <c r="AD1971" s="18">
        <v>1</v>
      </c>
      <c r="AE1971" s="18">
        <v>12</v>
      </c>
      <c r="AF1971" s="18">
        <v>12</v>
      </c>
      <c r="AG1971" s="18">
        <v>0</v>
      </c>
      <c r="AH1971" s="18">
        <v>3</v>
      </c>
      <c r="AI1971" s="12">
        <v>7</v>
      </c>
      <c r="AJ1971" s="12">
        <v>0</v>
      </c>
      <c r="AK1971" s="12">
        <v>0</v>
      </c>
      <c r="AL1971" s="12">
        <v>10</v>
      </c>
      <c r="AM1971" s="18">
        <v>0</v>
      </c>
      <c r="AN1971" s="18">
        <v>0</v>
      </c>
      <c r="AO1971" s="18">
        <v>0</v>
      </c>
      <c r="AP1971" s="18">
        <v>0</v>
      </c>
      <c r="AQ1971" s="18">
        <v>3000</v>
      </c>
      <c r="AR1971" s="18">
        <v>0.5</v>
      </c>
      <c r="AS1971" s="18">
        <v>20</v>
      </c>
      <c r="AT1971" s="12">
        <v>0</v>
      </c>
      <c r="AU1971" s="18" t="s">
        <v>198</v>
      </c>
      <c r="AV1971" s="18"/>
      <c r="AW1971" s="17" t="s">
        <v>242</v>
      </c>
      <c r="AX1971" s="18" t="s">
        <v>1677</v>
      </c>
      <c r="AY1971" s="18">
        <v>10000011</v>
      </c>
      <c r="AZ1971" s="18">
        <v>20001010</v>
      </c>
      <c r="BA1971" s="19" t="s">
        <v>250</v>
      </c>
      <c r="BB1971" s="19" t="s">
        <v>198</v>
      </c>
      <c r="BC1971" s="27">
        <v>0</v>
      </c>
      <c r="BD1971" s="27">
        <v>0</v>
      </c>
      <c r="BE1971" s="44" t="s">
        <v>2964</v>
      </c>
      <c r="BF1971" s="44" t="s">
        <v>2965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73002101</v>
      </c>
      <c r="D1972" s="17" t="s">
        <v>4202</v>
      </c>
      <c r="E1972" s="17" t="s">
        <v>4203</v>
      </c>
      <c r="F1972" s="18">
        <v>1</v>
      </c>
      <c r="G1972" s="16">
        <v>60010300</v>
      </c>
      <c r="H1972" s="18">
        <v>0</v>
      </c>
      <c r="I1972" s="27">
        <v>0</v>
      </c>
      <c r="J1972" s="18">
        <v>1</v>
      </c>
      <c r="K1972" s="18">
        <v>0</v>
      </c>
      <c r="L1972" s="18">
        <v>0</v>
      </c>
      <c r="M1972" s="16">
        <v>0</v>
      </c>
      <c r="N1972" s="16">
        <v>0</v>
      </c>
      <c r="O1972" s="16">
        <v>2</v>
      </c>
      <c r="P1972" s="16">
        <v>2</v>
      </c>
      <c r="Q1972" s="16">
        <v>0.8</v>
      </c>
      <c r="R1972" s="16">
        <v>0</v>
      </c>
      <c r="S1972" s="12">
        <v>0</v>
      </c>
      <c r="T1972" s="16">
        <v>0</v>
      </c>
      <c r="U1972" s="16">
        <v>1</v>
      </c>
      <c r="V1972" s="16">
        <v>2</v>
      </c>
      <c r="W1972" s="16">
        <v>0</v>
      </c>
      <c r="X1972" s="16">
        <v>0</v>
      </c>
      <c r="Y1972" s="12">
        <v>0</v>
      </c>
      <c r="Z1972" s="16">
        <v>0</v>
      </c>
      <c r="AA1972" s="16">
        <v>0</v>
      </c>
      <c r="AB1972" s="16">
        <v>0</v>
      </c>
      <c r="AC1972" s="16">
        <v>0</v>
      </c>
      <c r="AD1972" s="16">
        <v>0</v>
      </c>
      <c r="AE1972" s="16">
        <v>0</v>
      </c>
      <c r="AF1972" s="16">
        <v>20</v>
      </c>
      <c r="AG1972" s="16">
        <v>0</v>
      </c>
      <c r="AH1972" s="16">
        <v>0</v>
      </c>
      <c r="AI1972" s="12">
        <v>2</v>
      </c>
      <c r="AJ1972" s="12">
        <v>2</v>
      </c>
      <c r="AK1972" s="12">
        <v>0</v>
      </c>
      <c r="AL1972" s="12">
        <v>1.5</v>
      </c>
      <c r="AM1972" s="16">
        <v>0</v>
      </c>
      <c r="AN1972" s="16">
        <v>0</v>
      </c>
      <c r="AO1972" s="16">
        <v>0</v>
      </c>
      <c r="AP1972" s="16">
        <v>1</v>
      </c>
      <c r="AQ1972" s="16">
        <v>3000</v>
      </c>
      <c r="AR1972" s="16">
        <v>0.5</v>
      </c>
      <c r="AS1972" s="16">
        <v>0</v>
      </c>
      <c r="AT1972" s="12">
        <v>0</v>
      </c>
      <c r="AU1972" s="16" t="s">
        <v>198</v>
      </c>
      <c r="AV1972" s="16"/>
      <c r="AW1972" s="19" t="s">
        <v>199</v>
      </c>
      <c r="AX1972" s="16" t="s">
        <v>545</v>
      </c>
      <c r="AY1972" s="18">
        <v>0</v>
      </c>
      <c r="AZ1972" s="18">
        <v>0</v>
      </c>
      <c r="BA1972" s="17" t="s">
        <v>528</v>
      </c>
      <c r="BB1972" s="16" t="s">
        <v>4354</v>
      </c>
      <c r="BC1972" s="27">
        <v>0</v>
      </c>
      <c r="BD1972" s="27">
        <v>0</v>
      </c>
      <c r="BE1972" s="44" t="s">
        <v>4205</v>
      </c>
      <c r="BF1972" s="44" t="s">
        <v>4206</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73002102</v>
      </c>
      <c r="D1973" s="19" t="s">
        <v>4355</v>
      </c>
      <c r="E1973" s="19" t="s">
        <v>4356</v>
      </c>
      <c r="F1973" s="18">
        <v>1</v>
      </c>
      <c r="G1973" s="18">
        <v>60010500</v>
      </c>
      <c r="H1973" s="18">
        <v>0</v>
      </c>
      <c r="I1973" s="27">
        <v>0</v>
      </c>
      <c r="J1973" s="18">
        <v>1</v>
      </c>
      <c r="K1973" s="18">
        <v>0</v>
      </c>
      <c r="L1973" s="18">
        <v>0</v>
      </c>
      <c r="M1973" s="18">
        <v>0</v>
      </c>
      <c r="N1973" s="18">
        <v>0</v>
      </c>
      <c r="O1973" s="16">
        <v>2</v>
      </c>
      <c r="P1973" s="18">
        <v>2</v>
      </c>
      <c r="Q1973" s="18">
        <v>0.6</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8">
        <v>20</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v>90401006</v>
      </c>
      <c r="AU1973" s="18" t="s">
        <v>198</v>
      </c>
      <c r="AV1973" s="18"/>
      <c r="AW1973" s="19" t="s">
        <v>199</v>
      </c>
      <c r="AX1973" s="18" t="s">
        <v>348</v>
      </c>
      <c r="AY1973" s="18">
        <v>0</v>
      </c>
      <c r="AZ1973" s="18">
        <v>40000003</v>
      </c>
      <c r="BA1973" s="19" t="s">
        <v>200</v>
      </c>
      <c r="BB1973" s="19" t="s">
        <v>198</v>
      </c>
      <c r="BC1973" s="27">
        <v>0</v>
      </c>
      <c r="BD1973" s="27">
        <v>0</v>
      </c>
      <c r="BE1973" s="87" t="s">
        <v>4357</v>
      </c>
      <c r="BF1973" s="87" t="s">
        <v>4358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73002103</v>
      </c>
      <c r="D1974" s="19" t="s">
        <v>4359</v>
      </c>
      <c r="E1974" s="19" t="s">
        <v>4360</v>
      </c>
      <c r="F1974" s="18">
        <v>1</v>
      </c>
      <c r="G1974" s="18">
        <v>60010300</v>
      </c>
      <c r="H1974" s="18">
        <v>0</v>
      </c>
      <c r="I1974" s="27">
        <v>0</v>
      </c>
      <c r="J1974" s="18">
        <v>1</v>
      </c>
      <c r="K1974" s="18">
        <v>0</v>
      </c>
      <c r="L1974" s="18">
        <v>0</v>
      </c>
      <c r="M1974" s="18">
        <v>0</v>
      </c>
      <c r="N1974" s="18">
        <v>0</v>
      </c>
      <c r="O1974" s="16">
        <v>2</v>
      </c>
      <c r="P1974" s="18">
        <v>6</v>
      </c>
      <c r="Q1974" s="18">
        <v>0</v>
      </c>
      <c r="R1974" s="18">
        <v>0</v>
      </c>
      <c r="S1974" s="12">
        <v>0</v>
      </c>
      <c r="T1974" s="27">
        <v>0</v>
      </c>
      <c r="U1974" s="16">
        <v>1</v>
      </c>
      <c r="V1974" s="18">
        <v>2</v>
      </c>
      <c r="W1974" s="18">
        <v>0</v>
      </c>
      <c r="X1974" s="18">
        <v>10</v>
      </c>
      <c r="Y1974" s="12">
        <v>0</v>
      </c>
      <c r="Z1974" s="18">
        <v>0</v>
      </c>
      <c r="AA1974" s="18">
        <v>0</v>
      </c>
      <c r="AB1974" s="18">
        <v>0</v>
      </c>
      <c r="AC1974" s="18">
        <v>0</v>
      </c>
      <c r="AD1974" s="18">
        <v>0</v>
      </c>
      <c r="AE1974" s="18">
        <v>0</v>
      </c>
      <c r="AF1974" s="18">
        <v>15</v>
      </c>
      <c r="AG1974" s="18">
        <v>1</v>
      </c>
      <c r="AH1974" s="18">
        <v>3</v>
      </c>
      <c r="AI1974" s="12">
        <v>1</v>
      </c>
      <c r="AJ1974" s="12">
        <v>0</v>
      </c>
      <c r="AK1974" s="12">
        <v>0</v>
      </c>
      <c r="AL1974" s="12">
        <v>1.5</v>
      </c>
      <c r="AM1974" s="18">
        <v>0</v>
      </c>
      <c r="AN1974" s="18">
        <v>0</v>
      </c>
      <c r="AO1974" s="18">
        <v>0</v>
      </c>
      <c r="AP1974" s="18">
        <v>1</v>
      </c>
      <c r="AQ1974" s="18">
        <v>1000</v>
      </c>
      <c r="AR1974" s="18">
        <v>0.5</v>
      </c>
      <c r="AS1974" s="18">
        <v>0</v>
      </c>
      <c r="AT1974" s="12">
        <v>0</v>
      </c>
      <c r="AU1974" s="18" t="s">
        <v>575</v>
      </c>
      <c r="AV1974" s="18"/>
      <c r="AW1974" s="19" t="s">
        <v>199</v>
      </c>
      <c r="AX1974" s="18" t="s">
        <v>545</v>
      </c>
      <c r="AY1974" s="18">
        <v>10002001</v>
      </c>
      <c r="AZ1974" s="18">
        <v>70106001</v>
      </c>
      <c r="BA1974" s="19" t="s">
        <v>315</v>
      </c>
      <c r="BB1974" s="19" t="s">
        <v>576</v>
      </c>
      <c r="BC1974" s="27">
        <v>0</v>
      </c>
      <c r="BD1974" s="27">
        <v>0</v>
      </c>
      <c r="BE1974" s="87" t="s">
        <v>577</v>
      </c>
      <c r="BF1974" s="87" t="s">
        <v>578</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73002104</v>
      </c>
      <c r="D1975" s="19" t="s">
        <v>4359</v>
      </c>
      <c r="E1975" s="19" t="s">
        <v>4360</v>
      </c>
      <c r="F1975" s="18">
        <v>1</v>
      </c>
      <c r="G1975" s="18">
        <v>60010500</v>
      </c>
      <c r="H1975" s="18">
        <v>0</v>
      </c>
      <c r="I1975" s="27">
        <v>0</v>
      </c>
      <c r="J1975" s="18">
        <v>1</v>
      </c>
      <c r="K1975" s="18">
        <v>0</v>
      </c>
      <c r="L1975" s="18">
        <v>0</v>
      </c>
      <c r="M1975" s="18">
        <v>0</v>
      </c>
      <c r="N1975" s="18">
        <v>0</v>
      </c>
      <c r="O1975" s="16">
        <v>2</v>
      </c>
      <c r="P1975" s="18">
        <v>2</v>
      </c>
      <c r="Q1975" s="18">
        <v>0.6</v>
      </c>
      <c r="R1975" s="18">
        <v>0</v>
      </c>
      <c r="S1975" s="12">
        <v>0</v>
      </c>
      <c r="T1975" s="27">
        <v>0</v>
      </c>
      <c r="U1975" s="16">
        <v>1</v>
      </c>
      <c r="V1975" s="18">
        <v>2</v>
      </c>
      <c r="W1975" s="18">
        <v>0</v>
      </c>
      <c r="X1975" s="18">
        <v>0</v>
      </c>
      <c r="Y1975" s="12">
        <v>0</v>
      </c>
      <c r="Z1975" s="18">
        <v>0</v>
      </c>
      <c r="AA1975" s="18">
        <v>0</v>
      </c>
      <c r="AB1975" s="18">
        <v>0</v>
      </c>
      <c r="AC1975" s="18">
        <v>0</v>
      </c>
      <c r="AD1975" s="16">
        <v>0</v>
      </c>
      <c r="AE1975" s="18">
        <v>0</v>
      </c>
      <c r="AF1975" s="18">
        <v>20</v>
      </c>
      <c r="AG1975" s="18">
        <v>0</v>
      </c>
      <c r="AH1975" s="18">
        <v>0</v>
      </c>
      <c r="AI1975" s="12">
        <v>2</v>
      </c>
      <c r="AJ1975" s="12">
        <v>0</v>
      </c>
      <c r="AK1975" s="12">
        <v>0</v>
      </c>
      <c r="AL1975" s="12">
        <v>0</v>
      </c>
      <c r="AM1975" s="18">
        <v>0</v>
      </c>
      <c r="AN1975" s="18">
        <v>0</v>
      </c>
      <c r="AO1975" s="18">
        <v>0</v>
      </c>
      <c r="AP1975" s="18">
        <v>0</v>
      </c>
      <c r="AQ1975" s="18">
        <v>1000</v>
      </c>
      <c r="AR1975" s="18">
        <v>0</v>
      </c>
      <c r="AS1975" s="18">
        <v>0</v>
      </c>
      <c r="AT1975" s="12">
        <v>90401004</v>
      </c>
      <c r="AU1975" s="18" t="s">
        <v>198</v>
      </c>
      <c r="AV1975" s="18"/>
      <c r="AW1975" s="19" t="s">
        <v>199</v>
      </c>
      <c r="AX1975" s="18" t="s">
        <v>348</v>
      </c>
      <c r="AY1975" s="18">
        <v>0</v>
      </c>
      <c r="AZ1975" s="18">
        <v>40000003</v>
      </c>
      <c r="BA1975" s="19" t="s">
        <v>200</v>
      </c>
      <c r="BB1975" s="19" t="s">
        <v>198</v>
      </c>
      <c r="BC1975" s="27">
        <v>0</v>
      </c>
      <c r="BD1975" s="27">
        <v>0</v>
      </c>
      <c r="BE1975" s="87" t="s">
        <v>864</v>
      </c>
      <c r="BF1975" s="87" t="s">
        <v>865</v>
      </c>
      <c r="BG1975" s="18">
        <v>0</v>
      </c>
      <c r="BH1975" s="16">
        <v>0</v>
      </c>
      <c r="BI1975" s="18">
        <v>0</v>
      </c>
      <c r="BJ1975" s="18">
        <v>0</v>
      </c>
      <c r="BK1975" s="18">
        <v>0</v>
      </c>
      <c r="BL1975" s="18">
        <v>0</v>
      </c>
      <c r="BM1975" s="15">
        <v>0</v>
      </c>
      <c r="BN1975" s="12">
        <v>0</v>
      </c>
      <c r="BO1975" s="12">
        <v>0</v>
      </c>
      <c r="BP1975" s="12">
        <v>0</v>
      </c>
      <c r="BQ1975" s="12">
        <v>0</v>
      </c>
      <c r="BR1975" s="12">
        <v>0</v>
      </c>
      <c r="BS1975" s="12">
        <v>0</v>
      </c>
      <c r="BT1975" s="12">
        <v>0</v>
      </c>
      <c r="BU1975" s="47">
        <v>0</v>
      </c>
      <c r="BV1975" s="47"/>
      <c r="BW1975" s="47"/>
    </row>
    <row r="1976" spans="3:75" ht="19.5" customHeight="1">
      <c r="C1976" s="18">
        <v>73002105</v>
      </c>
      <c r="D1976" s="17" t="s">
        <v>1124</v>
      </c>
      <c r="E1976" s="17" t="s">
        <v>1125</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1</v>
      </c>
      <c r="Y1976" s="12">
        <v>0</v>
      </c>
      <c r="Z1976" s="16">
        <v>0</v>
      </c>
      <c r="AA1976" s="16">
        <v>1</v>
      </c>
      <c r="AB1976" s="16">
        <v>0</v>
      </c>
      <c r="AC1976" s="16">
        <v>0</v>
      </c>
      <c r="AD1976" s="16">
        <v>0</v>
      </c>
      <c r="AE1976" s="16">
        <v>0</v>
      </c>
      <c r="AF1976" s="16">
        <v>30</v>
      </c>
      <c r="AG1976" s="16">
        <v>1</v>
      </c>
      <c r="AH1976" s="16" t="s">
        <v>861</v>
      </c>
      <c r="AI1976" s="12">
        <v>0</v>
      </c>
      <c r="AJ1976" s="12">
        <v>0</v>
      </c>
      <c r="AK1976" s="12">
        <v>0</v>
      </c>
      <c r="AL1976" s="12">
        <v>0</v>
      </c>
      <c r="AM1976" s="16">
        <v>0</v>
      </c>
      <c r="AN1976" s="16">
        <v>0</v>
      </c>
      <c r="AO1976" s="16">
        <v>0</v>
      </c>
      <c r="AP1976" s="16">
        <v>0.5</v>
      </c>
      <c r="AQ1976" s="16">
        <v>999999</v>
      </c>
      <c r="AR1976" s="16">
        <v>0.5</v>
      </c>
      <c r="AS1976" s="16">
        <v>0</v>
      </c>
      <c r="AT1976" s="12">
        <v>0</v>
      </c>
      <c r="AU1976" s="338" t="s">
        <v>1019</v>
      </c>
      <c r="AV1976" s="12"/>
      <c r="AW1976" s="19" t="s">
        <v>287</v>
      </c>
      <c r="AX1976" s="16" t="s">
        <v>534</v>
      </c>
      <c r="AY1976" s="18">
        <v>10000007</v>
      </c>
      <c r="AZ1976" s="18">
        <v>70202004</v>
      </c>
      <c r="BA1976" s="19" t="s">
        <v>315</v>
      </c>
      <c r="BB1976" s="19" t="s">
        <v>371</v>
      </c>
      <c r="BC1976" s="27">
        <v>0</v>
      </c>
      <c r="BD1976" s="27">
        <v>0</v>
      </c>
      <c r="BE1976" s="44" t="s">
        <v>4361</v>
      </c>
      <c r="BF1976" s="44" t="s">
        <v>4362</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73002201</v>
      </c>
      <c r="D1977" s="17" t="s">
        <v>605</v>
      </c>
      <c r="E1977" s="17" t="s">
        <v>606</v>
      </c>
      <c r="F1977" s="18">
        <v>1</v>
      </c>
      <c r="G1977" s="16">
        <v>60010100</v>
      </c>
      <c r="H1977" s="18">
        <v>0</v>
      </c>
      <c r="I1977" s="27">
        <v>0</v>
      </c>
      <c r="J1977" s="18">
        <v>1</v>
      </c>
      <c r="K1977" s="18">
        <v>0</v>
      </c>
      <c r="L1977" s="18">
        <v>0</v>
      </c>
      <c r="M1977" s="16">
        <v>0</v>
      </c>
      <c r="N1977" s="16">
        <v>0</v>
      </c>
      <c r="O1977" s="16">
        <v>2</v>
      </c>
      <c r="P1977" s="16">
        <v>1</v>
      </c>
      <c r="Q1977" s="16">
        <v>0.3</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12</v>
      </c>
      <c r="AG1977" s="16">
        <v>1</v>
      </c>
      <c r="AH1977" s="16" t="s">
        <v>607</v>
      </c>
      <c r="AI1977" s="12">
        <v>1</v>
      </c>
      <c r="AJ1977" s="12">
        <v>1</v>
      </c>
      <c r="AK1977" s="12">
        <v>0</v>
      </c>
      <c r="AL1977" s="12">
        <v>3</v>
      </c>
      <c r="AM1977" s="16">
        <v>0</v>
      </c>
      <c r="AN1977" s="16">
        <v>0</v>
      </c>
      <c r="AO1977" s="16">
        <v>0</v>
      </c>
      <c r="AP1977" s="16">
        <v>3</v>
      </c>
      <c r="AQ1977" s="16">
        <v>5000</v>
      </c>
      <c r="AR1977" s="16">
        <v>2.5</v>
      </c>
      <c r="AS1977" s="16">
        <v>0</v>
      </c>
      <c r="AT1977" s="12">
        <v>0</v>
      </c>
      <c r="AU1977" s="16" t="s">
        <v>198</v>
      </c>
      <c r="AV1977" s="16"/>
      <c r="AW1977" s="19" t="s">
        <v>287</v>
      </c>
      <c r="AX1977" s="16" t="s">
        <v>534</v>
      </c>
      <c r="AY1977" s="18">
        <v>10000007</v>
      </c>
      <c r="AZ1977" s="18">
        <v>70107001</v>
      </c>
      <c r="BA1977" s="17" t="s">
        <v>200</v>
      </c>
      <c r="BB1977" s="16">
        <v>0</v>
      </c>
      <c r="BC1977" s="27">
        <v>0</v>
      </c>
      <c r="BD1977" s="27">
        <v>0</v>
      </c>
      <c r="BE1977" s="44" t="s">
        <v>608</v>
      </c>
      <c r="BF1977" s="44" t="s">
        <v>609</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73002202</v>
      </c>
      <c r="D1978" s="17" t="s">
        <v>660</v>
      </c>
      <c r="E1978" s="17" t="s">
        <v>661</v>
      </c>
      <c r="F1978" s="18">
        <v>1</v>
      </c>
      <c r="G1978" s="16">
        <v>60010100</v>
      </c>
      <c r="H1978" s="18">
        <v>0</v>
      </c>
      <c r="I1978" s="27">
        <v>0</v>
      </c>
      <c r="J1978" s="18">
        <v>1</v>
      </c>
      <c r="K1978" s="18">
        <v>0</v>
      </c>
      <c r="L1978" s="18">
        <v>0</v>
      </c>
      <c r="M1978" s="16">
        <v>0</v>
      </c>
      <c r="N1978" s="16">
        <v>0</v>
      </c>
      <c r="O1978" s="16">
        <v>2</v>
      </c>
      <c r="P1978" s="16">
        <v>1</v>
      </c>
      <c r="Q1978" s="16">
        <v>0.3</v>
      </c>
      <c r="R1978" s="16">
        <v>0</v>
      </c>
      <c r="S1978" s="12">
        <v>0</v>
      </c>
      <c r="T1978" s="16">
        <v>0</v>
      </c>
      <c r="U1978" s="16">
        <v>1</v>
      </c>
      <c r="V1978" s="16">
        <v>2</v>
      </c>
      <c r="W1978" s="16">
        <v>0</v>
      </c>
      <c r="X1978" s="16">
        <v>3</v>
      </c>
      <c r="Y1978" s="12">
        <v>0</v>
      </c>
      <c r="Z1978" s="16">
        <v>0</v>
      </c>
      <c r="AA1978" s="16">
        <v>1</v>
      </c>
      <c r="AB1978" s="16">
        <v>0</v>
      </c>
      <c r="AC1978" s="16">
        <v>0</v>
      </c>
      <c r="AD1978" s="16">
        <v>0</v>
      </c>
      <c r="AE1978" s="16">
        <v>0</v>
      </c>
      <c r="AF1978" s="16">
        <v>12</v>
      </c>
      <c r="AG1978" s="16">
        <v>1</v>
      </c>
      <c r="AH1978" s="16">
        <v>3</v>
      </c>
      <c r="AI1978" s="12">
        <v>4</v>
      </c>
      <c r="AJ1978" s="12">
        <v>1</v>
      </c>
      <c r="AK1978" s="12">
        <v>0</v>
      </c>
      <c r="AL1978" s="12">
        <v>1.5</v>
      </c>
      <c r="AM1978" s="16">
        <v>0</v>
      </c>
      <c r="AN1978" s="16">
        <v>0</v>
      </c>
      <c r="AO1978" s="16">
        <v>0</v>
      </c>
      <c r="AP1978" s="16">
        <v>3</v>
      </c>
      <c r="AQ1978" s="16">
        <v>5000</v>
      </c>
      <c r="AR1978" s="16">
        <v>3</v>
      </c>
      <c r="AS1978" s="16">
        <v>0</v>
      </c>
      <c r="AT1978" s="12">
        <v>0</v>
      </c>
      <c r="AU1978" s="16" t="s">
        <v>198</v>
      </c>
      <c r="AV1978" s="16"/>
      <c r="AW1978" s="19" t="s">
        <v>199</v>
      </c>
      <c r="AX1978" s="16" t="s">
        <v>534</v>
      </c>
      <c r="AY1978" s="18">
        <v>10000007</v>
      </c>
      <c r="AZ1978" s="18">
        <v>70103003</v>
      </c>
      <c r="BA1978" s="17" t="s">
        <v>200</v>
      </c>
      <c r="BB1978" s="16" t="s">
        <v>4363</v>
      </c>
      <c r="BC1978" s="27">
        <v>0</v>
      </c>
      <c r="BD1978" s="27">
        <v>0</v>
      </c>
      <c r="BE1978" s="44" t="s">
        <v>663</v>
      </c>
      <c r="BF1978" s="44" t="s">
        <v>664</v>
      </c>
      <c r="BG1978" s="16">
        <v>0</v>
      </c>
      <c r="BH1978" s="16">
        <v>0</v>
      </c>
      <c r="BI1978" s="16">
        <v>0</v>
      </c>
      <c r="BJ1978" s="16">
        <v>0</v>
      </c>
      <c r="BK1978" s="16">
        <v>0</v>
      </c>
      <c r="BL1978" s="16">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73002203</v>
      </c>
      <c r="D1979" s="17" t="s">
        <v>665</v>
      </c>
      <c r="E1979" s="17" t="s">
        <v>606</v>
      </c>
      <c r="F1979" s="16">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0</v>
      </c>
      <c r="AA1979" s="16">
        <v>0</v>
      </c>
      <c r="AB1979" s="16">
        <v>0</v>
      </c>
      <c r="AC1979" s="16">
        <v>0</v>
      </c>
      <c r="AD1979" s="16">
        <v>0</v>
      </c>
      <c r="AE1979" s="16">
        <v>0</v>
      </c>
      <c r="AF1979" s="16">
        <v>12</v>
      </c>
      <c r="AG1979" s="16">
        <v>1</v>
      </c>
      <c r="AH1979" s="16">
        <v>3</v>
      </c>
      <c r="AI1979" s="12">
        <v>6</v>
      </c>
      <c r="AJ1979" s="12">
        <v>1</v>
      </c>
      <c r="AK1979" s="12">
        <v>0</v>
      </c>
      <c r="AL1979" s="12">
        <v>1.5</v>
      </c>
      <c r="AM1979" s="16">
        <v>0</v>
      </c>
      <c r="AN1979" s="16">
        <v>0</v>
      </c>
      <c r="AO1979" s="16">
        <v>0</v>
      </c>
      <c r="AP1979" s="16">
        <v>3</v>
      </c>
      <c r="AQ1979" s="16">
        <v>5000</v>
      </c>
      <c r="AR1979" s="16">
        <v>3</v>
      </c>
      <c r="AS1979" s="16">
        <v>0</v>
      </c>
      <c r="AT1979" s="12">
        <v>0</v>
      </c>
      <c r="AU1979" s="16" t="s">
        <v>198</v>
      </c>
      <c r="AV1979" s="16"/>
      <c r="AW1979" s="19" t="s">
        <v>256</v>
      </c>
      <c r="AX1979" s="16" t="s">
        <v>534</v>
      </c>
      <c r="AY1979" s="18">
        <v>10000007</v>
      </c>
      <c r="AZ1979" s="18">
        <v>70103003</v>
      </c>
      <c r="BA1979" s="17" t="s">
        <v>200</v>
      </c>
      <c r="BB1979" s="16" t="s">
        <v>4364</v>
      </c>
      <c r="BC1979" s="27">
        <v>0</v>
      </c>
      <c r="BD1979" s="27">
        <v>0</v>
      </c>
      <c r="BE1979" s="44" t="s">
        <v>667</v>
      </c>
      <c r="BF1979" s="44" t="s">
        <v>668</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73002204</v>
      </c>
      <c r="D1980" s="19" t="s">
        <v>669</v>
      </c>
      <c r="E1980" s="19" t="s">
        <v>670</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8">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90102001</v>
      </c>
      <c r="AU1980" s="18" t="s">
        <v>198</v>
      </c>
      <c r="AV1980" s="18"/>
      <c r="AW1980" s="19" t="s">
        <v>199</v>
      </c>
      <c r="AX1980" s="18" t="s">
        <v>348</v>
      </c>
      <c r="AY1980" s="18">
        <v>0</v>
      </c>
      <c r="AZ1980" s="18">
        <v>40000003</v>
      </c>
      <c r="BA1980" s="19" t="s">
        <v>200</v>
      </c>
      <c r="BB1980" s="19" t="s">
        <v>198</v>
      </c>
      <c r="BC1980" s="27">
        <v>0</v>
      </c>
      <c r="BD1980" s="27">
        <v>0</v>
      </c>
      <c r="BE1980" s="87" t="s">
        <v>671</v>
      </c>
      <c r="BF1980" s="87" t="s">
        <v>672</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73002205</v>
      </c>
      <c r="D1981" s="19" t="s">
        <v>673</v>
      </c>
      <c r="E1981" s="19" t="s">
        <v>674</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8">
        <v>0</v>
      </c>
      <c r="AE1981" s="18">
        <v>0</v>
      </c>
      <c r="AF1981" s="16">
        <v>99999</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90104002</v>
      </c>
      <c r="AU1981" s="18" t="s">
        <v>198</v>
      </c>
      <c r="AV1981" s="18"/>
      <c r="AW1981" s="19" t="s">
        <v>199</v>
      </c>
      <c r="AX1981" s="18" t="s">
        <v>348</v>
      </c>
      <c r="AY1981" s="18">
        <v>0</v>
      </c>
      <c r="AZ1981" s="18">
        <v>0</v>
      </c>
      <c r="BA1981" s="19" t="s">
        <v>200</v>
      </c>
      <c r="BB1981" s="19" t="s">
        <v>198</v>
      </c>
      <c r="BC1981" s="27">
        <v>0</v>
      </c>
      <c r="BD1981" s="27">
        <v>0</v>
      </c>
      <c r="BE1981" s="87" t="s">
        <v>675</v>
      </c>
      <c r="BF1981" s="87" t="s">
        <v>676</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73002301</v>
      </c>
      <c r="D1982" s="17" t="s">
        <v>993</v>
      </c>
      <c r="E1982" s="17" t="s">
        <v>994</v>
      </c>
      <c r="F1982" s="18">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1</v>
      </c>
      <c r="AB1982" s="16">
        <v>0</v>
      </c>
      <c r="AC1982" s="16">
        <v>0</v>
      </c>
      <c r="AD1982" s="16">
        <v>0</v>
      </c>
      <c r="AE1982" s="16">
        <v>0</v>
      </c>
      <c r="AF1982" s="16">
        <v>15</v>
      </c>
      <c r="AG1982" s="16">
        <v>1</v>
      </c>
      <c r="AH1982" s="16">
        <v>3</v>
      </c>
      <c r="AI1982" s="12">
        <v>4</v>
      </c>
      <c r="AJ1982" s="12">
        <v>1</v>
      </c>
      <c r="AK1982" s="12">
        <v>0</v>
      </c>
      <c r="AL1982" s="12">
        <v>1.5</v>
      </c>
      <c r="AM1982" s="16">
        <v>0</v>
      </c>
      <c r="AN1982" s="16">
        <v>0</v>
      </c>
      <c r="AO1982" s="16">
        <v>0</v>
      </c>
      <c r="AP1982" s="16">
        <v>3</v>
      </c>
      <c r="AQ1982" s="16">
        <v>999999</v>
      </c>
      <c r="AR1982" s="16">
        <v>3</v>
      </c>
      <c r="AS1982" s="16">
        <v>0</v>
      </c>
      <c r="AT1982" s="12">
        <v>0</v>
      </c>
      <c r="AU1982" s="16" t="s">
        <v>198</v>
      </c>
      <c r="AV1982" s="16"/>
      <c r="AW1982" s="19" t="s">
        <v>287</v>
      </c>
      <c r="AX1982" s="16" t="s">
        <v>534</v>
      </c>
      <c r="AY1982" s="18">
        <v>10000007</v>
      </c>
      <c r="AZ1982" s="18">
        <v>70205001</v>
      </c>
      <c r="BA1982" s="17" t="s">
        <v>200</v>
      </c>
      <c r="BB1982" s="16" t="s">
        <v>4365</v>
      </c>
      <c r="BC1982" s="27">
        <v>0</v>
      </c>
      <c r="BD1982" s="27">
        <v>0</v>
      </c>
      <c r="BE1982" s="44" t="s">
        <v>996</v>
      </c>
      <c r="BF1982" s="44" t="s">
        <v>997</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19.5" customHeight="1">
      <c r="C1983" s="18">
        <v>73002302</v>
      </c>
      <c r="D1983" s="17" t="s">
        <v>1091</v>
      </c>
      <c r="E1983" s="17" t="s">
        <v>1092</v>
      </c>
      <c r="F1983" s="18">
        <v>1</v>
      </c>
      <c r="G1983" s="16">
        <v>60010100</v>
      </c>
      <c r="H1983" s="18">
        <v>0</v>
      </c>
      <c r="I1983" s="27">
        <v>0</v>
      </c>
      <c r="J1983" s="18">
        <v>1</v>
      </c>
      <c r="K1983" s="18">
        <v>0</v>
      </c>
      <c r="L1983" s="18">
        <v>0</v>
      </c>
      <c r="M1983" s="16">
        <v>0</v>
      </c>
      <c r="N1983" s="16">
        <v>0</v>
      </c>
      <c r="O1983" s="16">
        <v>2</v>
      </c>
      <c r="P1983" s="16">
        <v>1</v>
      </c>
      <c r="Q1983" s="16">
        <v>0.3</v>
      </c>
      <c r="R1983" s="16">
        <v>0</v>
      </c>
      <c r="S1983" s="12">
        <v>1</v>
      </c>
      <c r="T1983" s="16">
        <v>0</v>
      </c>
      <c r="U1983" s="16">
        <v>1</v>
      </c>
      <c r="V1983" s="16">
        <v>2</v>
      </c>
      <c r="W1983" s="16">
        <v>0</v>
      </c>
      <c r="X1983" s="16">
        <v>3</v>
      </c>
      <c r="Y1983" s="12">
        <v>0</v>
      </c>
      <c r="Z1983" s="16">
        <v>0</v>
      </c>
      <c r="AA1983" s="16">
        <v>1</v>
      </c>
      <c r="AB1983" s="16">
        <v>0</v>
      </c>
      <c r="AC1983" s="16">
        <v>0</v>
      </c>
      <c r="AD1983" s="16">
        <v>0</v>
      </c>
      <c r="AE1983" s="16">
        <v>0</v>
      </c>
      <c r="AF1983" s="16">
        <v>15</v>
      </c>
      <c r="AG1983" s="16">
        <v>1</v>
      </c>
      <c r="AH1983" s="16" t="s">
        <v>607</v>
      </c>
      <c r="AI1983" s="12">
        <v>0</v>
      </c>
      <c r="AJ1983" s="12">
        <v>1</v>
      </c>
      <c r="AK1983" s="12">
        <v>0</v>
      </c>
      <c r="AL1983" s="12">
        <v>3</v>
      </c>
      <c r="AM1983" s="16">
        <v>0</v>
      </c>
      <c r="AN1983" s="16">
        <v>0</v>
      </c>
      <c r="AO1983" s="16">
        <v>0</v>
      </c>
      <c r="AP1983" s="16">
        <v>3</v>
      </c>
      <c r="AQ1983" s="16">
        <v>5000</v>
      </c>
      <c r="AR1983" s="16">
        <v>2.5</v>
      </c>
      <c r="AS1983" s="16">
        <v>0</v>
      </c>
      <c r="AT1983" s="12">
        <v>0</v>
      </c>
      <c r="AU1983" s="16" t="s">
        <v>659</v>
      </c>
      <c r="AV1983" s="16"/>
      <c r="AW1983" s="19" t="s">
        <v>256</v>
      </c>
      <c r="AX1983" s="16" t="s">
        <v>534</v>
      </c>
      <c r="AY1983" s="18">
        <v>10000007</v>
      </c>
      <c r="AZ1983" s="18">
        <v>70403003</v>
      </c>
      <c r="BA1983" s="17" t="s">
        <v>200</v>
      </c>
      <c r="BB1983" s="16">
        <v>0</v>
      </c>
      <c r="BC1983" s="27">
        <v>0</v>
      </c>
      <c r="BD1983" s="27">
        <v>0</v>
      </c>
      <c r="BE1983" s="44" t="s">
        <v>4281</v>
      </c>
      <c r="BF1983" s="44" t="s">
        <v>4282</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73002303</v>
      </c>
      <c r="D1984" s="17" t="s">
        <v>1324</v>
      </c>
      <c r="E1984" s="17" t="s">
        <v>1325</v>
      </c>
      <c r="F1984" s="18">
        <v>1</v>
      </c>
      <c r="G1984" s="16">
        <v>60010100</v>
      </c>
      <c r="H1984" s="18">
        <v>0</v>
      </c>
      <c r="I1984" s="27">
        <v>0</v>
      </c>
      <c r="J1984" s="18">
        <v>1</v>
      </c>
      <c r="K1984" s="18">
        <v>0</v>
      </c>
      <c r="L1984" s="18">
        <v>0</v>
      </c>
      <c r="M1984" s="16">
        <v>0</v>
      </c>
      <c r="N1984" s="16">
        <v>0</v>
      </c>
      <c r="O1984" s="16">
        <v>2</v>
      </c>
      <c r="P1984" s="16">
        <v>1</v>
      </c>
      <c r="Q1984" s="16">
        <v>1</v>
      </c>
      <c r="R1984" s="16">
        <v>0</v>
      </c>
      <c r="S1984" s="12">
        <v>0</v>
      </c>
      <c r="T1984" s="16">
        <v>0</v>
      </c>
      <c r="U1984" s="16">
        <v>1</v>
      </c>
      <c r="V1984" s="16">
        <v>2</v>
      </c>
      <c r="W1984" s="16">
        <v>0</v>
      </c>
      <c r="X1984" s="16">
        <v>2</v>
      </c>
      <c r="Y1984" s="12">
        <v>0</v>
      </c>
      <c r="Z1984" s="16">
        <v>0</v>
      </c>
      <c r="AA1984" s="16">
        <v>1</v>
      </c>
      <c r="AB1984" s="16">
        <v>0</v>
      </c>
      <c r="AC1984" s="16">
        <v>0</v>
      </c>
      <c r="AD1984" s="16">
        <v>0</v>
      </c>
      <c r="AE1984" s="16">
        <v>0</v>
      </c>
      <c r="AF1984" s="16">
        <v>10</v>
      </c>
      <c r="AG1984" s="16">
        <v>2</v>
      </c>
      <c r="AH1984" s="16" t="s">
        <v>213</v>
      </c>
      <c r="AI1984" s="12">
        <v>0</v>
      </c>
      <c r="AJ1984" s="12">
        <v>2</v>
      </c>
      <c r="AK1984" s="12">
        <v>0</v>
      </c>
      <c r="AL1984" s="12">
        <v>1.5</v>
      </c>
      <c r="AM1984" s="16">
        <v>0</v>
      </c>
      <c r="AN1984" s="16">
        <v>0</v>
      </c>
      <c r="AO1984" s="16">
        <v>0</v>
      </c>
      <c r="AP1984" s="16">
        <v>1.5</v>
      </c>
      <c r="AQ1984" s="16">
        <v>10000</v>
      </c>
      <c r="AR1984" s="16">
        <v>1</v>
      </c>
      <c r="AS1984" s="16">
        <v>5</v>
      </c>
      <c r="AT1984" s="12">
        <v>0</v>
      </c>
      <c r="AU1984" s="16" t="s">
        <v>198</v>
      </c>
      <c r="AV1984" s="16"/>
      <c r="AW1984" s="19" t="s">
        <v>617</v>
      </c>
      <c r="AX1984" s="16" t="s">
        <v>534</v>
      </c>
      <c r="AY1984" s="18">
        <v>10000007</v>
      </c>
      <c r="AZ1984" s="18">
        <v>70302003</v>
      </c>
      <c r="BA1984" s="19" t="s">
        <v>586</v>
      </c>
      <c r="BB1984" s="27" t="s">
        <v>4366</v>
      </c>
      <c r="BC1984" s="27">
        <v>0</v>
      </c>
      <c r="BD1984" s="27">
        <v>0</v>
      </c>
      <c r="BE1984" s="44" t="s">
        <v>1108</v>
      </c>
      <c r="BF1984" s="44" t="s">
        <v>1109</v>
      </c>
      <c r="BG1984" s="16">
        <v>1</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73002304</v>
      </c>
      <c r="D1985" s="19" t="s">
        <v>538</v>
      </c>
      <c r="E1985" s="19" t="s">
        <v>539</v>
      </c>
      <c r="F1985" s="18">
        <v>1</v>
      </c>
      <c r="G1985" s="18">
        <v>60010500</v>
      </c>
      <c r="H1985" s="18">
        <v>0</v>
      </c>
      <c r="I1985" s="27">
        <v>0</v>
      </c>
      <c r="J1985" s="18">
        <v>1</v>
      </c>
      <c r="K1985" s="18">
        <v>0</v>
      </c>
      <c r="L1985" s="18">
        <v>0</v>
      </c>
      <c r="M1985" s="18">
        <v>0</v>
      </c>
      <c r="N1985" s="18">
        <v>0</v>
      </c>
      <c r="O1985" s="16">
        <v>2</v>
      </c>
      <c r="P1985" s="18">
        <v>2</v>
      </c>
      <c r="Q1985" s="18">
        <v>0.8</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198</v>
      </c>
      <c r="AV1985" s="18"/>
      <c r="AW1985" s="19" t="s">
        <v>199</v>
      </c>
      <c r="AX1985" s="18" t="s">
        <v>348</v>
      </c>
      <c r="AY1985" s="18">
        <v>0</v>
      </c>
      <c r="AZ1985" s="18">
        <v>40000003</v>
      </c>
      <c r="BA1985" s="19" t="s">
        <v>200</v>
      </c>
      <c r="BB1985" s="19" t="s">
        <v>198</v>
      </c>
      <c r="BC1985" s="27">
        <v>0</v>
      </c>
      <c r="BD1985" s="27">
        <v>0</v>
      </c>
      <c r="BE1985" s="87" t="s">
        <v>864</v>
      </c>
      <c r="BF1985" s="87" t="s">
        <v>865</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19.5" customHeight="1">
      <c r="C1986" s="18">
        <v>73002305</v>
      </c>
      <c r="D1986" s="19" t="s">
        <v>757</v>
      </c>
      <c r="E1986" s="19" t="s">
        <v>399</v>
      </c>
      <c r="F1986" s="18">
        <v>1</v>
      </c>
      <c r="G1986" s="18">
        <v>60010500</v>
      </c>
      <c r="H1986" s="18">
        <v>0</v>
      </c>
      <c r="I1986" s="27">
        <v>0</v>
      </c>
      <c r="J1986" s="18">
        <v>1</v>
      </c>
      <c r="K1986" s="18">
        <v>0</v>
      </c>
      <c r="L1986" s="18">
        <v>0</v>
      </c>
      <c r="M1986" s="18">
        <v>0</v>
      </c>
      <c r="N1986" s="18">
        <v>0</v>
      </c>
      <c r="O1986" s="16">
        <v>2</v>
      </c>
      <c r="P1986" s="18">
        <v>2</v>
      </c>
      <c r="Q1986" s="18">
        <v>0.5</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t="s">
        <v>754</v>
      </c>
      <c r="AU1986" s="18" t="s">
        <v>198</v>
      </c>
      <c r="AV1986" s="18"/>
      <c r="AW1986" s="19" t="s">
        <v>199</v>
      </c>
      <c r="AX1986" s="18" t="s">
        <v>348</v>
      </c>
      <c r="AY1986" s="18">
        <v>0</v>
      </c>
      <c r="AZ1986" s="18">
        <v>0</v>
      </c>
      <c r="BA1986" s="19" t="s">
        <v>200</v>
      </c>
      <c r="BB1986" s="19" t="s">
        <v>198</v>
      </c>
      <c r="BC1986" s="27">
        <v>0</v>
      </c>
      <c r="BD1986" s="27">
        <v>0</v>
      </c>
      <c r="BE1986" s="87" t="s">
        <v>1118</v>
      </c>
      <c r="BF1986" s="87" t="s">
        <v>1119</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row>
    <row r="1987" spans="3:75" ht="19.5" customHeight="1">
      <c r="C1987" s="18">
        <v>73002307</v>
      </c>
      <c r="D1987" s="17" t="s">
        <v>4367</v>
      </c>
      <c r="E1987" s="17" t="s">
        <v>4368</v>
      </c>
      <c r="F1987" s="18">
        <v>1</v>
      </c>
      <c r="G1987" s="16">
        <v>60010100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15</v>
      </c>
      <c r="AG1987" s="16">
        <v>1</v>
      </c>
      <c r="AH1987" s="16" t="s">
        <v>861</v>
      </c>
      <c r="AI1987" s="12">
        <v>0</v>
      </c>
      <c r="AJ1987" s="12">
        <v>0</v>
      </c>
      <c r="AK1987" s="12">
        <v>0</v>
      </c>
      <c r="AL1987" s="12">
        <v>0</v>
      </c>
      <c r="AM1987" s="16">
        <v>0</v>
      </c>
      <c r="AN1987" s="16">
        <v>0</v>
      </c>
      <c r="AO1987" s="16">
        <v>0</v>
      </c>
      <c r="AP1987" s="16">
        <v>0.5</v>
      </c>
      <c r="AQ1987" s="16">
        <v>999999</v>
      </c>
      <c r="AR1987" s="16">
        <v>0.5</v>
      </c>
      <c r="AS1987" s="16">
        <v>0</v>
      </c>
      <c r="AT1987" s="12">
        <v>0</v>
      </c>
      <c r="AU1987" s="12">
        <v>90205007</v>
      </c>
      <c r="AV1987" s="12"/>
      <c r="AW1987" s="19" t="s">
        <v>617</v>
      </c>
      <c r="AX1987" s="16" t="s">
        <v>534</v>
      </c>
      <c r="AY1987" s="18">
        <v>10000007</v>
      </c>
      <c r="AZ1987" s="18">
        <v>70205001</v>
      </c>
      <c r="BA1987" s="19" t="s">
        <v>315</v>
      </c>
      <c r="BB1987" s="19" t="s">
        <v>371</v>
      </c>
      <c r="BC1987" s="27">
        <v>0</v>
      </c>
      <c r="BD1987" s="27">
        <v>0</v>
      </c>
      <c r="BE1987" s="44"/>
      <c r="BF1987" s="44"/>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64">
        <v>73003101</v>
      </c>
      <c r="D1988" s="59" t="s">
        <v>760</v>
      </c>
      <c r="E1988" s="59" t="s">
        <v>761</v>
      </c>
      <c r="F1988" s="60">
        <v>2</v>
      </c>
      <c r="G1988" s="60">
        <v>61012301</v>
      </c>
      <c r="H1988" s="60">
        <v>0</v>
      </c>
      <c r="I1988" s="66">
        <v>0</v>
      </c>
      <c r="J1988" s="64">
        <v>1</v>
      </c>
      <c r="K1988" s="64">
        <v>0</v>
      </c>
      <c r="L1988" s="64">
        <v>0</v>
      </c>
      <c r="M1988" s="60">
        <v>0</v>
      </c>
      <c r="N1988" s="60">
        <v>0</v>
      </c>
      <c r="O1988" s="16">
        <v>2</v>
      </c>
      <c r="P1988" s="60">
        <v>1</v>
      </c>
      <c r="Q1988" s="60">
        <v>0.5</v>
      </c>
      <c r="R1988" s="60">
        <v>0</v>
      </c>
      <c r="S1988" s="68">
        <v>1</v>
      </c>
      <c r="T1988" s="60">
        <v>0</v>
      </c>
      <c r="U1988" s="60">
        <v>1</v>
      </c>
      <c r="V1988" s="60">
        <v>2</v>
      </c>
      <c r="W1988" s="60">
        <v>0</v>
      </c>
      <c r="X1988" s="60">
        <v>1.4</v>
      </c>
      <c r="Y1988" s="12">
        <v>0</v>
      </c>
      <c r="Z1988" s="60">
        <v>150</v>
      </c>
      <c r="AA1988" s="60">
        <v>1</v>
      </c>
      <c r="AB1988" s="60">
        <v>0</v>
      </c>
      <c r="AC1988" s="60">
        <v>0</v>
      </c>
      <c r="AD1988" s="60">
        <v>0</v>
      </c>
      <c r="AE1988" s="60">
        <v>0</v>
      </c>
      <c r="AF1988" s="60">
        <v>12</v>
      </c>
      <c r="AG1988" s="60">
        <v>2</v>
      </c>
      <c r="AH1988" s="60" t="s">
        <v>213</v>
      </c>
      <c r="AI1988" s="68">
        <v>7</v>
      </c>
      <c r="AJ1988" s="68">
        <v>2</v>
      </c>
      <c r="AK1988" s="12">
        <v>0</v>
      </c>
      <c r="AL1988" s="68">
        <v>1.5</v>
      </c>
      <c r="AM1988" s="60">
        <v>0</v>
      </c>
      <c r="AN1988" s="60">
        <v>0</v>
      </c>
      <c r="AO1988" s="60">
        <v>0</v>
      </c>
      <c r="AP1988" s="60">
        <v>1.5</v>
      </c>
      <c r="AQ1988" s="60">
        <v>1200</v>
      </c>
      <c r="AR1988" s="60">
        <v>1</v>
      </c>
      <c r="AS1988" s="60">
        <v>15</v>
      </c>
      <c r="AT1988" s="68">
        <v>0</v>
      </c>
      <c r="AU1988" s="60" t="s">
        <v>198</v>
      </c>
      <c r="AV1988" s="60"/>
      <c r="AW1988" s="59" t="s">
        <v>256</v>
      </c>
      <c r="AX1988" s="60" t="s">
        <v>215</v>
      </c>
      <c r="AY1988" s="64">
        <v>10000011</v>
      </c>
      <c r="AZ1988" s="64">
        <v>70404001</v>
      </c>
      <c r="BA1988" s="59" t="s">
        <v>216</v>
      </c>
      <c r="BB1988" s="60">
        <v>0</v>
      </c>
      <c r="BC1988" s="66">
        <v>0</v>
      </c>
      <c r="BD1988" s="66">
        <v>0</v>
      </c>
      <c r="BE1988" s="90" t="s">
        <v>798</v>
      </c>
      <c r="BF1988" s="90" t="s">
        <v>799</v>
      </c>
      <c r="BG1988" s="60">
        <v>0</v>
      </c>
      <c r="BH1988" s="60">
        <v>0</v>
      </c>
      <c r="BI1988" s="60">
        <v>0</v>
      </c>
      <c r="BJ1988" s="60">
        <v>0</v>
      </c>
      <c r="BK1988" s="60">
        <v>0</v>
      </c>
      <c r="BL1988" s="60">
        <v>0</v>
      </c>
      <c r="BM1988" s="93">
        <v>0</v>
      </c>
      <c r="BN1988" s="12">
        <v>0</v>
      </c>
      <c r="BO1988" s="12">
        <v>0</v>
      </c>
      <c r="BP1988" s="12">
        <v>0</v>
      </c>
      <c r="BQ1988" s="12">
        <v>0</v>
      </c>
      <c r="BR1988" s="12">
        <v>0</v>
      </c>
      <c r="BS1988" s="12">
        <v>0</v>
      </c>
      <c r="BT1988" s="12">
        <v>0</v>
      </c>
      <c r="BU1988" s="47">
        <v>0</v>
      </c>
      <c r="BV1988" s="47"/>
      <c r="BW1988" s="47"/>
    </row>
    <row r="1989" spans="3:75" ht="19.5" customHeight="1">
      <c r="C1989" s="18">
        <v>73003102</v>
      </c>
      <c r="D1989" s="17" t="s">
        <v>1091</v>
      </c>
      <c r="E1989" s="17" t="s">
        <v>1092</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607</v>
      </c>
      <c r="AI1989" s="12">
        <v>0</v>
      </c>
      <c r="AJ1989" s="12">
        <v>1</v>
      </c>
      <c r="AK1989" s="12">
        <v>0</v>
      </c>
      <c r="AL1989" s="12">
        <v>3</v>
      </c>
      <c r="AM1989" s="16">
        <v>0</v>
      </c>
      <c r="AN1989" s="16">
        <v>0</v>
      </c>
      <c r="AO1989" s="16">
        <v>0</v>
      </c>
      <c r="AP1989" s="16">
        <v>3</v>
      </c>
      <c r="AQ1989" s="16">
        <v>5000</v>
      </c>
      <c r="AR1989" s="16">
        <v>2.5</v>
      </c>
      <c r="AS1989" s="16">
        <v>0</v>
      </c>
      <c r="AT1989" s="12">
        <v>0</v>
      </c>
      <c r="AU1989" s="16">
        <v>80001030</v>
      </c>
      <c r="AV1989" s="16"/>
      <c r="AW1989" s="19" t="s">
        <v>287</v>
      </c>
      <c r="AX1989" s="16" t="s">
        <v>534</v>
      </c>
      <c r="AY1989" s="18">
        <v>10000007</v>
      </c>
      <c r="AZ1989" s="18">
        <v>70204001</v>
      </c>
      <c r="BA1989" s="17" t="s">
        <v>200</v>
      </c>
      <c r="BB1989" s="16">
        <v>0</v>
      </c>
      <c r="BC1989" s="27">
        <v>0</v>
      </c>
      <c r="BD1989" s="27">
        <v>0</v>
      </c>
      <c r="BE1989" s="44" t="s">
        <v>1093</v>
      </c>
      <c r="BF1989" s="44" t="s">
        <v>1094</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20.100000000000001" customHeight="1">
      <c r="C1990" s="18">
        <v>73003103</v>
      </c>
      <c r="D1990" s="17" t="s">
        <v>532</v>
      </c>
      <c r="E1990" s="17" t="s">
        <v>255</v>
      </c>
      <c r="F1990" s="18">
        <v>1</v>
      </c>
      <c r="G1990" s="16">
        <v>0</v>
      </c>
      <c r="H1990" s="18">
        <v>0</v>
      </c>
      <c r="I1990" s="27">
        <v>0</v>
      </c>
      <c r="J1990" s="18">
        <v>1</v>
      </c>
      <c r="K1990" s="18">
        <v>0</v>
      </c>
      <c r="L1990" s="18">
        <v>0</v>
      </c>
      <c r="M1990" s="16">
        <v>0</v>
      </c>
      <c r="N1990" s="16">
        <v>0</v>
      </c>
      <c r="O1990" s="16">
        <v>2</v>
      </c>
      <c r="P1990" s="16">
        <v>1</v>
      </c>
      <c r="Q1990" s="16">
        <v>1</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6</v>
      </c>
      <c r="AG1990" s="16">
        <v>1</v>
      </c>
      <c r="AH1990" s="16">
        <v>3</v>
      </c>
      <c r="AI1990" s="12">
        <v>0</v>
      </c>
      <c r="AJ1990" s="12">
        <v>0</v>
      </c>
      <c r="AK1990" s="12">
        <v>0</v>
      </c>
      <c r="AL1990" s="12">
        <v>1.5</v>
      </c>
      <c r="AM1990" s="16">
        <v>0</v>
      </c>
      <c r="AN1990" s="16">
        <v>0</v>
      </c>
      <c r="AO1990" s="16">
        <v>0</v>
      </c>
      <c r="AP1990" s="16">
        <v>1</v>
      </c>
      <c r="AQ1990" s="16">
        <v>5000</v>
      </c>
      <c r="AR1990" s="16">
        <v>0.5</v>
      </c>
      <c r="AS1990" s="16">
        <v>0</v>
      </c>
      <c r="AT1990" s="12">
        <v>0</v>
      </c>
      <c r="AU1990" s="16" t="s">
        <v>198</v>
      </c>
      <c r="AV1990" s="16"/>
      <c r="AW1990" s="19" t="s">
        <v>199</v>
      </c>
      <c r="AX1990" s="16" t="s">
        <v>534</v>
      </c>
      <c r="AY1990" s="18">
        <v>10000007</v>
      </c>
      <c r="AZ1990" s="18">
        <v>70105001</v>
      </c>
      <c r="BA1990" s="17" t="s">
        <v>200</v>
      </c>
      <c r="BB1990" s="16" t="s">
        <v>4199</v>
      </c>
      <c r="BC1990" s="27">
        <v>0</v>
      </c>
      <c r="BD1990" s="27">
        <v>0</v>
      </c>
      <c r="BE1990" s="44" t="s">
        <v>4200</v>
      </c>
      <c r="BF1990" s="44" t="s">
        <v>4201</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73003104</v>
      </c>
      <c r="D1991" s="17" t="s">
        <v>744</v>
      </c>
      <c r="E1991" s="17" t="s">
        <v>745</v>
      </c>
      <c r="F1991" s="18">
        <v>1</v>
      </c>
      <c r="G1991" s="18">
        <v>60010500</v>
      </c>
      <c r="H1991" s="18">
        <v>0</v>
      </c>
      <c r="I1991" s="27">
        <v>0</v>
      </c>
      <c r="J1991" s="18">
        <v>1</v>
      </c>
      <c r="K1991" s="18">
        <v>0</v>
      </c>
      <c r="L1991" s="18">
        <v>0</v>
      </c>
      <c r="M1991" s="18">
        <v>0</v>
      </c>
      <c r="N1991" s="18">
        <v>0</v>
      </c>
      <c r="O1991" s="16">
        <v>2</v>
      </c>
      <c r="P1991" s="18">
        <v>1</v>
      </c>
      <c r="Q1991" s="18">
        <v>0.05</v>
      </c>
      <c r="R1991" s="18">
        <v>0</v>
      </c>
      <c r="S1991" s="12">
        <v>0</v>
      </c>
      <c r="T1991" s="27">
        <v>0</v>
      </c>
      <c r="U1991" s="16">
        <v>1</v>
      </c>
      <c r="V1991" s="18">
        <v>1</v>
      </c>
      <c r="W1991" s="18">
        <v>0</v>
      </c>
      <c r="X1991" s="18">
        <v>2</v>
      </c>
      <c r="Y1991" s="12">
        <v>0</v>
      </c>
      <c r="Z1991" s="18">
        <v>0</v>
      </c>
      <c r="AA1991" s="18">
        <v>0</v>
      </c>
      <c r="AB1991" s="18">
        <v>0</v>
      </c>
      <c r="AC1991" s="18">
        <v>0</v>
      </c>
      <c r="AD1991" s="16">
        <v>0</v>
      </c>
      <c r="AE1991" s="18">
        <v>0</v>
      </c>
      <c r="AF1991" s="18">
        <v>10</v>
      </c>
      <c r="AG1991" s="18">
        <v>0</v>
      </c>
      <c r="AH1991" s="18">
        <v>0</v>
      </c>
      <c r="AI1991" s="12">
        <v>7</v>
      </c>
      <c r="AJ1991" s="12">
        <v>0</v>
      </c>
      <c r="AK1991" s="12">
        <v>0</v>
      </c>
      <c r="AL1991" s="12">
        <v>0</v>
      </c>
      <c r="AM1991" s="18">
        <v>0</v>
      </c>
      <c r="AN1991" s="18">
        <v>0</v>
      </c>
      <c r="AO1991" s="18">
        <v>0</v>
      </c>
      <c r="AP1991" s="18">
        <v>0</v>
      </c>
      <c r="AQ1991" s="18">
        <v>1000</v>
      </c>
      <c r="AR1991" s="18">
        <v>0.5</v>
      </c>
      <c r="AS1991" s="18">
        <v>0</v>
      </c>
      <c r="AT1991" s="12">
        <v>0</v>
      </c>
      <c r="AU1991" s="18" t="s">
        <v>659</v>
      </c>
      <c r="AV1991" s="18"/>
      <c r="AW1991" s="19" t="s">
        <v>741</v>
      </c>
      <c r="AX1991" s="18">
        <v>0</v>
      </c>
      <c r="AY1991" s="18">
        <v>10007001</v>
      </c>
      <c r="AZ1991" s="18">
        <v>0</v>
      </c>
      <c r="BA1991" s="19" t="s">
        <v>200</v>
      </c>
      <c r="BB1991" s="19" t="s">
        <v>198</v>
      </c>
      <c r="BC1991" s="27">
        <v>0</v>
      </c>
      <c r="BD1991" s="27">
        <v>0</v>
      </c>
      <c r="BE1991" s="87" t="s">
        <v>4369</v>
      </c>
      <c r="BF1991" s="87" t="s">
        <v>4370</v>
      </c>
      <c r="BG1991" s="18">
        <v>0</v>
      </c>
      <c r="BH1991" s="16">
        <v>0</v>
      </c>
      <c r="BI1991" s="18">
        <v>0</v>
      </c>
      <c r="BJ1991" s="18">
        <v>0</v>
      </c>
      <c r="BK1991" s="18">
        <v>0</v>
      </c>
      <c r="BL1991" s="18">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73003201</v>
      </c>
      <c r="D1992" s="17" t="s">
        <v>665</v>
      </c>
      <c r="E1992" s="17" t="s">
        <v>606</v>
      </c>
      <c r="F1992" s="16">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0</v>
      </c>
      <c r="AB1992" s="16">
        <v>0</v>
      </c>
      <c r="AC1992" s="16">
        <v>0</v>
      </c>
      <c r="AD1992" s="16">
        <v>0</v>
      </c>
      <c r="AE1992" s="16">
        <v>0</v>
      </c>
      <c r="AF1992" s="16">
        <v>12</v>
      </c>
      <c r="AG1992" s="16">
        <v>1</v>
      </c>
      <c r="AH1992" s="16">
        <v>3</v>
      </c>
      <c r="AI1992" s="12">
        <v>6</v>
      </c>
      <c r="AJ1992" s="12">
        <v>1</v>
      </c>
      <c r="AK1992" s="12">
        <v>0</v>
      </c>
      <c r="AL1992" s="12">
        <v>1.5</v>
      </c>
      <c r="AM1992" s="16">
        <v>0</v>
      </c>
      <c r="AN1992" s="16">
        <v>0</v>
      </c>
      <c r="AO1992" s="16">
        <v>0</v>
      </c>
      <c r="AP1992" s="16">
        <v>3</v>
      </c>
      <c r="AQ1992" s="16">
        <v>5000</v>
      </c>
      <c r="AR1992" s="16">
        <v>3</v>
      </c>
      <c r="AS1992" s="16">
        <v>0</v>
      </c>
      <c r="AT1992" s="12">
        <v>0</v>
      </c>
      <c r="AU1992" s="16" t="s">
        <v>198</v>
      </c>
      <c r="AV1992" s="16"/>
      <c r="AW1992" s="19" t="s">
        <v>256</v>
      </c>
      <c r="AX1992" s="16" t="s">
        <v>534</v>
      </c>
      <c r="AY1992" s="18">
        <v>10000007</v>
      </c>
      <c r="AZ1992" s="18">
        <v>70103003</v>
      </c>
      <c r="BA1992" s="17" t="s">
        <v>200</v>
      </c>
      <c r="BB1992" s="16" t="s">
        <v>4338</v>
      </c>
      <c r="BC1992" s="27">
        <v>0</v>
      </c>
      <c r="BD1992" s="27">
        <v>0</v>
      </c>
      <c r="BE1992" s="44" t="s">
        <v>667</v>
      </c>
      <c r="BF1992" s="44" t="s">
        <v>668</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73003202</v>
      </c>
      <c r="D1993" s="19" t="s">
        <v>4371</v>
      </c>
      <c r="E1993" s="19" t="s">
        <v>4372</v>
      </c>
      <c r="F1993" s="18">
        <v>1</v>
      </c>
      <c r="G1993" s="18">
        <v>60010500</v>
      </c>
      <c r="H1993" s="18">
        <v>0</v>
      </c>
      <c r="I1993" s="27">
        <v>0</v>
      </c>
      <c r="J1993" s="18">
        <v>1</v>
      </c>
      <c r="K1993" s="18">
        <v>0</v>
      </c>
      <c r="L1993" s="18">
        <v>0</v>
      </c>
      <c r="M1993" s="18">
        <v>0</v>
      </c>
      <c r="N1993" s="18">
        <v>0</v>
      </c>
      <c r="O1993" s="16">
        <v>2</v>
      </c>
      <c r="P1993" s="18">
        <v>2</v>
      </c>
      <c r="Q1993" s="18">
        <v>0.95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8">
        <v>20</v>
      </c>
      <c r="AG1993" s="18">
        <v>0</v>
      </c>
      <c r="AH1993" s="18">
        <v>0</v>
      </c>
      <c r="AI1993" s="12">
        <v>7</v>
      </c>
      <c r="AJ1993" s="12">
        <v>0</v>
      </c>
      <c r="AK1993" s="12">
        <v>0</v>
      </c>
      <c r="AL1993" s="12">
        <v>0</v>
      </c>
      <c r="AM1993" s="18">
        <v>0</v>
      </c>
      <c r="AN1993" s="18">
        <v>0</v>
      </c>
      <c r="AO1993" s="18">
        <v>0</v>
      </c>
      <c r="AP1993" s="18">
        <v>0</v>
      </c>
      <c r="AQ1993" s="18">
        <v>1000</v>
      </c>
      <c r="AR1993" s="18">
        <v>0.5</v>
      </c>
      <c r="AS1993" s="18">
        <v>0</v>
      </c>
      <c r="AT1993" s="12">
        <v>0</v>
      </c>
      <c r="AU1993" s="18">
        <v>83000001</v>
      </c>
      <c r="AV1993" s="18"/>
      <c r="AW1993" s="19" t="s">
        <v>741</v>
      </c>
      <c r="AX1993" s="18">
        <v>0</v>
      </c>
      <c r="AY1993" s="18">
        <v>10007001</v>
      </c>
      <c r="AZ1993" s="18">
        <v>0</v>
      </c>
      <c r="BA1993" s="19" t="s">
        <v>200</v>
      </c>
      <c r="BB1993" s="19" t="s">
        <v>198</v>
      </c>
      <c r="BC1993" s="27">
        <v>0</v>
      </c>
      <c r="BD1993" s="27">
        <v>0</v>
      </c>
      <c r="BE1993" s="87" t="s">
        <v>4373</v>
      </c>
      <c r="BF1993" s="87" t="s">
        <v>4374</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73003203</v>
      </c>
      <c r="D1994" s="17" t="s">
        <v>1091</v>
      </c>
      <c r="E1994" s="17" t="s">
        <v>1092</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3</v>
      </c>
      <c r="Y1994" s="12">
        <v>0</v>
      </c>
      <c r="Z1994" s="16">
        <v>0</v>
      </c>
      <c r="AA1994" s="16">
        <v>1</v>
      </c>
      <c r="AB1994" s="16">
        <v>0</v>
      </c>
      <c r="AC1994" s="16">
        <v>0</v>
      </c>
      <c r="AD1994" s="16">
        <v>0</v>
      </c>
      <c r="AE1994" s="16">
        <v>0</v>
      </c>
      <c r="AF1994" s="16">
        <v>15</v>
      </c>
      <c r="AG1994" s="16">
        <v>1</v>
      </c>
      <c r="AH1994" s="16" t="s">
        <v>607</v>
      </c>
      <c r="AI1994" s="12">
        <v>0</v>
      </c>
      <c r="AJ1994" s="12">
        <v>1</v>
      </c>
      <c r="AK1994" s="12">
        <v>0</v>
      </c>
      <c r="AL1994" s="12">
        <v>3</v>
      </c>
      <c r="AM1994" s="16">
        <v>0</v>
      </c>
      <c r="AN1994" s="16">
        <v>0</v>
      </c>
      <c r="AO1994" s="16">
        <v>0</v>
      </c>
      <c r="AP1994" s="16">
        <v>3</v>
      </c>
      <c r="AQ1994" s="16">
        <v>5000</v>
      </c>
      <c r="AR1994" s="16">
        <v>2.5</v>
      </c>
      <c r="AS1994" s="16">
        <v>0</v>
      </c>
      <c r="AT1994" s="12">
        <v>0</v>
      </c>
      <c r="AU1994" s="16" t="s">
        <v>659</v>
      </c>
      <c r="AV1994" s="16"/>
      <c r="AW1994" s="19" t="s">
        <v>256</v>
      </c>
      <c r="AX1994" s="16" t="s">
        <v>534</v>
      </c>
      <c r="AY1994" s="18">
        <v>10000007</v>
      </c>
      <c r="AZ1994" s="18">
        <v>70403003</v>
      </c>
      <c r="BA1994" s="17" t="s">
        <v>200</v>
      </c>
      <c r="BB1994" s="16">
        <v>0</v>
      </c>
      <c r="BC1994" s="27">
        <v>0</v>
      </c>
      <c r="BD1994" s="27">
        <v>0</v>
      </c>
      <c r="BE1994" s="44" t="s">
        <v>4281</v>
      </c>
      <c r="BF1994" s="44" t="s">
        <v>4282</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73003204</v>
      </c>
      <c r="D1995" s="15" t="s">
        <v>800</v>
      </c>
      <c r="E1995" s="15" t="s">
        <v>455</v>
      </c>
      <c r="F1995" s="15">
        <v>1</v>
      </c>
      <c r="G1995" s="16">
        <v>60010002</v>
      </c>
      <c r="H1995" s="15">
        <v>0</v>
      </c>
      <c r="I1995" s="26">
        <v>0</v>
      </c>
      <c r="J1995" s="15">
        <v>0</v>
      </c>
      <c r="K1995" s="15">
        <v>0</v>
      </c>
      <c r="L1995" s="26">
        <v>0</v>
      </c>
      <c r="M1995" s="26">
        <v>0</v>
      </c>
      <c r="N1995" s="15">
        <v>0</v>
      </c>
      <c r="O1995" s="15">
        <v>2</v>
      </c>
      <c r="P1995" s="15">
        <v>2</v>
      </c>
      <c r="Q1995" s="15">
        <v>0.95</v>
      </c>
      <c r="R1995" s="15">
        <v>0</v>
      </c>
      <c r="S1995" s="12">
        <v>0</v>
      </c>
      <c r="T1995" s="15">
        <v>0</v>
      </c>
      <c r="U1995" s="16">
        <v>1</v>
      </c>
      <c r="V1995" s="15">
        <v>2</v>
      </c>
      <c r="W1995" s="26">
        <v>0</v>
      </c>
      <c r="X1995" s="15">
        <v>3</v>
      </c>
      <c r="Y1995" s="12">
        <v>0</v>
      </c>
      <c r="Z1995" s="15">
        <v>0</v>
      </c>
      <c r="AA1995" s="15">
        <v>0</v>
      </c>
      <c r="AB1995" s="15">
        <v>0</v>
      </c>
      <c r="AC1995" s="26">
        <v>0</v>
      </c>
      <c r="AD1995" s="15">
        <v>0</v>
      </c>
      <c r="AE1995" s="15">
        <v>0</v>
      </c>
      <c r="AF1995" s="15">
        <v>15</v>
      </c>
      <c r="AG1995" s="15">
        <v>2</v>
      </c>
      <c r="AH1995" s="15" t="s">
        <v>801</v>
      </c>
      <c r="AI1995" s="69">
        <v>0</v>
      </c>
      <c r="AJ1995" s="69">
        <v>2</v>
      </c>
      <c r="AK1995" s="12">
        <v>0</v>
      </c>
      <c r="AL1995" s="15">
        <v>4</v>
      </c>
      <c r="AM1995" s="33">
        <v>0</v>
      </c>
      <c r="AN1995" s="15">
        <v>0</v>
      </c>
      <c r="AO1995" s="15">
        <v>0</v>
      </c>
      <c r="AP1995" s="15">
        <v>2</v>
      </c>
      <c r="AQ1995" s="16">
        <v>4000</v>
      </c>
      <c r="AR1995" s="15">
        <v>2</v>
      </c>
      <c r="AS1995" s="15">
        <v>0</v>
      </c>
      <c r="AT1995" s="12">
        <v>0</v>
      </c>
      <c r="AU1995" s="16" t="s">
        <v>659</v>
      </c>
      <c r="AV1995" s="16"/>
      <c r="AW1995" s="19" t="s">
        <v>287</v>
      </c>
      <c r="AX1995" s="26">
        <v>0</v>
      </c>
      <c r="AY1995" s="26">
        <v>0</v>
      </c>
      <c r="AZ1995" s="26">
        <v>70205004</v>
      </c>
      <c r="BA1995" s="19" t="s">
        <v>200</v>
      </c>
      <c r="BB1995" s="19">
        <v>0</v>
      </c>
      <c r="BC1995" s="19">
        <v>0</v>
      </c>
      <c r="BD1995" s="19">
        <v>0</v>
      </c>
      <c r="BE1995" s="44" t="s">
        <v>802</v>
      </c>
      <c r="BF1995" s="86" t="s">
        <v>803</v>
      </c>
      <c r="BG1995" s="15">
        <v>2</v>
      </c>
      <c r="BH1995" s="15">
        <v>0</v>
      </c>
      <c r="BI1995" s="18">
        <v>0</v>
      </c>
      <c r="BJ1995" s="15">
        <v>1</v>
      </c>
      <c r="BK1995" s="15">
        <v>2</v>
      </c>
      <c r="BL1995" s="33">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73003301</v>
      </c>
      <c r="D1996" s="59" t="s">
        <v>625</v>
      </c>
      <c r="E1996" s="59" t="s">
        <v>626</v>
      </c>
      <c r="F1996" s="16">
        <v>1</v>
      </c>
      <c r="G1996" s="16">
        <v>90002001</v>
      </c>
      <c r="H1996" s="60">
        <v>0</v>
      </c>
      <c r="I1996" s="27">
        <v>0</v>
      </c>
      <c r="J1996" s="18">
        <v>1</v>
      </c>
      <c r="K1996" s="18">
        <v>0</v>
      </c>
      <c r="L1996" s="18">
        <v>0</v>
      </c>
      <c r="M1996" s="60">
        <v>0</v>
      </c>
      <c r="N1996" s="60">
        <v>0</v>
      </c>
      <c r="O1996" s="60">
        <v>2</v>
      </c>
      <c r="P1996" s="60">
        <v>2</v>
      </c>
      <c r="Q1996" s="60">
        <v>0.9</v>
      </c>
      <c r="R1996" s="60">
        <v>0</v>
      </c>
      <c r="S1996" s="12">
        <v>0</v>
      </c>
      <c r="T1996" s="60">
        <v>0</v>
      </c>
      <c r="U1996" s="16">
        <v>1</v>
      </c>
      <c r="V1996" s="60">
        <v>2</v>
      </c>
      <c r="W1996" s="60">
        <v>0</v>
      </c>
      <c r="X1996" s="60">
        <v>3</v>
      </c>
      <c r="Y1996" s="12">
        <v>0</v>
      </c>
      <c r="Z1996" s="60">
        <v>0</v>
      </c>
      <c r="AA1996" s="60">
        <v>0</v>
      </c>
      <c r="AB1996" s="60">
        <v>0</v>
      </c>
      <c r="AC1996" s="60">
        <v>0</v>
      </c>
      <c r="AD1996" s="60">
        <v>0</v>
      </c>
      <c r="AE1996" s="60">
        <v>0</v>
      </c>
      <c r="AF1996" s="60">
        <v>20</v>
      </c>
      <c r="AG1996" s="60">
        <v>2</v>
      </c>
      <c r="AH1996" s="60" t="s">
        <v>627</v>
      </c>
      <c r="AI1996" s="12">
        <v>0</v>
      </c>
      <c r="AJ1996" s="12">
        <v>2</v>
      </c>
      <c r="AK1996" s="12">
        <v>0</v>
      </c>
      <c r="AL1996" s="68">
        <v>0</v>
      </c>
      <c r="AM1996" s="60">
        <v>0</v>
      </c>
      <c r="AN1996" s="60">
        <v>0</v>
      </c>
      <c r="AO1996" s="60">
        <v>0</v>
      </c>
      <c r="AP1996" s="60">
        <v>5</v>
      </c>
      <c r="AQ1996" s="60">
        <v>5000</v>
      </c>
      <c r="AR1996" s="60">
        <v>0</v>
      </c>
      <c r="AS1996" s="60">
        <v>0</v>
      </c>
      <c r="AT1996" s="12">
        <v>0</v>
      </c>
      <c r="AU1996" s="60">
        <v>0</v>
      </c>
      <c r="AV1996" s="60"/>
      <c r="AW1996" s="59" t="s">
        <v>287</v>
      </c>
      <c r="AX1996" s="16">
        <v>0</v>
      </c>
      <c r="AY1996" s="64">
        <v>0</v>
      </c>
      <c r="AZ1996" s="18">
        <v>22000030</v>
      </c>
      <c r="BA1996" s="59" t="s">
        <v>628</v>
      </c>
      <c r="BB1996" s="60" t="s">
        <v>4375</v>
      </c>
      <c r="BC1996" s="66">
        <v>0</v>
      </c>
      <c r="BD1996" s="66">
        <v>0</v>
      </c>
      <c r="BE1996" s="90" t="s">
        <v>4376</v>
      </c>
      <c r="BF1996" s="90" t="s">
        <v>4377</v>
      </c>
      <c r="BG1996" s="60">
        <v>0</v>
      </c>
      <c r="BH1996" s="16">
        <v>0</v>
      </c>
      <c r="BI1996" s="60">
        <v>0</v>
      </c>
      <c r="BJ1996" s="60">
        <v>0</v>
      </c>
      <c r="BK1996" s="60">
        <v>0</v>
      </c>
      <c r="BL1996" s="60">
        <v>0</v>
      </c>
      <c r="BM1996" s="16">
        <v>0</v>
      </c>
      <c r="BN1996" s="12">
        <v>0</v>
      </c>
      <c r="BO1996" s="12">
        <v>0</v>
      </c>
      <c r="BP1996" s="12">
        <v>0</v>
      </c>
      <c r="BQ1996" s="12">
        <v>0</v>
      </c>
      <c r="BR1996" s="12">
        <v>0</v>
      </c>
      <c r="BS1996" s="12">
        <v>0</v>
      </c>
      <c r="BT1996" s="12">
        <v>0</v>
      </c>
      <c r="BU1996" s="47">
        <v>0</v>
      </c>
      <c r="BV1996" s="47"/>
      <c r="BW1996" s="47"/>
    </row>
    <row r="1997" spans="3:75" ht="20.100000000000001" customHeight="1">
      <c r="C1997" s="18">
        <v>73003302</v>
      </c>
      <c r="D1997" s="17" t="s">
        <v>600</v>
      </c>
      <c r="E1997" s="17" t="s">
        <v>601</v>
      </c>
      <c r="F1997" s="18">
        <v>1</v>
      </c>
      <c r="G1997" s="16">
        <v>60010300</v>
      </c>
      <c r="H1997" s="18">
        <v>0</v>
      </c>
      <c r="I1997" s="27">
        <v>0</v>
      </c>
      <c r="J1997" s="18">
        <v>1</v>
      </c>
      <c r="K1997" s="18">
        <v>0</v>
      </c>
      <c r="L1997" s="18">
        <v>0</v>
      </c>
      <c r="M1997" s="16">
        <v>0</v>
      </c>
      <c r="N1997" s="16">
        <v>0</v>
      </c>
      <c r="O1997" s="60">
        <v>2</v>
      </c>
      <c r="P1997" s="16">
        <v>2</v>
      </c>
      <c r="Q1997" s="16">
        <v>0.8</v>
      </c>
      <c r="R1997" s="16">
        <v>0</v>
      </c>
      <c r="S1997" s="12">
        <v>0</v>
      </c>
      <c r="T1997" s="16">
        <v>0</v>
      </c>
      <c r="U1997" s="16">
        <v>1</v>
      </c>
      <c r="V1997" s="16">
        <v>2</v>
      </c>
      <c r="W1997" s="16">
        <v>0</v>
      </c>
      <c r="X1997" s="16">
        <v>0</v>
      </c>
      <c r="Y1997" s="12">
        <v>0</v>
      </c>
      <c r="Z1997" s="16">
        <v>0</v>
      </c>
      <c r="AA1997" s="16">
        <v>0</v>
      </c>
      <c r="AB1997" s="16">
        <v>0</v>
      </c>
      <c r="AC1997" s="16">
        <v>0</v>
      </c>
      <c r="AD1997" s="16">
        <v>0</v>
      </c>
      <c r="AE1997" s="16">
        <v>0</v>
      </c>
      <c r="AF1997" s="16">
        <v>30</v>
      </c>
      <c r="AG1997" s="16">
        <v>0</v>
      </c>
      <c r="AH1997" s="16">
        <v>0</v>
      </c>
      <c r="AI1997" s="12">
        <v>2</v>
      </c>
      <c r="AJ1997" s="12">
        <v>2</v>
      </c>
      <c r="AK1997" s="12">
        <v>0</v>
      </c>
      <c r="AL1997" s="12">
        <v>1.5</v>
      </c>
      <c r="AM1997" s="16">
        <v>0</v>
      </c>
      <c r="AN1997" s="16">
        <v>0</v>
      </c>
      <c r="AO1997" s="16">
        <v>0</v>
      </c>
      <c r="AP1997" s="16">
        <v>1</v>
      </c>
      <c r="AQ1997" s="16">
        <v>3000</v>
      </c>
      <c r="AR1997" s="16">
        <v>0.5</v>
      </c>
      <c r="AS1997" s="16">
        <v>0</v>
      </c>
      <c r="AT1997" s="12">
        <v>0</v>
      </c>
      <c r="AU1997" s="16" t="s">
        <v>198</v>
      </c>
      <c r="AV1997" s="16"/>
      <c r="AW1997" s="19" t="s">
        <v>199</v>
      </c>
      <c r="AX1997" s="16" t="s">
        <v>545</v>
      </c>
      <c r="AY1997" s="18">
        <v>0</v>
      </c>
      <c r="AZ1997" s="18">
        <v>0</v>
      </c>
      <c r="BA1997" s="17" t="s">
        <v>528</v>
      </c>
      <c r="BB1997" s="16" t="s">
        <v>4378</v>
      </c>
      <c r="BC1997" s="27">
        <v>0</v>
      </c>
      <c r="BD1997" s="27">
        <v>0</v>
      </c>
      <c r="BE1997" s="44" t="s">
        <v>4205</v>
      </c>
      <c r="BF1997" s="44" t="s">
        <v>4206</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73003303</v>
      </c>
      <c r="D1998" s="17" t="s">
        <v>1324</v>
      </c>
      <c r="E1998" s="17" t="s">
        <v>1325</v>
      </c>
      <c r="F1998" s="18">
        <v>1</v>
      </c>
      <c r="G1998" s="16">
        <v>60010100</v>
      </c>
      <c r="H1998" s="18">
        <v>0</v>
      </c>
      <c r="I1998" s="27">
        <v>0</v>
      </c>
      <c r="J1998" s="18">
        <v>1</v>
      </c>
      <c r="K1998" s="18">
        <v>0</v>
      </c>
      <c r="L1998" s="18">
        <v>0</v>
      </c>
      <c r="M1998" s="16">
        <v>0</v>
      </c>
      <c r="N1998" s="16">
        <v>0</v>
      </c>
      <c r="O1998" s="60">
        <v>2</v>
      </c>
      <c r="P1998" s="16">
        <v>1</v>
      </c>
      <c r="Q1998" s="16">
        <v>1</v>
      </c>
      <c r="R1998" s="16">
        <v>0</v>
      </c>
      <c r="S1998" s="12">
        <v>0</v>
      </c>
      <c r="T1998" s="16">
        <v>0</v>
      </c>
      <c r="U1998" s="16">
        <v>1</v>
      </c>
      <c r="V1998" s="16">
        <v>2</v>
      </c>
      <c r="W1998" s="16">
        <v>0</v>
      </c>
      <c r="X1998" s="16">
        <v>2</v>
      </c>
      <c r="Y1998" s="12">
        <v>0</v>
      </c>
      <c r="Z1998" s="16">
        <v>0</v>
      </c>
      <c r="AA1998" s="16">
        <v>1</v>
      </c>
      <c r="AB1998" s="16">
        <v>0</v>
      </c>
      <c r="AC1998" s="16">
        <v>0</v>
      </c>
      <c r="AD1998" s="16">
        <v>0</v>
      </c>
      <c r="AE1998" s="16">
        <v>0</v>
      </c>
      <c r="AF1998" s="16">
        <v>10</v>
      </c>
      <c r="AG1998" s="16">
        <v>2</v>
      </c>
      <c r="AH1998" s="16" t="s">
        <v>213</v>
      </c>
      <c r="AI1998" s="12">
        <v>0</v>
      </c>
      <c r="AJ1998" s="12">
        <v>2</v>
      </c>
      <c r="AK1998" s="12">
        <v>0</v>
      </c>
      <c r="AL1998" s="12">
        <v>1.5</v>
      </c>
      <c r="AM1998" s="16">
        <v>0</v>
      </c>
      <c r="AN1998" s="16">
        <v>0</v>
      </c>
      <c r="AO1998" s="16">
        <v>0</v>
      </c>
      <c r="AP1998" s="16">
        <v>1.5</v>
      </c>
      <c r="AQ1998" s="16">
        <v>10000</v>
      </c>
      <c r="AR1998" s="16">
        <v>1</v>
      </c>
      <c r="AS1998" s="16">
        <v>5</v>
      </c>
      <c r="AT1998" s="12">
        <v>0</v>
      </c>
      <c r="AU1998" s="16" t="s">
        <v>198</v>
      </c>
      <c r="AV1998" s="16"/>
      <c r="AW1998" s="19" t="s">
        <v>617</v>
      </c>
      <c r="AX1998" s="16" t="s">
        <v>534</v>
      </c>
      <c r="AY1998" s="18">
        <v>10000007</v>
      </c>
      <c r="AZ1998" s="18">
        <v>70302003</v>
      </c>
      <c r="BA1998" s="19" t="s">
        <v>586</v>
      </c>
      <c r="BB1998" s="27">
        <v>0</v>
      </c>
      <c r="BC1998" s="27">
        <v>0</v>
      </c>
      <c r="BD1998" s="27">
        <v>0</v>
      </c>
      <c r="BE1998" s="44" t="s">
        <v>1108</v>
      </c>
      <c r="BF1998" s="44" t="s">
        <v>1109</v>
      </c>
      <c r="BG1998" s="16">
        <v>1</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73003304</v>
      </c>
      <c r="D1999" s="59" t="s">
        <v>4379</v>
      </c>
      <c r="E1999" s="59" t="s">
        <v>4380</v>
      </c>
      <c r="F1999" s="64">
        <v>1</v>
      </c>
      <c r="G1999" s="64">
        <v>60010500</v>
      </c>
      <c r="H1999" s="64">
        <v>0</v>
      </c>
      <c r="I1999" s="66">
        <v>0</v>
      </c>
      <c r="J1999" s="64">
        <v>1</v>
      </c>
      <c r="K1999" s="64">
        <v>0</v>
      </c>
      <c r="L1999" s="64">
        <v>0</v>
      </c>
      <c r="M1999" s="64">
        <v>0</v>
      </c>
      <c r="N1999" s="64">
        <v>0</v>
      </c>
      <c r="O1999" s="60">
        <v>2</v>
      </c>
      <c r="P1999" s="64">
        <v>2</v>
      </c>
      <c r="Q1999" s="64">
        <v>0.95</v>
      </c>
      <c r="R1999" s="64">
        <v>0</v>
      </c>
      <c r="S1999" s="68">
        <v>1</v>
      </c>
      <c r="T1999" s="66">
        <v>0</v>
      </c>
      <c r="U1999" s="60">
        <v>1</v>
      </c>
      <c r="V1999" s="64">
        <v>1</v>
      </c>
      <c r="W1999" s="64">
        <v>0</v>
      </c>
      <c r="X1999" s="64">
        <v>2</v>
      </c>
      <c r="Y1999" s="12">
        <v>0</v>
      </c>
      <c r="Z1999" s="64">
        <v>0</v>
      </c>
      <c r="AA1999" s="64">
        <v>0</v>
      </c>
      <c r="AB1999" s="64">
        <v>0</v>
      </c>
      <c r="AC1999" s="64">
        <v>0</v>
      </c>
      <c r="AD1999" s="60">
        <v>0</v>
      </c>
      <c r="AE1999" s="64">
        <v>0</v>
      </c>
      <c r="AF1999" s="64">
        <v>10</v>
      </c>
      <c r="AG1999" s="64">
        <v>0</v>
      </c>
      <c r="AH1999" s="64">
        <v>0</v>
      </c>
      <c r="AI1999" s="68">
        <v>7</v>
      </c>
      <c r="AJ1999" s="68">
        <v>0</v>
      </c>
      <c r="AK1999" s="12">
        <v>0</v>
      </c>
      <c r="AL1999" s="68">
        <v>0</v>
      </c>
      <c r="AM1999" s="64">
        <v>0</v>
      </c>
      <c r="AN1999" s="64">
        <v>0</v>
      </c>
      <c r="AO1999" s="64">
        <v>0</v>
      </c>
      <c r="AP1999" s="64">
        <v>0</v>
      </c>
      <c r="AQ1999" s="64">
        <v>1000</v>
      </c>
      <c r="AR1999" s="64">
        <v>0.5</v>
      </c>
      <c r="AS1999" s="64">
        <v>0</v>
      </c>
      <c r="AT1999" s="68">
        <v>0</v>
      </c>
      <c r="AU1999" s="64">
        <v>83000003</v>
      </c>
      <c r="AV1999" s="64"/>
      <c r="AW1999" s="63" t="s">
        <v>741</v>
      </c>
      <c r="AX1999" s="64">
        <v>0</v>
      </c>
      <c r="AY1999" s="64">
        <v>10007001</v>
      </c>
      <c r="AZ1999" s="64">
        <v>0</v>
      </c>
      <c r="BA1999" s="63" t="s">
        <v>200</v>
      </c>
      <c r="BB1999" s="63" t="s">
        <v>198</v>
      </c>
      <c r="BC1999" s="66">
        <v>0</v>
      </c>
      <c r="BD1999" s="66">
        <v>0</v>
      </c>
      <c r="BE1999" s="92" t="s">
        <v>4369</v>
      </c>
      <c r="BF1999" s="92" t="s">
        <v>4370</v>
      </c>
      <c r="BG1999" s="64">
        <v>0</v>
      </c>
      <c r="BH1999" s="60">
        <v>0</v>
      </c>
      <c r="BI1999" s="64">
        <v>0</v>
      </c>
      <c r="BJ1999" s="64">
        <v>0</v>
      </c>
      <c r="BK1999" s="64">
        <v>0</v>
      </c>
      <c r="BL1999" s="64">
        <v>0</v>
      </c>
      <c r="BM1999" s="93">
        <v>0</v>
      </c>
      <c r="BN1999" s="12">
        <v>0</v>
      </c>
      <c r="BO1999" s="12">
        <v>0</v>
      </c>
      <c r="BP1999" s="12">
        <v>0</v>
      </c>
      <c r="BQ1999" s="12">
        <v>0</v>
      </c>
      <c r="BR1999" s="12">
        <v>0</v>
      </c>
      <c r="BS1999" s="12">
        <v>0</v>
      </c>
      <c r="BT1999" s="12">
        <v>0</v>
      </c>
      <c r="BU1999" s="47">
        <v>0</v>
      </c>
      <c r="BV1999" s="47"/>
      <c r="BW1999" s="47"/>
    </row>
    <row r="2000" spans="3:75" ht="19.5" customHeight="1">
      <c r="C2000" s="18">
        <v>73003305</v>
      </c>
      <c r="D2000" s="17" t="s">
        <v>1091</v>
      </c>
      <c r="E2000" s="17" t="s">
        <v>1092</v>
      </c>
      <c r="F2000" s="18">
        <v>1</v>
      </c>
      <c r="G2000" s="16">
        <v>60010100</v>
      </c>
      <c r="H2000" s="18">
        <v>0</v>
      </c>
      <c r="I2000" s="27">
        <v>0</v>
      </c>
      <c r="J2000" s="18">
        <v>1</v>
      </c>
      <c r="K2000" s="18">
        <v>0</v>
      </c>
      <c r="L2000" s="18">
        <v>0</v>
      </c>
      <c r="M2000" s="16">
        <v>0</v>
      </c>
      <c r="N2000" s="16">
        <v>0</v>
      </c>
      <c r="O2000" s="60">
        <v>2</v>
      </c>
      <c r="P2000" s="16">
        <v>2</v>
      </c>
      <c r="Q2000" s="16">
        <v>0.9</v>
      </c>
      <c r="R2000" s="16">
        <v>0</v>
      </c>
      <c r="S2000" s="12">
        <v>1</v>
      </c>
      <c r="T2000" s="16">
        <v>0</v>
      </c>
      <c r="U2000" s="16">
        <v>1</v>
      </c>
      <c r="V2000" s="16">
        <v>2</v>
      </c>
      <c r="W2000" s="16">
        <v>0</v>
      </c>
      <c r="X2000" s="16">
        <v>3</v>
      </c>
      <c r="Y2000" s="12">
        <v>0</v>
      </c>
      <c r="Z2000" s="16">
        <v>0</v>
      </c>
      <c r="AA2000" s="16">
        <v>1</v>
      </c>
      <c r="AB2000" s="16">
        <v>0</v>
      </c>
      <c r="AC2000" s="16">
        <v>0</v>
      </c>
      <c r="AD2000" s="16">
        <v>0</v>
      </c>
      <c r="AE2000" s="16">
        <v>0</v>
      </c>
      <c r="AF2000" s="16">
        <v>15</v>
      </c>
      <c r="AG2000" s="16">
        <v>1</v>
      </c>
      <c r="AH2000" s="16" t="s">
        <v>607</v>
      </c>
      <c r="AI2000" s="12">
        <v>0</v>
      </c>
      <c r="AJ2000" s="12">
        <v>1</v>
      </c>
      <c r="AK2000" s="12">
        <v>0</v>
      </c>
      <c r="AL2000" s="12">
        <v>3</v>
      </c>
      <c r="AM2000" s="16">
        <v>0</v>
      </c>
      <c r="AN2000" s="16">
        <v>0</v>
      </c>
      <c r="AO2000" s="16">
        <v>0</v>
      </c>
      <c r="AP2000" s="16">
        <v>3</v>
      </c>
      <c r="AQ2000" s="16">
        <v>5000</v>
      </c>
      <c r="AR2000" s="16">
        <v>2.5</v>
      </c>
      <c r="AS2000" s="16">
        <v>0</v>
      </c>
      <c r="AT2000" s="12">
        <v>0</v>
      </c>
      <c r="AU2000" s="16">
        <v>90001023</v>
      </c>
      <c r="AV2000" s="16"/>
      <c r="AW2000" s="19" t="s">
        <v>256</v>
      </c>
      <c r="AX2000" s="16" t="s">
        <v>534</v>
      </c>
      <c r="AY2000" s="18">
        <v>10000007</v>
      </c>
      <c r="AZ2000" s="18">
        <v>70403003</v>
      </c>
      <c r="BA2000" s="17" t="s">
        <v>200</v>
      </c>
      <c r="BB2000" s="16">
        <v>0</v>
      </c>
      <c r="BC2000" s="27">
        <v>0</v>
      </c>
      <c r="BD2000" s="27">
        <v>0</v>
      </c>
      <c r="BE2000" s="44" t="s">
        <v>4281</v>
      </c>
      <c r="BF2000" s="44" t="s">
        <v>4282</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73003306</v>
      </c>
      <c r="D2001" s="19" t="s">
        <v>673</v>
      </c>
      <c r="E2001" s="19" t="s">
        <v>674</v>
      </c>
      <c r="F2001" s="18">
        <v>1</v>
      </c>
      <c r="G2001" s="18">
        <v>60010500</v>
      </c>
      <c r="H2001" s="18">
        <v>0</v>
      </c>
      <c r="I2001" s="27">
        <v>0</v>
      </c>
      <c r="J2001" s="18">
        <v>1</v>
      </c>
      <c r="K2001" s="18">
        <v>0</v>
      </c>
      <c r="L2001" s="18">
        <v>0</v>
      </c>
      <c r="M2001" s="18">
        <v>0</v>
      </c>
      <c r="N2001" s="18">
        <v>0</v>
      </c>
      <c r="O2001" s="60">
        <v>2</v>
      </c>
      <c r="P2001" s="18">
        <v>2</v>
      </c>
      <c r="Q2001" s="18">
        <v>0.6</v>
      </c>
      <c r="R2001" s="18">
        <v>0</v>
      </c>
      <c r="S2001" s="12">
        <v>0</v>
      </c>
      <c r="T2001" s="27">
        <v>0</v>
      </c>
      <c r="U2001" s="16">
        <v>1</v>
      </c>
      <c r="V2001" s="18">
        <v>2</v>
      </c>
      <c r="W2001" s="18">
        <v>0</v>
      </c>
      <c r="X2001" s="18">
        <v>0</v>
      </c>
      <c r="Y2001" s="12">
        <v>0</v>
      </c>
      <c r="Z2001" s="18">
        <v>0</v>
      </c>
      <c r="AA2001" s="18">
        <v>0</v>
      </c>
      <c r="AB2001" s="18">
        <v>0</v>
      </c>
      <c r="AC2001" s="18">
        <v>0</v>
      </c>
      <c r="AD2001" s="18">
        <v>0</v>
      </c>
      <c r="AE2001" s="18">
        <v>0</v>
      </c>
      <c r="AF2001" s="16">
        <v>99999</v>
      </c>
      <c r="AG2001" s="18">
        <v>0</v>
      </c>
      <c r="AH2001" s="18">
        <v>0</v>
      </c>
      <c r="AI2001" s="12">
        <v>2</v>
      </c>
      <c r="AJ2001" s="12">
        <v>0</v>
      </c>
      <c r="AK2001" s="12">
        <v>0</v>
      </c>
      <c r="AL2001" s="12">
        <v>0</v>
      </c>
      <c r="AM2001" s="18">
        <v>0</v>
      </c>
      <c r="AN2001" s="18">
        <v>0</v>
      </c>
      <c r="AO2001" s="18">
        <v>0</v>
      </c>
      <c r="AP2001" s="18">
        <v>0</v>
      </c>
      <c r="AQ2001" s="18">
        <v>1000</v>
      </c>
      <c r="AR2001" s="18">
        <v>0</v>
      </c>
      <c r="AS2001" s="18">
        <v>0</v>
      </c>
      <c r="AT2001" s="12">
        <v>90104002</v>
      </c>
      <c r="AU2001" s="18" t="s">
        <v>198</v>
      </c>
      <c r="AV2001" s="18"/>
      <c r="AW2001" s="19" t="s">
        <v>199</v>
      </c>
      <c r="AX2001" s="18" t="s">
        <v>348</v>
      </c>
      <c r="AY2001" s="18">
        <v>0</v>
      </c>
      <c r="AZ2001" s="18">
        <v>0</v>
      </c>
      <c r="BA2001" s="19" t="s">
        <v>200</v>
      </c>
      <c r="BB2001" s="19" t="s">
        <v>198</v>
      </c>
      <c r="BC2001" s="27">
        <v>0</v>
      </c>
      <c r="BD2001" s="27">
        <v>0</v>
      </c>
      <c r="BE2001" s="87" t="s">
        <v>675</v>
      </c>
      <c r="BF2001" s="87" t="s">
        <v>676</v>
      </c>
      <c r="BG2001" s="18">
        <v>0</v>
      </c>
      <c r="BH2001" s="16">
        <v>0</v>
      </c>
      <c r="BI2001" s="18">
        <v>0</v>
      </c>
      <c r="BJ2001" s="18">
        <v>0</v>
      </c>
      <c r="BK2001" s="18">
        <v>0</v>
      </c>
      <c r="BL2001" s="18">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73003307</v>
      </c>
      <c r="D2002" s="17" t="s">
        <v>4381</v>
      </c>
      <c r="E2002" s="17" t="s">
        <v>4382</v>
      </c>
      <c r="F2002" s="18">
        <v>1</v>
      </c>
      <c r="G2002" s="16">
        <v>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1</v>
      </c>
      <c r="Y2002" s="12">
        <v>0</v>
      </c>
      <c r="Z2002" s="16">
        <v>0</v>
      </c>
      <c r="AA2002" s="16">
        <v>1</v>
      </c>
      <c r="AB2002" s="16">
        <v>0</v>
      </c>
      <c r="AC2002" s="16">
        <v>0</v>
      </c>
      <c r="AD2002" s="16">
        <v>0</v>
      </c>
      <c r="AE2002" s="16">
        <v>0</v>
      </c>
      <c r="AF2002" s="16">
        <v>3</v>
      </c>
      <c r="AG2002" s="16">
        <v>1</v>
      </c>
      <c r="AH2002" s="16">
        <v>3</v>
      </c>
      <c r="AI2002" s="12">
        <v>0</v>
      </c>
      <c r="AJ2002" s="12">
        <v>0</v>
      </c>
      <c r="AK2002" s="12">
        <v>0</v>
      </c>
      <c r="AL2002" s="12">
        <v>1.5</v>
      </c>
      <c r="AM2002" s="16">
        <v>0</v>
      </c>
      <c r="AN2002" s="16">
        <v>0</v>
      </c>
      <c r="AO2002" s="16">
        <v>0</v>
      </c>
      <c r="AP2002" s="16">
        <v>1</v>
      </c>
      <c r="AQ2002" s="16">
        <v>1500</v>
      </c>
      <c r="AR2002" s="16">
        <v>0.5</v>
      </c>
      <c r="AS2002" s="16">
        <v>0</v>
      </c>
      <c r="AT2002" s="12">
        <v>0</v>
      </c>
      <c r="AU2002" s="16">
        <v>83000002</v>
      </c>
      <c r="AV2002" s="16"/>
      <c r="AW2002" s="19" t="s">
        <v>199</v>
      </c>
      <c r="AX2002" s="16" t="s">
        <v>534</v>
      </c>
      <c r="AY2002" s="18">
        <v>10000007</v>
      </c>
      <c r="AZ2002" s="18">
        <v>70105001</v>
      </c>
      <c r="BA2002" s="17" t="s">
        <v>200</v>
      </c>
      <c r="BB2002" s="16" t="s">
        <v>4199</v>
      </c>
      <c r="BC2002" s="27">
        <v>0</v>
      </c>
      <c r="BD2002" s="27">
        <v>0</v>
      </c>
      <c r="BE2002" s="44" t="s">
        <v>4200</v>
      </c>
      <c r="BF2002" s="44" t="s">
        <v>4201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73003308</v>
      </c>
      <c r="D2003" s="17" t="s">
        <v>1324</v>
      </c>
      <c r="E2003" s="17" t="s">
        <v>1325</v>
      </c>
      <c r="F2003" s="18">
        <v>1</v>
      </c>
      <c r="G2003" s="16">
        <v>60010100</v>
      </c>
      <c r="H2003" s="18">
        <v>0</v>
      </c>
      <c r="I2003" s="27">
        <v>0</v>
      </c>
      <c r="J2003" s="18">
        <v>1</v>
      </c>
      <c r="K2003" s="18">
        <v>0</v>
      </c>
      <c r="L2003" s="18">
        <v>0</v>
      </c>
      <c r="M2003" s="16">
        <v>0</v>
      </c>
      <c r="N2003" s="16">
        <v>0</v>
      </c>
      <c r="O2003" s="60">
        <v>2</v>
      </c>
      <c r="P2003" s="16">
        <v>1</v>
      </c>
      <c r="Q2003" s="16">
        <v>1</v>
      </c>
      <c r="R2003" s="16">
        <v>0</v>
      </c>
      <c r="S2003" s="12">
        <v>0</v>
      </c>
      <c r="T2003" s="16">
        <v>0</v>
      </c>
      <c r="U2003" s="16">
        <v>1</v>
      </c>
      <c r="V2003" s="16">
        <v>2</v>
      </c>
      <c r="W2003" s="16">
        <v>0</v>
      </c>
      <c r="X2003" s="16">
        <v>2</v>
      </c>
      <c r="Y2003" s="12">
        <v>0</v>
      </c>
      <c r="Z2003" s="16">
        <v>0</v>
      </c>
      <c r="AA2003" s="16">
        <v>1</v>
      </c>
      <c r="AB2003" s="16">
        <v>0</v>
      </c>
      <c r="AC2003" s="16">
        <v>0</v>
      </c>
      <c r="AD2003" s="16">
        <v>0</v>
      </c>
      <c r="AE2003" s="16">
        <v>0</v>
      </c>
      <c r="AF2003" s="16">
        <v>10</v>
      </c>
      <c r="AG2003" s="16">
        <v>2</v>
      </c>
      <c r="AH2003" s="16" t="s">
        <v>213</v>
      </c>
      <c r="AI2003" s="12">
        <v>0</v>
      </c>
      <c r="AJ2003" s="12">
        <v>2</v>
      </c>
      <c r="AK2003" s="12">
        <v>0</v>
      </c>
      <c r="AL2003" s="12">
        <v>1.5</v>
      </c>
      <c r="AM2003" s="16">
        <v>0</v>
      </c>
      <c r="AN2003" s="16">
        <v>0</v>
      </c>
      <c r="AO2003" s="16">
        <v>0</v>
      </c>
      <c r="AP2003" s="16">
        <v>1.5</v>
      </c>
      <c r="AQ2003" s="16">
        <v>10000</v>
      </c>
      <c r="AR2003" s="16">
        <v>1</v>
      </c>
      <c r="AS2003" s="16">
        <v>5</v>
      </c>
      <c r="AT2003" s="12">
        <v>0</v>
      </c>
      <c r="AU2003" s="16" t="s">
        <v>198</v>
      </c>
      <c r="AV2003" s="16"/>
      <c r="AW2003" s="19" t="s">
        <v>617</v>
      </c>
      <c r="AX2003" s="16" t="s">
        <v>534</v>
      </c>
      <c r="AY2003" s="18">
        <v>10000007</v>
      </c>
      <c r="AZ2003" s="18">
        <v>70302003</v>
      </c>
      <c r="BA2003" s="19" t="s">
        <v>586</v>
      </c>
      <c r="BB2003" s="27" t="s">
        <v>4383</v>
      </c>
      <c r="BC2003" s="27">
        <v>0</v>
      </c>
      <c r="BD2003" s="27">
        <v>0</v>
      </c>
      <c r="BE2003" s="44" t="s">
        <v>1108</v>
      </c>
      <c r="BF2003" s="44" t="s">
        <v>1109</v>
      </c>
      <c r="BG2003" s="16">
        <v>1</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18">
        <v>73004101</v>
      </c>
      <c r="D2004" s="17" t="s">
        <v>744</v>
      </c>
      <c r="E2004" s="17" t="s">
        <v>745</v>
      </c>
      <c r="F2004" s="18">
        <v>1</v>
      </c>
      <c r="G2004" s="18">
        <v>60010500</v>
      </c>
      <c r="H2004" s="18">
        <v>0</v>
      </c>
      <c r="I2004" s="27">
        <v>0</v>
      </c>
      <c r="J2004" s="18">
        <v>1</v>
      </c>
      <c r="K2004" s="18">
        <v>0</v>
      </c>
      <c r="L2004" s="18">
        <v>0</v>
      </c>
      <c r="M2004" s="18">
        <v>0</v>
      </c>
      <c r="N2004" s="18">
        <v>0</v>
      </c>
      <c r="O2004" s="60">
        <v>2</v>
      </c>
      <c r="P2004" s="18">
        <v>2</v>
      </c>
      <c r="Q2004" s="18">
        <v>0.95</v>
      </c>
      <c r="R2004" s="18">
        <v>0</v>
      </c>
      <c r="S2004" s="12">
        <v>0</v>
      </c>
      <c r="T2004" s="27">
        <v>0</v>
      </c>
      <c r="U2004" s="16">
        <v>1</v>
      </c>
      <c r="V2004" s="18">
        <v>1</v>
      </c>
      <c r="W2004" s="18">
        <v>0</v>
      </c>
      <c r="X2004" s="18">
        <v>3</v>
      </c>
      <c r="Y2004" s="12">
        <v>0</v>
      </c>
      <c r="Z2004" s="18">
        <v>0</v>
      </c>
      <c r="AA2004" s="18">
        <v>0</v>
      </c>
      <c r="AB2004" s="18">
        <v>0</v>
      </c>
      <c r="AC2004" s="18">
        <v>0</v>
      </c>
      <c r="AD2004" s="16">
        <v>0</v>
      </c>
      <c r="AE2004" s="18">
        <v>0</v>
      </c>
      <c r="AF2004" s="18">
        <v>10</v>
      </c>
      <c r="AG2004" s="18">
        <v>0</v>
      </c>
      <c r="AH2004" s="18">
        <v>0</v>
      </c>
      <c r="AI2004" s="12">
        <v>7</v>
      </c>
      <c r="AJ2004" s="12">
        <v>0</v>
      </c>
      <c r="AK2004" s="12">
        <v>0</v>
      </c>
      <c r="AL2004" s="12">
        <v>0</v>
      </c>
      <c r="AM2004" s="18">
        <v>0</v>
      </c>
      <c r="AN2004" s="18">
        <v>0</v>
      </c>
      <c r="AO2004" s="18">
        <v>0</v>
      </c>
      <c r="AP2004" s="18">
        <v>0</v>
      </c>
      <c r="AQ2004" s="18">
        <v>1000</v>
      </c>
      <c r="AR2004" s="18">
        <v>0.5</v>
      </c>
      <c r="AS2004" s="18">
        <v>0</v>
      </c>
      <c r="AT2004" s="12">
        <v>0</v>
      </c>
      <c r="AU2004" s="18">
        <v>0</v>
      </c>
      <c r="AV2004" s="18"/>
      <c r="AW2004" s="19" t="s">
        <v>741</v>
      </c>
      <c r="AX2004" s="18">
        <v>0</v>
      </c>
      <c r="AY2004" s="18">
        <v>10007001</v>
      </c>
      <c r="AZ2004" s="18">
        <v>0</v>
      </c>
      <c r="BA2004" s="19" t="s">
        <v>200</v>
      </c>
      <c r="BB2004" s="19" t="s">
        <v>198</v>
      </c>
      <c r="BC2004" s="27">
        <v>0</v>
      </c>
      <c r="BD2004" s="27">
        <v>0</v>
      </c>
      <c r="BE2004" s="87" t="s">
        <v>4384</v>
      </c>
      <c r="BF2004" s="87" t="s">
        <v>4385</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73004102</v>
      </c>
      <c r="D2005" s="17" t="s">
        <v>600</v>
      </c>
      <c r="E2005" s="17" t="s">
        <v>601</v>
      </c>
      <c r="F2005" s="18">
        <v>1</v>
      </c>
      <c r="G2005" s="16">
        <v>60010300</v>
      </c>
      <c r="H2005" s="18">
        <v>0</v>
      </c>
      <c r="I2005" s="27">
        <v>0</v>
      </c>
      <c r="J2005" s="18">
        <v>1</v>
      </c>
      <c r="K2005" s="18">
        <v>0</v>
      </c>
      <c r="L2005" s="18">
        <v>0</v>
      </c>
      <c r="M2005" s="16">
        <v>0</v>
      </c>
      <c r="N2005" s="16">
        <v>0</v>
      </c>
      <c r="O2005" s="60">
        <v>2</v>
      </c>
      <c r="P2005" s="16">
        <v>2</v>
      </c>
      <c r="Q2005" s="16">
        <v>0.9</v>
      </c>
      <c r="R2005" s="16">
        <v>0</v>
      </c>
      <c r="S2005" s="12">
        <v>0</v>
      </c>
      <c r="T2005" s="16">
        <v>0</v>
      </c>
      <c r="U2005" s="16">
        <v>1</v>
      </c>
      <c r="V2005" s="16">
        <v>2</v>
      </c>
      <c r="W2005" s="16">
        <v>0</v>
      </c>
      <c r="X2005" s="16">
        <v>0</v>
      </c>
      <c r="Y2005" s="12">
        <v>0</v>
      </c>
      <c r="Z2005" s="16">
        <v>0</v>
      </c>
      <c r="AA2005" s="16">
        <v>0</v>
      </c>
      <c r="AB2005" s="16">
        <v>0</v>
      </c>
      <c r="AC2005" s="16">
        <v>0</v>
      </c>
      <c r="AD2005" s="16">
        <v>0</v>
      </c>
      <c r="AE2005" s="16">
        <v>0</v>
      </c>
      <c r="AF2005" s="16">
        <v>30</v>
      </c>
      <c r="AG2005" s="16">
        <v>0</v>
      </c>
      <c r="AH2005" s="16">
        <v>0</v>
      </c>
      <c r="AI2005" s="12">
        <v>2</v>
      </c>
      <c r="AJ2005" s="12">
        <v>2</v>
      </c>
      <c r="AK2005" s="12">
        <v>0</v>
      </c>
      <c r="AL2005" s="12">
        <v>1.5</v>
      </c>
      <c r="AM2005" s="16">
        <v>0</v>
      </c>
      <c r="AN2005" s="16">
        <v>0</v>
      </c>
      <c r="AO2005" s="16">
        <v>0</v>
      </c>
      <c r="AP2005" s="16">
        <v>1</v>
      </c>
      <c r="AQ2005" s="16">
        <v>3000</v>
      </c>
      <c r="AR2005" s="16">
        <v>0.5</v>
      </c>
      <c r="AS2005" s="16">
        <v>0</v>
      </c>
      <c r="AT2005" s="12">
        <v>0</v>
      </c>
      <c r="AU2005" s="16" t="s">
        <v>198</v>
      </c>
      <c r="AV2005" s="16"/>
      <c r="AW2005" s="19" t="s">
        <v>199</v>
      </c>
      <c r="AX2005" s="16" t="s">
        <v>545</v>
      </c>
      <c r="AY2005" s="18">
        <v>0</v>
      </c>
      <c r="AZ2005" s="18">
        <v>0</v>
      </c>
      <c r="BA2005" s="17" t="s">
        <v>528</v>
      </c>
      <c r="BB2005" s="16" t="s">
        <v>4386</v>
      </c>
      <c r="BC2005" s="27">
        <v>0</v>
      </c>
      <c r="BD2005" s="27">
        <v>0</v>
      </c>
      <c r="BE2005" s="44" t="s">
        <v>4387</v>
      </c>
      <c r="BF2005" s="44" t="s">
        <v>4388</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73004103</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v>0</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73004201</v>
      </c>
      <c r="D2007" s="17" t="s">
        <v>665</v>
      </c>
      <c r="E2007" s="17" t="s">
        <v>606</v>
      </c>
      <c r="F2007" s="16">
        <v>1</v>
      </c>
      <c r="G2007" s="16">
        <v>60010100</v>
      </c>
      <c r="H2007" s="18">
        <v>0</v>
      </c>
      <c r="I2007" s="27">
        <v>0</v>
      </c>
      <c r="J2007" s="18">
        <v>1</v>
      </c>
      <c r="K2007" s="18">
        <v>0</v>
      </c>
      <c r="L2007" s="18">
        <v>0</v>
      </c>
      <c r="M2007" s="16">
        <v>0</v>
      </c>
      <c r="N2007" s="16">
        <v>0</v>
      </c>
      <c r="O2007" s="60">
        <v>2</v>
      </c>
      <c r="P2007" s="16">
        <v>1</v>
      </c>
      <c r="Q2007" s="16">
        <v>0.3</v>
      </c>
      <c r="R2007" s="16">
        <v>0</v>
      </c>
      <c r="S2007" s="12">
        <v>101</v>
      </c>
      <c r="T2007" s="16">
        <v>0</v>
      </c>
      <c r="U2007" s="16">
        <v>1</v>
      </c>
      <c r="V2007" s="16">
        <v>2</v>
      </c>
      <c r="W2007" s="16">
        <v>0</v>
      </c>
      <c r="X2007" s="16">
        <v>3</v>
      </c>
      <c r="Y2007" s="12">
        <v>0</v>
      </c>
      <c r="Z2007" s="16">
        <v>0</v>
      </c>
      <c r="AA2007" s="16">
        <v>0</v>
      </c>
      <c r="AB2007" s="16">
        <v>0</v>
      </c>
      <c r="AC2007" s="16">
        <v>0</v>
      </c>
      <c r="AD2007" s="16">
        <v>0</v>
      </c>
      <c r="AE2007" s="16">
        <v>0</v>
      </c>
      <c r="AF2007" s="16">
        <v>12</v>
      </c>
      <c r="AG2007" s="16">
        <v>1</v>
      </c>
      <c r="AH2007" s="16">
        <v>3</v>
      </c>
      <c r="AI2007" s="12">
        <v>6</v>
      </c>
      <c r="AJ2007" s="12">
        <v>1</v>
      </c>
      <c r="AK2007" s="12">
        <v>0</v>
      </c>
      <c r="AL2007" s="12">
        <v>1.5</v>
      </c>
      <c r="AM2007" s="16">
        <v>0</v>
      </c>
      <c r="AN2007" s="16">
        <v>0</v>
      </c>
      <c r="AO2007" s="16">
        <v>0</v>
      </c>
      <c r="AP2007" s="16">
        <v>3</v>
      </c>
      <c r="AQ2007" s="16">
        <v>5000</v>
      </c>
      <c r="AR2007" s="16">
        <v>3</v>
      </c>
      <c r="AS2007" s="16">
        <v>0</v>
      </c>
      <c r="AT2007" s="12">
        <v>0</v>
      </c>
      <c r="AU2007" s="16" t="s">
        <v>198</v>
      </c>
      <c r="AV2007" s="16"/>
      <c r="AW2007" s="19" t="s">
        <v>256</v>
      </c>
      <c r="AX2007" s="16" t="s">
        <v>534</v>
      </c>
      <c r="AY2007" s="18">
        <v>10000007</v>
      </c>
      <c r="AZ2007" s="18">
        <v>70103003</v>
      </c>
      <c r="BA2007" s="17" t="s">
        <v>200</v>
      </c>
      <c r="BB2007" s="16" t="s">
        <v>4389</v>
      </c>
      <c r="BC2007" s="27">
        <v>0</v>
      </c>
      <c r="BD2007" s="27">
        <v>0</v>
      </c>
      <c r="BE2007" s="44" t="s">
        <v>667</v>
      </c>
      <c r="BF2007" s="44" t="s">
        <v>668</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73004202</v>
      </c>
      <c r="D2008" s="17" t="s">
        <v>744</v>
      </c>
      <c r="E2008" s="17" t="s">
        <v>745</v>
      </c>
      <c r="F2008" s="18">
        <v>1</v>
      </c>
      <c r="G2008" s="18">
        <v>60010500</v>
      </c>
      <c r="H2008" s="18">
        <v>0</v>
      </c>
      <c r="I2008" s="27">
        <v>0</v>
      </c>
      <c r="J2008" s="18">
        <v>1</v>
      </c>
      <c r="K2008" s="18">
        <v>0</v>
      </c>
      <c r="L2008" s="18">
        <v>0</v>
      </c>
      <c r="M2008" s="18">
        <v>0</v>
      </c>
      <c r="N2008" s="18">
        <v>0</v>
      </c>
      <c r="O2008" s="60">
        <v>2</v>
      </c>
      <c r="P2008" s="18">
        <v>2</v>
      </c>
      <c r="Q2008" s="18">
        <v>0.95</v>
      </c>
      <c r="R2008" s="18">
        <v>0</v>
      </c>
      <c r="S2008" s="12">
        <v>0</v>
      </c>
      <c r="T2008" s="27">
        <v>0</v>
      </c>
      <c r="U2008" s="16">
        <v>1</v>
      </c>
      <c r="V2008" s="18">
        <v>1</v>
      </c>
      <c r="W2008" s="18">
        <v>0</v>
      </c>
      <c r="X2008" s="18">
        <v>3</v>
      </c>
      <c r="Y2008" s="12">
        <v>0</v>
      </c>
      <c r="Z2008" s="18">
        <v>0</v>
      </c>
      <c r="AA2008" s="18">
        <v>0</v>
      </c>
      <c r="AB2008" s="18">
        <v>0</v>
      </c>
      <c r="AC2008" s="18">
        <v>0</v>
      </c>
      <c r="AD2008" s="16">
        <v>0</v>
      </c>
      <c r="AE2008" s="18">
        <v>0</v>
      </c>
      <c r="AF2008" s="18">
        <v>10</v>
      </c>
      <c r="AG2008" s="18">
        <v>0</v>
      </c>
      <c r="AH2008" s="18">
        <v>0</v>
      </c>
      <c r="AI2008" s="12">
        <v>7</v>
      </c>
      <c r="AJ2008" s="12">
        <v>0</v>
      </c>
      <c r="AK2008" s="12">
        <v>0</v>
      </c>
      <c r="AL2008" s="12">
        <v>0</v>
      </c>
      <c r="AM2008" s="18">
        <v>0</v>
      </c>
      <c r="AN2008" s="18">
        <v>0</v>
      </c>
      <c r="AO2008" s="18">
        <v>0</v>
      </c>
      <c r="AP2008" s="18">
        <v>0</v>
      </c>
      <c r="AQ2008" s="18">
        <v>1000</v>
      </c>
      <c r="AR2008" s="18">
        <v>0.5</v>
      </c>
      <c r="AS2008" s="18">
        <v>0</v>
      </c>
      <c r="AT2008" s="12">
        <v>0</v>
      </c>
      <c r="AU2008" s="18">
        <v>0</v>
      </c>
      <c r="AV2008" s="18"/>
      <c r="AW2008" s="19" t="s">
        <v>741</v>
      </c>
      <c r="AX2008" s="18">
        <v>0</v>
      </c>
      <c r="AY2008" s="18">
        <v>10007001</v>
      </c>
      <c r="AZ2008" s="18">
        <v>0</v>
      </c>
      <c r="BA2008" s="19" t="s">
        <v>200</v>
      </c>
      <c r="BB2008" s="19" t="s">
        <v>198</v>
      </c>
      <c r="BC2008" s="27">
        <v>0</v>
      </c>
      <c r="BD2008" s="27">
        <v>0</v>
      </c>
      <c r="BE2008" s="87" t="s">
        <v>4384</v>
      </c>
      <c r="BF2008" s="87" t="s">
        <v>4385</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19.5" customHeight="1">
      <c r="C2009" s="18">
        <v>73004203</v>
      </c>
      <c r="D2009" s="17" t="s">
        <v>1091</v>
      </c>
      <c r="E2009" s="17" t="s">
        <v>1092</v>
      </c>
      <c r="F2009" s="18">
        <v>1</v>
      </c>
      <c r="G2009" s="16">
        <v>60010100</v>
      </c>
      <c r="H2009" s="18">
        <v>0</v>
      </c>
      <c r="I2009" s="27">
        <v>0</v>
      </c>
      <c r="J2009" s="18">
        <v>1</v>
      </c>
      <c r="K2009" s="18">
        <v>0</v>
      </c>
      <c r="L2009" s="18">
        <v>0</v>
      </c>
      <c r="M2009" s="16">
        <v>0</v>
      </c>
      <c r="N2009" s="16">
        <v>0</v>
      </c>
      <c r="O2009" s="60">
        <v>2</v>
      </c>
      <c r="P2009" s="16">
        <v>2</v>
      </c>
      <c r="Q2009" s="16">
        <v>0.9</v>
      </c>
      <c r="R2009" s="16">
        <v>0</v>
      </c>
      <c r="S2009" s="12">
        <v>101</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607</v>
      </c>
      <c r="AI2009" s="12">
        <v>1</v>
      </c>
      <c r="AJ2009" s="12">
        <v>1</v>
      </c>
      <c r="AK2009" s="12">
        <v>0</v>
      </c>
      <c r="AL2009" s="12">
        <v>3</v>
      </c>
      <c r="AM2009" s="16">
        <v>0</v>
      </c>
      <c r="AN2009" s="16">
        <v>0</v>
      </c>
      <c r="AO2009" s="16">
        <v>0</v>
      </c>
      <c r="AP2009" s="16">
        <v>3</v>
      </c>
      <c r="AQ2009" s="16">
        <v>5000</v>
      </c>
      <c r="AR2009" s="16">
        <v>2.5</v>
      </c>
      <c r="AS2009" s="16">
        <v>0</v>
      </c>
      <c r="AT2009" s="12">
        <v>0</v>
      </c>
      <c r="AU2009" s="16" t="s">
        <v>659</v>
      </c>
      <c r="AV2009" s="16"/>
      <c r="AW2009" s="19" t="s">
        <v>256</v>
      </c>
      <c r="AX2009" s="16" t="s">
        <v>534</v>
      </c>
      <c r="AY2009" s="18">
        <v>10000007</v>
      </c>
      <c r="AZ2009" s="18">
        <v>70403003</v>
      </c>
      <c r="BA2009" s="17" t="s">
        <v>200</v>
      </c>
      <c r="BB2009" s="16">
        <v>0</v>
      </c>
      <c r="BC2009" s="27">
        <v>0</v>
      </c>
      <c r="BD2009" s="27">
        <v>0</v>
      </c>
      <c r="BE2009" s="44" t="s">
        <v>4281</v>
      </c>
      <c r="BF2009" s="44" t="s">
        <v>4282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19.5" customHeight="1">
      <c r="C2010" s="18">
        <v>73004204</v>
      </c>
      <c r="D2010" s="17" t="s">
        <v>1124</v>
      </c>
      <c r="E2010" s="17" t="s">
        <v>1125</v>
      </c>
      <c r="F2010" s="18">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1</v>
      </c>
      <c r="Y2010" s="12">
        <v>0</v>
      </c>
      <c r="Z2010" s="16">
        <v>0</v>
      </c>
      <c r="AA2010" s="16">
        <v>1</v>
      </c>
      <c r="AB2010" s="16">
        <v>0</v>
      </c>
      <c r="AC2010" s="16">
        <v>0</v>
      </c>
      <c r="AD2010" s="16">
        <v>0</v>
      </c>
      <c r="AE2010" s="16">
        <v>0</v>
      </c>
      <c r="AF2010" s="16">
        <v>30</v>
      </c>
      <c r="AG2010" s="16">
        <v>1</v>
      </c>
      <c r="AH2010" s="16" t="s">
        <v>861</v>
      </c>
      <c r="AI2010" s="12">
        <v>0</v>
      </c>
      <c r="AJ2010" s="12">
        <v>0</v>
      </c>
      <c r="AK2010" s="12">
        <v>0</v>
      </c>
      <c r="AL2010" s="12">
        <v>0</v>
      </c>
      <c r="AM2010" s="16">
        <v>0</v>
      </c>
      <c r="AN2010" s="16">
        <v>0</v>
      </c>
      <c r="AO2010" s="16">
        <v>0</v>
      </c>
      <c r="AP2010" s="16">
        <v>0.5</v>
      </c>
      <c r="AQ2010" s="16">
        <v>999999</v>
      </c>
      <c r="AR2010" s="16">
        <v>0.5</v>
      </c>
      <c r="AS2010" s="16">
        <v>0</v>
      </c>
      <c r="AT2010" s="12">
        <v>0</v>
      </c>
      <c r="AU2010" s="338" t="s">
        <v>1019</v>
      </c>
      <c r="AV2010" s="12"/>
      <c r="AW2010" s="19" t="s">
        <v>287</v>
      </c>
      <c r="AX2010" s="16" t="s">
        <v>534</v>
      </c>
      <c r="AY2010" s="18">
        <v>10000007</v>
      </c>
      <c r="AZ2010" s="18">
        <v>70202004</v>
      </c>
      <c r="BA2010" s="19" t="s">
        <v>315</v>
      </c>
      <c r="BB2010" s="19" t="s">
        <v>371</v>
      </c>
      <c r="BC2010" s="27">
        <v>0</v>
      </c>
      <c r="BD2010" s="27">
        <v>0</v>
      </c>
      <c r="BE2010" s="44" t="s">
        <v>4361</v>
      </c>
      <c r="BF2010" s="44" t="s">
        <v>4362</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73004301</v>
      </c>
      <c r="D2011" s="17" t="s">
        <v>4390</v>
      </c>
      <c r="E2011" s="17" t="s">
        <v>4391</v>
      </c>
      <c r="F2011" s="18">
        <v>1</v>
      </c>
      <c r="G2011" s="16">
        <v>60010100</v>
      </c>
      <c r="H2011" s="18">
        <v>0</v>
      </c>
      <c r="I2011" s="27">
        <v>0</v>
      </c>
      <c r="J2011" s="18">
        <v>1</v>
      </c>
      <c r="K2011" s="18">
        <v>0</v>
      </c>
      <c r="L2011" s="18">
        <v>0</v>
      </c>
      <c r="M2011" s="16">
        <v>0</v>
      </c>
      <c r="N2011" s="16">
        <v>0</v>
      </c>
      <c r="O2011" s="60">
        <v>2</v>
      </c>
      <c r="P2011" s="16">
        <v>1</v>
      </c>
      <c r="Q2011" s="16">
        <v>1</v>
      </c>
      <c r="R2011" s="16">
        <v>0</v>
      </c>
      <c r="S2011" s="12">
        <v>0</v>
      </c>
      <c r="T2011" s="16">
        <v>0</v>
      </c>
      <c r="U2011" s="16">
        <v>1</v>
      </c>
      <c r="V2011" s="16">
        <v>2</v>
      </c>
      <c r="W2011" s="16">
        <v>0</v>
      </c>
      <c r="X2011" s="16">
        <v>2</v>
      </c>
      <c r="Y2011" s="12">
        <v>0</v>
      </c>
      <c r="Z2011" s="16">
        <v>0</v>
      </c>
      <c r="AA2011" s="16">
        <v>1</v>
      </c>
      <c r="AB2011" s="16">
        <v>0</v>
      </c>
      <c r="AC2011" s="16">
        <v>0</v>
      </c>
      <c r="AD2011" s="16">
        <v>0</v>
      </c>
      <c r="AE2011" s="16">
        <v>0</v>
      </c>
      <c r="AF2011" s="16">
        <v>10</v>
      </c>
      <c r="AG2011" s="16">
        <v>2</v>
      </c>
      <c r="AH2011" s="16" t="s">
        <v>213</v>
      </c>
      <c r="AI2011" s="12">
        <v>0</v>
      </c>
      <c r="AJ2011" s="12">
        <v>2</v>
      </c>
      <c r="AK2011" s="12">
        <v>0</v>
      </c>
      <c r="AL2011" s="12">
        <v>1.5</v>
      </c>
      <c r="AM2011" s="16">
        <v>0</v>
      </c>
      <c r="AN2011" s="16">
        <v>0</v>
      </c>
      <c r="AO2011" s="16">
        <v>0</v>
      </c>
      <c r="AP2011" s="16">
        <v>1.5</v>
      </c>
      <c r="AQ2011" s="16">
        <v>10000</v>
      </c>
      <c r="AR2011" s="16">
        <v>1</v>
      </c>
      <c r="AS2011" s="16">
        <v>5</v>
      </c>
      <c r="AT2011" s="12">
        <v>0</v>
      </c>
      <c r="AU2011" s="16" t="s">
        <v>198</v>
      </c>
      <c r="AV2011" s="16"/>
      <c r="AW2011" s="19" t="s">
        <v>617</v>
      </c>
      <c r="AX2011" s="16" t="s">
        <v>534</v>
      </c>
      <c r="AY2011" s="18">
        <v>10000007</v>
      </c>
      <c r="AZ2011" s="18">
        <v>70302003</v>
      </c>
      <c r="BA2011" s="19" t="s">
        <v>586</v>
      </c>
      <c r="BB2011" s="27">
        <v>0</v>
      </c>
      <c r="BC2011" s="27">
        <v>0</v>
      </c>
      <c r="BD2011" s="27">
        <v>0</v>
      </c>
      <c r="BE2011" s="44" t="s">
        <v>1108</v>
      </c>
      <c r="BF2011" s="44" t="s">
        <v>1109</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73004302</v>
      </c>
      <c r="D2012" s="17" t="s">
        <v>4390</v>
      </c>
      <c r="E2012" s="17" t="s">
        <v>4391</v>
      </c>
      <c r="F2012" s="18">
        <v>1</v>
      </c>
      <c r="G2012" s="16">
        <v>60010100</v>
      </c>
      <c r="H2012" s="18">
        <v>0</v>
      </c>
      <c r="I2012" s="27">
        <v>0</v>
      </c>
      <c r="J2012" s="18">
        <v>1</v>
      </c>
      <c r="K2012" s="18">
        <v>0</v>
      </c>
      <c r="L2012" s="18">
        <v>0</v>
      </c>
      <c r="M2012" s="16">
        <v>0</v>
      </c>
      <c r="N2012" s="16">
        <v>0</v>
      </c>
      <c r="O2012" s="60">
        <v>2</v>
      </c>
      <c r="P2012" s="16">
        <v>1</v>
      </c>
      <c r="Q2012" s="16">
        <v>1</v>
      </c>
      <c r="R2012" s="16">
        <v>0</v>
      </c>
      <c r="S2012" s="12">
        <v>0</v>
      </c>
      <c r="T2012" s="16">
        <v>0</v>
      </c>
      <c r="U2012" s="16">
        <v>1</v>
      </c>
      <c r="V2012" s="16">
        <v>2</v>
      </c>
      <c r="W2012" s="16">
        <v>0</v>
      </c>
      <c r="X2012" s="16">
        <v>2</v>
      </c>
      <c r="Y2012" s="12">
        <v>0</v>
      </c>
      <c r="Z2012" s="16">
        <v>0</v>
      </c>
      <c r="AA2012" s="16">
        <v>1</v>
      </c>
      <c r="AB2012" s="16">
        <v>0</v>
      </c>
      <c r="AC2012" s="16">
        <v>0</v>
      </c>
      <c r="AD2012" s="16">
        <v>0</v>
      </c>
      <c r="AE2012" s="16">
        <v>0</v>
      </c>
      <c r="AF2012" s="16">
        <v>10</v>
      </c>
      <c r="AG2012" s="16">
        <v>2</v>
      </c>
      <c r="AH2012" s="16" t="s">
        <v>213</v>
      </c>
      <c r="AI2012" s="12">
        <v>0</v>
      </c>
      <c r="AJ2012" s="12">
        <v>2</v>
      </c>
      <c r="AK2012" s="12">
        <v>0</v>
      </c>
      <c r="AL2012" s="12">
        <v>1.5</v>
      </c>
      <c r="AM2012" s="16">
        <v>0</v>
      </c>
      <c r="AN2012" s="16">
        <v>0</v>
      </c>
      <c r="AO2012" s="16">
        <v>0</v>
      </c>
      <c r="AP2012" s="16">
        <v>1.5</v>
      </c>
      <c r="AQ2012" s="16">
        <v>10000</v>
      </c>
      <c r="AR2012" s="16">
        <v>1</v>
      </c>
      <c r="AS2012" s="16">
        <v>5</v>
      </c>
      <c r="AT2012" s="12">
        <v>0</v>
      </c>
      <c r="AU2012" s="16" t="s">
        <v>198</v>
      </c>
      <c r="AV2012" s="16"/>
      <c r="AW2012" s="19" t="s">
        <v>617</v>
      </c>
      <c r="AX2012" s="16" t="s">
        <v>534</v>
      </c>
      <c r="AY2012" s="18">
        <v>10000007</v>
      </c>
      <c r="AZ2012" s="18">
        <v>70302003</v>
      </c>
      <c r="BA2012" s="19" t="s">
        <v>586</v>
      </c>
      <c r="BB2012" s="27" t="s">
        <v>4392</v>
      </c>
      <c r="BC2012" s="27">
        <v>0</v>
      </c>
      <c r="BD2012" s="27">
        <v>0</v>
      </c>
      <c r="BE2012" s="44" t="s">
        <v>1108</v>
      </c>
      <c r="BF2012" s="44" t="s">
        <v>1109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19.5" customHeight="1">
      <c r="C2013" s="18">
        <v>73004303</v>
      </c>
      <c r="D2013" s="17" t="s">
        <v>1091</v>
      </c>
      <c r="E2013" s="17" t="s">
        <v>1092</v>
      </c>
      <c r="F2013" s="18">
        <v>1</v>
      </c>
      <c r="G2013" s="16">
        <v>60010100</v>
      </c>
      <c r="H2013" s="18">
        <v>0</v>
      </c>
      <c r="I2013" s="27">
        <v>0</v>
      </c>
      <c r="J2013" s="18">
        <v>1</v>
      </c>
      <c r="K2013" s="18">
        <v>0</v>
      </c>
      <c r="L2013" s="18">
        <v>0</v>
      </c>
      <c r="M2013" s="16">
        <v>0</v>
      </c>
      <c r="N2013" s="16">
        <v>0</v>
      </c>
      <c r="O2013" s="60">
        <v>2</v>
      </c>
      <c r="P2013" s="16">
        <v>2</v>
      </c>
      <c r="Q2013" s="16">
        <v>0.9</v>
      </c>
      <c r="R2013" s="16">
        <v>0</v>
      </c>
      <c r="S2013" s="12">
        <v>101</v>
      </c>
      <c r="T2013" s="16">
        <v>0</v>
      </c>
      <c r="U2013" s="16">
        <v>1</v>
      </c>
      <c r="V2013" s="16">
        <v>2</v>
      </c>
      <c r="W2013" s="16">
        <v>0</v>
      </c>
      <c r="X2013" s="16">
        <v>3</v>
      </c>
      <c r="Y2013" s="12">
        <v>0</v>
      </c>
      <c r="Z2013" s="16">
        <v>0</v>
      </c>
      <c r="AA2013" s="16">
        <v>1</v>
      </c>
      <c r="AB2013" s="16">
        <v>0</v>
      </c>
      <c r="AC2013" s="16">
        <v>0</v>
      </c>
      <c r="AD2013" s="16">
        <v>0</v>
      </c>
      <c r="AE2013" s="16">
        <v>0</v>
      </c>
      <c r="AF2013" s="16">
        <v>15</v>
      </c>
      <c r="AG2013" s="16">
        <v>1</v>
      </c>
      <c r="AH2013" s="16" t="s">
        <v>607</v>
      </c>
      <c r="AI2013" s="12">
        <v>1</v>
      </c>
      <c r="AJ2013" s="12">
        <v>1</v>
      </c>
      <c r="AK2013" s="12">
        <v>0</v>
      </c>
      <c r="AL2013" s="12">
        <v>3</v>
      </c>
      <c r="AM2013" s="16">
        <v>0</v>
      </c>
      <c r="AN2013" s="16">
        <v>0</v>
      </c>
      <c r="AO2013" s="16">
        <v>0</v>
      </c>
      <c r="AP2013" s="16">
        <v>3</v>
      </c>
      <c r="AQ2013" s="16">
        <v>5000</v>
      </c>
      <c r="AR2013" s="16">
        <v>2.5</v>
      </c>
      <c r="AS2013" s="16">
        <v>0</v>
      </c>
      <c r="AT2013" s="12">
        <v>0</v>
      </c>
      <c r="AU2013" s="16" t="s">
        <v>659</v>
      </c>
      <c r="AV2013" s="16"/>
      <c r="AW2013" s="19" t="s">
        <v>256</v>
      </c>
      <c r="AX2013" s="16" t="s">
        <v>534</v>
      </c>
      <c r="AY2013" s="18">
        <v>10000007</v>
      </c>
      <c r="AZ2013" s="18">
        <v>70403003</v>
      </c>
      <c r="BA2013" s="17" t="s">
        <v>200</v>
      </c>
      <c r="BB2013" s="16">
        <v>0</v>
      </c>
      <c r="BC2013" s="27">
        <v>0</v>
      </c>
      <c r="BD2013" s="27">
        <v>0</v>
      </c>
      <c r="BE2013" s="44" t="s">
        <v>4281</v>
      </c>
      <c r="BF2013" s="44" t="s">
        <v>4282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73004304</v>
      </c>
      <c r="D2014" s="19" t="s">
        <v>673</v>
      </c>
      <c r="E2014" s="19" t="s">
        <v>674</v>
      </c>
      <c r="F2014" s="18">
        <v>1</v>
      </c>
      <c r="G2014" s="18">
        <v>60010500</v>
      </c>
      <c r="H2014" s="18">
        <v>0</v>
      </c>
      <c r="I2014" s="27">
        <v>0</v>
      </c>
      <c r="J2014" s="18">
        <v>1</v>
      </c>
      <c r="K2014" s="18">
        <v>0</v>
      </c>
      <c r="L2014" s="18">
        <v>0</v>
      </c>
      <c r="M2014" s="18">
        <v>0</v>
      </c>
      <c r="N2014" s="18">
        <v>0</v>
      </c>
      <c r="O2014" s="60">
        <v>2</v>
      </c>
      <c r="P2014" s="18">
        <v>2</v>
      </c>
      <c r="Q2014" s="18">
        <v>0.6</v>
      </c>
      <c r="R2014" s="18">
        <v>0</v>
      </c>
      <c r="S2014" s="12">
        <v>0</v>
      </c>
      <c r="T2014" s="27">
        <v>0</v>
      </c>
      <c r="U2014" s="16">
        <v>1</v>
      </c>
      <c r="V2014" s="18">
        <v>2</v>
      </c>
      <c r="W2014" s="18">
        <v>0</v>
      </c>
      <c r="X2014" s="18">
        <v>0</v>
      </c>
      <c r="Y2014" s="12">
        <v>0</v>
      </c>
      <c r="Z2014" s="18">
        <v>0</v>
      </c>
      <c r="AA2014" s="18">
        <v>0</v>
      </c>
      <c r="AB2014" s="18">
        <v>0</v>
      </c>
      <c r="AC2014" s="18">
        <v>0</v>
      </c>
      <c r="AD2014" s="18">
        <v>0</v>
      </c>
      <c r="AE2014" s="18">
        <v>0</v>
      </c>
      <c r="AF2014" s="16">
        <v>99999</v>
      </c>
      <c r="AG2014" s="18">
        <v>0</v>
      </c>
      <c r="AH2014" s="18">
        <v>0</v>
      </c>
      <c r="AI2014" s="12">
        <v>2</v>
      </c>
      <c r="AJ2014" s="12">
        <v>0</v>
      </c>
      <c r="AK2014" s="12">
        <v>0</v>
      </c>
      <c r="AL2014" s="12">
        <v>0</v>
      </c>
      <c r="AM2014" s="18">
        <v>0</v>
      </c>
      <c r="AN2014" s="18">
        <v>0</v>
      </c>
      <c r="AO2014" s="18">
        <v>0</v>
      </c>
      <c r="AP2014" s="18">
        <v>0</v>
      </c>
      <c r="AQ2014" s="18">
        <v>1000</v>
      </c>
      <c r="AR2014" s="18">
        <v>0</v>
      </c>
      <c r="AS2014" s="18">
        <v>0</v>
      </c>
      <c r="AT2014" s="12">
        <v>90104002</v>
      </c>
      <c r="AU2014" s="18" t="s">
        <v>198</v>
      </c>
      <c r="AV2014" s="18"/>
      <c r="AW2014" s="19" t="s">
        <v>199</v>
      </c>
      <c r="AX2014" s="18" t="s">
        <v>348</v>
      </c>
      <c r="AY2014" s="18">
        <v>0</v>
      </c>
      <c r="AZ2014" s="18">
        <v>0</v>
      </c>
      <c r="BA2014" s="19" t="s">
        <v>200</v>
      </c>
      <c r="BB2014" s="19" t="s">
        <v>198</v>
      </c>
      <c r="BC2014" s="27">
        <v>0</v>
      </c>
      <c r="BD2014" s="27">
        <v>0</v>
      </c>
      <c r="BE2014" s="87" t="s">
        <v>675</v>
      </c>
      <c r="BF2014" s="87" t="s">
        <v>676</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73004305</v>
      </c>
      <c r="D2015" s="19" t="s">
        <v>4371</v>
      </c>
      <c r="E2015" s="19" t="s">
        <v>4372</v>
      </c>
      <c r="F2015" s="18">
        <v>1</v>
      </c>
      <c r="G2015" s="18">
        <v>60010500</v>
      </c>
      <c r="H2015" s="18">
        <v>0</v>
      </c>
      <c r="I2015" s="27">
        <v>0</v>
      </c>
      <c r="J2015" s="18">
        <v>1</v>
      </c>
      <c r="K2015" s="18">
        <v>0</v>
      </c>
      <c r="L2015" s="18">
        <v>0</v>
      </c>
      <c r="M2015" s="18">
        <v>0</v>
      </c>
      <c r="N2015" s="18">
        <v>0</v>
      </c>
      <c r="O2015" s="60">
        <v>2</v>
      </c>
      <c r="P2015" s="18">
        <v>2</v>
      </c>
      <c r="Q2015" s="18">
        <v>0.95</v>
      </c>
      <c r="R2015" s="18">
        <v>0</v>
      </c>
      <c r="S2015" s="12">
        <v>101</v>
      </c>
      <c r="T2015" s="27">
        <v>0</v>
      </c>
      <c r="U2015" s="16">
        <v>1</v>
      </c>
      <c r="V2015" s="18">
        <v>2</v>
      </c>
      <c r="W2015" s="18">
        <v>0</v>
      </c>
      <c r="X2015" s="18">
        <v>0</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346" t="s">
        <v>4393</v>
      </c>
      <c r="AV2015" s="18"/>
      <c r="AW2015" s="19" t="s">
        <v>741</v>
      </c>
      <c r="AX2015" s="18">
        <v>0</v>
      </c>
      <c r="AY2015" s="18">
        <v>10007001</v>
      </c>
      <c r="AZ2015" s="18">
        <v>0</v>
      </c>
      <c r="BA2015" s="19" t="s">
        <v>200</v>
      </c>
      <c r="BB2015" s="19" t="s">
        <v>198</v>
      </c>
      <c r="BC2015" s="27">
        <v>0</v>
      </c>
      <c r="BD2015" s="27">
        <v>0</v>
      </c>
      <c r="BE2015" s="87" t="s">
        <v>4373</v>
      </c>
      <c r="BF2015" s="87" t="s">
        <v>4374</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20.100000000000001" customHeight="1">
      <c r="C2016" s="18">
        <v>73004306</v>
      </c>
      <c r="D2016" s="17" t="s">
        <v>600</v>
      </c>
      <c r="E2016" s="17" t="s">
        <v>601</v>
      </c>
      <c r="F2016" s="18">
        <v>1</v>
      </c>
      <c r="G2016" s="16">
        <v>60010300</v>
      </c>
      <c r="H2016" s="18">
        <v>0</v>
      </c>
      <c r="I2016" s="27">
        <v>0</v>
      </c>
      <c r="J2016" s="18">
        <v>1</v>
      </c>
      <c r="K2016" s="18">
        <v>0</v>
      </c>
      <c r="L2016" s="18">
        <v>0</v>
      </c>
      <c r="M2016" s="16">
        <v>0</v>
      </c>
      <c r="N2016" s="16">
        <v>0</v>
      </c>
      <c r="O2016" s="60">
        <v>2</v>
      </c>
      <c r="P2016" s="16">
        <v>2</v>
      </c>
      <c r="Q2016" s="16">
        <v>0.9</v>
      </c>
      <c r="R2016" s="16">
        <v>0</v>
      </c>
      <c r="S2016" s="12">
        <v>0</v>
      </c>
      <c r="T2016" s="16">
        <v>0</v>
      </c>
      <c r="U2016" s="16">
        <v>1</v>
      </c>
      <c r="V2016" s="16">
        <v>2</v>
      </c>
      <c r="W2016" s="16">
        <v>0</v>
      </c>
      <c r="X2016" s="16">
        <v>0</v>
      </c>
      <c r="Y2016" s="12">
        <v>0</v>
      </c>
      <c r="Z2016" s="16">
        <v>0</v>
      </c>
      <c r="AA2016" s="16">
        <v>0</v>
      </c>
      <c r="AB2016" s="16">
        <v>0</v>
      </c>
      <c r="AC2016" s="16">
        <v>0</v>
      </c>
      <c r="AD2016" s="16">
        <v>0</v>
      </c>
      <c r="AE2016" s="16">
        <v>0</v>
      </c>
      <c r="AF2016" s="16">
        <v>30</v>
      </c>
      <c r="AG2016" s="16">
        <v>0</v>
      </c>
      <c r="AH2016" s="16">
        <v>0</v>
      </c>
      <c r="AI2016" s="12">
        <v>2</v>
      </c>
      <c r="AJ2016" s="12">
        <v>2</v>
      </c>
      <c r="AK2016" s="12">
        <v>0</v>
      </c>
      <c r="AL2016" s="12">
        <v>1.5</v>
      </c>
      <c r="AM2016" s="16">
        <v>0</v>
      </c>
      <c r="AN2016" s="16">
        <v>0</v>
      </c>
      <c r="AO2016" s="16">
        <v>0</v>
      </c>
      <c r="AP2016" s="16">
        <v>1</v>
      </c>
      <c r="AQ2016" s="16">
        <v>3000</v>
      </c>
      <c r="AR2016" s="16">
        <v>0.5</v>
      </c>
      <c r="AS2016" s="16">
        <v>0</v>
      </c>
      <c r="AT2016" s="12">
        <v>0</v>
      </c>
      <c r="AU2016" s="16" t="s">
        <v>198</v>
      </c>
      <c r="AV2016" s="16"/>
      <c r="AW2016" s="19" t="s">
        <v>199</v>
      </c>
      <c r="AX2016" s="16" t="s">
        <v>545</v>
      </c>
      <c r="AY2016" s="18">
        <v>0</v>
      </c>
      <c r="AZ2016" s="18">
        <v>0</v>
      </c>
      <c r="BA2016" s="17" t="s">
        <v>528</v>
      </c>
      <c r="BB2016" s="16" t="s">
        <v>4386</v>
      </c>
      <c r="BC2016" s="27">
        <v>0</v>
      </c>
      <c r="BD2016" s="27">
        <v>0</v>
      </c>
      <c r="BE2016" s="44" t="s">
        <v>4387</v>
      </c>
      <c r="BF2016" s="44" t="s">
        <v>4388</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64">
        <v>74001001</v>
      </c>
      <c r="D2017" s="59" t="s">
        <v>760</v>
      </c>
      <c r="E2017" s="59" t="s">
        <v>761</v>
      </c>
      <c r="F2017" s="60">
        <v>2</v>
      </c>
      <c r="G2017" s="60">
        <v>61012301</v>
      </c>
      <c r="H2017" s="60">
        <v>0</v>
      </c>
      <c r="I2017" s="66">
        <v>0</v>
      </c>
      <c r="J2017" s="64">
        <v>1</v>
      </c>
      <c r="K2017" s="64">
        <v>0</v>
      </c>
      <c r="L2017" s="64">
        <v>0</v>
      </c>
      <c r="M2017" s="60">
        <v>0</v>
      </c>
      <c r="N2017" s="60">
        <v>0</v>
      </c>
      <c r="O2017" s="60">
        <v>1</v>
      </c>
      <c r="P2017" s="60">
        <v>1</v>
      </c>
      <c r="Q2017" s="60">
        <v>0.5</v>
      </c>
      <c r="R2017" s="60">
        <v>0</v>
      </c>
      <c r="S2017" s="68">
        <v>1</v>
      </c>
      <c r="T2017" s="60">
        <v>0</v>
      </c>
      <c r="U2017" s="60">
        <v>1</v>
      </c>
      <c r="V2017" s="60">
        <v>2</v>
      </c>
      <c r="W2017" s="60">
        <v>0</v>
      </c>
      <c r="X2017" s="60">
        <v>1.4</v>
      </c>
      <c r="Y2017" s="12">
        <v>0</v>
      </c>
      <c r="Z2017" s="60">
        <v>150</v>
      </c>
      <c r="AA2017" s="60">
        <v>1</v>
      </c>
      <c r="AB2017" s="60">
        <v>0</v>
      </c>
      <c r="AC2017" s="60">
        <v>0</v>
      </c>
      <c r="AD2017" s="60">
        <v>0</v>
      </c>
      <c r="AE2017" s="60">
        <v>0</v>
      </c>
      <c r="AF2017" s="60">
        <v>12</v>
      </c>
      <c r="AG2017" s="60">
        <v>2</v>
      </c>
      <c r="AH2017" s="60" t="s">
        <v>213</v>
      </c>
      <c r="AI2017" s="68">
        <v>7</v>
      </c>
      <c r="AJ2017" s="68">
        <v>2</v>
      </c>
      <c r="AK2017" s="12">
        <v>0</v>
      </c>
      <c r="AL2017" s="68">
        <v>1.5</v>
      </c>
      <c r="AM2017" s="60">
        <v>0</v>
      </c>
      <c r="AN2017" s="60">
        <v>0</v>
      </c>
      <c r="AO2017" s="60">
        <v>0</v>
      </c>
      <c r="AP2017" s="60">
        <v>1.5</v>
      </c>
      <c r="AQ2017" s="60">
        <v>1200</v>
      </c>
      <c r="AR2017" s="60">
        <v>1</v>
      </c>
      <c r="AS2017" s="60">
        <v>15</v>
      </c>
      <c r="AT2017" s="68">
        <v>0</v>
      </c>
      <c r="AU2017" s="60" t="s">
        <v>198</v>
      </c>
      <c r="AV2017" s="60"/>
      <c r="AW2017" s="59" t="s">
        <v>256</v>
      </c>
      <c r="AX2017" s="60" t="s">
        <v>215</v>
      </c>
      <c r="AY2017" s="64">
        <v>10000011</v>
      </c>
      <c r="AZ2017" s="64">
        <v>70404001</v>
      </c>
      <c r="BA2017" s="59" t="s">
        <v>216</v>
      </c>
      <c r="BB2017" s="60">
        <v>0</v>
      </c>
      <c r="BC2017" s="66">
        <v>0</v>
      </c>
      <c r="BD2017" s="66">
        <v>0</v>
      </c>
      <c r="BE2017" s="90" t="s">
        <v>798</v>
      </c>
      <c r="BF2017" s="90" t="s">
        <v>799</v>
      </c>
      <c r="BG2017" s="60">
        <v>0</v>
      </c>
      <c r="BH2017" s="60">
        <v>0</v>
      </c>
      <c r="BI2017" s="60">
        <v>0</v>
      </c>
      <c r="BJ2017" s="60">
        <v>0</v>
      </c>
      <c r="BK2017" s="60">
        <v>0</v>
      </c>
      <c r="BL2017" s="60">
        <v>0</v>
      </c>
      <c r="BM2017" s="93">
        <v>0</v>
      </c>
      <c r="BN2017" s="12">
        <v>0</v>
      </c>
      <c r="BO2017" s="12">
        <v>0</v>
      </c>
      <c r="BP2017" s="12">
        <v>0</v>
      </c>
      <c r="BQ2017" s="12">
        <v>0</v>
      </c>
      <c r="BR2017" s="12">
        <v>0</v>
      </c>
      <c r="BS2017" s="12">
        <v>0</v>
      </c>
      <c r="BT2017" s="12">
        <v>0</v>
      </c>
      <c r="BU2017" s="47">
        <v>0</v>
      </c>
      <c r="BV2017" s="47"/>
      <c r="BW2017" s="47"/>
    </row>
    <row r="2018" spans="3:75" ht="20.100000000000001" customHeight="1">
      <c r="C2018" s="64">
        <v>75001001</v>
      </c>
      <c r="D2018" s="19" t="s">
        <v>4394</v>
      </c>
      <c r="E2018" s="19" t="s">
        <v>4395</v>
      </c>
      <c r="F2018" s="18">
        <v>1</v>
      </c>
      <c r="G2018" s="18">
        <v>60010500</v>
      </c>
      <c r="H2018" s="18">
        <v>0</v>
      </c>
      <c r="I2018" s="27">
        <v>0</v>
      </c>
      <c r="J2018" s="18">
        <v>1</v>
      </c>
      <c r="K2018" s="18">
        <v>0</v>
      </c>
      <c r="L2018" s="18">
        <v>0</v>
      </c>
      <c r="M2018" s="18">
        <v>0</v>
      </c>
      <c r="N2018" s="18">
        <v>0</v>
      </c>
      <c r="O2018" s="18">
        <v>1</v>
      </c>
      <c r="P2018" s="18">
        <v>2</v>
      </c>
      <c r="Q2018" s="18">
        <v>1</v>
      </c>
      <c r="R2018" s="18">
        <v>0</v>
      </c>
      <c r="S2018" s="12">
        <v>0</v>
      </c>
      <c r="T2018" s="27">
        <v>0</v>
      </c>
      <c r="U2018" s="16">
        <v>1</v>
      </c>
      <c r="V2018" s="18">
        <v>2</v>
      </c>
      <c r="W2018" s="18">
        <v>0</v>
      </c>
      <c r="X2018" s="18">
        <v>0</v>
      </c>
      <c r="Y2018" s="12">
        <v>0</v>
      </c>
      <c r="Z2018" s="18">
        <v>0</v>
      </c>
      <c r="AA2018" s="18">
        <v>0</v>
      </c>
      <c r="AB2018" s="18">
        <v>0</v>
      </c>
      <c r="AC2018" s="18">
        <v>0</v>
      </c>
      <c r="AD2018" s="18">
        <v>0</v>
      </c>
      <c r="AE2018" s="18">
        <v>0</v>
      </c>
      <c r="AF2018" s="18">
        <v>30</v>
      </c>
      <c r="AG2018" s="18">
        <v>0</v>
      </c>
      <c r="AH2018" s="18">
        <v>0</v>
      </c>
      <c r="AI2018" s="12">
        <v>2</v>
      </c>
      <c r="AJ2018" s="12">
        <v>0</v>
      </c>
      <c r="AK2018" s="12">
        <v>0</v>
      </c>
      <c r="AL2018" s="12">
        <v>0</v>
      </c>
      <c r="AM2018" s="18">
        <v>0</v>
      </c>
      <c r="AN2018" s="18">
        <v>0</v>
      </c>
      <c r="AO2018" s="18">
        <v>0</v>
      </c>
      <c r="AP2018" s="18">
        <v>0</v>
      </c>
      <c r="AQ2018" s="18">
        <v>1000</v>
      </c>
      <c r="AR2018" s="18">
        <v>0</v>
      </c>
      <c r="AS2018" s="18">
        <v>0</v>
      </c>
      <c r="AT2018" s="12">
        <v>69000131</v>
      </c>
      <c r="AU2018" s="18" t="s">
        <v>198</v>
      </c>
      <c r="AV2018" s="18"/>
      <c r="AW2018" s="19" t="s">
        <v>199</v>
      </c>
      <c r="AX2018" s="18" t="s">
        <v>348</v>
      </c>
      <c r="AY2018" s="18">
        <v>0</v>
      </c>
      <c r="AZ2018" s="18">
        <v>40000003</v>
      </c>
      <c r="BA2018" s="19" t="s">
        <v>200</v>
      </c>
      <c r="BB2018" s="19" t="s">
        <v>198</v>
      </c>
      <c r="BC2018" s="27">
        <v>0</v>
      </c>
      <c r="BD2018" s="27">
        <v>0</v>
      </c>
      <c r="BE2018" s="87" t="s">
        <v>540</v>
      </c>
      <c r="BF2018" s="87" t="s">
        <v>541</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19.5" customHeight="1">
      <c r="C2019" s="64">
        <v>76001001</v>
      </c>
      <c r="D2019" s="17" t="s">
        <v>4396</v>
      </c>
      <c r="E2019" s="17" t="s">
        <v>4397</v>
      </c>
      <c r="F2019" s="18">
        <v>1</v>
      </c>
      <c r="G2019" s="16">
        <v>60010100</v>
      </c>
      <c r="H2019" s="18">
        <v>0</v>
      </c>
      <c r="I2019" s="27">
        <v>0</v>
      </c>
      <c r="J2019" s="18">
        <v>1</v>
      </c>
      <c r="K2019" s="18">
        <v>0</v>
      </c>
      <c r="L2019" s="18">
        <v>0</v>
      </c>
      <c r="M2019" s="16">
        <v>0</v>
      </c>
      <c r="N2019" s="16">
        <v>0</v>
      </c>
      <c r="O2019" s="16">
        <v>1</v>
      </c>
      <c r="P2019" s="16">
        <v>0</v>
      </c>
      <c r="Q2019" s="16">
        <v>0</v>
      </c>
      <c r="R2019" s="16">
        <v>0</v>
      </c>
      <c r="S2019" s="12">
        <v>0</v>
      </c>
      <c r="T2019" s="16">
        <v>0</v>
      </c>
      <c r="U2019" s="16">
        <v>1</v>
      </c>
      <c r="V2019" s="16">
        <v>2</v>
      </c>
      <c r="W2019" s="16">
        <v>0</v>
      </c>
      <c r="X2019" s="16">
        <v>0</v>
      </c>
      <c r="Y2019" s="12">
        <v>0</v>
      </c>
      <c r="Z2019" s="16">
        <v>2000</v>
      </c>
      <c r="AA2019" s="16">
        <v>1</v>
      </c>
      <c r="AB2019" s="16">
        <v>0</v>
      </c>
      <c r="AC2019" s="16">
        <v>0</v>
      </c>
      <c r="AD2019" s="16">
        <v>0</v>
      </c>
      <c r="AE2019" s="16">
        <v>0</v>
      </c>
      <c r="AF2019" s="16">
        <v>5</v>
      </c>
      <c r="AG2019" s="16">
        <v>1</v>
      </c>
      <c r="AH2019" s="16">
        <v>3</v>
      </c>
      <c r="AI2019" s="12">
        <v>2</v>
      </c>
      <c r="AJ2019" s="12">
        <v>1</v>
      </c>
      <c r="AK2019" s="12">
        <v>0</v>
      </c>
      <c r="AL2019" s="12">
        <v>6</v>
      </c>
      <c r="AM2019" s="16">
        <v>0</v>
      </c>
      <c r="AN2019" s="16">
        <v>0</v>
      </c>
      <c r="AO2019" s="16">
        <v>0</v>
      </c>
      <c r="AP2019" s="16">
        <v>0</v>
      </c>
      <c r="AQ2019" s="16">
        <v>1000</v>
      </c>
      <c r="AR2019" s="16">
        <v>0</v>
      </c>
      <c r="AS2019" s="16">
        <v>0</v>
      </c>
      <c r="AT2019" s="12">
        <v>0</v>
      </c>
      <c r="AU2019" s="16">
        <v>0</v>
      </c>
      <c r="AV2019" s="16"/>
      <c r="AW2019" s="19" t="s">
        <v>199</v>
      </c>
      <c r="AX2019" s="60" t="s">
        <v>215</v>
      </c>
      <c r="AY2019" s="18">
        <v>10000007</v>
      </c>
      <c r="AZ2019" s="18">
        <v>70203005</v>
      </c>
      <c r="BA2019" s="17" t="s">
        <v>200</v>
      </c>
      <c r="BB2019" s="16">
        <v>0</v>
      </c>
      <c r="BC2019" s="27">
        <v>0</v>
      </c>
      <c r="BD2019" s="27">
        <v>0</v>
      </c>
      <c r="BE2019" s="44" t="s">
        <v>4398</v>
      </c>
      <c r="BF2019" s="44" t="s">
        <v>4399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18">
        <v>79000001</v>
      </c>
      <c r="D2020" s="19" t="s">
        <v>744</v>
      </c>
      <c r="E2020" s="19" t="s">
        <v>745</v>
      </c>
      <c r="F2020" s="18">
        <v>1</v>
      </c>
      <c r="G2020" s="18">
        <v>60010500</v>
      </c>
      <c r="H2020" s="18">
        <v>0</v>
      </c>
      <c r="I2020" s="27">
        <v>0</v>
      </c>
      <c r="J2020" s="18">
        <v>1</v>
      </c>
      <c r="K2020" s="18">
        <v>0</v>
      </c>
      <c r="L2020" s="18">
        <v>0</v>
      </c>
      <c r="M2020" s="18">
        <v>0</v>
      </c>
      <c r="N2020" s="18">
        <v>0</v>
      </c>
      <c r="O2020" s="16">
        <v>2</v>
      </c>
      <c r="P2020" s="18">
        <v>1</v>
      </c>
      <c r="Q2020" s="18">
        <v>0.1</v>
      </c>
      <c r="R2020" s="18">
        <v>0</v>
      </c>
      <c r="S2020" s="12">
        <v>0</v>
      </c>
      <c r="T2020" s="27">
        <v>0</v>
      </c>
      <c r="U2020" s="16">
        <v>1</v>
      </c>
      <c r="V2020" s="18">
        <v>1</v>
      </c>
      <c r="W2020" s="18">
        <v>0</v>
      </c>
      <c r="X2020" s="18">
        <v>2</v>
      </c>
      <c r="Y2020" s="12">
        <v>0</v>
      </c>
      <c r="Z2020" s="18">
        <v>0</v>
      </c>
      <c r="AA2020" s="18">
        <v>0</v>
      </c>
      <c r="AB2020" s="18">
        <v>0</v>
      </c>
      <c r="AC2020" s="18">
        <v>0</v>
      </c>
      <c r="AD2020" s="16">
        <v>0</v>
      </c>
      <c r="AE2020" s="18">
        <v>0</v>
      </c>
      <c r="AF2020" s="18">
        <v>10</v>
      </c>
      <c r="AG2020" s="18">
        <v>0</v>
      </c>
      <c r="AH2020" s="18">
        <v>0</v>
      </c>
      <c r="AI2020" s="12">
        <v>7</v>
      </c>
      <c r="AJ2020" s="12">
        <v>0</v>
      </c>
      <c r="AK2020" s="12">
        <v>0</v>
      </c>
      <c r="AL2020" s="12">
        <v>0</v>
      </c>
      <c r="AM2020" s="18">
        <v>0</v>
      </c>
      <c r="AN2020" s="18">
        <v>0</v>
      </c>
      <c r="AO2020" s="18">
        <v>0</v>
      </c>
      <c r="AP2020" s="18">
        <v>0</v>
      </c>
      <c r="AQ2020" s="18">
        <v>1000</v>
      </c>
      <c r="AR2020" s="18">
        <v>0.5</v>
      </c>
      <c r="AS2020" s="18">
        <v>0</v>
      </c>
      <c r="AT2020" s="12">
        <v>0</v>
      </c>
      <c r="AU2020" s="18" t="s">
        <v>659</v>
      </c>
      <c r="AV2020" s="18"/>
      <c r="AW2020" s="19" t="s">
        <v>741</v>
      </c>
      <c r="AX2020" s="18">
        <v>0</v>
      </c>
      <c r="AY2020" s="18">
        <v>10007001</v>
      </c>
      <c r="AZ2020" s="18">
        <v>0</v>
      </c>
      <c r="BA2020" s="19" t="s">
        <v>200</v>
      </c>
      <c r="BB2020" s="19" t="s">
        <v>198</v>
      </c>
      <c r="BC2020" s="27">
        <v>0</v>
      </c>
      <c r="BD2020" s="27">
        <v>0</v>
      </c>
      <c r="BE2020" s="87" t="s">
        <v>746</v>
      </c>
      <c r="BF2020" s="87" t="s">
        <v>747</v>
      </c>
      <c r="BG2020" s="18">
        <v>0</v>
      </c>
      <c r="BH2020" s="16">
        <v>0</v>
      </c>
      <c r="BI2020" s="18">
        <v>0</v>
      </c>
      <c r="BJ2020" s="18">
        <v>0</v>
      </c>
      <c r="BK2020" s="18">
        <v>0</v>
      </c>
      <c r="BL2020" s="18">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79000002</v>
      </c>
      <c r="D2021" s="17" t="s">
        <v>1324</v>
      </c>
      <c r="E2021" s="17" t="s">
        <v>1325</v>
      </c>
      <c r="F2021" s="18">
        <v>1</v>
      </c>
      <c r="G2021" s="16">
        <v>60010100</v>
      </c>
      <c r="H2021" s="18">
        <v>0</v>
      </c>
      <c r="I2021" s="27">
        <v>0</v>
      </c>
      <c r="J2021" s="18">
        <v>1</v>
      </c>
      <c r="K2021" s="18">
        <v>0</v>
      </c>
      <c r="L2021" s="18">
        <v>0</v>
      </c>
      <c r="M2021" s="16">
        <v>0</v>
      </c>
      <c r="N2021" s="16">
        <v>0</v>
      </c>
      <c r="O2021" s="60">
        <v>2</v>
      </c>
      <c r="P2021" s="16">
        <v>1</v>
      </c>
      <c r="Q2021" s="16">
        <v>1</v>
      </c>
      <c r="R2021" s="16">
        <v>0</v>
      </c>
      <c r="S2021" s="12">
        <v>0</v>
      </c>
      <c r="T2021" s="16">
        <v>0</v>
      </c>
      <c r="U2021" s="16">
        <v>1</v>
      </c>
      <c r="V2021" s="16">
        <v>2</v>
      </c>
      <c r="W2021" s="16">
        <v>0</v>
      </c>
      <c r="X2021" s="16">
        <v>2</v>
      </c>
      <c r="Y2021" s="12">
        <v>0</v>
      </c>
      <c r="Z2021" s="16">
        <v>0</v>
      </c>
      <c r="AA2021" s="16">
        <v>1</v>
      </c>
      <c r="AB2021" s="16">
        <v>0</v>
      </c>
      <c r="AC2021" s="16">
        <v>0</v>
      </c>
      <c r="AD2021" s="16">
        <v>0</v>
      </c>
      <c r="AE2021" s="16">
        <v>0</v>
      </c>
      <c r="AF2021" s="16">
        <v>10</v>
      </c>
      <c r="AG2021" s="16">
        <v>2</v>
      </c>
      <c r="AH2021" s="16" t="s">
        <v>1036</v>
      </c>
      <c r="AI2021" s="12">
        <v>0</v>
      </c>
      <c r="AJ2021" s="12">
        <v>2</v>
      </c>
      <c r="AK2021" s="12">
        <v>0</v>
      </c>
      <c r="AL2021" s="12">
        <v>1.5</v>
      </c>
      <c r="AM2021" s="16">
        <v>0</v>
      </c>
      <c r="AN2021" s="16">
        <v>0</v>
      </c>
      <c r="AO2021" s="16">
        <v>0</v>
      </c>
      <c r="AP2021" s="16">
        <v>1.5</v>
      </c>
      <c r="AQ2021" s="16">
        <v>10000</v>
      </c>
      <c r="AR2021" s="16">
        <v>1</v>
      </c>
      <c r="AS2021" s="16">
        <v>5</v>
      </c>
      <c r="AT2021" s="12">
        <v>0</v>
      </c>
      <c r="AU2021" s="16" t="s">
        <v>198</v>
      </c>
      <c r="AV2021" s="16"/>
      <c r="AW2021" s="19" t="s">
        <v>617</v>
      </c>
      <c r="AX2021" s="16" t="s">
        <v>534</v>
      </c>
      <c r="AY2021" s="18">
        <v>10000007</v>
      </c>
      <c r="AZ2021" s="18">
        <v>70302003</v>
      </c>
      <c r="BA2021" s="19" t="s">
        <v>586</v>
      </c>
      <c r="BB2021" s="27" t="s">
        <v>4383</v>
      </c>
      <c r="BC2021" s="27">
        <v>0</v>
      </c>
      <c r="BD2021" s="27">
        <v>0</v>
      </c>
      <c r="BE2021" s="44" t="s">
        <v>1108</v>
      </c>
      <c r="BF2021" s="44" t="s">
        <v>1109</v>
      </c>
      <c r="BG2021" s="16">
        <v>1</v>
      </c>
      <c r="BH2021" s="16">
        <v>0</v>
      </c>
      <c r="BI2021" s="16">
        <v>0</v>
      </c>
      <c r="BJ2021" s="16">
        <v>0</v>
      </c>
      <c r="BK2021" s="16">
        <v>0</v>
      </c>
      <c r="BL2021" s="16">
        <v>0</v>
      </c>
      <c r="BM2021" s="15">
        <v>0</v>
      </c>
      <c r="BN2021" s="12">
        <v>0</v>
      </c>
      <c r="BO2021" s="12">
        <v>0</v>
      </c>
      <c r="BP2021" s="12">
        <v>0</v>
      </c>
      <c r="BQ2021" s="12">
        <v>0</v>
      </c>
      <c r="BR2021" s="12">
        <v>0</v>
      </c>
      <c r="BS2021" s="12">
        <v>0</v>
      </c>
      <c r="BT2021" s="12">
        <v>0</v>
      </c>
      <c r="BU2021" s="47">
        <v>0</v>
      </c>
      <c r="BV2021" s="47"/>
      <c r="BW2021" s="47"/>
    </row>
    <row r="2022" spans="3:75" ht="19.5" customHeight="1">
      <c r="C2022" s="18">
        <v>79000003</v>
      </c>
      <c r="D2022" s="17" t="s">
        <v>1091</v>
      </c>
      <c r="E2022" s="17" t="s">
        <v>1092</v>
      </c>
      <c r="F2022" s="18">
        <v>1</v>
      </c>
      <c r="G2022" s="16">
        <v>60010100</v>
      </c>
      <c r="H2022" s="18">
        <v>0</v>
      </c>
      <c r="I2022" s="27">
        <v>0</v>
      </c>
      <c r="J2022" s="18">
        <v>1</v>
      </c>
      <c r="K2022" s="18">
        <v>0</v>
      </c>
      <c r="L2022" s="18">
        <v>0</v>
      </c>
      <c r="M2022" s="16">
        <v>0</v>
      </c>
      <c r="N2022" s="16">
        <v>0</v>
      </c>
      <c r="O2022" s="60">
        <v>2</v>
      </c>
      <c r="P2022" s="16">
        <v>2</v>
      </c>
      <c r="Q2022" s="16">
        <v>0.9</v>
      </c>
      <c r="R2022" s="16">
        <v>0</v>
      </c>
      <c r="S2022" s="12">
        <v>1</v>
      </c>
      <c r="T2022" s="16">
        <v>0</v>
      </c>
      <c r="U2022" s="16">
        <v>1</v>
      </c>
      <c r="V2022" s="16">
        <v>2</v>
      </c>
      <c r="W2022" s="16">
        <v>0</v>
      </c>
      <c r="X2022" s="16">
        <v>2</v>
      </c>
      <c r="Y2022" s="12">
        <v>0</v>
      </c>
      <c r="Z2022" s="16">
        <v>0</v>
      </c>
      <c r="AA2022" s="16">
        <v>1</v>
      </c>
      <c r="AB2022" s="16">
        <v>0</v>
      </c>
      <c r="AC2022" s="16">
        <v>0</v>
      </c>
      <c r="AD2022" s="16">
        <v>0</v>
      </c>
      <c r="AE2022" s="16">
        <v>0</v>
      </c>
      <c r="AF2022" s="16">
        <v>15</v>
      </c>
      <c r="AG2022" s="16">
        <v>1</v>
      </c>
      <c r="AH2022" s="16" t="s">
        <v>607</v>
      </c>
      <c r="AI2022" s="12">
        <v>0</v>
      </c>
      <c r="AJ2022" s="12">
        <v>1</v>
      </c>
      <c r="AK2022" s="12">
        <v>0</v>
      </c>
      <c r="AL2022" s="12">
        <v>3</v>
      </c>
      <c r="AM2022" s="16">
        <v>0</v>
      </c>
      <c r="AN2022" s="16">
        <v>0</v>
      </c>
      <c r="AO2022" s="16">
        <v>0</v>
      </c>
      <c r="AP2022" s="16">
        <v>3</v>
      </c>
      <c r="AQ2022" s="16">
        <v>5000</v>
      </c>
      <c r="AR2022" s="16">
        <v>2.5</v>
      </c>
      <c r="AS2022" s="16">
        <v>0</v>
      </c>
      <c r="AT2022" s="12">
        <v>0</v>
      </c>
      <c r="AU2022" s="16">
        <v>90001023</v>
      </c>
      <c r="AV2022" s="16"/>
      <c r="AW2022" s="19" t="s">
        <v>256</v>
      </c>
      <c r="AX2022" s="16" t="s">
        <v>534</v>
      </c>
      <c r="AY2022" s="18">
        <v>10000007</v>
      </c>
      <c r="AZ2022" s="18">
        <v>70403003</v>
      </c>
      <c r="BA2022" s="17" t="s">
        <v>200</v>
      </c>
      <c r="BB2022" s="16">
        <v>0</v>
      </c>
      <c r="BC2022" s="27">
        <v>0</v>
      </c>
      <c r="BD2022" s="27">
        <v>0</v>
      </c>
      <c r="BE2022" s="44" t="s">
        <v>4281</v>
      </c>
      <c r="BF2022" s="44" t="s">
        <v>4282</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19.5" customHeight="1">
      <c r="C2023" s="18">
        <v>79000004</v>
      </c>
      <c r="D2023" s="17" t="s">
        <v>1091</v>
      </c>
      <c r="E2023" s="17" t="s">
        <v>1092</v>
      </c>
      <c r="F2023" s="18">
        <v>1</v>
      </c>
      <c r="G2023" s="16">
        <v>60010100</v>
      </c>
      <c r="H2023" s="18">
        <v>0</v>
      </c>
      <c r="I2023" s="27">
        <v>0</v>
      </c>
      <c r="J2023" s="18">
        <v>1</v>
      </c>
      <c r="K2023" s="18">
        <v>0</v>
      </c>
      <c r="L2023" s="18">
        <v>0</v>
      </c>
      <c r="M2023" s="16">
        <v>0</v>
      </c>
      <c r="N2023" s="16">
        <v>0</v>
      </c>
      <c r="O2023" s="16">
        <v>2</v>
      </c>
      <c r="P2023" s="16">
        <v>1</v>
      </c>
      <c r="Q2023" s="16">
        <v>0.3</v>
      </c>
      <c r="R2023" s="16">
        <v>0</v>
      </c>
      <c r="S2023" s="12">
        <v>0</v>
      </c>
      <c r="T2023" s="16">
        <v>0</v>
      </c>
      <c r="U2023" s="16">
        <v>1</v>
      </c>
      <c r="V2023" s="16">
        <v>2</v>
      </c>
      <c r="W2023" s="16">
        <v>0</v>
      </c>
      <c r="X2023" s="16">
        <v>2</v>
      </c>
      <c r="Y2023" s="12">
        <v>0</v>
      </c>
      <c r="Z2023" s="16">
        <v>0</v>
      </c>
      <c r="AA2023" s="16">
        <v>1</v>
      </c>
      <c r="AB2023" s="16">
        <v>0</v>
      </c>
      <c r="AC2023" s="16">
        <v>0</v>
      </c>
      <c r="AD2023" s="16">
        <v>0</v>
      </c>
      <c r="AE2023" s="16">
        <v>0</v>
      </c>
      <c r="AF2023" s="16">
        <v>12</v>
      </c>
      <c r="AG2023" s="16">
        <v>1</v>
      </c>
      <c r="AH2023" s="16" t="s">
        <v>607</v>
      </c>
      <c r="AI2023" s="12">
        <v>0</v>
      </c>
      <c r="AJ2023" s="12">
        <v>1</v>
      </c>
      <c r="AK2023" s="12">
        <v>0</v>
      </c>
      <c r="AL2023" s="12">
        <v>3</v>
      </c>
      <c r="AM2023" s="16">
        <v>0</v>
      </c>
      <c r="AN2023" s="16">
        <v>0</v>
      </c>
      <c r="AO2023" s="16">
        <v>0</v>
      </c>
      <c r="AP2023" s="16">
        <v>3</v>
      </c>
      <c r="AQ2023" s="16">
        <v>5000</v>
      </c>
      <c r="AR2023" s="16">
        <v>2.5</v>
      </c>
      <c r="AS2023" s="16">
        <v>0</v>
      </c>
      <c r="AT2023" s="12">
        <v>0</v>
      </c>
      <c r="AU2023" s="16">
        <v>80001030</v>
      </c>
      <c r="AV2023" s="16"/>
      <c r="AW2023" s="19" t="s">
        <v>287</v>
      </c>
      <c r="AX2023" s="16" t="s">
        <v>534</v>
      </c>
      <c r="AY2023" s="18">
        <v>10000007</v>
      </c>
      <c r="AZ2023" s="18">
        <v>70204001</v>
      </c>
      <c r="BA2023" s="17" t="s">
        <v>200</v>
      </c>
      <c r="BB2023" s="16">
        <v>0</v>
      </c>
      <c r="BC2023" s="27">
        <v>0</v>
      </c>
      <c r="BD2023" s="27">
        <v>0</v>
      </c>
      <c r="BE2023" s="44" t="s">
        <v>1093</v>
      </c>
      <c r="BF2023" s="44" t="s">
        <v>1094</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79000005</v>
      </c>
      <c r="D2024" s="19" t="s">
        <v>673</v>
      </c>
      <c r="E2024" s="19" t="s">
        <v>674</v>
      </c>
      <c r="F2024" s="18">
        <v>1</v>
      </c>
      <c r="G2024" s="18">
        <v>60010500</v>
      </c>
      <c r="H2024" s="18">
        <v>0</v>
      </c>
      <c r="I2024" s="27">
        <v>0</v>
      </c>
      <c r="J2024" s="18">
        <v>1</v>
      </c>
      <c r="K2024" s="18">
        <v>0</v>
      </c>
      <c r="L2024" s="18">
        <v>0</v>
      </c>
      <c r="M2024" s="18">
        <v>0</v>
      </c>
      <c r="N2024" s="18">
        <v>0</v>
      </c>
      <c r="O2024" s="60">
        <v>2</v>
      </c>
      <c r="P2024" s="18">
        <v>2</v>
      </c>
      <c r="Q2024" s="18">
        <v>0.6</v>
      </c>
      <c r="R2024" s="18">
        <v>0</v>
      </c>
      <c r="S2024" s="12">
        <v>0</v>
      </c>
      <c r="T2024" s="27">
        <v>0</v>
      </c>
      <c r="U2024" s="16">
        <v>1</v>
      </c>
      <c r="V2024" s="18">
        <v>2</v>
      </c>
      <c r="W2024" s="18">
        <v>0</v>
      </c>
      <c r="X2024" s="18">
        <v>0</v>
      </c>
      <c r="Y2024" s="12">
        <v>0</v>
      </c>
      <c r="Z2024" s="18">
        <v>0</v>
      </c>
      <c r="AA2024" s="18">
        <v>0</v>
      </c>
      <c r="AB2024" s="18">
        <v>0</v>
      </c>
      <c r="AC2024" s="18">
        <v>0</v>
      </c>
      <c r="AD2024" s="18">
        <v>0</v>
      </c>
      <c r="AE2024" s="18">
        <v>0</v>
      </c>
      <c r="AF2024" s="16">
        <v>99999</v>
      </c>
      <c r="AG2024" s="18">
        <v>0</v>
      </c>
      <c r="AH2024" s="18">
        <v>0</v>
      </c>
      <c r="AI2024" s="12">
        <v>2</v>
      </c>
      <c r="AJ2024" s="12">
        <v>0</v>
      </c>
      <c r="AK2024" s="12">
        <v>0</v>
      </c>
      <c r="AL2024" s="12">
        <v>0</v>
      </c>
      <c r="AM2024" s="18">
        <v>0</v>
      </c>
      <c r="AN2024" s="18">
        <v>0</v>
      </c>
      <c r="AO2024" s="18">
        <v>0</v>
      </c>
      <c r="AP2024" s="18">
        <v>0</v>
      </c>
      <c r="AQ2024" s="18">
        <v>1000</v>
      </c>
      <c r="AR2024" s="18">
        <v>0</v>
      </c>
      <c r="AS2024" s="18">
        <v>0</v>
      </c>
      <c r="AT2024" s="12">
        <v>90104002</v>
      </c>
      <c r="AU2024" s="18" t="s">
        <v>198</v>
      </c>
      <c r="AV2024" s="18"/>
      <c r="AW2024" s="19" t="s">
        <v>199</v>
      </c>
      <c r="AX2024" s="18" t="s">
        <v>348</v>
      </c>
      <c r="AY2024" s="18">
        <v>0</v>
      </c>
      <c r="AZ2024" s="18">
        <v>0</v>
      </c>
      <c r="BA2024" s="19" t="s">
        <v>200</v>
      </c>
      <c r="BB2024" s="19" t="s">
        <v>198</v>
      </c>
      <c r="BC2024" s="27">
        <v>0</v>
      </c>
      <c r="BD2024" s="27">
        <v>0</v>
      </c>
      <c r="BE2024" s="87" t="s">
        <v>675</v>
      </c>
      <c r="BF2024" s="87" t="s">
        <v>676</v>
      </c>
      <c r="BG2024" s="18">
        <v>0</v>
      </c>
      <c r="BH2024" s="16">
        <v>0</v>
      </c>
      <c r="BI2024" s="18">
        <v>0</v>
      </c>
      <c r="BJ2024" s="18">
        <v>0</v>
      </c>
      <c r="BK2024" s="18">
        <v>0</v>
      </c>
      <c r="BL2024" s="18">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79000006</v>
      </c>
      <c r="D2025" s="17" t="s">
        <v>532</v>
      </c>
      <c r="E2025" s="17" t="s">
        <v>255</v>
      </c>
      <c r="F2025" s="18">
        <v>1</v>
      </c>
      <c r="G2025" s="16">
        <v>0</v>
      </c>
      <c r="H2025" s="18">
        <v>0</v>
      </c>
      <c r="I2025" s="27">
        <v>0</v>
      </c>
      <c r="J2025" s="18">
        <v>1</v>
      </c>
      <c r="K2025" s="18">
        <v>0</v>
      </c>
      <c r="L2025" s="18">
        <v>0</v>
      </c>
      <c r="M2025" s="16">
        <v>0</v>
      </c>
      <c r="N2025" s="16">
        <v>0</v>
      </c>
      <c r="O2025" s="16">
        <v>2</v>
      </c>
      <c r="P2025" s="16">
        <v>1</v>
      </c>
      <c r="Q2025" s="16">
        <v>1</v>
      </c>
      <c r="R2025" s="16">
        <v>0</v>
      </c>
      <c r="S2025" s="12">
        <v>0</v>
      </c>
      <c r="T2025" s="16">
        <v>0</v>
      </c>
      <c r="U2025" s="16">
        <v>1</v>
      </c>
      <c r="V2025" s="16">
        <v>2</v>
      </c>
      <c r="W2025" s="16">
        <v>0</v>
      </c>
      <c r="X2025" s="16">
        <v>2</v>
      </c>
      <c r="Y2025" s="12">
        <v>0</v>
      </c>
      <c r="Z2025" s="16">
        <v>0</v>
      </c>
      <c r="AA2025" s="16">
        <v>1</v>
      </c>
      <c r="AB2025" s="16">
        <v>0</v>
      </c>
      <c r="AC2025" s="16">
        <v>0</v>
      </c>
      <c r="AD2025" s="16">
        <v>0</v>
      </c>
      <c r="AE2025" s="16">
        <v>0</v>
      </c>
      <c r="AF2025" s="16">
        <v>6</v>
      </c>
      <c r="AG2025" s="16">
        <v>1</v>
      </c>
      <c r="AH2025" s="16">
        <v>3</v>
      </c>
      <c r="AI2025" s="12">
        <v>0</v>
      </c>
      <c r="AJ2025" s="12">
        <v>0</v>
      </c>
      <c r="AK2025" s="12">
        <v>0</v>
      </c>
      <c r="AL2025" s="12">
        <v>1.5</v>
      </c>
      <c r="AM2025" s="16">
        <v>0</v>
      </c>
      <c r="AN2025" s="16">
        <v>0</v>
      </c>
      <c r="AO2025" s="16">
        <v>0</v>
      </c>
      <c r="AP2025" s="16">
        <v>1</v>
      </c>
      <c r="AQ2025" s="16">
        <v>5000</v>
      </c>
      <c r="AR2025" s="16">
        <v>0.5</v>
      </c>
      <c r="AS2025" s="16">
        <v>0</v>
      </c>
      <c r="AT2025" s="12">
        <v>0</v>
      </c>
      <c r="AU2025" s="16" t="s">
        <v>198</v>
      </c>
      <c r="AV2025" s="16"/>
      <c r="AW2025" s="19" t="s">
        <v>199</v>
      </c>
      <c r="AX2025" s="16" t="s">
        <v>534</v>
      </c>
      <c r="AY2025" s="18">
        <v>10000007</v>
      </c>
      <c r="AZ2025" s="18">
        <v>70105001</v>
      </c>
      <c r="BA2025" s="17" t="s">
        <v>200</v>
      </c>
      <c r="BB2025" s="16" t="s">
        <v>4199</v>
      </c>
      <c r="BC2025" s="27">
        <v>0</v>
      </c>
      <c r="BD2025" s="27">
        <v>0</v>
      </c>
      <c r="BE2025" s="44" t="s">
        <v>4200</v>
      </c>
      <c r="BF2025" s="44" t="s">
        <v>4201</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20.100000000000001" customHeight="1">
      <c r="C2026" s="18">
        <v>79000007</v>
      </c>
      <c r="D2026" s="19" t="s">
        <v>538</v>
      </c>
      <c r="E2026" s="19" t="s">
        <v>539</v>
      </c>
      <c r="F2026" s="18">
        <v>1</v>
      </c>
      <c r="G2026" s="18">
        <v>60010500</v>
      </c>
      <c r="H2026" s="18">
        <v>0</v>
      </c>
      <c r="I2026" s="27">
        <v>0</v>
      </c>
      <c r="J2026" s="18">
        <v>1</v>
      </c>
      <c r="K2026" s="18">
        <v>0</v>
      </c>
      <c r="L2026" s="18">
        <v>0</v>
      </c>
      <c r="M2026" s="18">
        <v>0</v>
      </c>
      <c r="N2026" s="18">
        <v>0</v>
      </c>
      <c r="O2026" s="16">
        <v>2</v>
      </c>
      <c r="P2026" s="18">
        <v>2</v>
      </c>
      <c r="Q2026" s="18">
        <v>0.8</v>
      </c>
      <c r="R2026" s="18">
        <v>0</v>
      </c>
      <c r="S2026" s="12">
        <v>0</v>
      </c>
      <c r="T2026" s="27">
        <v>0</v>
      </c>
      <c r="U2026" s="16">
        <v>1</v>
      </c>
      <c r="V2026" s="18">
        <v>2</v>
      </c>
      <c r="W2026" s="18">
        <v>0</v>
      </c>
      <c r="X2026" s="18">
        <v>0</v>
      </c>
      <c r="Y2026" s="12">
        <v>0</v>
      </c>
      <c r="Z2026" s="18">
        <v>0</v>
      </c>
      <c r="AA2026" s="18">
        <v>0</v>
      </c>
      <c r="AB2026" s="18">
        <v>0</v>
      </c>
      <c r="AC2026" s="18">
        <v>0</v>
      </c>
      <c r="AD2026" s="16">
        <v>0</v>
      </c>
      <c r="AE2026" s="18">
        <v>0</v>
      </c>
      <c r="AF2026" s="18">
        <v>20</v>
      </c>
      <c r="AG2026" s="18">
        <v>0</v>
      </c>
      <c r="AH2026" s="18">
        <v>0</v>
      </c>
      <c r="AI2026" s="12">
        <v>2</v>
      </c>
      <c r="AJ2026" s="12">
        <v>0</v>
      </c>
      <c r="AK2026" s="12">
        <v>0</v>
      </c>
      <c r="AL2026" s="12">
        <v>0</v>
      </c>
      <c r="AM2026" s="18">
        <v>0</v>
      </c>
      <c r="AN2026" s="18">
        <v>0</v>
      </c>
      <c r="AO2026" s="18">
        <v>0</v>
      </c>
      <c r="AP2026" s="18">
        <v>0</v>
      </c>
      <c r="AQ2026" s="18">
        <v>1000</v>
      </c>
      <c r="AR2026" s="18">
        <v>0</v>
      </c>
      <c r="AS2026" s="18">
        <v>0</v>
      </c>
      <c r="AT2026" s="12">
        <v>90401004</v>
      </c>
      <c r="AU2026" s="18" t="s">
        <v>198</v>
      </c>
      <c r="AV2026" s="18"/>
      <c r="AW2026" s="19" t="s">
        <v>199</v>
      </c>
      <c r="AX2026" s="18" t="s">
        <v>348</v>
      </c>
      <c r="AY2026" s="18">
        <v>0</v>
      </c>
      <c r="AZ2026" s="18">
        <v>40000003</v>
      </c>
      <c r="BA2026" s="19" t="s">
        <v>200</v>
      </c>
      <c r="BB2026" s="19" t="s">
        <v>198</v>
      </c>
      <c r="BC2026" s="27">
        <v>0</v>
      </c>
      <c r="BD2026" s="27">
        <v>0</v>
      </c>
      <c r="BE2026" s="87" t="s">
        <v>864</v>
      </c>
      <c r="BF2026" s="87" t="s">
        <v>865</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row>
    <row r="2027" spans="3:75" ht="19.5" customHeight="1">
      <c r="C2027" s="18">
        <v>79000008</v>
      </c>
      <c r="D2027" s="17" t="s">
        <v>1124</v>
      </c>
      <c r="E2027" s="17" t="s">
        <v>1125</v>
      </c>
      <c r="F2027" s="18">
        <v>1</v>
      </c>
      <c r="G2027" s="16">
        <v>60010100</v>
      </c>
      <c r="H2027" s="18">
        <v>0</v>
      </c>
      <c r="I2027" s="27">
        <v>0</v>
      </c>
      <c r="J2027" s="18">
        <v>1</v>
      </c>
      <c r="K2027" s="18">
        <v>0</v>
      </c>
      <c r="L2027" s="18">
        <v>0</v>
      </c>
      <c r="M2027" s="16">
        <v>0</v>
      </c>
      <c r="N2027" s="16">
        <v>0</v>
      </c>
      <c r="O2027" s="16">
        <v>2</v>
      </c>
      <c r="P2027" s="16">
        <v>1</v>
      </c>
      <c r="Q2027" s="16">
        <v>0.3</v>
      </c>
      <c r="R2027" s="16">
        <v>0</v>
      </c>
      <c r="S2027" s="12">
        <v>0</v>
      </c>
      <c r="T2027" s="16">
        <v>0</v>
      </c>
      <c r="U2027" s="16">
        <v>1</v>
      </c>
      <c r="V2027" s="16">
        <v>2</v>
      </c>
      <c r="W2027" s="16">
        <v>0</v>
      </c>
      <c r="X2027" s="16">
        <v>1</v>
      </c>
      <c r="Y2027" s="12">
        <v>0</v>
      </c>
      <c r="Z2027" s="16">
        <v>0</v>
      </c>
      <c r="AA2027" s="16">
        <v>1</v>
      </c>
      <c r="AB2027" s="16">
        <v>0</v>
      </c>
      <c r="AC2027" s="16">
        <v>0</v>
      </c>
      <c r="AD2027" s="16">
        <v>0</v>
      </c>
      <c r="AE2027" s="16">
        <v>0</v>
      </c>
      <c r="AF2027" s="16">
        <v>30</v>
      </c>
      <c r="AG2027" s="16">
        <v>1</v>
      </c>
      <c r="AH2027" s="16" t="s">
        <v>861</v>
      </c>
      <c r="AI2027" s="12">
        <v>0</v>
      </c>
      <c r="AJ2027" s="12">
        <v>0</v>
      </c>
      <c r="AK2027" s="12">
        <v>0</v>
      </c>
      <c r="AL2027" s="12">
        <v>0</v>
      </c>
      <c r="AM2027" s="16">
        <v>0</v>
      </c>
      <c r="AN2027" s="16">
        <v>0</v>
      </c>
      <c r="AO2027" s="16">
        <v>0</v>
      </c>
      <c r="AP2027" s="16">
        <v>0.5</v>
      </c>
      <c r="AQ2027" s="16">
        <v>999999</v>
      </c>
      <c r="AR2027" s="16">
        <v>0.5</v>
      </c>
      <c r="AS2027" s="16">
        <v>0</v>
      </c>
      <c r="AT2027" s="12">
        <v>0</v>
      </c>
      <c r="AU2027" s="338" t="s">
        <v>1019</v>
      </c>
      <c r="AV2027" s="12"/>
      <c r="AW2027" s="19" t="s">
        <v>287</v>
      </c>
      <c r="AX2027" s="16" t="s">
        <v>534</v>
      </c>
      <c r="AY2027" s="18">
        <v>10000007</v>
      </c>
      <c r="AZ2027" s="18">
        <v>70202004</v>
      </c>
      <c r="BA2027" s="19" t="s">
        <v>315</v>
      </c>
      <c r="BB2027" s="19" t="s">
        <v>371</v>
      </c>
      <c r="BC2027" s="27">
        <v>0</v>
      </c>
      <c r="BD2027" s="27">
        <v>0</v>
      </c>
      <c r="BE2027" s="44" t="s">
        <v>4361</v>
      </c>
      <c r="BF2027" s="44" t="s">
        <v>4362</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79000009</v>
      </c>
      <c r="D2028" s="17" t="s">
        <v>543</v>
      </c>
      <c r="E2028" s="17" t="s">
        <v>544</v>
      </c>
      <c r="F2028" s="18">
        <v>1</v>
      </c>
      <c r="G2028" s="16">
        <v>60010300</v>
      </c>
      <c r="H2028" s="18">
        <v>0</v>
      </c>
      <c r="I2028" s="27">
        <v>0</v>
      </c>
      <c r="J2028" s="18">
        <v>1</v>
      </c>
      <c r="K2028" s="18">
        <v>0</v>
      </c>
      <c r="L2028" s="18">
        <v>0</v>
      </c>
      <c r="M2028" s="16">
        <v>0</v>
      </c>
      <c r="N2028" s="16">
        <v>0</v>
      </c>
      <c r="O2028" s="16">
        <v>2</v>
      </c>
      <c r="P2028" s="16">
        <v>1</v>
      </c>
      <c r="Q2028" s="16">
        <v>0.5</v>
      </c>
      <c r="R2028" s="16">
        <v>0</v>
      </c>
      <c r="S2028" s="12">
        <v>0</v>
      </c>
      <c r="T2028" s="16">
        <v>0</v>
      </c>
      <c r="U2028" s="16">
        <v>1</v>
      </c>
      <c r="V2028" s="16">
        <v>2</v>
      </c>
      <c r="W2028" s="16">
        <v>0</v>
      </c>
      <c r="X2028" s="16">
        <v>2</v>
      </c>
      <c r="Y2028" s="12">
        <v>0</v>
      </c>
      <c r="Z2028" s="16">
        <v>0</v>
      </c>
      <c r="AA2028" s="16">
        <v>0</v>
      </c>
      <c r="AB2028" s="16">
        <v>0</v>
      </c>
      <c r="AC2028" s="16">
        <v>0</v>
      </c>
      <c r="AD2028" s="16">
        <v>0</v>
      </c>
      <c r="AE2028" s="16">
        <v>0</v>
      </c>
      <c r="AF2028" s="16">
        <v>12</v>
      </c>
      <c r="AG2028" s="16">
        <v>2</v>
      </c>
      <c r="AH2028" s="16" t="s">
        <v>213</v>
      </c>
      <c r="AI2028" s="12">
        <v>0</v>
      </c>
      <c r="AJ2028" s="12">
        <v>2</v>
      </c>
      <c r="AK2028" s="12">
        <v>0</v>
      </c>
      <c r="AL2028" s="12">
        <v>1.5</v>
      </c>
      <c r="AM2028" s="16">
        <v>0</v>
      </c>
      <c r="AN2028" s="16">
        <v>0</v>
      </c>
      <c r="AO2028" s="16">
        <v>0</v>
      </c>
      <c r="AP2028" s="16">
        <v>2.5</v>
      </c>
      <c r="AQ2028" s="16">
        <v>4000</v>
      </c>
      <c r="AR2028" s="16">
        <v>2</v>
      </c>
      <c r="AS2028" s="16">
        <v>0</v>
      </c>
      <c r="AT2028" s="12">
        <v>0</v>
      </c>
      <c r="AU2028" s="16" t="s">
        <v>198</v>
      </c>
      <c r="AV2028" s="16"/>
      <c r="AW2028" s="19" t="s">
        <v>287</v>
      </c>
      <c r="AX2028" s="16" t="s">
        <v>545</v>
      </c>
      <c r="AY2028" s="18">
        <v>10001007</v>
      </c>
      <c r="AZ2028" s="18">
        <v>70103001</v>
      </c>
      <c r="BA2028" s="17" t="s">
        <v>200</v>
      </c>
      <c r="BB2028" s="16">
        <v>0</v>
      </c>
      <c r="BC2028" s="27">
        <v>0</v>
      </c>
      <c r="BD2028" s="27">
        <v>0</v>
      </c>
      <c r="BE2028" s="44" t="s">
        <v>546</v>
      </c>
      <c r="BF2028" s="44" t="s">
        <v>547</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79000010</v>
      </c>
      <c r="D2029" s="17" t="s">
        <v>4330</v>
      </c>
      <c r="E2029" s="17" t="s">
        <v>4331</v>
      </c>
      <c r="F2029" s="18">
        <v>1</v>
      </c>
      <c r="G2029" s="16">
        <v>60010100</v>
      </c>
      <c r="H2029" s="18">
        <v>0</v>
      </c>
      <c r="I2029" s="27">
        <v>0</v>
      </c>
      <c r="J2029" s="18">
        <v>1</v>
      </c>
      <c r="K2029" s="18">
        <v>0</v>
      </c>
      <c r="L2029" s="18">
        <v>0</v>
      </c>
      <c r="M2029" s="16">
        <v>0</v>
      </c>
      <c r="N2029" s="16">
        <v>0</v>
      </c>
      <c r="O2029" s="16">
        <v>2</v>
      </c>
      <c r="P2029" s="16">
        <v>1</v>
      </c>
      <c r="Q2029" s="16">
        <v>0.3</v>
      </c>
      <c r="R2029" s="16">
        <v>0</v>
      </c>
      <c r="S2029" s="12">
        <v>0</v>
      </c>
      <c r="T2029" s="16">
        <v>0</v>
      </c>
      <c r="U2029" s="16">
        <v>1</v>
      </c>
      <c r="V2029" s="16">
        <v>2</v>
      </c>
      <c r="W2029" s="16">
        <v>0</v>
      </c>
      <c r="X2029" s="16">
        <v>2</v>
      </c>
      <c r="Y2029" s="12">
        <v>0</v>
      </c>
      <c r="Z2029" s="16">
        <v>0</v>
      </c>
      <c r="AA2029" s="16">
        <v>1</v>
      </c>
      <c r="AB2029" s="16">
        <v>0</v>
      </c>
      <c r="AC2029" s="16">
        <v>0</v>
      </c>
      <c r="AD2029" s="16">
        <v>0</v>
      </c>
      <c r="AE2029" s="16">
        <v>0</v>
      </c>
      <c r="AF2029" s="16">
        <v>20</v>
      </c>
      <c r="AG2029" s="16">
        <v>1</v>
      </c>
      <c r="AH2029" s="16" t="s">
        <v>861</v>
      </c>
      <c r="AI2029" s="12">
        <v>1</v>
      </c>
      <c r="AJ2029" s="12">
        <v>0</v>
      </c>
      <c r="AK2029" s="12">
        <v>0</v>
      </c>
      <c r="AL2029" s="12">
        <v>0</v>
      </c>
      <c r="AM2029" s="16">
        <v>0</v>
      </c>
      <c r="AN2029" s="16">
        <v>0</v>
      </c>
      <c r="AO2029" s="16">
        <v>0</v>
      </c>
      <c r="AP2029" s="16">
        <v>0.5</v>
      </c>
      <c r="AQ2029" s="16">
        <v>999999</v>
      </c>
      <c r="AR2029" s="16">
        <v>2</v>
      </c>
      <c r="AS2029" s="16">
        <v>0</v>
      </c>
      <c r="AT2029" s="12">
        <v>0</v>
      </c>
      <c r="AU2029" s="16" t="s">
        <v>854</v>
      </c>
      <c r="AV2029" s="16"/>
      <c r="AW2029" s="19" t="s">
        <v>287</v>
      </c>
      <c r="AX2029" s="16" t="s">
        <v>534</v>
      </c>
      <c r="AY2029" s="18">
        <v>10000007</v>
      </c>
      <c r="AZ2029" s="18">
        <v>70405007</v>
      </c>
      <c r="BA2029" s="19" t="s">
        <v>315</v>
      </c>
      <c r="BB2029" s="19" t="s">
        <v>371</v>
      </c>
      <c r="BC2029" s="27">
        <v>0</v>
      </c>
      <c r="BD2029" s="27">
        <v>0</v>
      </c>
      <c r="BE2029" s="44" t="s">
        <v>4332</v>
      </c>
      <c r="BF2029" s="44" t="s">
        <v>4333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79000011</v>
      </c>
      <c r="D2030" s="19" t="s">
        <v>4371</v>
      </c>
      <c r="E2030" s="19" t="s">
        <v>4372</v>
      </c>
      <c r="F2030" s="18">
        <v>1</v>
      </c>
      <c r="G2030" s="18">
        <v>60010500</v>
      </c>
      <c r="H2030" s="18">
        <v>0</v>
      </c>
      <c r="I2030" s="27">
        <v>0</v>
      </c>
      <c r="J2030" s="18">
        <v>1</v>
      </c>
      <c r="K2030" s="18">
        <v>0</v>
      </c>
      <c r="L2030" s="18">
        <v>0</v>
      </c>
      <c r="M2030" s="18">
        <v>0</v>
      </c>
      <c r="N2030" s="18">
        <v>0</v>
      </c>
      <c r="O2030" s="16">
        <v>2</v>
      </c>
      <c r="P2030" s="18">
        <v>2</v>
      </c>
      <c r="Q2030" s="18">
        <v>0.95</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7</v>
      </c>
      <c r="AJ2030" s="12">
        <v>0</v>
      </c>
      <c r="AK2030" s="12">
        <v>0</v>
      </c>
      <c r="AL2030" s="12">
        <v>0</v>
      </c>
      <c r="AM2030" s="18">
        <v>0</v>
      </c>
      <c r="AN2030" s="18">
        <v>0</v>
      </c>
      <c r="AO2030" s="18">
        <v>0</v>
      </c>
      <c r="AP2030" s="18">
        <v>0</v>
      </c>
      <c r="AQ2030" s="18">
        <v>1000</v>
      </c>
      <c r="AR2030" s="18">
        <v>0.5</v>
      </c>
      <c r="AS2030" s="18">
        <v>0</v>
      </c>
      <c r="AT2030" s="12">
        <v>0</v>
      </c>
      <c r="AU2030" s="18">
        <v>83000001</v>
      </c>
      <c r="AV2030" s="18"/>
      <c r="AW2030" s="19" t="s">
        <v>741</v>
      </c>
      <c r="AX2030" s="18">
        <v>0</v>
      </c>
      <c r="AY2030" s="18">
        <v>10007001</v>
      </c>
      <c r="AZ2030" s="18">
        <v>0</v>
      </c>
      <c r="BA2030" s="19" t="s">
        <v>200</v>
      </c>
      <c r="BB2030" s="19" t="s">
        <v>198</v>
      </c>
      <c r="BC2030" s="27">
        <v>0</v>
      </c>
      <c r="BD2030" s="27">
        <v>0</v>
      </c>
      <c r="BE2030" s="87" t="s">
        <v>4373</v>
      </c>
      <c r="BF2030" s="87" t="s">
        <v>4374</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79000012</v>
      </c>
      <c r="D2031" s="17" t="s">
        <v>760</v>
      </c>
      <c r="E2031" s="17" t="s">
        <v>761</v>
      </c>
      <c r="F2031" s="16">
        <v>2</v>
      </c>
      <c r="G2031" s="16">
        <v>61012301</v>
      </c>
      <c r="H2031" s="16">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1.4</v>
      </c>
      <c r="Y2031" s="12">
        <v>0</v>
      </c>
      <c r="Z2031" s="16">
        <v>150</v>
      </c>
      <c r="AA2031" s="16">
        <v>1</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1.5</v>
      </c>
      <c r="AQ2031" s="16">
        <v>1200</v>
      </c>
      <c r="AR2031" s="16">
        <v>1</v>
      </c>
      <c r="AS2031" s="16">
        <v>15</v>
      </c>
      <c r="AT2031" s="12">
        <v>0</v>
      </c>
      <c r="AU2031" s="16" t="s">
        <v>198</v>
      </c>
      <c r="AV2031" s="16"/>
      <c r="AW2031" s="17" t="s">
        <v>256</v>
      </c>
      <c r="AX2031" s="16" t="s">
        <v>215</v>
      </c>
      <c r="AY2031" s="18">
        <v>10000011</v>
      </c>
      <c r="AZ2031" s="18">
        <v>70404001</v>
      </c>
      <c r="BA2031" s="17" t="s">
        <v>216</v>
      </c>
      <c r="BB2031" s="16">
        <v>0</v>
      </c>
      <c r="BC2031" s="27">
        <v>0</v>
      </c>
      <c r="BD2031" s="27">
        <v>0</v>
      </c>
      <c r="BE2031" s="44" t="s">
        <v>798</v>
      </c>
      <c r="BF2031" s="44" t="s">
        <v>799</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00">
        <v>79000013</v>
      </c>
      <c r="D2032" s="99" t="s">
        <v>769</v>
      </c>
      <c r="E2032" s="99" t="s">
        <v>770</v>
      </c>
      <c r="F2032" s="101">
        <v>1</v>
      </c>
      <c r="G2032" s="101">
        <v>61012201</v>
      </c>
      <c r="H2032" s="101">
        <v>0</v>
      </c>
      <c r="I2032" s="105">
        <v>0</v>
      </c>
      <c r="J2032" s="100">
        <v>1</v>
      </c>
      <c r="K2032" s="101">
        <v>0</v>
      </c>
      <c r="L2032" s="101">
        <v>0</v>
      </c>
      <c r="M2032" s="101">
        <v>0</v>
      </c>
      <c r="N2032" s="101">
        <v>0</v>
      </c>
      <c r="O2032" s="101">
        <v>2</v>
      </c>
      <c r="P2032" s="101">
        <v>2</v>
      </c>
      <c r="Q2032" s="101">
        <v>0.8</v>
      </c>
      <c r="R2032" s="101">
        <v>0</v>
      </c>
      <c r="S2032" s="106">
        <v>0</v>
      </c>
      <c r="T2032" s="101">
        <v>0</v>
      </c>
      <c r="U2032" s="101">
        <v>1</v>
      </c>
      <c r="V2032" s="101">
        <v>2</v>
      </c>
      <c r="W2032" s="101">
        <v>0</v>
      </c>
      <c r="X2032" s="101">
        <v>3</v>
      </c>
      <c r="Y2032" s="12">
        <v>0</v>
      </c>
      <c r="Z2032" s="101">
        <v>0</v>
      </c>
      <c r="AA2032" s="101">
        <v>1</v>
      </c>
      <c r="AB2032" s="101">
        <v>0</v>
      </c>
      <c r="AC2032" s="101">
        <v>0</v>
      </c>
      <c r="AD2032" s="101">
        <v>0</v>
      </c>
      <c r="AE2032" s="101">
        <v>0</v>
      </c>
      <c r="AF2032" s="101">
        <v>12</v>
      </c>
      <c r="AG2032" s="101">
        <v>1</v>
      </c>
      <c r="AH2032" s="101">
        <v>3</v>
      </c>
      <c r="AI2032" s="106">
        <v>0</v>
      </c>
      <c r="AJ2032" s="106">
        <v>1</v>
      </c>
      <c r="AK2032" s="106">
        <v>0</v>
      </c>
      <c r="AL2032" s="106">
        <v>1.5</v>
      </c>
      <c r="AM2032" s="101">
        <v>0</v>
      </c>
      <c r="AN2032" s="101">
        <v>0</v>
      </c>
      <c r="AO2032" s="101">
        <v>0</v>
      </c>
      <c r="AP2032" s="101">
        <v>1</v>
      </c>
      <c r="AQ2032" s="101">
        <v>4000</v>
      </c>
      <c r="AR2032" s="101">
        <v>1</v>
      </c>
      <c r="AS2032" s="101">
        <v>0</v>
      </c>
      <c r="AT2032" s="106">
        <v>90104021</v>
      </c>
      <c r="AU2032" s="101">
        <v>90104022</v>
      </c>
      <c r="AV2032" s="101"/>
      <c r="AW2032" s="99" t="s">
        <v>762</v>
      </c>
      <c r="AX2032" s="101" t="s">
        <v>534</v>
      </c>
      <c r="AY2032" s="100">
        <v>10000001</v>
      </c>
      <c r="AZ2032" s="100">
        <v>62001403</v>
      </c>
      <c r="BA2032" s="99" t="s">
        <v>771</v>
      </c>
      <c r="BB2032" s="101">
        <v>0</v>
      </c>
      <c r="BC2032" s="105">
        <v>0</v>
      </c>
      <c r="BD2032" s="105">
        <v>0</v>
      </c>
      <c r="BE2032" s="137" t="s">
        <v>4400</v>
      </c>
      <c r="BF2032" s="137" t="s">
        <v>4401</v>
      </c>
      <c r="BG2032" s="101">
        <v>0</v>
      </c>
      <c r="BH2032" s="101">
        <v>0</v>
      </c>
      <c r="BI2032" s="101">
        <v>0</v>
      </c>
      <c r="BJ2032" s="101">
        <v>0</v>
      </c>
      <c r="BK2032" s="101">
        <v>0</v>
      </c>
      <c r="BL2032" s="101">
        <v>0</v>
      </c>
      <c r="BM2032" s="97">
        <v>0</v>
      </c>
      <c r="BN2032" s="106">
        <v>0</v>
      </c>
      <c r="BO2032" s="106">
        <v>0</v>
      </c>
      <c r="BP2032" s="106">
        <v>0</v>
      </c>
      <c r="BQ2032" s="106">
        <v>0</v>
      </c>
      <c r="BR2032" s="106">
        <v>0</v>
      </c>
      <c r="BS2032" s="106">
        <v>0</v>
      </c>
      <c r="BT2032" s="12">
        <v>0</v>
      </c>
      <c r="BU2032" s="47">
        <v>0</v>
      </c>
      <c r="BV2032" s="47"/>
      <c r="BW2032" s="47"/>
    </row>
    <row r="2033" spans="3:75" ht="20.100000000000001" customHeight="1">
      <c r="C2033" s="100">
        <v>79000014</v>
      </c>
      <c r="D2033" s="98" t="s">
        <v>731</v>
      </c>
      <c r="E2033" s="98" t="s">
        <v>674</v>
      </c>
      <c r="F2033" s="97">
        <v>1</v>
      </c>
      <c r="G2033" s="97">
        <v>60010002</v>
      </c>
      <c r="H2033" s="97">
        <v>0</v>
      </c>
      <c r="I2033" s="104">
        <v>0</v>
      </c>
      <c r="J2033" s="97">
        <v>1</v>
      </c>
      <c r="K2033" s="97">
        <v>0</v>
      </c>
      <c r="L2033" s="104">
        <v>0</v>
      </c>
      <c r="M2033" s="104">
        <v>0</v>
      </c>
      <c r="N2033" s="97">
        <v>0</v>
      </c>
      <c r="O2033" s="97">
        <v>2</v>
      </c>
      <c r="P2033" s="97">
        <v>2</v>
      </c>
      <c r="Q2033" s="101">
        <v>0.8</v>
      </c>
      <c r="R2033" s="97">
        <v>1</v>
      </c>
      <c r="S2033" s="106">
        <v>0</v>
      </c>
      <c r="T2033" s="97">
        <v>0</v>
      </c>
      <c r="U2033" s="101">
        <v>1</v>
      </c>
      <c r="V2033" s="97">
        <v>1</v>
      </c>
      <c r="W2033" s="104">
        <v>0</v>
      </c>
      <c r="X2033" s="97">
        <v>2</v>
      </c>
      <c r="Y2033" s="12">
        <v>0</v>
      </c>
      <c r="Z2033" s="97">
        <v>0</v>
      </c>
      <c r="AA2033" s="97">
        <v>0</v>
      </c>
      <c r="AB2033" s="97">
        <v>0</v>
      </c>
      <c r="AC2033" s="104">
        <v>0</v>
      </c>
      <c r="AD2033" s="97">
        <v>0</v>
      </c>
      <c r="AE2033" s="97">
        <v>0</v>
      </c>
      <c r="AF2033" s="97">
        <v>10</v>
      </c>
      <c r="AG2033" s="97">
        <v>1</v>
      </c>
      <c r="AH2033" s="97">
        <v>5</v>
      </c>
      <c r="AI2033" s="107">
        <v>0</v>
      </c>
      <c r="AJ2033" s="107">
        <v>1</v>
      </c>
      <c r="AK2033" s="106">
        <v>0</v>
      </c>
      <c r="AL2033" s="97">
        <v>2.5</v>
      </c>
      <c r="AM2033" s="108">
        <v>0</v>
      </c>
      <c r="AN2033" s="97">
        <v>1</v>
      </c>
      <c r="AO2033" s="97">
        <v>0</v>
      </c>
      <c r="AP2033" s="97">
        <v>1</v>
      </c>
      <c r="AQ2033" s="97">
        <v>3000</v>
      </c>
      <c r="AR2033" s="97">
        <v>1</v>
      </c>
      <c r="AS2033" s="97">
        <v>0</v>
      </c>
      <c r="AT2033" s="332" t="s">
        <v>732</v>
      </c>
      <c r="AU2033" s="333" t="s">
        <v>733</v>
      </c>
      <c r="AV2033" s="110"/>
      <c r="AW2033" s="97" t="s">
        <v>287</v>
      </c>
      <c r="AX2033" s="104">
        <v>0</v>
      </c>
      <c r="AY2033" s="104">
        <v>0</v>
      </c>
      <c r="AZ2033" s="104">
        <v>62001401</v>
      </c>
      <c r="BA2033" s="102" t="s">
        <v>200</v>
      </c>
      <c r="BB2033" s="101">
        <v>0</v>
      </c>
      <c r="BC2033" s="105">
        <v>0</v>
      </c>
      <c r="BD2033" s="105">
        <v>0</v>
      </c>
      <c r="BE2033" s="118" t="s">
        <v>4402</v>
      </c>
      <c r="BF2033" s="118" t="s">
        <v>4403</v>
      </c>
      <c r="BG2033" s="97">
        <v>0</v>
      </c>
      <c r="BH2033" s="97">
        <v>0</v>
      </c>
      <c r="BI2033" s="100">
        <v>0</v>
      </c>
      <c r="BJ2033" s="97">
        <v>0</v>
      </c>
      <c r="BK2033" s="97">
        <v>0</v>
      </c>
      <c r="BL2033" s="108">
        <v>0</v>
      </c>
      <c r="BM2033" s="97">
        <v>0</v>
      </c>
      <c r="BN2033" s="106">
        <v>0</v>
      </c>
      <c r="BO2033" s="106">
        <v>0</v>
      </c>
      <c r="BP2033" s="106">
        <v>0</v>
      </c>
      <c r="BQ2033" s="106">
        <v>0</v>
      </c>
      <c r="BR2033" s="106">
        <v>0</v>
      </c>
      <c r="BS2033" s="106">
        <v>0</v>
      </c>
      <c r="BT2033" s="12">
        <v>0</v>
      </c>
      <c r="BU2033" s="47">
        <v>0</v>
      </c>
      <c r="BV2033" s="47"/>
      <c r="BW2033" s="47"/>
    </row>
    <row r="2034" spans="3:75" ht="20.100000000000001" customHeight="1">
      <c r="C2034" s="100">
        <v>79000015</v>
      </c>
      <c r="D2034" s="99" t="s">
        <v>810</v>
      </c>
      <c r="E2034" s="99" t="s">
        <v>811</v>
      </c>
      <c r="F2034" s="101">
        <v>2</v>
      </c>
      <c r="G2034" s="101">
        <v>61012301</v>
      </c>
      <c r="H2034" s="101">
        <v>0</v>
      </c>
      <c r="I2034" s="105">
        <v>0</v>
      </c>
      <c r="J2034" s="100">
        <v>1</v>
      </c>
      <c r="K2034" s="100">
        <v>0</v>
      </c>
      <c r="L2034" s="100">
        <v>0</v>
      </c>
      <c r="M2034" s="101">
        <v>0</v>
      </c>
      <c r="N2034" s="101">
        <v>0</v>
      </c>
      <c r="O2034" s="101">
        <v>2</v>
      </c>
      <c r="P2034" s="101">
        <v>2</v>
      </c>
      <c r="Q2034" s="101">
        <v>0.8</v>
      </c>
      <c r="R2034" s="101">
        <v>0</v>
      </c>
      <c r="S2034" s="106">
        <v>0</v>
      </c>
      <c r="T2034" s="101">
        <v>0</v>
      </c>
      <c r="U2034" s="101">
        <v>1</v>
      </c>
      <c r="V2034" s="101">
        <v>2</v>
      </c>
      <c r="W2034" s="101">
        <v>0</v>
      </c>
      <c r="X2034" s="101">
        <v>3</v>
      </c>
      <c r="Y2034" s="12">
        <v>0</v>
      </c>
      <c r="Z2034" s="101">
        <v>0</v>
      </c>
      <c r="AA2034" s="101">
        <v>1</v>
      </c>
      <c r="AB2034" s="101">
        <v>0</v>
      </c>
      <c r="AC2034" s="101">
        <v>0</v>
      </c>
      <c r="AD2034" s="101">
        <v>0</v>
      </c>
      <c r="AE2034" s="101">
        <v>1</v>
      </c>
      <c r="AF2034" s="101">
        <v>12</v>
      </c>
      <c r="AG2034" s="101">
        <v>1</v>
      </c>
      <c r="AH2034" s="101">
        <v>6</v>
      </c>
      <c r="AI2034" s="106">
        <v>0</v>
      </c>
      <c r="AJ2034" s="106">
        <v>1</v>
      </c>
      <c r="AK2034" s="106">
        <v>0</v>
      </c>
      <c r="AL2034" s="106">
        <v>3</v>
      </c>
      <c r="AM2034" s="101">
        <v>0</v>
      </c>
      <c r="AN2034" s="101">
        <v>1</v>
      </c>
      <c r="AO2034" s="101">
        <v>0</v>
      </c>
      <c r="AP2034" s="101">
        <v>1</v>
      </c>
      <c r="AQ2034" s="101">
        <v>3000</v>
      </c>
      <c r="AR2034" s="101">
        <v>1</v>
      </c>
      <c r="AS2034" s="101">
        <v>0</v>
      </c>
      <c r="AT2034" s="106">
        <v>0</v>
      </c>
      <c r="AU2034" s="336" t="s">
        <v>807</v>
      </c>
      <c r="AV2034" s="114"/>
      <c r="AW2034" s="99" t="s">
        <v>617</v>
      </c>
      <c r="AX2034" s="101" t="s">
        <v>215</v>
      </c>
      <c r="AY2034" s="100">
        <v>10000011</v>
      </c>
      <c r="AZ2034" s="100">
        <v>62001502</v>
      </c>
      <c r="BA2034" s="102" t="s">
        <v>200</v>
      </c>
      <c r="BB2034" s="101">
        <v>0</v>
      </c>
      <c r="BC2034" s="105">
        <v>0</v>
      </c>
      <c r="BD2034" s="105">
        <v>0</v>
      </c>
      <c r="BE2034" s="119" t="s">
        <v>812</v>
      </c>
      <c r="BF2034" s="119" t="s">
        <v>813</v>
      </c>
      <c r="BG2034" s="101">
        <v>0</v>
      </c>
      <c r="BH2034" s="101">
        <v>0</v>
      </c>
      <c r="BI2034" s="101">
        <v>0</v>
      </c>
      <c r="BJ2034" s="101">
        <v>0</v>
      </c>
      <c r="BK2034" s="101">
        <v>0</v>
      </c>
      <c r="BL2034" s="101">
        <v>0</v>
      </c>
      <c r="BM2034" s="97">
        <v>0</v>
      </c>
      <c r="BN2034" s="106">
        <v>0</v>
      </c>
      <c r="BO2034" s="106">
        <v>0</v>
      </c>
      <c r="BP2034" s="106">
        <v>0</v>
      </c>
      <c r="BQ2034" s="106">
        <v>0</v>
      </c>
      <c r="BR2034" s="106">
        <v>0</v>
      </c>
      <c r="BS2034" s="106">
        <v>0</v>
      </c>
      <c r="BT2034" s="12">
        <v>0</v>
      </c>
      <c r="BU2034" s="47">
        <v>0</v>
      </c>
      <c r="BV2034" s="47"/>
      <c r="BW2034" s="47"/>
    </row>
    <row r="2035" spans="3:75" ht="20.100000000000001" customHeight="1">
      <c r="C2035" s="100">
        <v>79000016</v>
      </c>
      <c r="D2035" s="103" t="s">
        <v>814</v>
      </c>
      <c r="E2035" s="103" t="s">
        <v>815</v>
      </c>
      <c r="F2035" s="97">
        <v>1</v>
      </c>
      <c r="G2035" s="97">
        <v>60010002</v>
      </c>
      <c r="H2035" s="97">
        <v>0</v>
      </c>
      <c r="I2035" s="104">
        <v>0</v>
      </c>
      <c r="J2035" s="97">
        <v>0</v>
      </c>
      <c r="K2035" s="97">
        <v>0</v>
      </c>
      <c r="L2035" s="104">
        <v>0</v>
      </c>
      <c r="M2035" s="104">
        <v>0</v>
      </c>
      <c r="N2035" s="97">
        <v>0</v>
      </c>
      <c r="O2035" s="101">
        <v>2</v>
      </c>
      <c r="P2035" s="101">
        <v>2</v>
      </c>
      <c r="Q2035" s="97">
        <v>0.8</v>
      </c>
      <c r="R2035" s="97">
        <v>0</v>
      </c>
      <c r="S2035" s="106">
        <v>0</v>
      </c>
      <c r="T2035" s="97">
        <v>0</v>
      </c>
      <c r="U2035" s="101">
        <v>1</v>
      </c>
      <c r="V2035" s="97">
        <v>2</v>
      </c>
      <c r="W2035" s="104">
        <v>0</v>
      </c>
      <c r="X2035" s="97">
        <v>3</v>
      </c>
      <c r="Y2035" s="12">
        <v>0</v>
      </c>
      <c r="Z2035" s="97">
        <v>0</v>
      </c>
      <c r="AA2035" s="97">
        <v>0</v>
      </c>
      <c r="AB2035" s="97">
        <v>0</v>
      </c>
      <c r="AC2035" s="104">
        <v>0</v>
      </c>
      <c r="AD2035" s="97">
        <v>0</v>
      </c>
      <c r="AE2035" s="97">
        <v>0</v>
      </c>
      <c r="AF2035" s="97">
        <v>8</v>
      </c>
      <c r="AG2035" s="97">
        <v>2</v>
      </c>
      <c r="AH2035" s="97" t="s">
        <v>1036</v>
      </c>
      <c r="AI2035" s="107">
        <v>0</v>
      </c>
      <c r="AJ2035" s="107">
        <v>2</v>
      </c>
      <c r="AK2035" s="106">
        <v>0</v>
      </c>
      <c r="AL2035" s="97">
        <v>1.5</v>
      </c>
      <c r="AM2035" s="108">
        <v>0</v>
      </c>
      <c r="AN2035" s="97">
        <v>0</v>
      </c>
      <c r="AO2035" s="97">
        <v>0</v>
      </c>
      <c r="AP2035" s="97">
        <v>2.5</v>
      </c>
      <c r="AQ2035" s="101">
        <v>8000</v>
      </c>
      <c r="AR2035" s="97">
        <v>1.5</v>
      </c>
      <c r="AS2035" s="97">
        <v>10</v>
      </c>
      <c r="AT2035" s="106">
        <v>0</v>
      </c>
      <c r="AU2035" s="337" t="s">
        <v>807</v>
      </c>
      <c r="AV2035" s="101"/>
      <c r="AW2035" s="102" t="s">
        <v>287</v>
      </c>
      <c r="AX2035" s="104">
        <v>0</v>
      </c>
      <c r="AY2035" s="104">
        <v>0</v>
      </c>
      <c r="AZ2035" s="104">
        <v>62001503</v>
      </c>
      <c r="BA2035" s="102" t="s">
        <v>586</v>
      </c>
      <c r="BB2035" s="101" t="s">
        <v>816</v>
      </c>
      <c r="BC2035" s="105">
        <v>0</v>
      </c>
      <c r="BD2035" s="105">
        <v>0</v>
      </c>
      <c r="BE2035" s="119" t="s">
        <v>817</v>
      </c>
      <c r="BF2035" s="122" t="s">
        <v>818</v>
      </c>
      <c r="BG2035" s="97">
        <v>2</v>
      </c>
      <c r="BH2035" s="97">
        <v>0</v>
      </c>
      <c r="BI2035" s="100">
        <v>0</v>
      </c>
      <c r="BJ2035" s="97">
        <v>1</v>
      </c>
      <c r="BK2035" s="97">
        <v>2</v>
      </c>
      <c r="BL2035" s="108">
        <v>0</v>
      </c>
      <c r="BM2035" s="97">
        <v>0</v>
      </c>
      <c r="BN2035" s="106">
        <v>0</v>
      </c>
      <c r="BO2035" s="106">
        <v>0</v>
      </c>
      <c r="BP2035" s="106">
        <v>0</v>
      </c>
      <c r="BQ2035" s="106">
        <v>0</v>
      </c>
      <c r="BR2035" s="106">
        <v>0</v>
      </c>
      <c r="BS2035" s="106">
        <v>0</v>
      </c>
      <c r="BT2035" s="12">
        <v>0</v>
      </c>
      <c r="BU2035" s="47">
        <v>0</v>
      </c>
      <c r="BV2035" s="47"/>
      <c r="BW2035" s="47"/>
    </row>
    <row r="2036" spans="3:75" ht="19.5" customHeight="1">
      <c r="C2036" s="100">
        <v>79000017</v>
      </c>
      <c r="D2036" s="99" t="s">
        <v>1302</v>
      </c>
      <c r="E2036" s="99" t="s">
        <v>1303</v>
      </c>
      <c r="F2036" s="100">
        <v>1</v>
      </c>
      <c r="G2036" s="100">
        <v>80004009</v>
      </c>
      <c r="H2036" s="100">
        <v>0</v>
      </c>
      <c r="I2036" s="105">
        <v>0</v>
      </c>
      <c r="J2036" s="100">
        <v>1</v>
      </c>
      <c r="K2036" s="100">
        <v>0</v>
      </c>
      <c r="L2036" s="100">
        <v>0</v>
      </c>
      <c r="M2036" s="101">
        <v>0</v>
      </c>
      <c r="N2036" s="101">
        <v>0</v>
      </c>
      <c r="O2036" s="101">
        <v>2</v>
      </c>
      <c r="P2036" s="101">
        <v>16</v>
      </c>
      <c r="Q2036" s="101">
        <v>5</v>
      </c>
      <c r="R2036" s="101">
        <v>0</v>
      </c>
      <c r="S2036" s="106">
        <v>0</v>
      </c>
      <c r="T2036" s="101">
        <v>0</v>
      </c>
      <c r="U2036" s="101">
        <v>1</v>
      </c>
      <c r="V2036" s="101">
        <v>2</v>
      </c>
      <c r="W2036" s="101">
        <v>0</v>
      </c>
      <c r="X2036" s="101">
        <v>1</v>
      </c>
      <c r="Y2036" s="12">
        <v>0</v>
      </c>
      <c r="Z2036" s="101">
        <v>0</v>
      </c>
      <c r="AA2036" s="101">
        <v>0</v>
      </c>
      <c r="AB2036" s="101">
        <v>0</v>
      </c>
      <c r="AC2036" s="101">
        <v>0</v>
      </c>
      <c r="AD2036" s="101">
        <v>0</v>
      </c>
      <c r="AE2036" s="101">
        <v>1</v>
      </c>
      <c r="AF2036" s="101">
        <v>0</v>
      </c>
      <c r="AG2036" s="101">
        <v>1</v>
      </c>
      <c r="AH2036" s="101">
        <v>2</v>
      </c>
      <c r="AI2036" s="106">
        <v>0</v>
      </c>
      <c r="AJ2036" s="106">
        <v>2</v>
      </c>
      <c r="AK2036" s="106">
        <v>0</v>
      </c>
      <c r="AL2036" s="106">
        <v>2</v>
      </c>
      <c r="AM2036" s="101">
        <v>0</v>
      </c>
      <c r="AN2036" s="101">
        <v>0</v>
      </c>
      <c r="AO2036" s="101">
        <v>0</v>
      </c>
      <c r="AP2036" s="101">
        <v>2</v>
      </c>
      <c r="AQ2036" s="101">
        <v>5000</v>
      </c>
      <c r="AR2036" s="101">
        <v>0</v>
      </c>
      <c r="AS2036" s="101">
        <v>10</v>
      </c>
      <c r="AT2036" s="113">
        <v>0</v>
      </c>
      <c r="AU2036" s="336" t="s">
        <v>198</v>
      </c>
      <c r="AV2036" s="114"/>
      <c r="AW2036" s="99" t="s">
        <v>199</v>
      </c>
      <c r="AX2036" s="101" t="s">
        <v>534</v>
      </c>
      <c r="AY2036" s="100">
        <v>10000007</v>
      </c>
      <c r="AZ2036" s="334" t="s">
        <v>1304</v>
      </c>
      <c r="BA2036" s="99" t="s">
        <v>586</v>
      </c>
      <c r="BB2036" s="101" t="s">
        <v>1305</v>
      </c>
      <c r="BC2036" s="105">
        <v>0</v>
      </c>
      <c r="BD2036" s="105">
        <v>1</v>
      </c>
      <c r="BE2036" s="119" t="s">
        <v>1306</v>
      </c>
      <c r="BF2036" s="119" t="s">
        <v>1307</v>
      </c>
      <c r="BG2036" s="101">
        <v>0</v>
      </c>
      <c r="BH2036" s="101">
        <v>0</v>
      </c>
      <c r="BI2036" s="101">
        <v>0</v>
      </c>
      <c r="BJ2036" s="101">
        <v>0</v>
      </c>
      <c r="BK2036" s="101">
        <v>0</v>
      </c>
      <c r="BL2036" s="101">
        <v>0</v>
      </c>
      <c r="BM2036" s="97">
        <v>0</v>
      </c>
      <c r="BN2036" s="106">
        <v>0</v>
      </c>
      <c r="BO2036" s="106">
        <v>0</v>
      </c>
      <c r="BP2036" s="106">
        <v>0</v>
      </c>
      <c r="BQ2036" s="106">
        <v>0</v>
      </c>
      <c r="BR2036" s="106">
        <v>0</v>
      </c>
      <c r="BS2036" s="106">
        <v>1</v>
      </c>
      <c r="BT2036" s="12">
        <v>0</v>
      </c>
      <c r="BU2036" s="47">
        <v>0</v>
      </c>
      <c r="BV2036" s="47"/>
      <c r="BW2036" s="47"/>
    </row>
    <row r="2037" spans="3:75" ht="20.100000000000001" customHeight="1">
      <c r="C2037" s="100">
        <v>79000018</v>
      </c>
      <c r="D2037" s="99" t="s">
        <v>804</v>
      </c>
      <c r="E2037" s="99" t="s">
        <v>805</v>
      </c>
      <c r="F2037" s="101">
        <v>2</v>
      </c>
      <c r="G2037" s="101">
        <v>61012301</v>
      </c>
      <c r="H2037" s="101">
        <v>0</v>
      </c>
      <c r="I2037" s="105">
        <v>0</v>
      </c>
      <c r="J2037" s="100">
        <v>1</v>
      </c>
      <c r="K2037" s="100">
        <v>0</v>
      </c>
      <c r="L2037" s="100">
        <v>0</v>
      </c>
      <c r="M2037" s="101">
        <v>0</v>
      </c>
      <c r="N2037" s="101">
        <v>0</v>
      </c>
      <c r="O2037" s="101">
        <v>2</v>
      </c>
      <c r="P2037" s="101">
        <v>2</v>
      </c>
      <c r="Q2037" s="101">
        <v>0.99</v>
      </c>
      <c r="R2037" s="101">
        <v>0</v>
      </c>
      <c r="S2037" s="106">
        <v>0</v>
      </c>
      <c r="T2037" s="101">
        <v>0</v>
      </c>
      <c r="U2037" s="101">
        <v>1</v>
      </c>
      <c r="V2037" s="101">
        <v>2</v>
      </c>
      <c r="W2037" s="101">
        <v>0</v>
      </c>
      <c r="X2037" s="101">
        <v>2</v>
      </c>
      <c r="Y2037" s="12">
        <v>0</v>
      </c>
      <c r="Z2037" s="101">
        <v>150</v>
      </c>
      <c r="AA2037" s="101">
        <v>1</v>
      </c>
      <c r="AB2037" s="101">
        <v>0</v>
      </c>
      <c r="AC2037" s="101">
        <v>0</v>
      </c>
      <c r="AD2037" s="101">
        <v>0</v>
      </c>
      <c r="AE2037" s="101">
        <v>1</v>
      </c>
      <c r="AF2037" s="101">
        <v>10</v>
      </c>
      <c r="AG2037" s="101">
        <v>2</v>
      </c>
      <c r="AH2037" s="101" t="s">
        <v>213</v>
      </c>
      <c r="AI2037" s="106">
        <v>0</v>
      </c>
      <c r="AJ2037" s="106">
        <v>2</v>
      </c>
      <c r="AK2037" s="106">
        <v>0</v>
      </c>
      <c r="AL2037" s="106">
        <v>1.5</v>
      </c>
      <c r="AM2037" s="101">
        <v>0</v>
      </c>
      <c r="AN2037" s="101">
        <v>0</v>
      </c>
      <c r="AO2037" s="101">
        <v>0</v>
      </c>
      <c r="AP2037" s="101">
        <v>1.5</v>
      </c>
      <c r="AQ2037" s="101">
        <v>1600</v>
      </c>
      <c r="AR2037" s="101">
        <v>1</v>
      </c>
      <c r="AS2037" s="101">
        <v>15</v>
      </c>
      <c r="AT2037" s="335" t="s">
        <v>806</v>
      </c>
      <c r="AU2037" s="336" t="s">
        <v>807</v>
      </c>
      <c r="AV2037" s="114"/>
      <c r="AW2037" s="99" t="s">
        <v>256</v>
      </c>
      <c r="AX2037" s="101" t="s">
        <v>215</v>
      </c>
      <c r="AY2037" s="100">
        <v>10000011</v>
      </c>
      <c r="AZ2037" s="100">
        <v>62001501</v>
      </c>
      <c r="BA2037" s="99" t="s">
        <v>216</v>
      </c>
      <c r="BB2037" s="101">
        <v>0</v>
      </c>
      <c r="BC2037" s="105">
        <v>0</v>
      </c>
      <c r="BD2037" s="105">
        <v>0</v>
      </c>
      <c r="BE2037" s="119" t="s">
        <v>808</v>
      </c>
      <c r="BF2037" s="119" t="s">
        <v>809</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79000019</v>
      </c>
      <c r="D2038" s="99" t="s">
        <v>1281</v>
      </c>
      <c r="E2038" s="99" t="s">
        <v>1282</v>
      </c>
      <c r="F2038" s="101">
        <v>1</v>
      </c>
      <c r="G2038" s="101">
        <v>61012201</v>
      </c>
      <c r="H2038" s="101">
        <v>0</v>
      </c>
      <c r="I2038" s="105">
        <v>0</v>
      </c>
      <c r="J2038" s="100">
        <v>1</v>
      </c>
      <c r="K2038" s="101">
        <v>0</v>
      </c>
      <c r="L2038" s="101">
        <v>0</v>
      </c>
      <c r="M2038" s="101">
        <v>0</v>
      </c>
      <c r="N2038" s="101">
        <v>0</v>
      </c>
      <c r="O2038" s="101">
        <v>2</v>
      </c>
      <c r="P2038" s="101">
        <v>2</v>
      </c>
      <c r="Q2038" s="101">
        <v>0.99</v>
      </c>
      <c r="R2038" s="101">
        <v>0</v>
      </c>
      <c r="S2038" s="106">
        <v>0</v>
      </c>
      <c r="T2038" s="101">
        <v>0</v>
      </c>
      <c r="U2038" s="101">
        <v>1</v>
      </c>
      <c r="V2038" s="101">
        <v>2</v>
      </c>
      <c r="W2038" s="101">
        <v>0</v>
      </c>
      <c r="X2038" s="101">
        <v>0</v>
      </c>
      <c r="Y2038" s="12">
        <v>0</v>
      </c>
      <c r="Z2038" s="101">
        <v>0</v>
      </c>
      <c r="AA2038" s="101">
        <v>1</v>
      </c>
      <c r="AB2038" s="101">
        <v>0</v>
      </c>
      <c r="AC2038" s="101">
        <v>0</v>
      </c>
      <c r="AD2038" s="101">
        <v>0</v>
      </c>
      <c r="AE2038" s="101">
        <v>1</v>
      </c>
      <c r="AF2038" s="101">
        <v>8</v>
      </c>
      <c r="AG2038" s="101">
        <v>1</v>
      </c>
      <c r="AH2038" s="101">
        <v>1</v>
      </c>
      <c r="AI2038" s="106">
        <v>0</v>
      </c>
      <c r="AJ2038" s="106">
        <v>1</v>
      </c>
      <c r="AK2038" s="106">
        <v>0</v>
      </c>
      <c r="AL2038" s="106">
        <v>1.5</v>
      </c>
      <c r="AM2038" s="101">
        <v>0</v>
      </c>
      <c r="AN2038" s="101">
        <v>0</v>
      </c>
      <c r="AO2038" s="101">
        <v>0</v>
      </c>
      <c r="AP2038" s="101">
        <v>0</v>
      </c>
      <c r="AQ2038" s="101">
        <v>300</v>
      </c>
      <c r="AR2038" s="101">
        <v>0</v>
      </c>
      <c r="AS2038" s="101">
        <v>0</v>
      </c>
      <c r="AT2038" s="332" t="s">
        <v>1283</v>
      </c>
      <c r="AU2038" s="101">
        <v>0</v>
      </c>
      <c r="AV2038" s="101"/>
      <c r="AW2038" s="99" t="s">
        <v>199</v>
      </c>
      <c r="AX2038" s="101" t="s">
        <v>534</v>
      </c>
      <c r="AY2038" s="100">
        <v>0</v>
      </c>
      <c r="AZ2038" s="100">
        <v>0</v>
      </c>
      <c r="BA2038" s="99" t="s">
        <v>771</v>
      </c>
      <c r="BB2038" s="101">
        <v>0</v>
      </c>
      <c r="BC2038" s="105">
        <v>0</v>
      </c>
      <c r="BD2038" s="105">
        <v>0</v>
      </c>
      <c r="BE2038" s="137" t="s">
        <v>1289</v>
      </c>
      <c r="BF2038" s="137" t="s">
        <v>1290</v>
      </c>
      <c r="BG2038" s="101">
        <v>0</v>
      </c>
      <c r="BH2038" s="101">
        <v>0</v>
      </c>
      <c r="BI2038" s="101">
        <v>0</v>
      </c>
      <c r="BJ2038" s="101">
        <v>0</v>
      </c>
      <c r="BK2038" s="101">
        <v>0</v>
      </c>
      <c r="BL2038" s="101">
        <v>0</v>
      </c>
      <c r="BM2038" s="97">
        <v>0</v>
      </c>
      <c r="BN2038" s="106">
        <v>0</v>
      </c>
      <c r="BO2038" s="106">
        <v>0</v>
      </c>
      <c r="BP2038" s="106">
        <v>0</v>
      </c>
      <c r="BQ2038" s="106">
        <v>0</v>
      </c>
      <c r="BR2038" s="106">
        <v>0</v>
      </c>
      <c r="BS2038" s="106">
        <v>1</v>
      </c>
      <c r="BT2038" s="12">
        <v>0</v>
      </c>
      <c r="BU2038" s="47">
        <v>0</v>
      </c>
      <c r="BV2038" s="47"/>
      <c r="BW2038" s="47"/>
    </row>
    <row r="2039" spans="3:75" ht="20.100000000000001" customHeight="1">
      <c r="C2039" s="100">
        <v>79000020</v>
      </c>
      <c r="D2039" s="102" t="s">
        <v>573</v>
      </c>
      <c r="E2039" s="102" t="s">
        <v>574</v>
      </c>
      <c r="F2039" s="100">
        <v>1</v>
      </c>
      <c r="G2039" s="100">
        <v>60010300</v>
      </c>
      <c r="H2039" s="100">
        <v>0</v>
      </c>
      <c r="I2039" s="105">
        <v>0</v>
      </c>
      <c r="J2039" s="100">
        <v>1</v>
      </c>
      <c r="K2039" s="100">
        <v>0</v>
      </c>
      <c r="L2039" s="100">
        <v>0</v>
      </c>
      <c r="M2039" s="100">
        <v>0</v>
      </c>
      <c r="N2039" s="100">
        <v>0</v>
      </c>
      <c r="O2039" s="101">
        <v>2</v>
      </c>
      <c r="P2039" s="100">
        <v>2</v>
      </c>
      <c r="Q2039" s="100">
        <v>0.6</v>
      </c>
      <c r="R2039" s="100">
        <v>0</v>
      </c>
      <c r="S2039" s="106">
        <v>0</v>
      </c>
      <c r="T2039" s="105">
        <v>0</v>
      </c>
      <c r="U2039" s="101">
        <v>1</v>
      </c>
      <c r="V2039" s="100">
        <v>2</v>
      </c>
      <c r="W2039" s="100">
        <v>0</v>
      </c>
      <c r="X2039" s="100">
        <v>0.5</v>
      </c>
      <c r="Y2039" s="12">
        <v>0</v>
      </c>
      <c r="Z2039" s="100">
        <v>0</v>
      </c>
      <c r="AA2039" s="100">
        <v>0</v>
      </c>
      <c r="AB2039" s="100">
        <v>0</v>
      </c>
      <c r="AC2039" s="100">
        <v>0</v>
      </c>
      <c r="AD2039" s="100">
        <v>0</v>
      </c>
      <c r="AE2039" s="100">
        <v>0</v>
      </c>
      <c r="AF2039" s="100">
        <v>12</v>
      </c>
      <c r="AG2039" s="100">
        <v>1</v>
      </c>
      <c r="AH2039" s="100">
        <v>3</v>
      </c>
      <c r="AI2039" s="106">
        <v>1</v>
      </c>
      <c r="AJ2039" s="106">
        <v>0</v>
      </c>
      <c r="AK2039" s="106">
        <v>0</v>
      </c>
      <c r="AL2039" s="106">
        <v>1.5</v>
      </c>
      <c r="AM2039" s="100">
        <v>0</v>
      </c>
      <c r="AN2039" s="100">
        <v>0</v>
      </c>
      <c r="AO2039" s="100">
        <v>0</v>
      </c>
      <c r="AP2039" s="100">
        <v>1</v>
      </c>
      <c r="AQ2039" s="100">
        <v>360000</v>
      </c>
      <c r="AR2039" s="100">
        <v>0.5</v>
      </c>
      <c r="AS2039" s="100">
        <v>0</v>
      </c>
      <c r="AT2039" s="106">
        <v>0</v>
      </c>
      <c r="AU2039" s="100" t="s">
        <v>575</v>
      </c>
      <c r="AV2039" s="100"/>
      <c r="AW2039" s="102" t="s">
        <v>199</v>
      </c>
      <c r="AX2039" s="100" t="s">
        <v>545</v>
      </c>
      <c r="AY2039" s="100">
        <v>10002001</v>
      </c>
      <c r="AZ2039" s="100">
        <v>70106001</v>
      </c>
      <c r="BA2039" s="102" t="s">
        <v>315</v>
      </c>
      <c r="BB2039" s="102" t="s">
        <v>576</v>
      </c>
      <c r="BC2039" s="105">
        <v>0</v>
      </c>
      <c r="BD2039" s="105">
        <v>0</v>
      </c>
      <c r="BE2039" s="120" t="s">
        <v>577</v>
      </c>
      <c r="BF2039" s="120" t="s">
        <v>578</v>
      </c>
      <c r="BG2039" s="100">
        <v>0</v>
      </c>
      <c r="BH2039" s="101">
        <v>0</v>
      </c>
      <c r="BI2039" s="100">
        <v>0</v>
      </c>
      <c r="BJ2039" s="100">
        <v>0</v>
      </c>
      <c r="BK2039" s="100">
        <v>0</v>
      </c>
      <c r="BL2039" s="100">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8">
        <v>79001001</v>
      </c>
      <c r="D2040" s="17" t="s">
        <v>1324</v>
      </c>
      <c r="E2040" s="17" t="s">
        <v>1325</v>
      </c>
      <c r="F2040" s="18">
        <v>1</v>
      </c>
      <c r="G2040" s="16">
        <v>60010100</v>
      </c>
      <c r="H2040" s="18">
        <v>0</v>
      </c>
      <c r="I2040" s="27">
        <v>0</v>
      </c>
      <c r="J2040" s="18">
        <v>1</v>
      </c>
      <c r="K2040" s="18">
        <v>0</v>
      </c>
      <c r="L2040" s="18">
        <v>0</v>
      </c>
      <c r="M2040" s="16">
        <v>0</v>
      </c>
      <c r="N2040" s="16">
        <v>0</v>
      </c>
      <c r="O2040" s="60">
        <v>2</v>
      </c>
      <c r="P2040" s="16">
        <v>1</v>
      </c>
      <c r="Q2040" s="16">
        <v>1</v>
      </c>
      <c r="R2040" s="16">
        <v>0</v>
      </c>
      <c r="S2040" s="12">
        <v>0</v>
      </c>
      <c r="T2040" s="16">
        <v>0</v>
      </c>
      <c r="U2040" s="16">
        <v>1</v>
      </c>
      <c r="V2040" s="16">
        <v>2</v>
      </c>
      <c r="W2040" s="16">
        <v>0</v>
      </c>
      <c r="X2040" s="16">
        <v>2</v>
      </c>
      <c r="Y2040" s="12">
        <v>0</v>
      </c>
      <c r="Z2040" s="16">
        <v>0</v>
      </c>
      <c r="AA2040" s="16">
        <v>1</v>
      </c>
      <c r="AB2040" s="16">
        <v>0</v>
      </c>
      <c r="AC2040" s="16">
        <v>0</v>
      </c>
      <c r="AD2040" s="16">
        <v>0</v>
      </c>
      <c r="AE2040" s="16">
        <v>0</v>
      </c>
      <c r="AF2040" s="16">
        <v>3</v>
      </c>
      <c r="AG2040" s="16">
        <v>2</v>
      </c>
      <c r="AH2040" s="16" t="s">
        <v>213</v>
      </c>
      <c r="AI2040" s="12">
        <v>0</v>
      </c>
      <c r="AJ2040" s="12">
        <v>2</v>
      </c>
      <c r="AK2040" s="12">
        <v>0</v>
      </c>
      <c r="AL2040" s="12">
        <v>1.5</v>
      </c>
      <c r="AM2040" s="16">
        <v>0</v>
      </c>
      <c r="AN2040" s="16">
        <v>0</v>
      </c>
      <c r="AO2040" s="16">
        <v>0</v>
      </c>
      <c r="AP2040" s="16">
        <v>1.5</v>
      </c>
      <c r="AQ2040" s="16">
        <v>10000</v>
      </c>
      <c r="AR2040" s="16">
        <v>1</v>
      </c>
      <c r="AS2040" s="16">
        <v>5</v>
      </c>
      <c r="AT2040" s="12">
        <v>0</v>
      </c>
      <c r="AU2040" s="16" t="s">
        <v>198</v>
      </c>
      <c r="AV2040" s="16"/>
      <c r="AW2040" s="19" t="s">
        <v>617</v>
      </c>
      <c r="AX2040" s="16" t="s">
        <v>534</v>
      </c>
      <c r="AY2040" s="18">
        <v>10000007</v>
      </c>
      <c r="AZ2040" s="18">
        <v>70302003</v>
      </c>
      <c r="BA2040" s="19" t="s">
        <v>586</v>
      </c>
      <c r="BB2040" s="27">
        <v>0</v>
      </c>
      <c r="BC2040" s="27">
        <v>0</v>
      </c>
      <c r="BD2040" s="27">
        <v>0</v>
      </c>
      <c r="BE2040" s="44" t="s">
        <v>1108</v>
      </c>
      <c r="BF2040" s="44" t="s">
        <v>1109</v>
      </c>
      <c r="BG2040" s="16">
        <v>1</v>
      </c>
      <c r="BH2040" s="16">
        <v>0</v>
      </c>
      <c r="BI2040" s="16">
        <v>0</v>
      </c>
      <c r="BJ2040" s="16">
        <v>0</v>
      </c>
      <c r="BK2040" s="16">
        <v>0</v>
      </c>
      <c r="BL2040" s="16">
        <v>0</v>
      </c>
      <c r="BM2040" s="15">
        <v>0</v>
      </c>
      <c r="BN2040" s="12">
        <v>0</v>
      </c>
      <c r="BO2040" s="12">
        <v>0</v>
      </c>
      <c r="BP2040" s="12">
        <v>0</v>
      </c>
      <c r="BQ2040" s="12">
        <v>0</v>
      </c>
      <c r="BR2040" s="12">
        <v>0</v>
      </c>
      <c r="BS2040" s="12">
        <v>0</v>
      </c>
      <c r="BT2040" s="12">
        <v>0</v>
      </c>
      <c r="BU2040" s="47">
        <v>0</v>
      </c>
      <c r="BV2040" s="47"/>
      <c r="BW2040" s="47"/>
    </row>
    <row r="2041" spans="3:75" ht="19.5" customHeight="1">
      <c r="C2041" s="18">
        <v>79002001</v>
      </c>
      <c r="D2041" s="17" t="s">
        <v>1091</v>
      </c>
      <c r="E2041" s="17" t="s">
        <v>1092</v>
      </c>
      <c r="F2041" s="18">
        <v>1</v>
      </c>
      <c r="G2041" s="16">
        <v>60010100</v>
      </c>
      <c r="H2041" s="18">
        <v>0</v>
      </c>
      <c r="I2041" s="27">
        <v>0</v>
      </c>
      <c r="J2041" s="18">
        <v>1</v>
      </c>
      <c r="K2041" s="18">
        <v>0</v>
      </c>
      <c r="L2041" s="18">
        <v>0</v>
      </c>
      <c r="M2041" s="16">
        <v>0</v>
      </c>
      <c r="N2041" s="16">
        <v>0</v>
      </c>
      <c r="O2041" s="60">
        <v>2</v>
      </c>
      <c r="P2041" s="16">
        <v>2</v>
      </c>
      <c r="Q2041" s="16">
        <v>0.9</v>
      </c>
      <c r="R2041" s="16">
        <v>0</v>
      </c>
      <c r="S2041" s="12">
        <v>101</v>
      </c>
      <c r="T2041" s="16">
        <v>0</v>
      </c>
      <c r="U2041" s="16">
        <v>1</v>
      </c>
      <c r="V2041" s="16">
        <v>2</v>
      </c>
      <c r="W2041" s="16">
        <v>0</v>
      </c>
      <c r="X2041" s="16">
        <v>3</v>
      </c>
      <c r="Y2041" s="12">
        <v>0</v>
      </c>
      <c r="Z2041" s="16">
        <v>0</v>
      </c>
      <c r="AA2041" s="16">
        <v>1</v>
      </c>
      <c r="AB2041" s="16">
        <v>0</v>
      </c>
      <c r="AC2041" s="16">
        <v>0</v>
      </c>
      <c r="AD2041" s="16">
        <v>0</v>
      </c>
      <c r="AE2041" s="16">
        <v>0</v>
      </c>
      <c r="AF2041" s="16">
        <v>10</v>
      </c>
      <c r="AG2041" s="16">
        <v>1</v>
      </c>
      <c r="AH2041" s="16" t="s">
        <v>607</v>
      </c>
      <c r="AI2041" s="12">
        <v>1</v>
      </c>
      <c r="AJ2041" s="12">
        <v>1</v>
      </c>
      <c r="AK2041" s="12">
        <v>0</v>
      </c>
      <c r="AL2041" s="12">
        <v>3</v>
      </c>
      <c r="AM2041" s="16">
        <v>0</v>
      </c>
      <c r="AN2041" s="16">
        <v>0</v>
      </c>
      <c r="AO2041" s="16">
        <v>0</v>
      </c>
      <c r="AP2041" s="16">
        <v>3</v>
      </c>
      <c r="AQ2041" s="16">
        <v>5000</v>
      </c>
      <c r="AR2041" s="16">
        <v>2.5</v>
      </c>
      <c r="AS2041" s="16">
        <v>0</v>
      </c>
      <c r="AT2041" s="12">
        <v>0</v>
      </c>
      <c r="AU2041" s="16" t="s">
        <v>659</v>
      </c>
      <c r="AV2041" s="16"/>
      <c r="AW2041" s="19" t="s">
        <v>256</v>
      </c>
      <c r="AX2041" s="16" t="s">
        <v>534</v>
      </c>
      <c r="AY2041" s="18">
        <v>10000007</v>
      </c>
      <c r="AZ2041" s="18">
        <v>70403003</v>
      </c>
      <c r="BA2041" s="17" t="s">
        <v>200</v>
      </c>
      <c r="BB2041" s="16">
        <v>0</v>
      </c>
      <c r="BC2041" s="27">
        <v>0</v>
      </c>
      <c r="BD2041" s="27">
        <v>0</v>
      </c>
      <c r="BE2041" s="44" t="s">
        <v>4281</v>
      </c>
      <c r="BF2041" s="44" t="s">
        <v>4282</v>
      </c>
      <c r="BG2041" s="16">
        <v>0</v>
      </c>
      <c r="BH2041" s="16">
        <v>0</v>
      </c>
      <c r="BI2041" s="16">
        <v>0</v>
      </c>
      <c r="BJ2041" s="16">
        <v>0</v>
      </c>
      <c r="BK2041" s="16">
        <v>0</v>
      </c>
      <c r="BL2041" s="16">
        <v>0</v>
      </c>
      <c r="BM2041" s="15">
        <v>0</v>
      </c>
      <c r="BN2041" s="12">
        <v>0</v>
      </c>
      <c r="BO2041" s="12">
        <v>0</v>
      </c>
      <c r="BP2041" s="12">
        <v>0</v>
      </c>
      <c r="BQ2041" s="12">
        <v>0</v>
      </c>
      <c r="BR2041" s="12">
        <v>0</v>
      </c>
      <c r="BS2041" s="12">
        <v>0</v>
      </c>
      <c r="BT2041" s="12">
        <v>0</v>
      </c>
      <c r="BU2041" s="47">
        <v>0</v>
      </c>
      <c r="BV2041" s="47"/>
      <c r="BW2041" s="47"/>
    </row>
    <row r="2042" spans="3:75" ht="20.100000000000001" customHeight="1">
      <c r="C2042" s="18">
        <v>79003001</v>
      </c>
      <c r="D2042" s="17" t="s">
        <v>665</v>
      </c>
      <c r="E2042" s="17" t="s">
        <v>606</v>
      </c>
      <c r="F2042" s="16">
        <v>1</v>
      </c>
      <c r="G2042" s="16">
        <v>60010100</v>
      </c>
      <c r="H2042" s="18">
        <v>0</v>
      </c>
      <c r="I2042" s="27">
        <v>0</v>
      </c>
      <c r="J2042" s="18">
        <v>1</v>
      </c>
      <c r="K2042" s="18">
        <v>0</v>
      </c>
      <c r="L2042" s="18">
        <v>0</v>
      </c>
      <c r="M2042" s="16">
        <v>0</v>
      </c>
      <c r="N2042" s="16">
        <v>0</v>
      </c>
      <c r="O2042" s="16">
        <v>2</v>
      </c>
      <c r="P2042" s="16">
        <v>1</v>
      </c>
      <c r="Q2042" s="16">
        <v>0.5</v>
      </c>
      <c r="R2042" s="16">
        <v>0</v>
      </c>
      <c r="S2042" s="12">
        <v>0</v>
      </c>
      <c r="T2042" s="16">
        <v>0</v>
      </c>
      <c r="U2042" s="16">
        <v>1</v>
      </c>
      <c r="V2042" s="16">
        <v>2</v>
      </c>
      <c r="W2042" s="16">
        <v>0</v>
      </c>
      <c r="X2042" s="16">
        <v>3</v>
      </c>
      <c r="Y2042" s="12">
        <v>0</v>
      </c>
      <c r="Z2042" s="16">
        <v>0</v>
      </c>
      <c r="AA2042" s="16">
        <v>0</v>
      </c>
      <c r="AB2042" s="16">
        <v>0</v>
      </c>
      <c r="AC2042" s="16">
        <v>0</v>
      </c>
      <c r="AD2042" s="16">
        <v>0</v>
      </c>
      <c r="AE2042" s="16">
        <v>0</v>
      </c>
      <c r="AF2042" s="16">
        <v>10</v>
      </c>
      <c r="AG2042" s="16">
        <v>1</v>
      </c>
      <c r="AH2042" s="16">
        <v>3</v>
      </c>
      <c r="AI2042" s="12">
        <v>6</v>
      </c>
      <c r="AJ2042" s="12">
        <v>1</v>
      </c>
      <c r="AK2042" s="12">
        <v>0</v>
      </c>
      <c r="AL2042" s="12">
        <v>1.5</v>
      </c>
      <c r="AM2042" s="16">
        <v>0</v>
      </c>
      <c r="AN2042" s="16">
        <v>0</v>
      </c>
      <c r="AO2042" s="16">
        <v>0</v>
      </c>
      <c r="AP2042" s="16">
        <v>3</v>
      </c>
      <c r="AQ2042" s="16">
        <v>5000</v>
      </c>
      <c r="AR2042" s="16">
        <v>3</v>
      </c>
      <c r="AS2042" s="16">
        <v>0</v>
      </c>
      <c r="AT2042" s="12">
        <v>0</v>
      </c>
      <c r="AU2042" s="16" t="s">
        <v>198</v>
      </c>
      <c r="AV2042" s="16"/>
      <c r="AW2042" s="19" t="s">
        <v>256</v>
      </c>
      <c r="AX2042" s="16" t="s">
        <v>534</v>
      </c>
      <c r="AY2042" s="18">
        <v>10000007</v>
      </c>
      <c r="AZ2042" s="18">
        <v>70103003</v>
      </c>
      <c r="BA2042" s="17" t="s">
        <v>200</v>
      </c>
      <c r="BB2042" s="16" t="s">
        <v>4364</v>
      </c>
      <c r="BC2042" s="27">
        <v>0</v>
      </c>
      <c r="BD2042" s="27">
        <v>0</v>
      </c>
      <c r="BE2042" s="44" t="s">
        <v>667</v>
      </c>
      <c r="BF2042" s="44" t="s">
        <v>668</v>
      </c>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row>
    <row r="2043" spans="3:75" ht="19.5" customHeight="1">
      <c r="C2043" s="18">
        <v>79003002</v>
      </c>
      <c r="D2043" s="17" t="s">
        <v>1124</v>
      </c>
      <c r="E2043" s="17" t="s">
        <v>1125</v>
      </c>
      <c r="F2043" s="18">
        <v>1</v>
      </c>
      <c r="G2043" s="16">
        <v>60010100</v>
      </c>
      <c r="H2043" s="18">
        <v>0</v>
      </c>
      <c r="I2043" s="27">
        <v>0</v>
      </c>
      <c r="J2043" s="18">
        <v>1</v>
      </c>
      <c r="K2043" s="18">
        <v>0</v>
      </c>
      <c r="L2043" s="18">
        <v>0</v>
      </c>
      <c r="M2043" s="16">
        <v>0</v>
      </c>
      <c r="N2043" s="16">
        <v>0</v>
      </c>
      <c r="O2043" s="60">
        <v>2</v>
      </c>
      <c r="P2043" s="16">
        <v>1</v>
      </c>
      <c r="Q2043" s="16">
        <v>0.25</v>
      </c>
      <c r="R2043" s="16">
        <v>0</v>
      </c>
      <c r="S2043" s="12">
        <v>101</v>
      </c>
      <c r="T2043" s="16">
        <v>0</v>
      </c>
      <c r="U2043" s="16">
        <v>1</v>
      </c>
      <c r="V2043" s="16">
        <v>2</v>
      </c>
      <c r="W2043" s="16">
        <v>0</v>
      </c>
      <c r="X2043" s="16">
        <v>1.5</v>
      </c>
      <c r="Y2043" s="12">
        <v>0</v>
      </c>
      <c r="Z2043" s="16">
        <v>0</v>
      </c>
      <c r="AA2043" s="16">
        <v>1</v>
      </c>
      <c r="AB2043" s="16">
        <v>0</v>
      </c>
      <c r="AC2043" s="16">
        <v>0</v>
      </c>
      <c r="AD2043" s="16">
        <v>0</v>
      </c>
      <c r="AE2043" s="16">
        <v>0</v>
      </c>
      <c r="AF2043" s="16">
        <v>15</v>
      </c>
      <c r="AG2043" s="16">
        <v>1</v>
      </c>
      <c r="AH2043" s="16" t="s">
        <v>861</v>
      </c>
      <c r="AI2043" s="12">
        <v>0</v>
      </c>
      <c r="AJ2043" s="12">
        <v>0</v>
      </c>
      <c r="AK2043" s="12">
        <v>0</v>
      </c>
      <c r="AL2043" s="12">
        <v>0</v>
      </c>
      <c r="AM2043" s="16">
        <v>0</v>
      </c>
      <c r="AN2043" s="16">
        <v>0</v>
      </c>
      <c r="AO2043" s="16">
        <v>0</v>
      </c>
      <c r="AP2043" s="16">
        <v>0.5</v>
      </c>
      <c r="AQ2043" s="16">
        <v>100000</v>
      </c>
      <c r="AR2043" s="16">
        <v>0.5</v>
      </c>
      <c r="AS2043" s="16">
        <v>0</v>
      </c>
      <c r="AT2043" s="12">
        <v>0</v>
      </c>
      <c r="AU2043" s="338" t="s">
        <v>1019</v>
      </c>
      <c r="AV2043" s="12"/>
      <c r="AW2043" s="19" t="s">
        <v>287</v>
      </c>
      <c r="AX2043" s="16" t="s">
        <v>534</v>
      </c>
      <c r="AY2043" s="18">
        <v>10000007</v>
      </c>
      <c r="AZ2043" s="18">
        <v>70202004</v>
      </c>
      <c r="BA2043" s="19" t="s">
        <v>315</v>
      </c>
      <c r="BB2043" s="19" t="s">
        <v>371</v>
      </c>
      <c r="BC2043" s="27">
        <v>0</v>
      </c>
      <c r="BD2043" s="27">
        <v>0</v>
      </c>
      <c r="BE2043" s="44" t="s">
        <v>4361</v>
      </c>
      <c r="BF2043" s="44" t="s">
        <v>4362</v>
      </c>
      <c r="BG2043" s="16">
        <v>0</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spans="3:75" ht="20.100000000000001" customHeight="1">
      <c r="C2044" s="18">
        <v>80000001</v>
      </c>
      <c r="D2044" s="17" t="s">
        <v>4404</v>
      </c>
      <c r="E2044" s="17" t="s">
        <v>4405</v>
      </c>
      <c r="F2044" s="16">
        <v>1</v>
      </c>
      <c r="G2044" s="16">
        <v>80000001</v>
      </c>
      <c r="H2044" s="18">
        <v>0</v>
      </c>
      <c r="I2044" s="27">
        <v>0</v>
      </c>
      <c r="J2044" s="18">
        <v>1</v>
      </c>
      <c r="K2044" s="18">
        <v>0</v>
      </c>
      <c r="L2044" s="18">
        <v>0</v>
      </c>
      <c r="M2044" s="16">
        <v>0</v>
      </c>
      <c r="N2044" s="16">
        <v>0</v>
      </c>
      <c r="O2044" s="16">
        <v>1</v>
      </c>
      <c r="P2044" s="16">
        <v>0</v>
      </c>
      <c r="Q2044" s="16">
        <v>0</v>
      </c>
      <c r="R2044" s="16">
        <v>0</v>
      </c>
      <c r="S2044" s="12">
        <v>0</v>
      </c>
      <c r="T2044" s="16">
        <v>0</v>
      </c>
      <c r="U2044" s="16">
        <v>1</v>
      </c>
      <c r="V2044" s="16">
        <v>2</v>
      </c>
      <c r="W2044" s="16">
        <v>0</v>
      </c>
      <c r="X2044" s="16">
        <v>1.2</v>
      </c>
      <c r="Y2044" s="12">
        <v>0</v>
      </c>
      <c r="Z2044" s="16">
        <v>100</v>
      </c>
      <c r="AA2044" s="16">
        <v>0</v>
      </c>
      <c r="AB2044" s="16">
        <v>0</v>
      </c>
      <c r="AC2044" s="16">
        <v>0</v>
      </c>
      <c r="AD2044" s="16">
        <v>0</v>
      </c>
      <c r="AE2044" s="16">
        <v>0</v>
      </c>
      <c r="AF2044" s="16">
        <v>9</v>
      </c>
      <c r="AG2044" s="16">
        <v>2</v>
      </c>
      <c r="AH2044" s="16" t="s">
        <v>213</v>
      </c>
      <c r="AI2044" s="12">
        <v>2</v>
      </c>
      <c r="AJ2044" s="12">
        <v>2</v>
      </c>
      <c r="AK2044" s="12">
        <v>0</v>
      </c>
      <c r="AL2044" s="12">
        <v>1.5</v>
      </c>
      <c r="AM2044" s="16">
        <v>0</v>
      </c>
      <c r="AN2044" s="16">
        <v>0</v>
      </c>
      <c r="AO2044" s="16">
        <v>0</v>
      </c>
      <c r="AP2044" s="16">
        <v>1</v>
      </c>
      <c r="AQ2044" s="16">
        <v>3000</v>
      </c>
      <c r="AR2044" s="16">
        <v>0.5</v>
      </c>
      <c r="AS2044" s="16">
        <v>0</v>
      </c>
      <c r="AT2044" s="12">
        <v>0</v>
      </c>
      <c r="AU2044" s="16" t="s">
        <v>198</v>
      </c>
      <c r="AV2044" s="16"/>
      <c r="AW2044" s="17" t="s">
        <v>287</v>
      </c>
      <c r="AX2044" s="16">
        <v>0</v>
      </c>
      <c r="AY2044" s="18">
        <v>0</v>
      </c>
      <c r="AZ2044" s="18">
        <v>0</v>
      </c>
      <c r="BA2044" s="17" t="s">
        <v>200</v>
      </c>
      <c r="BB2044" s="16" t="s">
        <v>4406</v>
      </c>
      <c r="BC2044" s="27">
        <v>0</v>
      </c>
      <c r="BD2044" s="27">
        <v>0</v>
      </c>
      <c r="BE2044" s="44" t="s">
        <v>4407</v>
      </c>
      <c r="BF2044" s="44" t="s">
        <v>4408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20.100000000000001" customHeight="1">
      <c r="C2045" s="18">
        <v>80000002</v>
      </c>
      <c r="D2045" s="17" t="s">
        <v>4409</v>
      </c>
      <c r="E2045" s="17" t="s">
        <v>4410</v>
      </c>
      <c r="F2045" s="16">
        <v>1</v>
      </c>
      <c r="G2045" s="16">
        <v>80000001</v>
      </c>
      <c r="H2045" s="18">
        <v>0</v>
      </c>
      <c r="I2045" s="27">
        <v>0</v>
      </c>
      <c r="J2045" s="18">
        <v>1</v>
      </c>
      <c r="K2045" s="18">
        <v>0</v>
      </c>
      <c r="L2045" s="18">
        <v>0</v>
      </c>
      <c r="M2045" s="16">
        <v>0</v>
      </c>
      <c r="N2045" s="16">
        <v>0</v>
      </c>
      <c r="O2045" s="16">
        <v>1</v>
      </c>
      <c r="P2045" s="16">
        <v>0</v>
      </c>
      <c r="Q2045" s="16">
        <v>0</v>
      </c>
      <c r="R2045" s="16">
        <v>0</v>
      </c>
      <c r="S2045" s="12">
        <v>0</v>
      </c>
      <c r="T2045" s="16">
        <v>0</v>
      </c>
      <c r="U2045" s="16">
        <v>1</v>
      </c>
      <c r="V2045" s="16">
        <v>2</v>
      </c>
      <c r="W2045" s="16">
        <v>0</v>
      </c>
      <c r="X2045" s="16">
        <v>1.2</v>
      </c>
      <c r="Y2045" s="12">
        <v>0</v>
      </c>
      <c r="Z2045" s="16">
        <v>100</v>
      </c>
      <c r="AA2045" s="16">
        <v>0</v>
      </c>
      <c r="AB2045" s="16">
        <v>0</v>
      </c>
      <c r="AC2045" s="16">
        <v>0</v>
      </c>
      <c r="AD2045" s="16">
        <v>0</v>
      </c>
      <c r="AE2045" s="16">
        <v>0</v>
      </c>
      <c r="AF2045" s="16">
        <v>9</v>
      </c>
      <c r="AG2045" s="16">
        <v>2</v>
      </c>
      <c r="AH2045" s="16" t="s">
        <v>213</v>
      </c>
      <c r="AI2045" s="12">
        <v>2</v>
      </c>
      <c r="AJ2045" s="12">
        <v>2</v>
      </c>
      <c r="AK2045" s="12">
        <v>0</v>
      </c>
      <c r="AL2045" s="12">
        <v>1.5</v>
      </c>
      <c r="AM2045" s="16">
        <v>0</v>
      </c>
      <c r="AN2045" s="16">
        <v>0</v>
      </c>
      <c r="AO2045" s="16">
        <v>0</v>
      </c>
      <c r="AP2045" s="16">
        <v>1</v>
      </c>
      <c r="AQ2045" s="16">
        <v>3000</v>
      </c>
      <c r="AR2045" s="16">
        <v>0.5</v>
      </c>
      <c r="AS2045" s="16">
        <v>0</v>
      </c>
      <c r="AT2045" s="12">
        <v>0</v>
      </c>
      <c r="AU2045" s="16" t="s">
        <v>198</v>
      </c>
      <c r="AV2045" s="16"/>
      <c r="AW2045" s="17" t="s">
        <v>287</v>
      </c>
      <c r="AX2045" s="16">
        <v>0</v>
      </c>
      <c r="AY2045" s="18">
        <v>0</v>
      </c>
      <c r="AZ2045" s="18">
        <v>0</v>
      </c>
      <c r="BA2045" s="17" t="s">
        <v>200</v>
      </c>
      <c r="BB2045" s="16" t="s">
        <v>4406</v>
      </c>
      <c r="BC2045" s="27">
        <v>0</v>
      </c>
      <c r="BD2045" s="27">
        <v>0</v>
      </c>
      <c r="BE2045" s="44" t="s">
        <v>538</v>
      </c>
      <c r="BF2045" s="44" t="s">
        <v>539</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20.100000000000001" customHeight="1">
      <c r="C2046" s="18">
        <v>80000003</v>
      </c>
      <c r="D2046" s="17" t="s">
        <v>4411</v>
      </c>
      <c r="E2046" s="17" t="s">
        <v>4412</v>
      </c>
      <c r="F2046" s="16">
        <v>1</v>
      </c>
      <c r="G2046" s="16">
        <v>80000001</v>
      </c>
      <c r="H2046" s="18">
        <v>0</v>
      </c>
      <c r="I2046" s="27">
        <v>0</v>
      </c>
      <c r="J2046" s="18">
        <v>1</v>
      </c>
      <c r="K2046" s="18">
        <v>0</v>
      </c>
      <c r="L2046" s="18">
        <v>0</v>
      </c>
      <c r="M2046" s="16">
        <v>0</v>
      </c>
      <c r="N2046" s="16">
        <v>0</v>
      </c>
      <c r="O2046" s="16">
        <v>1</v>
      </c>
      <c r="P2046" s="16">
        <v>0</v>
      </c>
      <c r="Q2046" s="16">
        <v>0</v>
      </c>
      <c r="R2046" s="16">
        <v>0</v>
      </c>
      <c r="S2046" s="12">
        <v>0</v>
      </c>
      <c r="T2046" s="16">
        <v>0</v>
      </c>
      <c r="U2046" s="16">
        <v>1</v>
      </c>
      <c r="V2046" s="16">
        <v>2</v>
      </c>
      <c r="W2046" s="16">
        <v>0</v>
      </c>
      <c r="X2046" s="16">
        <v>1.2</v>
      </c>
      <c r="Y2046" s="12">
        <v>0</v>
      </c>
      <c r="Z2046" s="16">
        <v>100</v>
      </c>
      <c r="AA2046" s="16">
        <v>0</v>
      </c>
      <c r="AB2046" s="16">
        <v>0</v>
      </c>
      <c r="AC2046" s="16">
        <v>0</v>
      </c>
      <c r="AD2046" s="16">
        <v>0</v>
      </c>
      <c r="AE2046" s="16">
        <v>0</v>
      </c>
      <c r="AF2046" s="16">
        <v>9</v>
      </c>
      <c r="AG2046" s="16">
        <v>2</v>
      </c>
      <c r="AH2046" s="16" t="s">
        <v>213</v>
      </c>
      <c r="AI2046" s="12">
        <v>2</v>
      </c>
      <c r="AJ2046" s="12">
        <v>2</v>
      </c>
      <c r="AK2046" s="12">
        <v>0</v>
      </c>
      <c r="AL2046" s="12">
        <v>1.5</v>
      </c>
      <c r="AM2046" s="16">
        <v>0</v>
      </c>
      <c r="AN2046" s="16">
        <v>0</v>
      </c>
      <c r="AO2046" s="16">
        <v>0</v>
      </c>
      <c r="AP2046" s="16">
        <v>1</v>
      </c>
      <c r="AQ2046" s="16">
        <v>3000</v>
      </c>
      <c r="AR2046" s="16">
        <v>0.5</v>
      </c>
      <c r="AS2046" s="16">
        <v>0</v>
      </c>
      <c r="AT2046" s="12">
        <v>0</v>
      </c>
      <c r="AU2046" s="16" t="s">
        <v>198</v>
      </c>
      <c r="AV2046" s="16"/>
      <c r="AW2046" s="17" t="s">
        <v>287</v>
      </c>
      <c r="AX2046" s="16">
        <v>0</v>
      </c>
      <c r="AY2046" s="18">
        <v>0</v>
      </c>
      <c r="AZ2046" s="18">
        <v>0</v>
      </c>
      <c r="BA2046" s="17" t="s">
        <v>200</v>
      </c>
      <c r="BB2046" s="16" t="s">
        <v>4406</v>
      </c>
      <c r="BC2046" s="27">
        <v>0</v>
      </c>
      <c r="BD2046" s="27">
        <v>0</v>
      </c>
      <c r="BE2046" s="44" t="s">
        <v>4413</v>
      </c>
      <c r="BF2046" s="44" t="s">
        <v>4414</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20.100000000000001" customHeight="1">
      <c r="C2047" s="18">
        <v>80000004</v>
      </c>
      <c r="D2047" s="17" t="s">
        <v>4415</v>
      </c>
      <c r="E2047" s="17" t="s">
        <v>4416</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4406</v>
      </c>
      <c r="BC2047" s="27">
        <v>0</v>
      </c>
      <c r="BD2047" s="27">
        <v>0</v>
      </c>
      <c r="BE2047" s="44" t="s">
        <v>4417</v>
      </c>
      <c r="BF2047" s="44" t="s">
        <v>4418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80000005</v>
      </c>
      <c r="D2048" s="17" t="s">
        <v>4419</v>
      </c>
      <c r="E2048" s="17" t="s">
        <v>4420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4406</v>
      </c>
      <c r="BC2048" s="27">
        <v>0</v>
      </c>
      <c r="BD2048" s="27">
        <v>0</v>
      </c>
      <c r="BE2048" s="44" t="s">
        <v>4421</v>
      </c>
      <c r="BF2048" s="44" t="s">
        <v>4422</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80000006</v>
      </c>
      <c r="D2049" s="17" t="s">
        <v>4423</v>
      </c>
      <c r="E2049" s="17" t="s">
        <v>4424</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4406</v>
      </c>
      <c r="BC2049" s="27">
        <v>0</v>
      </c>
      <c r="BD2049" s="27">
        <v>0</v>
      </c>
      <c r="BE2049" s="44" t="s">
        <v>4425</v>
      </c>
      <c r="BF2049" s="44" t="s">
        <v>4426</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80000007</v>
      </c>
      <c r="D2050" s="17" t="s">
        <v>4427</v>
      </c>
      <c r="E2050" s="17" t="s">
        <v>4428</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4406</v>
      </c>
      <c r="BC2050" s="27">
        <v>0</v>
      </c>
      <c r="BD2050" s="27">
        <v>0</v>
      </c>
      <c r="BE2050" s="44" t="s">
        <v>4429</v>
      </c>
      <c r="BF2050" s="44" t="s">
        <v>4430</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80000008</v>
      </c>
      <c r="D2051" s="17" t="s">
        <v>4431</v>
      </c>
      <c r="E2051" s="17" t="s">
        <v>4432</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4406</v>
      </c>
      <c r="BC2051" s="27">
        <v>0</v>
      </c>
      <c r="BD2051" s="27">
        <v>0</v>
      </c>
      <c r="BE2051" s="44" t="s">
        <v>1587</v>
      </c>
      <c r="BF2051" s="44" t="s">
        <v>1588</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80001001</v>
      </c>
      <c r="D2052" s="17" t="s">
        <v>4433</v>
      </c>
      <c r="E2052" s="276" t="s">
        <v>3189</v>
      </c>
      <c r="F2052" s="16">
        <v>1</v>
      </c>
      <c r="G2052" s="16">
        <v>80001001</v>
      </c>
      <c r="H2052" s="18">
        <v>0</v>
      </c>
      <c r="I2052" s="27">
        <v>0</v>
      </c>
      <c r="J2052" s="18">
        <v>1</v>
      </c>
      <c r="K2052" s="18">
        <v>0</v>
      </c>
      <c r="L2052" s="18">
        <v>0</v>
      </c>
      <c r="M2052" s="16">
        <v>0</v>
      </c>
      <c r="N2052" s="16">
        <v>0</v>
      </c>
      <c r="O2052" s="16">
        <v>5</v>
      </c>
      <c r="P2052" s="16">
        <v>0</v>
      </c>
      <c r="Q2052" s="16">
        <v>0</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4434</v>
      </c>
      <c r="BC2052" s="27">
        <v>0</v>
      </c>
      <c r="BD2052" s="27">
        <v>0</v>
      </c>
      <c r="BE2052" s="44" t="s">
        <v>4435</v>
      </c>
      <c r="BF2052" s="44" t="s">
        <v>4436</v>
      </c>
      <c r="BG2052" s="16">
        <v>0</v>
      </c>
      <c r="BH2052" s="16">
        <v>0</v>
      </c>
      <c r="BI2052" s="16"/>
      <c r="BJ2052" s="16"/>
      <c r="BK2052" s="16"/>
      <c r="BL2052" s="16">
        <v>80002001</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80001002</v>
      </c>
      <c r="D2053" s="17" t="s">
        <v>4437</v>
      </c>
      <c r="E2053" s="276" t="s">
        <v>4438</v>
      </c>
      <c r="F2053" s="16">
        <v>1</v>
      </c>
      <c r="G2053" s="16">
        <v>80001002</v>
      </c>
      <c r="H2053" s="18">
        <v>0</v>
      </c>
      <c r="I2053" s="27">
        <v>0</v>
      </c>
      <c r="J2053" s="18">
        <v>1</v>
      </c>
      <c r="K2053" s="18">
        <v>0</v>
      </c>
      <c r="L2053" s="18">
        <v>0</v>
      </c>
      <c r="M2053" s="16">
        <v>0</v>
      </c>
      <c r="N2053" s="16">
        <v>0</v>
      </c>
      <c r="O2053" s="16">
        <v>5</v>
      </c>
      <c r="P2053" s="16">
        <v>0</v>
      </c>
      <c r="Q2053" s="16">
        <v>0</v>
      </c>
      <c r="R2053" s="16">
        <v>0</v>
      </c>
      <c r="S2053" s="12">
        <v>0</v>
      </c>
      <c r="T2053" s="16">
        <v>0</v>
      </c>
      <c r="U2053" s="16">
        <v>1</v>
      </c>
      <c r="V2053" s="16">
        <v>2</v>
      </c>
      <c r="W2053" s="16">
        <v>0</v>
      </c>
      <c r="X2053" s="16">
        <v>0</v>
      </c>
      <c r="Y2053" s="12">
        <v>0</v>
      </c>
      <c r="Z2053" s="16">
        <v>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4439</v>
      </c>
      <c r="BC2053" s="27">
        <v>0</v>
      </c>
      <c r="BD2053" s="27">
        <v>0</v>
      </c>
      <c r="BE2053" s="44" t="s">
        <v>4440</v>
      </c>
      <c r="BF2053" s="44" t="s">
        <v>4441</v>
      </c>
      <c r="BG2053" s="16"/>
      <c r="BH2053" s="16">
        <v>0</v>
      </c>
      <c r="BI2053" s="16"/>
      <c r="BJ2053" s="16"/>
      <c r="BK2053" s="16"/>
      <c r="BL2053" s="16">
        <v>80002002</v>
      </c>
      <c r="BM2053" s="16">
        <v>0</v>
      </c>
      <c r="BN2053" s="12">
        <v>0</v>
      </c>
      <c r="BO2053" s="12">
        <v>0</v>
      </c>
      <c r="BP2053" s="12">
        <v>0</v>
      </c>
      <c r="BQ2053" s="12">
        <v>0</v>
      </c>
      <c r="BR2053" s="12">
        <v>0</v>
      </c>
      <c r="BS2053" s="12">
        <v>0</v>
      </c>
      <c r="BT2053" s="12">
        <v>0</v>
      </c>
      <c r="BU2053" s="47">
        <v>0</v>
      </c>
      <c r="BV2053" s="47"/>
      <c r="BW2053" s="47"/>
    </row>
    <row r="2054" spans="3:75" ht="20.100000000000001" customHeight="1">
      <c r="C2054" s="18">
        <v>80001003</v>
      </c>
      <c r="D2054" s="17" t="s">
        <v>4442</v>
      </c>
      <c r="E2054" s="276" t="s">
        <v>4443</v>
      </c>
      <c r="F2054" s="16">
        <v>1</v>
      </c>
      <c r="G2054" s="16">
        <v>80001003</v>
      </c>
      <c r="H2054" s="18">
        <v>0</v>
      </c>
      <c r="I2054" s="27">
        <v>0</v>
      </c>
      <c r="J2054" s="18">
        <v>1</v>
      </c>
      <c r="K2054" s="18">
        <v>0</v>
      </c>
      <c r="L2054" s="18">
        <v>0</v>
      </c>
      <c r="M2054" s="16">
        <v>0</v>
      </c>
      <c r="N2054" s="16">
        <v>0</v>
      </c>
      <c r="O2054" s="16">
        <v>5</v>
      </c>
      <c r="P2054" s="16">
        <v>0</v>
      </c>
      <c r="Q2054" s="16">
        <v>0</v>
      </c>
      <c r="R2054" s="16">
        <v>0</v>
      </c>
      <c r="S2054" s="12">
        <v>0</v>
      </c>
      <c r="T2054" s="16">
        <v>0</v>
      </c>
      <c r="U2054" s="16">
        <v>1</v>
      </c>
      <c r="V2054" s="16">
        <v>2</v>
      </c>
      <c r="W2054" s="16">
        <v>0</v>
      </c>
      <c r="X2054" s="16">
        <v>0</v>
      </c>
      <c r="Y2054" s="12">
        <v>0</v>
      </c>
      <c r="Z2054" s="16">
        <v>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4444</v>
      </c>
      <c r="BC2054" s="27">
        <v>0</v>
      </c>
      <c r="BD2054" s="27">
        <v>0</v>
      </c>
      <c r="BE2054" s="44" t="s">
        <v>4445</v>
      </c>
      <c r="BF2054" s="44" t="s">
        <v>4446</v>
      </c>
      <c r="BG2054" s="16"/>
      <c r="BH2054" s="16">
        <v>0</v>
      </c>
      <c r="BI2054" s="16"/>
      <c r="BJ2054" s="16"/>
      <c r="BK2054" s="16"/>
      <c r="BL2054" s="16">
        <v>80002003</v>
      </c>
      <c r="BM2054" s="16">
        <v>0</v>
      </c>
      <c r="BN2054" s="12">
        <v>0</v>
      </c>
      <c r="BO2054" s="12">
        <v>0</v>
      </c>
      <c r="BP2054" s="12">
        <v>0</v>
      </c>
      <c r="BQ2054" s="12">
        <v>0</v>
      </c>
      <c r="BR2054" s="12">
        <v>0</v>
      </c>
      <c r="BS2054" s="12">
        <v>0</v>
      </c>
      <c r="BT2054" s="12">
        <v>0</v>
      </c>
      <c r="BU2054" s="47">
        <v>0</v>
      </c>
      <c r="BV2054" s="47"/>
      <c r="BW2054" s="47"/>
    </row>
    <row r="2055" spans="3:75" ht="20.100000000000001" customHeight="1">
      <c r="C2055" s="18">
        <v>80001004</v>
      </c>
      <c r="D2055" s="17" t="s">
        <v>4447</v>
      </c>
      <c r="E2055" s="276" t="s">
        <v>4448</v>
      </c>
      <c r="F2055" s="16">
        <v>1</v>
      </c>
      <c r="G2055" s="16">
        <v>80001004</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4449</v>
      </c>
      <c r="BC2055" s="27">
        <v>0</v>
      </c>
      <c r="BD2055" s="27">
        <v>0</v>
      </c>
      <c r="BE2055" s="44" t="s">
        <v>4450</v>
      </c>
      <c r="BF2055" s="44" t="s">
        <v>4451</v>
      </c>
      <c r="BG2055" s="16"/>
      <c r="BH2055" s="16">
        <v>0</v>
      </c>
      <c r="BI2055" s="16"/>
      <c r="BJ2055" s="16"/>
      <c r="BK2055" s="16"/>
      <c r="BL2055" s="16">
        <v>80002004</v>
      </c>
      <c r="BM2055" s="16">
        <v>0</v>
      </c>
      <c r="BN2055" s="12">
        <v>0</v>
      </c>
      <c r="BO2055" s="12">
        <v>0</v>
      </c>
      <c r="BP2055" s="12">
        <v>0</v>
      </c>
      <c r="BQ2055" s="12">
        <v>0</v>
      </c>
      <c r="BR2055" s="12">
        <v>0</v>
      </c>
      <c r="BS2055" s="12">
        <v>0</v>
      </c>
      <c r="BT2055" s="12">
        <v>0</v>
      </c>
      <c r="BU2055" s="47">
        <v>0</v>
      </c>
      <c r="BV2055" s="47"/>
      <c r="BW2055" s="47"/>
    </row>
    <row r="2056" spans="3:75" ht="20.100000000000001" customHeight="1">
      <c r="C2056" s="18">
        <v>80001005</v>
      </c>
      <c r="D2056" s="17" t="s">
        <v>4452</v>
      </c>
      <c r="E2056" s="276" t="s">
        <v>4453</v>
      </c>
      <c r="F2056" s="16">
        <v>1</v>
      </c>
      <c r="G2056" s="16">
        <v>80001005</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4454</v>
      </c>
      <c r="BC2056" s="27">
        <v>0</v>
      </c>
      <c r="BD2056" s="27">
        <v>0</v>
      </c>
      <c r="BE2056" s="44" t="s">
        <v>4455</v>
      </c>
      <c r="BF2056" s="44" t="s">
        <v>4456</v>
      </c>
      <c r="BG2056" s="16"/>
      <c r="BH2056" s="16">
        <v>0</v>
      </c>
      <c r="BI2056" s="16"/>
      <c r="BJ2056" s="16"/>
      <c r="BK2056" s="16"/>
      <c r="BL2056" s="16">
        <v>80002005</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0">
        <v>80001006</v>
      </c>
      <c r="D2057" s="236" t="s">
        <v>1910</v>
      </c>
      <c r="E2057" s="276" t="s">
        <v>4457</v>
      </c>
      <c r="F2057" s="180">
        <v>1</v>
      </c>
      <c r="G2057" s="180">
        <v>80001006</v>
      </c>
      <c r="H2057" s="180">
        <v>0</v>
      </c>
      <c r="I2057" s="180">
        <v>0</v>
      </c>
      <c r="J2057" s="18">
        <v>1</v>
      </c>
      <c r="K2057" s="18">
        <v>0</v>
      </c>
      <c r="L2057" s="180">
        <v>0</v>
      </c>
      <c r="M2057" s="180">
        <v>0</v>
      </c>
      <c r="N2057" s="180">
        <v>0</v>
      </c>
      <c r="O2057" s="180">
        <v>5</v>
      </c>
      <c r="P2057" s="180">
        <v>0</v>
      </c>
      <c r="Q2057" s="180">
        <v>0</v>
      </c>
      <c r="R2057" s="180">
        <v>0</v>
      </c>
      <c r="S2057" s="12">
        <v>0</v>
      </c>
      <c r="T2057" s="180">
        <v>0</v>
      </c>
      <c r="U2057" s="180">
        <v>1</v>
      </c>
      <c r="V2057" s="180">
        <v>2</v>
      </c>
      <c r="W2057" s="180">
        <v>0</v>
      </c>
      <c r="X2057" s="16">
        <v>1</v>
      </c>
      <c r="Y2057" s="12">
        <v>0</v>
      </c>
      <c r="Z2057" s="16">
        <v>0</v>
      </c>
      <c r="AA2057" s="180">
        <v>0</v>
      </c>
      <c r="AB2057" s="180">
        <v>0</v>
      </c>
      <c r="AC2057" s="180">
        <v>0</v>
      </c>
      <c r="AD2057" s="180">
        <v>0</v>
      </c>
      <c r="AE2057" s="180">
        <v>0</v>
      </c>
      <c r="AF2057" s="180">
        <v>9</v>
      </c>
      <c r="AG2057" s="180">
        <v>2</v>
      </c>
      <c r="AH2057" s="180" t="s">
        <v>213</v>
      </c>
      <c r="AI2057" s="180">
        <v>2</v>
      </c>
      <c r="AJ2057" s="180">
        <v>2</v>
      </c>
      <c r="AK2057" s="12">
        <v>0</v>
      </c>
      <c r="AL2057" s="180">
        <v>1.5</v>
      </c>
      <c r="AM2057" s="180">
        <v>0</v>
      </c>
      <c r="AN2057" s="180">
        <v>0</v>
      </c>
      <c r="AO2057" s="180">
        <v>0</v>
      </c>
      <c r="AP2057" s="180">
        <v>1</v>
      </c>
      <c r="AQ2057" s="180">
        <v>3000</v>
      </c>
      <c r="AR2057" s="180">
        <v>0.5</v>
      </c>
      <c r="AS2057" s="180">
        <v>0</v>
      </c>
      <c r="AT2057" s="180">
        <v>0</v>
      </c>
      <c r="AU2057" s="180" t="s">
        <v>198</v>
      </c>
      <c r="AV2057" s="180"/>
      <c r="AW2057" s="236" t="s">
        <v>287</v>
      </c>
      <c r="AX2057" s="180">
        <v>0</v>
      </c>
      <c r="AY2057" s="180">
        <v>0</v>
      </c>
      <c r="AZ2057" s="180">
        <v>0</v>
      </c>
      <c r="BA2057" s="236" t="s">
        <v>200</v>
      </c>
      <c r="BB2057" s="180" t="s">
        <v>4458</v>
      </c>
      <c r="BC2057" s="180">
        <v>0</v>
      </c>
      <c r="BD2057" s="180">
        <v>0</v>
      </c>
      <c r="BE2057" s="241" t="s">
        <v>4459</v>
      </c>
      <c r="BF2057" s="241" t="s">
        <v>4460</v>
      </c>
      <c r="BG2057" s="180"/>
      <c r="BH2057" s="16">
        <v>0</v>
      </c>
      <c r="BI2057" s="180"/>
      <c r="BJ2057" s="180"/>
      <c r="BK2057" s="180"/>
      <c r="BL2057" s="180">
        <v>80002006</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80001007</v>
      </c>
      <c r="D2058" s="17" t="s">
        <v>3642</v>
      </c>
      <c r="E2058" s="276" t="s">
        <v>3643</v>
      </c>
      <c r="F2058" s="16">
        <v>1</v>
      </c>
      <c r="G2058" s="16">
        <v>80001007</v>
      </c>
      <c r="H2058" s="18">
        <v>0</v>
      </c>
      <c r="I2058" s="27">
        <v>0</v>
      </c>
      <c r="J2058" s="18">
        <v>1</v>
      </c>
      <c r="K2058" s="18">
        <v>0</v>
      </c>
      <c r="L2058" s="18">
        <v>0</v>
      </c>
      <c r="M2058" s="16">
        <v>0</v>
      </c>
      <c r="N2058" s="16">
        <v>0</v>
      </c>
      <c r="O2058" s="16">
        <v>2</v>
      </c>
      <c r="P2058" s="16">
        <v>3</v>
      </c>
      <c r="Q2058" s="16">
        <v>0.1</v>
      </c>
      <c r="R2058" s="16">
        <v>0</v>
      </c>
      <c r="S2058" s="12">
        <v>0</v>
      </c>
      <c r="T2058" s="16">
        <v>0</v>
      </c>
      <c r="U2058" s="16">
        <v>1</v>
      </c>
      <c r="V2058" s="16">
        <v>2</v>
      </c>
      <c r="W2058" s="16">
        <v>0</v>
      </c>
      <c r="X2058" s="16">
        <v>1</v>
      </c>
      <c r="Y2058" s="12">
        <v>0</v>
      </c>
      <c r="Z2058" s="16">
        <v>0</v>
      </c>
      <c r="AA2058" s="16">
        <v>0</v>
      </c>
      <c r="AB2058" s="16">
        <v>0</v>
      </c>
      <c r="AC2058" s="16">
        <v>0</v>
      </c>
      <c r="AD2058" s="16">
        <v>0</v>
      </c>
      <c r="AE2058" s="16">
        <v>0</v>
      </c>
      <c r="AF2058" s="16">
        <v>9</v>
      </c>
      <c r="AG2058" s="16">
        <v>1</v>
      </c>
      <c r="AH2058" s="16">
        <v>0</v>
      </c>
      <c r="AI2058" s="12">
        <v>1</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c r="BC2058" s="27">
        <v>0</v>
      </c>
      <c r="BD2058" s="27">
        <v>0</v>
      </c>
      <c r="BE2058" s="44" t="s">
        <v>4461</v>
      </c>
      <c r="BF2058" s="44" t="s">
        <v>4462</v>
      </c>
      <c r="BG2058" s="16"/>
      <c r="BH2058" s="16">
        <v>0</v>
      </c>
      <c r="BI2058" s="16"/>
      <c r="BJ2058" s="16"/>
      <c r="BK2058" s="16"/>
      <c r="BL2058" s="16">
        <v>80002007</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80001008</v>
      </c>
      <c r="D2059" s="17" t="s">
        <v>4463</v>
      </c>
      <c r="E2059" s="276" t="s">
        <v>1325</v>
      </c>
      <c r="F2059" s="16">
        <v>1</v>
      </c>
      <c r="G2059" s="16">
        <v>80001008</v>
      </c>
      <c r="H2059" s="18">
        <v>0</v>
      </c>
      <c r="I2059" s="27">
        <v>0</v>
      </c>
      <c r="J2059" s="18">
        <v>1</v>
      </c>
      <c r="K2059" s="18">
        <v>0</v>
      </c>
      <c r="L2059" s="18">
        <v>0</v>
      </c>
      <c r="M2059" s="16">
        <v>0</v>
      </c>
      <c r="N2059" s="16">
        <v>0</v>
      </c>
      <c r="O2059" s="16">
        <v>2</v>
      </c>
      <c r="P2059" s="16">
        <v>3</v>
      </c>
      <c r="Q2059" s="16">
        <v>0.2</v>
      </c>
      <c r="R2059" s="16">
        <v>0</v>
      </c>
      <c r="S2059" s="12">
        <v>0</v>
      </c>
      <c r="T2059" s="16">
        <v>0</v>
      </c>
      <c r="U2059" s="16">
        <v>1</v>
      </c>
      <c r="V2059" s="16">
        <v>2</v>
      </c>
      <c r="W2059" s="16">
        <v>0</v>
      </c>
      <c r="X2059" s="16">
        <v>0.5</v>
      </c>
      <c r="Y2059" s="12">
        <v>0</v>
      </c>
      <c r="Z2059" s="16">
        <v>0</v>
      </c>
      <c r="AA2059" s="16">
        <v>0</v>
      </c>
      <c r="AB2059" s="16">
        <v>0</v>
      </c>
      <c r="AC2059" s="16">
        <v>0</v>
      </c>
      <c r="AD2059" s="16">
        <v>0</v>
      </c>
      <c r="AE2059" s="16">
        <v>0</v>
      </c>
      <c r="AF2059" s="16">
        <v>9</v>
      </c>
      <c r="AG2059" s="16">
        <v>1</v>
      </c>
      <c r="AH2059" s="16">
        <v>0</v>
      </c>
      <c r="AI2059" s="12">
        <v>1</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c r="BC2059" s="27">
        <v>0</v>
      </c>
      <c r="BD2059" s="27">
        <v>0</v>
      </c>
      <c r="BE2059" s="44" t="s">
        <v>4464</v>
      </c>
      <c r="BF2059" s="44" t="s">
        <v>4465</v>
      </c>
      <c r="BG2059" s="16"/>
      <c r="BH2059" s="16">
        <v>0</v>
      </c>
      <c r="BI2059" s="16"/>
      <c r="BJ2059" s="16"/>
      <c r="BK2059" s="16"/>
      <c r="BL2059" s="16">
        <v>80002008</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80001009</v>
      </c>
      <c r="D2060" s="17" t="s">
        <v>3647</v>
      </c>
      <c r="E2060" s="276" t="s">
        <v>3648</v>
      </c>
      <c r="F2060" s="16">
        <v>1</v>
      </c>
      <c r="G2060" s="16">
        <v>80001009</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4466</v>
      </c>
      <c r="BC2060" s="27">
        <v>0</v>
      </c>
      <c r="BD2060" s="27">
        <v>0</v>
      </c>
      <c r="BE2060" s="44" t="s">
        <v>4467</v>
      </c>
      <c r="BF2060" s="44" t="s">
        <v>4468</v>
      </c>
      <c r="BG2060" s="16"/>
      <c r="BH2060" s="16">
        <v>0</v>
      </c>
      <c r="BI2060" s="16"/>
      <c r="BJ2060" s="16"/>
      <c r="BK2060" s="16"/>
      <c r="BL2060" s="16">
        <v>80002009</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80001010</v>
      </c>
      <c r="D2061" s="17" t="s">
        <v>1914</v>
      </c>
      <c r="E2061" s="276" t="s">
        <v>4469</v>
      </c>
      <c r="F2061" s="16">
        <v>1</v>
      </c>
      <c r="G2061" s="16">
        <v>80001010</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4470</v>
      </c>
      <c r="BC2061" s="27">
        <v>0</v>
      </c>
      <c r="BD2061" s="27">
        <v>0</v>
      </c>
      <c r="BE2061" s="44" t="s">
        <v>4471</v>
      </c>
      <c r="BF2061" s="44" t="s">
        <v>4472</v>
      </c>
      <c r="BG2061" s="16"/>
      <c r="BH2061" s="16">
        <v>0</v>
      </c>
      <c r="BI2061" s="16"/>
      <c r="BJ2061" s="16"/>
      <c r="BK2061" s="16"/>
      <c r="BL2061" s="16">
        <v>80002010</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80001011</v>
      </c>
      <c r="D2062" s="17" t="s">
        <v>4473</v>
      </c>
      <c r="E2062" s="276" t="s">
        <v>4474</v>
      </c>
      <c r="F2062" s="16">
        <v>1</v>
      </c>
      <c r="G2062" s="16">
        <v>80001011</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4475</v>
      </c>
      <c r="BC2062" s="27">
        <v>0</v>
      </c>
      <c r="BD2062" s="27">
        <v>0</v>
      </c>
      <c r="BE2062" s="44" t="s">
        <v>4476</v>
      </c>
      <c r="BF2062" s="44" t="s">
        <v>4477</v>
      </c>
      <c r="BG2062" s="16"/>
      <c r="BH2062" s="16">
        <v>0</v>
      </c>
      <c r="BI2062" s="16"/>
      <c r="BJ2062" s="16"/>
      <c r="BK2062" s="16"/>
      <c r="BL2062" s="16">
        <v>80002011</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80001012</v>
      </c>
      <c r="D2063" s="17" t="s">
        <v>4478</v>
      </c>
      <c r="E2063" s="276" t="s">
        <v>4479</v>
      </c>
      <c r="F2063" s="16">
        <v>1</v>
      </c>
      <c r="G2063" s="16">
        <v>80001012</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4480</v>
      </c>
      <c r="BC2063" s="27">
        <v>0</v>
      </c>
      <c r="BD2063" s="27">
        <v>0</v>
      </c>
      <c r="BE2063" s="44" t="s">
        <v>4481</v>
      </c>
      <c r="BF2063" s="44" t="s">
        <v>4482</v>
      </c>
      <c r="BG2063" s="16"/>
      <c r="BH2063" s="16">
        <v>0</v>
      </c>
      <c r="BI2063" s="16"/>
      <c r="BJ2063" s="16"/>
      <c r="BK2063" s="16"/>
      <c r="BL2063" s="16">
        <v>80002012</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80001013</v>
      </c>
      <c r="D2064" s="17" t="s">
        <v>4483</v>
      </c>
      <c r="E2064" s="276" t="s">
        <v>4484</v>
      </c>
      <c r="F2064" s="16">
        <v>1</v>
      </c>
      <c r="G2064" s="16">
        <v>80001013</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4156</v>
      </c>
      <c r="BC2064" s="27">
        <v>0</v>
      </c>
      <c r="BD2064" s="27">
        <v>0</v>
      </c>
      <c r="BE2064" s="44" t="s">
        <v>4485</v>
      </c>
      <c r="BF2064" s="44" t="s">
        <v>4486</v>
      </c>
      <c r="BG2064" s="16"/>
      <c r="BH2064" s="16">
        <v>0</v>
      </c>
      <c r="BI2064" s="16"/>
      <c r="BJ2064" s="16"/>
      <c r="BK2064" s="16"/>
      <c r="BL2064" s="16">
        <v>80002013</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80001014</v>
      </c>
      <c r="D2065" s="17" t="s">
        <v>2935</v>
      </c>
      <c r="E2065" s="276" t="s">
        <v>2936</v>
      </c>
      <c r="F2065" s="16">
        <v>1</v>
      </c>
      <c r="G2065" s="16">
        <v>80001014</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4487</v>
      </c>
      <c r="BC2065" s="27">
        <v>0</v>
      </c>
      <c r="BD2065" s="27">
        <v>0</v>
      </c>
      <c r="BE2065" s="44" t="s">
        <v>4488</v>
      </c>
      <c r="BF2065" s="44" t="s">
        <v>4489</v>
      </c>
      <c r="BG2065" s="16"/>
      <c r="BH2065" s="16">
        <v>0</v>
      </c>
      <c r="BI2065" s="16"/>
      <c r="BJ2065" s="16"/>
      <c r="BK2065" s="16"/>
      <c r="BL2065" s="16">
        <v>80002014</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0">
        <v>80001015</v>
      </c>
      <c r="D2066" s="236" t="s">
        <v>4490</v>
      </c>
      <c r="E2066" s="276" t="s">
        <v>4491</v>
      </c>
      <c r="F2066" s="180">
        <v>1</v>
      </c>
      <c r="G2066" s="180">
        <v>80001015</v>
      </c>
      <c r="H2066" s="180">
        <v>0</v>
      </c>
      <c r="I2066" s="180">
        <v>0</v>
      </c>
      <c r="J2066" s="18">
        <v>1</v>
      </c>
      <c r="K2066" s="18">
        <v>0</v>
      </c>
      <c r="L2066" s="180">
        <v>0</v>
      </c>
      <c r="M2066" s="180">
        <v>0</v>
      </c>
      <c r="N2066" s="180">
        <v>0</v>
      </c>
      <c r="O2066" s="180">
        <v>2</v>
      </c>
      <c r="P2066" s="180">
        <v>0</v>
      </c>
      <c r="Q2066" s="180">
        <v>0</v>
      </c>
      <c r="R2066" s="180">
        <v>0</v>
      </c>
      <c r="S2066" s="12">
        <v>0</v>
      </c>
      <c r="T2066" s="180">
        <v>0</v>
      </c>
      <c r="U2066" s="180">
        <v>1</v>
      </c>
      <c r="V2066" s="180">
        <v>2</v>
      </c>
      <c r="W2066" s="180">
        <v>0</v>
      </c>
      <c r="X2066" s="180">
        <v>0</v>
      </c>
      <c r="Y2066" s="12">
        <v>0</v>
      </c>
      <c r="Z2066" s="180">
        <v>0</v>
      </c>
      <c r="AA2066" s="180">
        <v>0</v>
      </c>
      <c r="AB2066" s="180">
        <v>0</v>
      </c>
      <c r="AC2066" s="180">
        <v>0</v>
      </c>
      <c r="AD2066" s="180">
        <v>0</v>
      </c>
      <c r="AE2066" s="180">
        <v>0</v>
      </c>
      <c r="AF2066" s="180">
        <v>9</v>
      </c>
      <c r="AG2066" s="180">
        <v>2</v>
      </c>
      <c r="AH2066" s="180" t="s">
        <v>213</v>
      </c>
      <c r="AI2066" s="180">
        <v>2</v>
      </c>
      <c r="AJ2066" s="180">
        <v>2</v>
      </c>
      <c r="AK2066" s="12">
        <v>0</v>
      </c>
      <c r="AL2066" s="180">
        <v>1.5</v>
      </c>
      <c r="AM2066" s="180">
        <v>0</v>
      </c>
      <c r="AN2066" s="180">
        <v>0</v>
      </c>
      <c r="AO2066" s="180">
        <v>0</v>
      </c>
      <c r="AP2066" s="180">
        <v>1</v>
      </c>
      <c r="AQ2066" s="180">
        <v>3000</v>
      </c>
      <c r="AR2066" s="180">
        <v>0.5</v>
      </c>
      <c r="AS2066" s="180">
        <v>0</v>
      </c>
      <c r="AT2066" s="180">
        <v>0</v>
      </c>
      <c r="AU2066" s="180" t="s">
        <v>198</v>
      </c>
      <c r="AV2066" s="180"/>
      <c r="AW2066" s="236" t="s">
        <v>287</v>
      </c>
      <c r="AX2066" s="180">
        <v>0</v>
      </c>
      <c r="AY2066" s="180">
        <v>0</v>
      </c>
      <c r="AZ2066" s="180">
        <v>0</v>
      </c>
      <c r="BA2066" s="236" t="s">
        <v>200</v>
      </c>
      <c r="BB2066" s="180" t="s">
        <v>4492</v>
      </c>
      <c r="BC2066" s="180">
        <v>0</v>
      </c>
      <c r="BD2066" s="180">
        <v>0</v>
      </c>
      <c r="BE2066" s="241" t="s">
        <v>4493</v>
      </c>
      <c r="BF2066" s="241" t="s">
        <v>4494</v>
      </c>
      <c r="BG2066" s="180"/>
      <c r="BH2066" s="16">
        <v>0</v>
      </c>
      <c r="BI2066" s="180"/>
      <c r="BJ2066" s="180"/>
      <c r="BK2066" s="180"/>
      <c r="BL2066" s="180">
        <v>80002015</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80001016</v>
      </c>
      <c r="D2067" s="17" t="s">
        <v>4495</v>
      </c>
      <c r="E2067" s="276" t="s">
        <v>4496</v>
      </c>
      <c r="F2067" s="16">
        <v>1</v>
      </c>
      <c r="G2067" s="16">
        <v>80001016</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4497</v>
      </c>
      <c r="BC2067" s="27">
        <v>0</v>
      </c>
      <c r="BD2067" s="27">
        <v>0</v>
      </c>
      <c r="BE2067" s="44" t="s">
        <v>4498</v>
      </c>
      <c r="BF2067" s="44" t="s">
        <v>4499</v>
      </c>
      <c r="BG2067" s="16"/>
      <c r="BH2067" s="16">
        <v>0</v>
      </c>
      <c r="BI2067" s="16"/>
      <c r="BJ2067" s="16"/>
      <c r="BK2067" s="16"/>
      <c r="BL2067" s="16">
        <v>80002016</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80001017</v>
      </c>
      <c r="D2068" s="17" t="s">
        <v>4500</v>
      </c>
      <c r="E2068" s="276" t="s">
        <v>4501</v>
      </c>
      <c r="F2068" s="16">
        <v>1</v>
      </c>
      <c r="G2068" s="16">
        <v>80001017</v>
      </c>
      <c r="H2068" s="18">
        <v>0</v>
      </c>
      <c r="I2068" s="27">
        <v>0</v>
      </c>
      <c r="J2068" s="18">
        <v>1</v>
      </c>
      <c r="K2068" s="18">
        <v>0</v>
      </c>
      <c r="L2068" s="18">
        <v>0</v>
      </c>
      <c r="M2068" s="16">
        <v>0</v>
      </c>
      <c r="N2068" s="16">
        <v>0</v>
      </c>
      <c r="O2068" s="16">
        <v>2</v>
      </c>
      <c r="P2068" s="16">
        <v>3</v>
      </c>
      <c r="Q2068" s="16">
        <v>0.1</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80010171</v>
      </c>
      <c r="AU2068" s="16" t="s">
        <v>198</v>
      </c>
      <c r="AV2068" s="16"/>
      <c r="AW2068" s="17" t="s">
        <v>287</v>
      </c>
      <c r="AX2068" s="16">
        <v>0</v>
      </c>
      <c r="AY2068" s="18">
        <v>0</v>
      </c>
      <c r="AZ2068" s="18">
        <v>0</v>
      </c>
      <c r="BA2068" s="17" t="s">
        <v>200</v>
      </c>
      <c r="BB2068" s="16"/>
      <c r="BC2068" s="27">
        <v>0</v>
      </c>
      <c r="BD2068" s="27">
        <v>0</v>
      </c>
      <c r="BE2068" s="241" t="s">
        <v>4502</v>
      </c>
      <c r="BF2068" s="241" t="s">
        <v>4503</v>
      </c>
      <c r="BG2068" s="16"/>
      <c r="BH2068" s="16">
        <v>0</v>
      </c>
      <c r="BI2068" s="16"/>
      <c r="BJ2068" s="16"/>
      <c r="BK2068" s="16"/>
      <c r="BL2068" s="16">
        <v>80002017</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80001018</v>
      </c>
      <c r="D2069" s="17" t="s">
        <v>4504</v>
      </c>
      <c r="E2069" s="276" t="s">
        <v>4505</v>
      </c>
      <c r="F2069" s="16">
        <v>1</v>
      </c>
      <c r="G2069" s="16">
        <v>80001018</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4506</v>
      </c>
      <c r="BC2069" s="27">
        <v>0</v>
      </c>
      <c r="BD2069" s="27">
        <v>0</v>
      </c>
      <c r="BE2069" s="44" t="s">
        <v>4507</v>
      </c>
      <c r="BF2069" s="44" t="s">
        <v>4508</v>
      </c>
      <c r="BG2069" s="16"/>
      <c r="BH2069" s="16">
        <v>0</v>
      </c>
      <c r="BI2069" s="16"/>
      <c r="BJ2069" s="16"/>
      <c r="BK2069" s="16"/>
      <c r="BL2069" s="16">
        <v>80002018</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80001019</v>
      </c>
      <c r="D2070" s="17" t="s">
        <v>408</v>
      </c>
      <c r="E2070" s="276" t="s">
        <v>409</v>
      </c>
      <c r="F2070" s="16">
        <v>1</v>
      </c>
      <c r="G2070" s="16">
        <v>80001019</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4509</v>
      </c>
      <c r="BC2070" s="27">
        <v>0</v>
      </c>
      <c r="BD2070" s="27">
        <v>0</v>
      </c>
      <c r="BE2070" s="44" t="s">
        <v>4510</v>
      </c>
      <c r="BF2070" s="44" t="s">
        <v>4511</v>
      </c>
      <c r="BG2070" s="16"/>
      <c r="BH2070" s="16">
        <v>0</v>
      </c>
      <c r="BI2070" s="16"/>
      <c r="BJ2070" s="16"/>
      <c r="BK2070" s="16"/>
      <c r="BL2070" s="16">
        <v>80002019</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80001020</v>
      </c>
      <c r="D2071" s="17" t="s">
        <v>4512</v>
      </c>
      <c r="E2071" s="276" t="s">
        <v>4513</v>
      </c>
      <c r="F2071" s="16">
        <v>1</v>
      </c>
      <c r="G2071" s="16">
        <v>80001020</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4514</v>
      </c>
      <c r="BC2071" s="27">
        <v>0</v>
      </c>
      <c r="BD2071" s="27">
        <v>0</v>
      </c>
      <c r="BE2071" s="44" t="s">
        <v>4515</v>
      </c>
      <c r="BF2071" s="44" t="s">
        <v>4516</v>
      </c>
      <c r="BG2071" s="16"/>
      <c r="BH2071" s="16">
        <v>0</v>
      </c>
      <c r="BI2071" s="16"/>
      <c r="BJ2071" s="16"/>
      <c r="BK2071" s="16"/>
      <c r="BL2071" s="16">
        <v>80002020</v>
      </c>
      <c r="BM2071" s="16">
        <v>0</v>
      </c>
      <c r="BN2071" s="12">
        <v>0</v>
      </c>
      <c r="BO2071" s="12">
        <v>0</v>
      </c>
      <c r="BP2071" s="12">
        <v>0</v>
      </c>
      <c r="BQ2071" s="12">
        <v>0</v>
      </c>
      <c r="BR2071" s="12">
        <v>0</v>
      </c>
      <c r="BS2071" s="12">
        <v>0</v>
      </c>
      <c r="BT2071" s="12">
        <v>0</v>
      </c>
      <c r="BU2071" s="47">
        <v>0</v>
      </c>
      <c r="BV2071" s="47"/>
      <c r="BW2071" s="47"/>
    </row>
    <row r="2072" spans="3:75" ht="20.25" customHeight="1">
      <c r="C2072" s="18">
        <v>80001021</v>
      </c>
      <c r="D2072" s="17" t="s">
        <v>2140</v>
      </c>
      <c r="E2072" s="276" t="s">
        <v>4517</v>
      </c>
      <c r="F2072" s="18">
        <v>1</v>
      </c>
      <c r="G2072" s="16">
        <v>80001021</v>
      </c>
      <c r="H2072" s="18">
        <v>0</v>
      </c>
      <c r="I2072" s="27">
        <v>0</v>
      </c>
      <c r="J2072" s="18">
        <v>1</v>
      </c>
      <c r="K2072" s="18">
        <v>0</v>
      </c>
      <c r="L2072" s="18">
        <v>0</v>
      </c>
      <c r="M2072" s="16">
        <v>0</v>
      </c>
      <c r="N2072" s="16">
        <v>0</v>
      </c>
      <c r="O2072" s="16">
        <v>2</v>
      </c>
      <c r="P2072" s="16">
        <v>10</v>
      </c>
      <c r="Q2072" s="16">
        <v>0.1</v>
      </c>
      <c r="R2072" s="16">
        <v>0</v>
      </c>
      <c r="S2072" s="12">
        <v>0</v>
      </c>
      <c r="T2072" s="16">
        <v>0</v>
      </c>
      <c r="U2072" s="16">
        <v>1</v>
      </c>
      <c r="V2072" s="16">
        <v>2</v>
      </c>
      <c r="W2072" s="16">
        <v>0</v>
      </c>
      <c r="X2072" s="16">
        <v>2</v>
      </c>
      <c r="Y2072" s="12">
        <v>0</v>
      </c>
      <c r="Z2072" s="16">
        <v>0</v>
      </c>
      <c r="AA2072" s="16">
        <v>0</v>
      </c>
      <c r="AB2072" s="16">
        <v>0</v>
      </c>
      <c r="AC2072" s="16">
        <v>0</v>
      </c>
      <c r="AD2072" s="16">
        <v>0</v>
      </c>
      <c r="AE2072" s="16">
        <v>0</v>
      </c>
      <c r="AF2072" s="16">
        <v>5</v>
      </c>
      <c r="AG2072" s="16">
        <v>1</v>
      </c>
      <c r="AH2072" s="16">
        <v>3</v>
      </c>
      <c r="AI2072" s="12">
        <v>1</v>
      </c>
      <c r="AJ2072" s="12">
        <v>1</v>
      </c>
      <c r="AK2072" s="12">
        <v>0</v>
      </c>
      <c r="AL2072" s="12">
        <v>3</v>
      </c>
      <c r="AM2072" s="16">
        <v>0</v>
      </c>
      <c r="AN2072" s="16">
        <v>0</v>
      </c>
      <c r="AO2072" s="16">
        <v>0</v>
      </c>
      <c r="AP2072" s="16">
        <v>3</v>
      </c>
      <c r="AQ2072" s="16">
        <v>5000</v>
      </c>
      <c r="AR2072" s="16">
        <v>0.5</v>
      </c>
      <c r="AS2072" s="16">
        <v>0</v>
      </c>
      <c r="AT2072" s="12">
        <v>0</v>
      </c>
      <c r="AU2072" s="16">
        <v>0</v>
      </c>
      <c r="AV2072" s="16"/>
      <c r="AW2072" s="17" t="s">
        <v>199</v>
      </c>
      <c r="AX2072" s="12" t="s">
        <v>1677</v>
      </c>
      <c r="AY2072" s="18">
        <v>10000007</v>
      </c>
      <c r="AZ2072" s="277">
        <v>23000080</v>
      </c>
      <c r="BA2072" s="17" t="s">
        <v>200</v>
      </c>
      <c r="BB2072" s="19" t="s">
        <v>198</v>
      </c>
      <c r="BC2072" s="27">
        <v>0</v>
      </c>
      <c r="BD2072" s="27">
        <v>0</v>
      </c>
      <c r="BE2072" s="44" t="s">
        <v>4518</v>
      </c>
      <c r="BF2072" s="44" t="s">
        <v>4519</v>
      </c>
      <c r="BG2072" s="18">
        <v>0</v>
      </c>
      <c r="BH2072" s="16">
        <v>0</v>
      </c>
      <c r="BI2072" s="18"/>
      <c r="BJ2072" s="18"/>
      <c r="BK2072" s="18"/>
      <c r="BL2072" s="18">
        <v>80002021</v>
      </c>
      <c r="BM2072" s="15">
        <v>0</v>
      </c>
      <c r="BN2072" s="12">
        <v>0</v>
      </c>
      <c r="BO2072" s="12">
        <v>0</v>
      </c>
      <c r="BP2072" s="12">
        <v>0</v>
      </c>
      <c r="BQ2072" s="12">
        <v>0</v>
      </c>
      <c r="BR2072" s="12">
        <v>0</v>
      </c>
      <c r="BS2072" s="12">
        <v>0</v>
      </c>
      <c r="BT2072" s="12">
        <v>0</v>
      </c>
      <c r="BU2072" s="47">
        <v>0</v>
      </c>
      <c r="BV2072" s="47"/>
      <c r="BW2072" s="47"/>
    </row>
    <row r="2073" spans="3:75" ht="20.100000000000001" customHeight="1">
      <c r="C2073" s="18">
        <v>80001022</v>
      </c>
      <c r="D2073" s="17" t="s">
        <v>2144</v>
      </c>
      <c r="E2073" s="276" t="s">
        <v>4520</v>
      </c>
      <c r="F2073" s="18">
        <v>1</v>
      </c>
      <c r="G2073" s="16">
        <v>80001022</v>
      </c>
      <c r="H2073" s="12">
        <v>0</v>
      </c>
      <c r="I2073" s="12">
        <v>0</v>
      </c>
      <c r="J2073" s="18">
        <v>1</v>
      </c>
      <c r="K2073" s="18">
        <v>0</v>
      </c>
      <c r="L2073" s="12">
        <v>0</v>
      </c>
      <c r="M2073" s="12">
        <v>0</v>
      </c>
      <c r="N2073" s="12">
        <v>0</v>
      </c>
      <c r="O2073" s="12">
        <v>2</v>
      </c>
      <c r="P2073" s="12">
        <v>1</v>
      </c>
      <c r="Q2073" s="12">
        <v>0.2</v>
      </c>
      <c r="R2073" s="12">
        <v>0</v>
      </c>
      <c r="S2073" s="12">
        <v>0</v>
      </c>
      <c r="T2073" s="12">
        <v>0</v>
      </c>
      <c r="U2073" s="16">
        <v>1</v>
      </c>
      <c r="V2073" s="12">
        <v>2</v>
      </c>
      <c r="W2073" s="12">
        <v>0</v>
      </c>
      <c r="X2073" s="12">
        <v>0</v>
      </c>
      <c r="Y2073" s="12">
        <v>0</v>
      </c>
      <c r="Z2073" s="12">
        <v>0</v>
      </c>
      <c r="AA2073" s="12">
        <v>0</v>
      </c>
      <c r="AB2073" s="12">
        <v>0</v>
      </c>
      <c r="AC2073" s="12">
        <v>0</v>
      </c>
      <c r="AD2073" s="18">
        <v>0</v>
      </c>
      <c r="AE2073" s="12">
        <v>0</v>
      </c>
      <c r="AF2073" s="12">
        <v>15</v>
      </c>
      <c r="AG2073" s="12">
        <v>0</v>
      </c>
      <c r="AH2073" s="12">
        <v>0</v>
      </c>
      <c r="AI2073" s="12">
        <v>7</v>
      </c>
      <c r="AJ2073" s="12">
        <v>0</v>
      </c>
      <c r="AK2073" s="12">
        <v>0</v>
      </c>
      <c r="AL2073" s="12">
        <v>6</v>
      </c>
      <c r="AM2073" s="12">
        <v>0</v>
      </c>
      <c r="AN2073" s="12">
        <v>0</v>
      </c>
      <c r="AO2073" s="12">
        <v>0</v>
      </c>
      <c r="AP2073" s="12">
        <v>0</v>
      </c>
      <c r="AQ2073" s="12">
        <v>1000</v>
      </c>
      <c r="AR2073" s="12">
        <v>0</v>
      </c>
      <c r="AS2073" s="12">
        <v>0</v>
      </c>
      <c r="AT2073" s="12">
        <v>0</v>
      </c>
      <c r="AU2073" s="338" t="s">
        <v>4521</v>
      </c>
      <c r="AV2073" s="12"/>
      <c r="AW2073" s="17" t="s">
        <v>199</v>
      </c>
      <c r="AX2073" s="12">
        <v>0</v>
      </c>
      <c r="AY2073" s="12" t="s">
        <v>198</v>
      </c>
      <c r="AZ2073" s="12">
        <v>0</v>
      </c>
      <c r="BA2073" s="13" t="s">
        <v>200</v>
      </c>
      <c r="BB2073" s="12">
        <v>0</v>
      </c>
      <c r="BC2073" s="27">
        <v>0</v>
      </c>
      <c r="BD2073" s="27">
        <v>0</v>
      </c>
      <c r="BE2073" s="44" t="s">
        <v>4522</v>
      </c>
      <c r="BF2073" s="44" t="s">
        <v>4523</v>
      </c>
      <c r="BG2073" s="12">
        <v>0</v>
      </c>
      <c r="BH2073" s="16">
        <v>0</v>
      </c>
      <c r="BI2073" s="12"/>
      <c r="BJ2073" s="12"/>
      <c r="BK2073" s="12"/>
      <c r="BL2073" s="12">
        <v>80002022</v>
      </c>
      <c r="BM2073" s="15">
        <v>0</v>
      </c>
      <c r="BN2073" s="12">
        <v>0</v>
      </c>
      <c r="BO2073" s="12">
        <v>0</v>
      </c>
      <c r="BP2073" s="12">
        <v>0</v>
      </c>
      <c r="BQ2073" s="12">
        <v>0</v>
      </c>
      <c r="BR2073" s="12">
        <v>0</v>
      </c>
      <c r="BS2073" s="12">
        <v>0</v>
      </c>
      <c r="BT2073" s="12">
        <v>0</v>
      </c>
      <c r="BU2073" s="47">
        <v>0</v>
      </c>
      <c r="BV2073" s="47"/>
      <c r="BW2073" s="47"/>
    </row>
    <row r="2074" spans="3:75" ht="20.100000000000001" customHeight="1">
      <c r="C2074" s="18">
        <v>80001023</v>
      </c>
      <c r="D2074" s="17" t="s">
        <v>294</v>
      </c>
      <c r="E2074" s="276" t="s">
        <v>295</v>
      </c>
      <c r="F2074" s="16">
        <v>1</v>
      </c>
      <c r="G2074" s="16">
        <v>80001023</v>
      </c>
      <c r="H2074" s="18">
        <v>0</v>
      </c>
      <c r="I2074" s="27">
        <v>0</v>
      </c>
      <c r="J2074" s="18">
        <v>1</v>
      </c>
      <c r="K2074" s="18">
        <v>0</v>
      </c>
      <c r="L2074" s="18">
        <v>0</v>
      </c>
      <c r="M2074" s="16">
        <v>0</v>
      </c>
      <c r="N2074" s="16">
        <v>0</v>
      </c>
      <c r="O2074" s="16">
        <v>2</v>
      </c>
      <c r="P2074" s="16">
        <v>9</v>
      </c>
      <c r="Q2074" s="16">
        <v>0.15</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10</v>
      </c>
      <c r="AG2074" s="16">
        <v>0</v>
      </c>
      <c r="AH2074" s="16">
        <v>3</v>
      </c>
      <c r="AI2074" s="12">
        <v>7</v>
      </c>
      <c r="AJ2074" s="12">
        <v>0</v>
      </c>
      <c r="AK2074" s="12">
        <v>0</v>
      </c>
      <c r="AL2074" s="12">
        <v>10</v>
      </c>
      <c r="AM2074" s="16">
        <v>0</v>
      </c>
      <c r="AN2074" s="16">
        <v>0</v>
      </c>
      <c r="AO2074" s="16">
        <v>0</v>
      </c>
      <c r="AP2074" s="16">
        <v>0</v>
      </c>
      <c r="AQ2074" s="16">
        <v>3000</v>
      </c>
      <c r="AR2074" s="16">
        <v>0.5</v>
      </c>
      <c r="AS2074" s="16">
        <v>0</v>
      </c>
      <c r="AT2074" s="12">
        <v>0</v>
      </c>
      <c r="AU2074" s="16">
        <v>80001003</v>
      </c>
      <c r="AV2074" s="16"/>
      <c r="AW2074" s="17" t="s">
        <v>199</v>
      </c>
      <c r="AX2074" s="16">
        <v>0</v>
      </c>
      <c r="AY2074" s="18">
        <v>0</v>
      </c>
      <c r="AZ2074" s="18">
        <v>0</v>
      </c>
      <c r="BA2074" s="17" t="s">
        <v>200</v>
      </c>
      <c r="BB2074" s="16">
        <v>0</v>
      </c>
      <c r="BC2074" s="27">
        <v>0</v>
      </c>
      <c r="BD2074" s="27">
        <v>0</v>
      </c>
      <c r="BE2074" s="44" t="s">
        <v>4524</v>
      </c>
      <c r="BF2074" s="44" t="s">
        <v>4525</v>
      </c>
      <c r="BG2074" s="16"/>
      <c r="BH2074" s="16">
        <v>0</v>
      </c>
      <c r="BI2074" s="16"/>
      <c r="BJ2074" s="16"/>
      <c r="BK2074" s="16"/>
      <c r="BL2074" s="16">
        <v>80002023</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80001024</v>
      </c>
      <c r="D2075" s="17" t="s">
        <v>4526</v>
      </c>
      <c r="E2075" s="276" t="s">
        <v>4527</v>
      </c>
      <c r="F2075" s="16">
        <v>1</v>
      </c>
      <c r="G2075" s="16">
        <v>80001024</v>
      </c>
      <c r="H2075" s="18">
        <v>0</v>
      </c>
      <c r="I2075" s="27">
        <v>0</v>
      </c>
      <c r="J2075" s="18">
        <v>1</v>
      </c>
      <c r="K2075" s="18">
        <v>0</v>
      </c>
      <c r="L2075" s="18">
        <v>0</v>
      </c>
      <c r="M2075" s="16">
        <v>0</v>
      </c>
      <c r="N2075" s="16">
        <v>0</v>
      </c>
      <c r="O2075" s="16">
        <v>5</v>
      </c>
      <c r="P2075" s="16">
        <v>0</v>
      </c>
      <c r="Q2075" s="16">
        <v>0</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0</v>
      </c>
      <c r="AQ2075" s="16">
        <v>3000</v>
      </c>
      <c r="AR2075" s="16">
        <v>0.5</v>
      </c>
      <c r="AS2075" s="16">
        <v>0</v>
      </c>
      <c r="AT2075" s="12">
        <v>0</v>
      </c>
      <c r="AU2075" s="16" t="s">
        <v>198</v>
      </c>
      <c r="AV2075" s="16"/>
      <c r="AW2075" s="17" t="s">
        <v>199</v>
      </c>
      <c r="AX2075" s="16">
        <v>0</v>
      </c>
      <c r="AY2075" s="18">
        <v>0</v>
      </c>
      <c r="AZ2075" s="18">
        <v>0</v>
      </c>
      <c r="BA2075" s="17" t="s">
        <v>200</v>
      </c>
      <c r="BB2075" s="16" t="s">
        <v>4528</v>
      </c>
      <c r="BC2075" s="27">
        <v>0</v>
      </c>
      <c r="BD2075" s="27">
        <v>0</v>
      </c>
      <c r="BE2075" s="44" t="s">
        <v>4529</v>
      </c>
      <c r="BF2075" s="44" t="s">
        <v>4530</v>
      </c>
      <c r="BG2075" s="16"/>
      <c r="BH2075" s="16">
        <v>0</v>
      </c>
      <c r="BI2075" s="16"/>
      <c r="BJ2075" s="16"/>
      <c r="BK2075" s="16"/>
      <c r="BL2075" s="16">
        <v>80002024</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80001025</v>
      </c>
      <c r="D2076" s="17" t="s">
        <v>4531</v>
      </c>
      <c r="E2076" s="276" t="s">
        <v>4532</v>
      </c>
      <c r="F2076" s="18">
        <v>1</v>
      </c>
      <c r="G2076" s="16">
        <v>80001025</v>
      </c>
      <c r="H2076" s="12">
        <v>0</v>
      </c>
      <c r="I2076" s="12">
        <v>0</v>
      </c>
      <c r="J2076" s="18">
        <v>1</v>
      </c>
      <c r="K2076" s="18">
        <v>0</v>
      </c>
      <c r="L2076" s="12">
        <v>0</v>
      </c>
      <c r="M2076" s="12">
        <v>0</v>
      </c>
      <c r="N2076" s="12">
        <v>0</v>
      </c>
      <c r="O2076" s="12">
        <v>2</v>
      </c>
      <c r="P2076" s="12">
        <v>10</v>
      </c>
      <c r="Q2076" s="12">
        <v>0.05</v>
      </c>
      <c r="R2076" s="12">
        <v>0</v>
      </c>
      <c r="S2076" s="12">
        <v>0</v>
      </c>
      <c r="T2076" s="12">
        <v>0</v>
      </c>
      <c r="U2076" s="16">
        <v>1</v>
      </c>
      <c r="V2076" s="12">
        <v>2</v>
      </c>
      <c r="W2076" s="12">
        <v>0</v>
      </c>
      <c r="X2076" s="12">
        <v>2.5</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12" t="s">
        <v>198</v>
      </c>
      <c r="AV2076" s="12"/>
      <c r="AW2076" s="17" t="s">
        <v>199</v>
      </c>
      <c r="AX2076" s="12" t="s">
        <v>1677</v>
      </c>
      <c r="AY2076" s="12" t="s">
        <v>198</v>
      </c>
      <c r="AZ2076" s="12" t="s">
        <v>1911</v>
      </c>
      <c r="BA2076" s="13" t="s">
        <v>200</v>
      </c>
      <c r="BB2076" s="12">
        <v>0</v>
      </c>
      <c r="BC2076" s="27">
        <v>0</v>
      </c>
      <c r="BD2076" s="27">
        <v>0</v>
      </c>
      <c r="BE2076" s="42" t="s">
        <v>4533</v>
      </c>
      <c r="BF2076" s="42" t="s">
        <v>4534</v>
      </c>
      <c r="BG2076" s="12">
        <v>0</v>
      </c>
      <c r="BH2076" s="16">
        <v>0</v>
      </c>
      <c r="BI2076" s="12"/>
      <c r="BJ2076" s="12"/>
      <c r="BK2076" s="12"/>
      <c r="BL2076" s="12">
        <v>80002025</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80001026</v>
      </c>
      <c r="D2077" s="17" t="s">
        <v>2905</v>
      </c>
      <c r="E2077" s="276" t="s">
        <v>3214</v>
      </c>
      <c r="F2077" s="18">
        <v>1</v>
      </c>
      <c r="G2077" s="16">
        <v>80001026</v>
      </c>
      <c r="H2077" s="12">
        <v>0</v>
      </c>
      <c r="I2077" s="12">
        <v>0</v>
      </c>
      <c r="J2077" s="18">
        <v>1</v>
      </c>
      <c r="K2077" s="18">
        <v>0</v>
      </c>
      <c r="L2077" s="12">
        <v>0</v>
      </c>
      <c r="M2077" s="12">
        <v>0</v>
      </c>
      <c r="N2077" s="12">
        <v>0</v>
      </c>
      <c r="O2077" s="12">
        <v>2</v>
      </c>
      <c r="P2077" s="12">
        <v>1</v>
      </c>
      <c r="Q2077" s="12">
        <v>0.1</v>
      </c>
      <c r="R2077" s="12">
        <v>0</v>
      </c>
      <c r="S2077" s="12">
        <v>0</v>
      </c>
      <c r="T2077" s="12">
        <v>0</v>
      </c>
      <c r="U2077" s="16">
        <v>1</v>
      </c>
      <c r="V2077" s="12">
        <v>2</v>
      </c>
      <c r="W2077" s="12">
        <v>0</v>
      </c>
      <c r="X2077" s="12">
        <v>0</v>
      </c>
      <c r="Y2077" s="12">
        <v>0</v>
      </c>
      <c r="Z2077" s="12">
        <v>0</v>
      </c>
      <c r="AA2077" s="12">
        <v>0</v>
      </c>
      <c r="AB2077" s="12">
        <v>0</v>
      </c>
      <c r="AC2077" s="12">
        <v>0</v>
      </c>
      <c r="AD2077" s="18">
        <v>0</v>
      </c>
      <c r="AE2077" s="12">
        <v>0</v>
      </c>
      <c r="AF2077" s="12">
        <v>10</v>
      </c>
      <c r="AG2077" s="12">
        <v>0</v>
      </c>
      <c r="AH2077" s="12">
        <v>0</v>
      </c>
      <c r="AI2077" s="12">
        <v>7</v>
      </c>
      <c r="AJ2077" s="12">
        <v>0</v>
      </c>
      <c r="AK2077" s="12">
        <v>0</v>
      </c>
      <c r="AL2077" s="12">
        <v>6</v>
      </c>
      <c r="AM2077" s="12">
        <v>0</v>
      </c>
      <c r="AN2077" s="12">
        <v>0</v>
      </c>
      <c r="AO2077" s="12">
        <v>0</v>
      </c>
      <c r="AP2077" s="12">
        <v>0</v>
      </c>
      <c r="AQ2077" s="12">
        <v>1000</v>
      </c>
      <c r="AR2077" s="12">
        <v>0</v>
      </c>
      <c r="AS2077" s="12">
        <v>0</v>
      </c>
      <c r="AT2077" s="12">
        <v>0</v>
      </c>
      <c r="AU2077" s="12">
        <v>80001004</v>
      </c>
      <c r="AV2077" s="12"/>
      <c r="AW2077" s="17" t="s">
        <v>199</v>
      </c>
      <c r="AX2077" s="12">
        <v>0</v>
      </c>
      <c r="AY2077" s="12" t="s">
        <v>198</v>
      </c>
      <c r="AZ2077" s="12">
        <v>0</v>
      </c>
      <c r="BA2077" s="13" t="s">
        <v>200</v>
      </c>
      <c r="BB2077" s="12">
        <v>0</v>
      </c>
      <c r="BC2077" s="27">
        <v>0</v>
      </c>
      <c r="BD2077" s="27">
        <v>0</v>
      </c>
      <c r="BE2077" s="42" t="s">
        <v>4535</v>
      </c>
      <c r="BF2077" s="42" t="s">
        <v>4536</v>
      </c>
      <c r="BG2077" s="12">
        <v>0</v>
      </c>
      <c r="BH2077" s="16">
        <v>0</v>
      </c>
      <c r="BI2077" s="12"/>
      <c r="BJ2077" s="12"/>
      <c r="BK2077" s="12"/>
      <c r="BL2077" s="12">
        <v>80002026</v>
      </c>
      <c r="BM2077" s="15">
        <v>0</v>
      </c>
      <c r="BN2077" s="12">
        <v>0</v>
      </c>
      <c r="BO2077" s="12">
        <v>0</v>
      </c>
      <c r="BP2077" s="12">
        <v>0</v>
      </c>
      <c r="BQ2077" s="12">
        <v>0</v>
      </c>
      <c r="BR2077" s="12">
        <v>0</v>
      </c>
      <c r="BS2077" s="12">
        <v>0</v>
      </c>
      <c r="BT2077" s="12">
        <v>0</v>
      </c>
      <c r="BU2077" s="47">
        <v>0</v>
      </c>
      <c r="BV2077" s="47"/>
      <c r="BW2077" s="47"/>
    </row>
    <row r="2078" spans="3:75" ht="20.100000000000001" customHeight="1">
      <c r="C2078" s="18">
        <v>80001027</v>
      </c>
      <c r="D2078" s="17" t="s">
        <v>4537</v>
      </c>
      <c r="E2078" s="276" t="s">
        <v>4538</v>
      </c>
      <c r="F2078" s="16">
        <v>1</v>
      </c>
      <c r="G2078" s="16">
        <v>80001027</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4539</v>
      </c>
      <c r="BC2078" s="27">
        <v>0</v>
      </c>
      <c r="BD2078" s="27">
        <v>0</v>
      </c>
      <c r="BE2078" s="44" t="s">
        <v>4540</v>
      </c>
      <c r="BF2078" s="44" t="s">
        <v>4541</v>
      </c>
      <c r="BG2078" s="16"/>
      <c r="BH2078" s="16">
        <v>0</v>
      </c>
      <c r="BI2078" s="16"/>
      <c r="BJ2078" s="16"/>
      <c r="BK2078" s="16"/>
      <c r="BL2078" s="16">
        <v>80002027</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80001028</v>
      </c>
      <c r="D2079" s="17" t="s">
        <v>1906</v>
      </c>
      <c r="E2079" s="276" t="s">
        <v>4542</v>
      </c>
      <c r="F2079" s="16">
        <v>1</v>
      </c>
      <c r="G2079" s="16">
        <v>80001028</v>
      </c>
      <c r="H2079" s="18">
        <v>0</v>
      </c>
      <c r="I2079" s="27">
        <v>0</v>
      </c>
      <c r="J2079" s="18">
        <v>1</v>
      </c>
      <c r="K2079" s="18">
        <v>0</v>
      </c>
      <c r="L2079" s="18">
        <v>0</v>
      </c>
      <c r="M2079" s="16">
        <v>0</v>
      </c>
      <c r="N2079" s="16">
        <v>0</v>
      </c>
      <c r="O2079" s="16">
        <v>2</v>
      </c>
      <c r="P2079" s="16">
        <v>9</v>
      </c>
      <c r="Q2079" s="16">
        <v>0.05</v>
      </c>
      <c r="R2079" s="16">
        <v>0</v>
      </c>
      <c r="S2079" s="12">
        <v>0</v>
      </c>
      <c r="T2079" s="16">
        <v>0</v>
      </c>
      <c r="U2079" s="16">
        <v>1</v>
      </c>
      <c r="V2079" s="16">
        <v>1</v>
      </c>
      <c r="W2079" s="16">
        <v>0</v>
      </c>
      <c r="X2079" s="16">
        <v>2</v>
      </c>
      <c r="Y2079" s="12">
        <v>0</v>
      </c>
      <c r="Z2079" s="16">
        <v>0</v>
      </c>
      <c r="AA2079" s="16">
        <v>0</v>
      </c>
      <c r="AB2079" s="16">
        <v>0</v>
      </c>
      <c r="AC2079" s="16">
        <v>0</v>
      </c>
      <c r="AD2079" s="16">
        <v>0</v>
      </c>
      <c r="AE2079" s="16">
        <v>0</v>
      </c>
      <c r="AF2079" s="16">
        <v>3</v>
      </c>
      <c r="AG2079" s="16">
        <v>2</v>
      </c>
      <c r="AH2079" s="16" t="s">
        <v>213</v>
      </c>
      <c r="AI2079" s="12">
        <v>0</v>
      </c>
      <c r="AJ2079" s="12">
        <v>0</v>
      </c>
      <c r="AK2079" s="12">
        <v>0</v>
      </c>
      <c r="AL2079" s="12">
        <v>1.5</v>
      </c>
      <c r="AM2079" s="16">
        <v>0</v>
      </c>
      <c r="AN2079" s="16">
        <v>0</v>
      </c>
      <c r="AO2079" s="16">
        <v>0</v>
      </c>
      <c r="AP2079" s="16">
        <v>0</v>
      </c>
      <c r="AQ2079" s="16">
        <v>3000</v>
      </c>
      <c r="AR2079" s="16">
        <v>0.5</v>
      </c>
      <c r="AS2079" s="16">
        <v>0</v>
      </c>
      <c r="AT2079" s="12">
        <v>0</v>
      </c>
      <c r="AU2079" s="16">
        <v>0</v>
      </c>
      <c r="AV2079" s="16"/>
      <c r="AW2079" s="17" t="s">
        <v>199</v>
      </c>
      <c r="AX2079" s="16">
        <v>0</v>
      </c>
      <c r="AY2079" s="18">
        <v>10000007</v>
      </c>
      <c r="AZ2079" s="18">
        <v>23000040</v>
      </c>
      <c r="BA2079" s="17" t="s">
        <v>200</v>
      </c>
      <c r="BB2079" s="16">
        <v>0</v>
      </c>
      <c r="BC2079" s="27">
        <v>0</v>
      </c>
      <c r="BD2079" s="27">
        <v>1</v>
      </c>
      <c r="BE2079" s="44" t="s">
        <v>4543</v>
      </c>
      <c r="BF2079" s="44" t="s">
        <v>4544</v>
      </c>
      <c r="BG2079" s="16">
        <v>0</v>
      </c>
      <c r="BH2079" s="16">
        <v>0</v>
      </c>
      <c r="BI2079" s="16"/>
      <c r="BJ2079" s="16"/>
      <c r="BK2079" s="16"/>
      <c r="BL2079" s="16">
        <v>80002028</v>
      </c>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80002001</v>
      </c>
      <c r="D2080" s="17" t="s">
        <v>4545</v>
      </c>
      <c r="E2080" s="276" t="s">
        <v>4546</v>
      </c>
      <c r="F2080" s="16">
        <v>1</v>
      </c>
      <c r="G2080" s="16">
        <v>80002001</v>
      </c>
      <c r="H2080" s="18">
        <v>0</v>
      </c>
      <c r="I2080" s="27">
        <v>0</v>
      </c>
      <c r="J2080" s="18">
        <v>1</v>
      </c>
      <c r="K2080" s="18">
        <v>0</v>
      </c>
      <c r="L2080" s="18">
        <v>0</v>
      </c>
      <c r="M2080" s="16">
        <v>0</v>
      </c>
      <c r="N2080" s="16">
        <v>0</v>
      </c>
      <c r="O2080" s="16">
        <v>5</v>
      </c>
      <c r="P2080" s="16">
        <v>0</v>
      </c>
      <c r="Q2080" s="16">
        <v>0</v>
      </c>
      <c r="R2080" s="16">
        <v>0</v>
      </c>
      <c r="S2080" s="12">
        <v>0</v>
      </c>
      <c r="T2080" s="16">
        <v>0</v>
      </c>
      <c r="U2080" s="16">
        <v>1</v>
      </c>
      <c r="V2080" s="16">
        <v>2</v>
      </c>
      <c r="W2080" s="16">
        <v>0</v>
      </c>
      <c r="X2080" s="16">
        <v>0</v>
      </c>
      <c r="Y2080" s="12">
        <v>0</v>
      </c>
      <c r="Z2080" s="16">
        <v>0</v>
      </c>
      <c r="AA2080" s="16">
        <v>0</v>
      </c>
      <c r="AB2080" s="16">
        <v>0</v>
      </c>
      <c r="AC2080" s="16">
        <v>0</v>
      </c>
      <c r="AD2080" s="16">
        <v>0</v>
      </c>
      <c r="AE2080" s="16">
        <v>0</v>
      </c>
      <c r="AF2080" s="16">
        <v>9</v>
      </c>
      <c r="AG2080" s="16">
        <v>2</v>
      </c>
      <c r="AH2080" s="16" t="s">
        <v>213</v>
      </c>
      <c r="AI2080" s="12">
        <v>2</v>
      </c>
      <c r="AJ2080" s="12">
        <v>2</v>
      </c>
      <c r="AK2080" s="12">
        <v>0</v>
      </c>
      <c r="AL2080" s="12">
        <v>1.5</v>
      </c>
      <c r="AM2080" s="16">
        <v>0</v>
      </c>
      <c r="AN2080" s="16">
        <v>0</v>
      </c>
      <c r="AO2080" s="16">
        <v>0</v>
      </c>
      <c r="AP2080" s="16">
        <v>1</v>
      </c>
      <c r="AQ2080" s="16">
        <v>3000</v>
      </c>
      <c r="AR2080" s="16">
        <v>0.5</v>
      </c>
      <c r="AS2080" s="16">
        <v>0</v>
      </c>
      <c r="AT2080" s="12">
        <v>0</v>
      </c>
      <c r="AU2080" s="16" t="s">
        <v>198</v>
      </c>
      <c r="AV2080" s="16"/>
      <c r="AW2080" s="17" t="s">
        <v>199</v>
      </c>
      <c r="AX2080" s="16">
        <v>0</v>
      </c>
      <c r="AY2080" s="18">
        <v>0</v>
      </c>
      <c r="AZ2080" s="18">
        <v>0</v>
      </c>
      <c r="BA2080" s="17" t="s">
        <v>200</v>
      </c>
      <c r="BB2080" s="16" t="s">
        <v>4547</v>
      </c>
      <c r="BC2080" s="27">
        <v>0</v>
      </c>
      <c r="BD2080" s="27">
        <v>0</v>
      </c>
      <c r="BE2080" s="44" t="s">
        <v>4548</v>
      </c>
      <c r="BF2080" s="44" t="s">
        <v>4549</v>
      </c>
      <c r="BG2080" s="16">
        <v>0</v>
      </c>
      <c r="BH2080" s="16">
        <v>0</v>
      </c>
      <c r="BI2080" s="16"/>
      <c r="BJ2080" s="16"/>
      <c r="BK2080" s="16"/>
      <c r="BL2080" s="18"/>
      <c r="BM2080" s="16">
        <v>0</v>
      </c>
      <c r="BN2080" s="12">
        <v>0</v>
      </c>
      <c r="BO2080" s="12">
        <v>0</v>
      </c>
      <c r="BP2080" s="12">
        <v>0</v>
      </c>
      <c r="BQ2080" s="12">
        <v>0</v>
      </c>
      <c r="BR2080" s="12">
        <v>0</v>
      </c>
      <c r="BS2080" s="12">
        <v>0</v>
      </c>
      <c r="BT2080" s="12">
        <v>0</v>
      </c>
      <c r="BU2080" s="47">
        <v>0</v>
      </c>
      <c r="BV2080" s="47"/>
      <c r="BW2080" s="47"/>
    </row>
    <row r="2081" spans="3:75" ht="20.100000000000001" customHeight="1">
      <c r="C2081" s="18">
        <v>80002002</v>
      </c>
      <c r="D2081" s="17" t="s">
        <v>4550</v>
      </c>
      <c r="E2081" s="276" t="s">
        <v>4551</v>
      </c>
      <c r="F2081" s="16">
        <v>1</v>
      </c>
      <c r="G2081" s="16">
        <v>80002002</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1</v>
      </c>
      <c r="AQ2081" s="16">
        <v>3000</v>
      </c>
      <c r="AR2081" s="16">
        <v>0.5</v>
      </c>
      <c r="AS2081" s="16">
        <v>0</v>
      </c>
      <c r="AT2081" s="12">
        <v>0</v>
      </c>
      <c r="AU2081" s="16" t="s">
        <v>198</v>
      </c>
      <c r="AV2081" s="16"/>
      <c r="AW2081" s="17" t="s">
        <v>199</v>
      </c>
      <c r="AX2081" s="16">
        <v>0</v>
      </c>
      <c r="AY2081" s="18">
        <v>0</v>
      </c>
      <c r="AZ2081" s="18">
        <v>0</v>
      </c>
      <c r="BA2081" s="17" t="s">
        <v>200</v>
      </c>
      <c r="BB2081" s="16" t="s">
        <v>2137</v>
      </c>
      <c r="BC2081" s="27">
        <v>0</v>
      </c>
      <c r="BD2081" s="27">
        <v>0</v>
      </c>
      <c r="BE2081" s="44" t="s">
        <v>2138</v>
      </c>
      <c r="BF2081" s="44" t="s">
        <v>2139</v>
      </c>
      <c r="BG2081" s="16"/>
      <c r="BH2081" s="16">
        <v>0</v>
      </c>
      <c r="BI2081" s="16"/>
      <c r="BJ2081" s="16"/>
      <c r="BK2081" s="16"/>
      <c r="BL2081" s="18"/>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80002003</v>
      </c>
      <c r="D2082" s="17" t="s">
        <v>4552</v>
      </c>
      <c r="E2082" s="276" t="s">
        <v>4553</v>
      </c>
      <c r="F2082" s="16">
        <v>1</v>
      </c>
      <c r="G2082" s="16">
        <v>80002003</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1</v>
      </c>
      <c r="AQ2082" s="16">
        <v>3000</v>
      </c>
      <c r="AR2082" s="16">
        <v>0.5</v>
      </c>
      <c r="AS2082" s="16">
        <v>0</v>
      </c>
      <c r="AT2082" s="12">
        <v>0</v>
      </c>
      <c r="AU2082" s="16" t="s">
        <v>198</v>
      </c>
      <c r="AV2082" s="16"/>
      <c r="AW2082" s="17" t="s">
        <v>199</v>
      </c>
      <c r="AX2082" s="16">
        <v>0</v>
      </c>
      <c r="AY2082" s="18">
        <v>0</v>
      </c>
      <c r="AZ2082" s="18">
        <v>0</v>
      </c>
      <c r="BA2082" s="17" t="s">
        <v>200</v>
      </c>
      <c r="BB2082" s="16" t="s">
        <v>4554</v>
      </c>
      <c r="BC2082" s="27">
        <v>0</v>
      </c>
      <c r="BD2082" s="27">
        <v>0</v>
      </c>
      <c r="BE2082" s="44" t="s">
        <v>4555</v>
      </c>
      <c r="BF2082" s="44" t="s">
        <v>4556</v>
      </c>
      <c r="BG2082" s="16"/>
      <c r="BH2082" s="16">
        <v>0</v>
      </c>
      <c r="BI2082" s="16"/>
      <c r="BJ2082" s="16"/>
      <c r="BK2082" s="16"/>
      <c r="BL2082" s="18"/>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80002004</v>
      </c>
      <c r="D2083" s="17" t="s">
        <v>4557</v>
      </c>
      <c r="E2083" s="276" t="s">
        <v>4558</v>
      </c>
      <c r="F2083" s="16">
        <v>1</v>
      </c>
      <c r="G2083" s="16">
        <v>80002004</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4559</v>
      </c>
      <c r="BC2083" s="27">
        <v>0</v>
      </c>
      <c r="BD2083" s="27">
        <v>0</v>
      </c>
      <c r="BE2083" s="44" t="s">
        <v>4560</v>
      </c>
      <c r="BF2083" s="44" t="s">
        <v>4561</v>
      </c>
      <c r="BG2083" s="16"/>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80002005</v>
      </c>
      <c r="D2084" s="17" t="s">
        <v>4562</v>
      </c>
      <c r="E2084" s="276" t="s">
        <v>4563</v>
      </c>
      <c r="F2084" s="16">
        <v>1</v>
      </c>
      <c r="G2084" s="16">
        <v>80002005</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4564</v>
      </c>
      <c r="BC2084" s="27">
        <v>0</v>
      </c>
      <c r="BD2084" s="27">
        <v>0</v>
      </c>
      <c r="BE2084" s="44" t="s">
        <v>4565</v>
      </c>
      <c r="BF2084" s="44" t="s">
        <v>4566</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80002006</v>
      </c>
      <c r="D2085" s="17" t="s">
        <v>4567</v>
      </c>
      <c r="E2085" s="276" t="s">
        <v>4568</v>
      </c>
      <c r="F2085" s="16">
        <v>1</v>
      </c>
      <c r="G2085" s="16">
        <v>80002006</v>
      </c>
      <c r="H2085" s="18">
        <v>0</v>
      </c>
      <c r="I2085" s="27">
        <v>0</v>
      </c>
      <c r="J2085" s="18">
        <v>1</v>
      </c>
      <c r="K2085" s="18">
        <v>0</v>
      </c>
      <c r="L2085" s="18">
        <v>0</v>
      </c>
      <c r="M2085" s="16">
        <v>0</v>
      </c>
      <c r="N2085" s="16">
        <v>0</v>
      </c>
      <c r="O2085" s="16">
        <v>5</v>
      </c>
      <c r="P2085" s="180">
        <v>0</v>
      </c>
      <c r="Q2085" s="180">
        <v>0</v>
      </c>
      <c r="R2085" s="180">
        <v>0</v>
      </c>
      <c r="S2085" s="12">
        <v>0</v>
      </c>
      <c r="T2085" s="180">
        <v>0</v>
      </c>
      <c r="U2085" s="180">
        <v>1</v>
      </c>
      <c r="V2085" s="180">
        <v>2</v>
      </c>
      <c r="W2085" s="180">
        <v>0</v>
      </c>
      <c r="X2085" s="16">
        <v>1</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80" t="s">
        <v>4569</v>
      </c>
      <c r="BC2085" s="27">
        <v>0</v>
      </c>
      <c r="BD2085" s="27">
        <v>0</v>
      </c>
      <c r="BE2085" s="241" t="s">
        <v>4570</v>
      </c>
      <c r="BF2085" s="241" t="s">
        <v>4571</v>
      </c>
      <c r="BG2085" s="16"/>
      <c r="BH2085" s="16">
        <v>0</v>
      </c>
      <c r="BI2085" s="16"/>
      <c r="BJ2085" s="16"/>
      <c r="BK2085" s="16"/>
      <c r="BL2085" s="180"/>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80002007</v>
      </c>
      <c r="D2086" s="17" t="s">
        <v>4572</v>
      </c>
      <c r="E2086" s="276" t="s">
        <v>4573</v>
      </c>
      <c r="F2086" s="16">
        <v>1</v>
      </c>
      <c r="G2086" s="16">
        <v>80002007</v>
      </c>
      <c r="H2086" s="18">
        <v>0</v>
      </c>
      <c r="I2086" s="27">
        <v>0</v>
      </c>
      <c r="J2086" s="18">
        <v>1</v>
      </c>
      <c r="K2086" s="18">
        <v>0</v>
      </c>
      <c r="L2086" s="18">
        <v>0</v>
      </c>
      <c r="M2086" s="16">
        <v>0</v>
      </c>
      <c r="N2086" s="16">
        <v>0</v>
      </c>
      <c r="O2086" s="16">
        <v>2</v>
      </c>
      <c r="P2086" s="16">
        <v>3</v>
      </c>
      <c r="Q2086" s="16">
        <v>0.2</v>
      </c>
      <c r="R2086" s="16">
        <v>0</v>
      </c>
      <c r="S2086" s="12">
        <v>0</v>
      </c>
      <c r="T2086" s="16">
        <v>0</v>
      </c>
      <c r="U2086" s="16">
        <v>1</v>
      </c>
      <c r="V2086" s="16">
        <v>2</v>
      </c>
      <c r="W2086" s="16">
        <v>0</v>
      </c>
      <c r="X2086" s="16">
        <v>1</v>
      </c>
      <c r="Y2086" s="12">
        <v>0</v>
      </c>
      <c r="Z2086" s="16">
        <v>0</v>
      </c>
      <c r="AA2086" s="16">
        <v>0</v>
      </c>
      <c r="AB2086" s="16">
        <v>0</v>
      </c>
      <c r="AC2086" s="16">
        <v>0</v>
      </c>
      <c r="AD2086" s="16">
        <v>0</v>
      </c>
      <c r="AE2086" s="16">
        <v>0</v>
      </c>
      <c r="AF2086" s="16">
        <v>9</v>
      </c>
      <c r="AG2086" s="16">
        <v>1</v>
      </c>
      <c r="AH2086" s="16">
        <v>0</v>
      </c>
      <c r="AI2086" s="12">
        <v>1</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c r="BC2086" s="27">
        <v>0</v>
      </c>
      <c r="BD2086" s="27">
        <v>0</v>
      </c>
      <c r="BE2086" s="44" t="s">
        <v>4461</v>
      </c>
      <c r="BF2086" s="44" t="s">
        <v>4462</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80002008</v>
      </c>
      <c r="D2087" s="17" t="s">
        <v>4574</v>
      </c>
      <c r="E2087" s="276" t="s">
        <v>4575</v>
      </c>
      <c r="F2087" s="16">
        <v>1</v>
      </c>
      <c r="G2087" s="16">
        <v>80002008</v>
      </c>
      <c r="H2087" s="18">
        <v>0</v>
      </c>
      <c r="I2087" s="27">
        <v>0</v>
      </c>
      <c r="J2087" s="18">
        <v>1</v>
      </c>
      <c r="K2087" s="18">
        <v>0</v>
      </c>
      <c r="L2087" s="18">
        <v>0</v>
      </c>
      <c r="M2087" s="16">
        <v>0</v>
      </c>
      <c r="N2087" s="16">
        <v>0</v>
      </c>
      <c r="O2087" s="16">
        <v>2</v>
      </c>
      <c r="P2087" s="16">
        <v>3</v>
      </c>
      <c r="Q2087" s="16">
        <v>0.5</v>
      </c>
      <c r="R2087" s="16">
        <v>0</v>
      </c>
      <c r="S2087" s="12">
        <v>0</v>
      </c>
      <c r="T2087" s="16">
        <v>0</v>
      </c>
      <c r="U2087" s="16">
        <v>1</v>
      </c>
      <c r="V2087" s="16">
        <v>2</v>
      </c>
      <c r="W2087" s="16">
        <v>0</v>
      </c>
      <c r="X2087" s="16">
        <v>0.5</v>
      </c>
      <c r="Y2087" s="12">
        <v>0</v>
      </c>
      <c r="Z2087" s="16">
        <v>0</v>
      </c>
      <c r="AA2087" s="16">
        <v>0</v>
      </c>
      <c r="AB2087" s="16">
        <v>0</v>
      </c>
      <c r="AC2087" s="16">
        <v>0</v>
      </c>
      <c r="AD2087" s="16">
        <v>0</v>
      </c>
      <c r="AE2087" s="16">
        <v>0</v>
      </c>
      <c r="AF2087" s="16">
        <v>9</v>
      </c>
      <c r="AG2087" s="16">
        <v>1</v>
      </c>
      <c r="AH2087" s="16">
        <v>0</v>
      </c>
      <c r="AI2087" s="12">
        <v>1</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c r="BC2087" s="27">
        <v>0</v>
      </c>
      <c r="BD2087" s="27">
        <v>0</v>
      </c>
      <c r="BE2087" s="44" t="s">
        <v>4576</v>
      </c>
      <c r="BF2087" s="44" t="s">
        <v>4577</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80002009</v>
      </c>
      <c r="D2088" s="17" t="s">
        <v>4578</v>
      </c>
      <c r="E2088" s="276" t="s">
        <v>4579</v>
      </c>
      <c r="F2088" s="16">
        <v>1</v>
      </c>
      <c r="G2088" s="16">
        <v>80002009</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4580</v>
      </c>
      <c r="BC2088" s="27">
        <v>0</v>
      </c>
      <c r="BD2088" s="27">
        <v>0</v>
      </c>
      <c r="BE2088" s="44" t="s">
        <v>4581</v>
      </c>
      <c r="BF2088" s="44" t="s">
        <v>4582</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80002010</v>
      </c>
      <c r="D2089" s="17" t="s">
        <v>4583</v>
      </c>
      <c r="E2089" s="276" t="s">
        <v>4584</v>
      </c>
      <c r="F2089" s="16">
        <v>1</v>
      </c>
      <c r="G2089" s="16">
        <v>80002010</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4585</v>
      </c>
      <c r="BC2089" s="27">
        <v>0</v>
      </c>
      <c r="BD2089" s="27">
        <v>0</v>
      </c>
      <c r="BE2089" s="44" t="s">
        <v>1917</v>
      </c>
      <c r="BF2089" s="44" t="s">
        <v>1918</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80002011</v>
      </c>
      <c r="D2090" s="17" t="s">
        <v>4586</v>
      </c>
      <c r="E2090" s="276" t="s">
        <v>4587</v>
      </c>
      <c r="F2090" s="16">
        <v>1</v>
      </c>
      <c r="G2090" s="16">
        <v>80002011</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4588</v>
      </c>
      <c r="BC2090" s="27">
        <v>0</v>
      </c>
      <c r="BD2090" s="27">
        <v>0</v>
      </c>
      <c r="BE2090" s="44" t="s">
        <v>4589</v>
      </c>
      <c r="BF2090" s="44" t="s">
        <v>4590</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80002012</v>
      </c>
      <c r="D2091" s="17" t="s">
        <v>4591</v>
      </c>
      <c r="E2091" s="276" t="s">
        <v>4592</v>
      </c>
      <c r="F2091" s="16">
        <v>1</v>
      </c>
      <c r="G2091" s="16">
        <v>80002012</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4593</v>
      </c>
      <c r="BC2091" s="27">
        <v>0</v>
      </c>
      <c r="BD2091" s="27">
        <v>0</v>
      </c>
      <c r="BE2091" s="44" t="s">
        <v>4594</v>
      </c>
      <c r="BF2091" s="44" t="s">
        <v>4595</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80002013</v>
      </c>
      <c r="D2092" s="17" t="s">
        <v>4596</v>
      </c>
      <c r="E2092" s="276" t="s">
        <v>4597</v>
      </c>
      <c r="F2092" s="16">
        <v>1</v>
      </c>
      <c r="G2092" s="16">
        <v>80002013</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4598</v>
      </c>
      <c r="BC2092" s="27">
        <v>0</v>
      </c>
      <c r="BD2092" s="27">
        <v>0</v>
      </c>
      <c r="BE2092" s="44" t="s">
        <v>4599</v>
      </c>
      <c r="BF2092" s="44" t="s">
        <v>4600</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80002014</v>
      </c>
      <c r="D2093" s="17" t="s">
        <v>4601</v>
      </c>
      <c r="E2093" s="276" t="s">
        <v>4602</v>
      </c>
      <c r="F2093" s="16">
        <v>1</v>
      </c>
      <c r="G2093" s="16">
        <v>80002014</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4603</v>
      </c>
      <c r="BC2093" s="27">
        <v>0</v>
      </c>
      <c r="BD2093" s="27">
        <v>0</v>
      </c>
      <c r="BE2093" s="44" t="s">
        <v>4604</v>
      </c>
      <c r="BF2093" s="44" t="s">
        <v>4605</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0">
        <v>80002015</v>
      </c>
      <c r="D2094" s="236" t="s">
        <v>4606</v>
      </c>
      <c r="E2094" s="276" t="s">
        <v>4607</v>
      </c>
      <c r="F2094" s="180">
        <v>1</v>
      </c>
      <c r="G2094" s="180">
        <v>80002015</v>
      </c>
      <c r="H2094" s="180">
        <v>0</v>
      </c>
      <c r="I2094" s="180">
        <v>0</v>
      </c>
      <c r="J2094" s="18">
        <v>1</v>
      </c>
      <c r="K2094" s="18">
        <v>0</v>
      </c>
      <c r="L2094" s="180">
        <v>0</v>
      </c>
      <c r="M2094" s="180">
        <v>0</v>
      </c>
      <c r="N2094" s="180">
        <v>0</v>
      </c>
      <c r="O2094" s="180">
        <v>2</v>
      </c>
      <c r="P2094" s="180">
        <v>0</v>
      </c>
      <c r="Q2094" s="180">
        <v>0</v>
      </c>
      <c r="R2094" s="180">
        <v>0</v>
      </c>
      <c r="S2094" s="12">
        <v>0</v>
      </c>
      <c r="T2094" s="180">
        <v>0</v>
      </c>
      <c r="U2094" s="180">
        <v>1</v>
      </c>
      <c r="V2094" s="180">
        <v>2</v>
      </c>
      <c r="W2094" s="180">
        <v>0</v>
      </c>
      <c r="X2094" s="180">
        <v>0</v>
      </c>
      <c r="Y2094" s="12">
        <v>0</v>
      </c>
      <c r="Z2094" s="180">
        <v>0</v>
      </c>
      <c r="AA2094" s="180">
        <v>0</v>
      </c>
      <c r="AB2094" s="180">
        <v>0</v>
      </c>
      <c r="AC2094" s="180">
        <v>0</v>
      </c>
      <c r="AD2094" s="180">
        <v>0</v>
      </c>
      <c r="AE2094" s="180">
        <v>0</v>
      </c>
      <c r="AF2094" s="180">
        <v>9</v>
      </c>
      <c r="AG2094" s="180">
        <v>2</v>
      </c>
      <c r="AH2094" s="180" t="s">
        <v>213</v>
      </c>
      <c r="AI2094" s="180">
        <v>2</v>
      </c>
      <c r="AJ2094" s="180">
        <v>2</v>
      </c>
      <c r="AK2094" s="12">
        <v>0</v>
      </c>
      <c r="AL2094" s="180">
        <v>1.5</v>
      </c>
      <c r="AM2094" s="180">
        <v>0</v>
      </c>
      <c r="AN2094" s="180">
        <v>0</v>
      </c>
      <c r="AO2094" s="180">
        <v>0</v>
      </c>
      <c r="AP2094" s="180">
        <v>1</v>
      </c>
      <c r="AQ2094" s="180">
        <v>3000</v>
      </c>
      <c r="AR2094" s="180">
        <v>0.5</v>
      </c>
      <c r="AS2094" s="180">
        <v>0</v>
      </c>
      <c r="AT2094" s="180">
        <v>0</v>
      </c>
      <c r="AU2094" s="180" t="s">
        <v>198</v>
      </c>
      <c r="AV2094" s="180"/>
      <c r="AW2094" s="17" t="s">
        <v>199</v>
      </c>
      <c r="AX2094" s="180">
        <v>0</v>
      </c>
      <c r="AY2094" s="180">
        <v>0</v>
      </c>
      <c r="AZ2094" s="180">
        <v>0</v>
      </c>
      <c r="BA2094" s="236" t="s">
        <v>200</v>
      </c>
      <c r="BB2094" s="180" t="s">
        <v>4608</v>
      </c>
      <c r="BC2094" s="180">
        <v>0</v>
      </c>
      <c r="BD2094" s="180">
        <v>0</v>
      </c>
      <c r="BE2094" s="241" t="s">
        <v>4609</v>
      </c>
      <c r="BF2094" s="241" t="s">
        <v>4610</v>
      </c>
      <c r="BG2094" s="180"/>
      <c r="BH2094" s="16">
        <v>0</v>
      </c>
      <c r="BI2094" s="180"/>
      <c r="BJ2094" s="180"/>
      <c r="BK2094" s="180"/>
      <c r="BL2094" s="180"/>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80002016</v>
      </c>
      <c r="D2095" s="17" t="s">
        <v>4611</v>
      </c>
      <c r="E2095" s="276" t="s">
        <v>4612</v>
      </c>
      <c r="F2095" s="16">
        <v>1</v>
      </c>
      <c r="G2095" s="16">
        <v>80002016</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4613</v>
      </c>
      <c r="BC2095" s="27">
        <v>0</v>
      </c>
      <c r="BD2095" s="27">
        <v>0</v>
      </c>
      <c r="BE2095" s="44" t="s">
        <v>4614</v>
      </c>
      <c r="BF2095" s="44" t="s">
        <v>4615</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80002017</v>
      </c>
      <c r="D2096" s="17" t="s">
        <v>4616</v>
      </c>
      <c r="E2096" s="276" t="s">
        <v>4617</v>
      </c>
      <c r="F2096" s="16">
        <v>1</v>
      </c>
      <c r="G2096" s="16">
        <v>80002017</v>
      </c>
      <c r="H2096" s="18">
        <v>0</v>
      </c>
      <c r="I2096" s="27">
        <v>0</v>
      </c>
      <c r="J2096" s="18">
        <v>1</v>
      </c>
      <c r="K2096" s="18">
        <v>0</v>
      </c>
      <c r="L2096" s="18">
        <v>0</v>
      </c>
      <c r="M2096" s="16">
        <v>0</v>
      </c>
      <c r="N2096" s="16">
        <v>0</v>
      </c>
      <c r="O2096" s="16">
        <v>2</v>
      </c>
      <c r="P2096" s="16">
        <v>3</v>
      </c>
      <c r="Q2096" s="16">
        <v>0.2</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80010171</v>
      </c>
      <c r="AU2096" s="16" t="s">
        <v>198</v>
      </c>
      <c r="AV2096" s="16"/>
      <c r="AW2096" s="17" t="s">
        <v>199</v>
      </c>
      <c r="AX2096" s="16">
        <v>0</v>
      </c>
      <c r="AY2096" s="18">
        <v>0</v>
      </c>
      <c r="AZ2096" s="18">
        <v>0</v>
      </c>
      <c r="BA2096" s="17" t="s">
        <v>200</v>
      </c>
      <c r="BB2096" s="16"/>
      <c r="BC2096" s="27">
        <v>0</v>
      </c>
      <c r="BD2096" s="27">
        <v>0</v>
      </c>
      <c r="BE2096" s="241" t="s">
        <v>4618</v>
      </c>
      <c r="BF2096" s="241" t="s">
        <v>4619</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80002018</v>
      </c>
      <c r="D2097" s="17" t="s">
        <v>4620</v>
      </c>
      <c r="E2097" s="276" t="s">
        <v>4621</v>
      </c>
      <c r="F2097" s="16">
        <v>1</v>
      </c>
      <c r="G2097" s="16">
        <v>80002018</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4622</v>
      </c>
      <c r="BC2097" s="27">
        <v>0</v>
      </c>
      <c r="BD2097" s="27">
        <v>0</v>
      </c>
      <c r="BE2097" s="44" t="s">
        <v>4623</v>
      </c>
      <c r="BF2097" s="44" t="s">
        <v>4624</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80002019</v>
      </c>
      <c r="D2098" s="17" t="s">
        <v>4625</v>
      </c>
      <c r="E2098" s="276" t="s">
        <v>4626</v>
      </c>
      <c r="F2098" s="16">
        <v>1</v>
      </c>
      <c r="G2098" s="16">
        <v>80002019</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4627</v>
      </c>
      <c r="BC2098" s="27">
        <v>0</v>
      </c>
      <c r="BD2098" s="27">
        <v>0</v>
      </c>
      <c r="BE2098" s="44" t="s">
        <v>4628</v>
      </c>
      <c r="BF2098" s="44" t="s">
        <v>4629</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80002020</v>
      </c>
      <c r="D2099" s="17" t="s">
        <v>4630</v>
      </c>
      <c r="E2099" s="276" t="s">
        <v>4631</v>
      </c>
      <c r="F2099" s="16">
        <v>1</v>
      </c>
      <c r="G2099" s="16">
        <v>80002020</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4632</v>
      </c>
      <c r="BC2099" s="27">
        <v>0</v>
      </c>
      <c r="BD2099" s="27">
        <v>0</v>
      </c>
      <c r="BE2099" s="44" t="s">
        <v>4633</v>
      </c>
      <c r="BF2099" s="44" t="s">
        <v>4634</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25" customHeight="1">
      <c r="C2100" s="18">
        <v>80002021</v>
      </c>
      <c r="D2100" s="17" t="s">
        <v>4635</v>
      </c>
      <c r="E2100" s="276" t="s">
        <v>4636</v>
      </c>
      <c r="F2100" s="18">
        <v>1</v>
      </c>
      <c r="G2100" s="16">
        <v>80002021</v>
      </c>
      <c r="H2100" s="18">
        <v>0</v>
      </c>
      <c r="I2100" s="27">
        <v>0</v>
      </c>
      <c r="J2100" s="18">
        <v>1</v>
      </c>
      <c r="K2100" s="18">
        <v>0</v>
      </c>
      <c r="L2100" s="18">
        <v>0</v>
      </c>
      <c r="M2100" s="16">
        <v>0</v>
      </c>
      <c r="N2100" s="16">
        <v>0</v>
      </c>
      <c r="O2100" s="16">
        <v>2</v>
      </c>
      <c r="P2100" s="16">
        <v>10</v>
      </c>
      <c r="Q2100" s="16">
        <v>0.2</v>
      </c>
      <c r="R2100" s="16">
        <v>0</v>
      </c>
      <c r="S2100" s="12">
        <v>0</v>
      </c>
      <c r="T2100" s="16">
        <v>0</v>
      </c>
      <c r="U2100" s="16">
        <v>1</v>
      </c>
      <c r="V2100" s="16">
        <v>2</v>
      </c>
      <c r="W2100" s="16">
        <v>0</v>
      </c>
      <c r="X2100" s="16">
        <v>2</v>
      </c>
      <c r="Y2100" s="12">
        <v>0</v>
      </c>
      <c r="Z2100" s="16">
        <v>0</v>
      </c>
      <c r="AA2100" s="16">
        <v>0</v>
      </c>
      <c r="AB2100" s="16">
        <v>0</v>
      </c>
      <c r="AC2100" s="16">
        <v>0</v>
      </c>
      <c r="AD2100" s="16">
        <v>0</v>
      </c>
      <c r="AE2100" s="16">
        <v>0</v>
      </c>
      <c r="AF2100" s="16">
        <v>5</v>
      </c>
      <c r="AG2100" s="16">
        <v>1</v>
      </c>
      <c r="AH2100" s="16">
        <v>3</v>
      </c>
      <c r="AI2100" s="12">
        <v>1</v>
      </c>
      <c r="AJ2100" s="12">
        <v>1</v>
      </c>
      <c r="AK2100" s="12">
        <v>0</v>
      </c>
      <c r="AL2100" s="12">
        <v>3</v>
      </c>
      <c r="AM2100" s="16">
        <v>0</v>
      </c>
      <c r="AN2100" s="16">
        <v>0</v>
      </c>
      <c r="AO2100" s="16">
        <v>0</v>
      </c>
      <c r="AP2100" s="16">
        <v>3</v>
      </c>
      <c r="AQ2100" s="16">
        <v>5000</v>
      </c>
      <c r="AR2100" s="16">
        <v>0.5</v>
      </c>
      <c r="AS2100" s="16">
        <v>0</v>
      </c>
      <c r="AT2100" s="12">
        <v>0</v>
      </c>
      <c r="AU2100" s="16">
        <v>0</v>
      </c>
      <c r="AV2100" s="16"/>
      <c r="AW2100" s="17" t="s">
        <v>199</v>
      </c>
      <c r="AX2100" s="12" t="s">
        <v>1677</v>
      </c>
      <c r="AY2100" s="18">
        <v>10000007</v>
      </c>
      <c r="AZ2100" s="277">
        <v>23000080</v>
      </c>
      <c r="BA2100" s="17" t="s">
        <v>200</v>
      </c>
      <c r="BB2100" s="19" t="s">
        <v>198</v>
      </c>
      <c r="BC2100" s="27">
        <v>0</v>
      </c>
      <c r="BD2100" s="27">
        <v>0</v>
      </c>
      <c r="BE2100" s="44" t="s">
        <v>4637</v>
      </c>
      <c r="BF2100" s="44" t="s">
        <v>4638</v>
      </c>
      <c r="BG2100" s="18">
        <v>0</v>
      </c>
      <c r="BH2100" s="16">
        <v>0</v>
      </c>
      <c r="BI2100" s="16"/>
      <c r="BJ2100" s="16"/>
      <c r="BK2100" s="16"/>
      <c r="BL2100" s="18"/>
      <c r="BM2100" s="15">
        <v>0</v>
      </c>
      <c r="BN2100" s="12">
        <v>0</v>
      </c>
      <c r="BO2100" s="12">
        <v>0</v>
      </c>
      <c r="BP2100" s="12">
        <v>0</v>
      </c>
      <c r="BQ2100" s="12">
        <v>0</v>
      </c>
      <c r="BR2100" s="12">
        <v>0</v>
      </c>
      <c r="BS2100" s="12">
        <v>0</v>
      </c>
      <c r="BT2100" s="12">
        <v>0</v>
      </c>
      <c r="BU2100" s="47">
        <v>0</v>
      </c>
      <c r="BV2100" s="47"/>
      <c r="BW2100" s="47"/>
    </row>
    <row r="2101" spans="3:75" ht="20.100000000000001" customHeight="1">
      <c r="C2101" s="18">
        <v>80002022</v>
      </c>
      <c r="D2101" s="17" t="s">
        <v>4639</v>
      </c>
      <c r="E2101" s="276" t="s">
        <v>4640</v>
      </c>
      <c r="F2101" s="18">
        <v>1</v>
      </c>
      <c r="G2101" s="16">
        <v>80002022</v>
      </c>
      <c r="H2101" s="12">
        <v>0</v>
      </c>
      <c r="I2101" s="12">
        <v>0</v>
      </c>
      <c r="J2101" s="18">
        <v>1</v>
      </c>
      <c r="K2101" s="18">
        <v>0</v>
      </c>
      <c r="L2101" s="12">
        <v>0</v>
      </c>
      <c r="M2101" s="12">
        <v>0</v>
      </c>
      <c r="N2101" s="12">
        <v>0</v>
      </c>
      <c r="O2101" s="12">
        <v>2</v>
      </c>
      <c r="P2101" s="12">
        <v>1</v>
      </c>
      <c r="Q2101" s="12">
        <v>0.2</v>
      </c>
      <c r="R2101" s="12">
        <v>0</v>
      </c>
      <c r="S2101" s="12">
        <v>0</v>
      </c>
      <c r="T2101" s="12">
        <v>0</v>
      </c>
      <c r="U2101" s="16">
        <v>1</v>
      </c>
      <c r="V2101" s="12">
        <v>2</v>
      </c>
      <c r="W2101" s="12">
        <v>0</v>
      </c>
      <c r="X2101" s="12">
        <v>0</v>
      </c>
      <c r="Y2101" s="12">
        <v>0</v>
      </c>
      <c r="Z2101" s="12">
        <v>0</v>
      </c>
      <c r="AA2101" s="12">
        <v>0</v>
      </c>
      <c r="AB2101" s="12">
        <v>0</v>
      </c>
      <c r="AC2101" s="12">
        <v>0</v>
      </c>
      <c r="AD2101" s="18">
        <v>0</v>
      </c>
      <c r="AE2101" s="12">
        <v>0</v>
      </c>
      <c r="AF2101" s="12">
        <v>10</v>
      </c>
      <c r="AG2101" s="12">
        <v>0</v>
      </c>
      <c r="AH2101" s="12">
        <v>0</v>
      </c>
      <c r="AI2101" s="12">
        <v>7</v>
      </c>
      <c r="AJ2101" s="12">
        <v>0</v>
      </c>
      <c r="AK2101" s="12">
        <v>0</v>
      </c>
      <c r="AL2101" s="12">
        <v>6</v>
      </c>
      <c r="AM2101" s="12">
        <v>0</v>
      </c>
      <c r="AN2101" s="12">
        <v>0</v>
      </c>
      <c r="AO2101" s="12">
        <v>0</v>
      </c>
      <c r="AP2101" s="12">
        <v>0</v>
      </c>
      <c r="AQ2101" s="12">
        <v>1000</v>
      </c>
      <c r="AR2101" s="12">
        <v>0</v>
      </c>
      <c r="AS2101" s="12">
        <v>0</v>
      </c>
      <c r="AT2101" s="12">
        <v>0</v>
      </c>
      <c r="AU2101" s="338" t="s">
        <v>2146</v>
      </c>
      <c r="AV2101" s="12"/>
      <c r="AW2101" s="17" t="s">
        <v>199</v>
      </c>
      <c r="AX2101" s="12" t="s">
        <v>1677</v>
      </c>
      <c r="AY2101" s="12" t="s">
        <v>198</v>
      </c>
      <c r="AZ2101" s="12">
        <v>0</v>
      </c>
      <c r="BA2101" s="13" t="s">
        <v>200</v>
      </c>
      <c r="BB2101" s="12">
        <v>0</v>
      </c>
      <c r="BC2101" s="27">
        <v>0</v>
      </c>
      <c r="BD2101" s="27">
        <v>0</v>
      </c>
      <c r="BE2101" s="44" t="s">
        <v>2147</v>
      </c>
      <c r="BF2101" s="44" t="s">
        <v>2148</v>
      </c>
      <c r="BG2101" s="12">
        <v>0</v>
      </c>
      <c r="BH2101" s="16">
        <v>0</v>
      </c>
      <c r="BI2101" s="16"/>
      <c r="BJ2101" s="16"/>
      <c r="BK2101" s="16"/>
      <c r="BL2101" s="18"/>
      <c r="BM2101" s="15">
        <v>0</v>
      </c>
      <c r="BN2101" s="12">
        <v>0</v>
      </c>
      <c r="BO2101" s="12">
        <v>0</v>
      </c>
      <c r="BP2101" s="12">
        <v>0</v>
      </c>
      <c r="BQ2101" s="12">
        <v>0</v>
      </c>
      <c r="BR2101" s="12">
        <v>0</v>
      </c>
      <c r="BS2101" s="12">
        <v>0</v>
      </c>
      <c r="BT2101" s="12">
        <v>0</v>
      </c>
      <c r="BU2101" s="47">
        <v>0</v>
      </c>
      <c r="BV2101" s="47"/>
      <c r="BW2101" s="47"/>
    </row>
    <row r="2102" spans="3:75" ht="20.100000000000001" customHeight="1">
      <c r="C2102" s="18">
        <v>80002023</v>
      </c>
      <c r="D2102" s="17" t="s">
        <v>4641</v>
      </c>
      <c r="E2102" s="276" t="s">
        <v>4642</v>
      </c>
      <c r="F2102" s="16">
        <v>1</v>
      </c>
      <c r="G2102" s="16">
        <v>80002023</v>
      </c>
      <c r="H2102" s="18">
        <v>0</v>
      </c>
      <c r="I2102" s="27">
        <v>0</v>
      </c>
      <c r="J2102" s="18">
        <v>1</v>
      </c>
      <c r="K2102" s="18">
        <v>0</v>
      </c>
      <c r="L2102" s="18">
        <v>0</v>
      </c>
      <c r="M2102" s="16">
        <v>0</v>
      </c>
      <c r="N2102" s="16">
        <v>0</v>
      </c>
      <c r="O2102" s="16">
        <v>2</v>
      </c>
      <c r="P2102" s="16">
        <v>9</v>
      </c>
      <c r="Q2102" s="16">
        <v>0.3</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10</v>
      </c>
      <c r="AG2102" s="16">
        <v>0</v>
      </c>
      <c r="AH2102" s="16">
        <v>3</v>
      </c>
      <c r="AI2102" s="12">
        <v>7</v>
      </c>
      <c r="AJ2102" s="12">
        <v>0</v>
      </c>
      <c r="AK2102" s="12">
        <v>0</v>
      </c>
      <c r="AL2102" s="12">
        <v>10</v>
      </c>
      <c r="AM2102" s="16">
        <v>0</v>
      </c>
      <c r="AN2102" s="16">
        <v>0</v>
      </c>
      <c r="AO2102" s="16">
        <v>0</v>
      </c>
      <c r="AP2102" s="16">
        <v>0</v>
      </c>
      <c r="AQ2102" s="16">
        <v>3000</v>
      </c>
      <c r="AR2102" s="16">
        <v>0.5</v>
      </c>
      <c r="AS2102" s="16">
        <v>0</v>
      </c>
      <c r="AT2102" s="12">
        <v>0</v>
      </c>
      <c r="AU2102" s="16">
        <v>80002003</v>
      </c>
      <c r="AV2102" s="16"/>
      <c r="AW2102" s="17" t="s">
        <v>199</v>
      </c>
      <c r="AX2102" s="16">
        <v>0</v>
      </c>
      <c r="AY2102" s="18">
        <v>0</v>
      </c>
      <c r="AZ2102" s="18">
        <v>0</v>
      </c>
      <c r="BA2102" s="17" t="s">
        <v>200</v>
      </c>
      <c r="BB2102" s="16">
        <v>0</v>
      </c>
      <c r="BC2102" s="27">
        <v>0</v>
      </c>
      <c r="BD2102" s="27">
        <v>0</v>
      </c>
      <c r="BE2102" s="44" t="s">
        <v>1904</v>
      </c>
      <c r="BF2102" s="44" t="s">
        <v>1905</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80002024</v>
      </c>
      <c r="D2103" s="17" t="s">
        <v>4643</v>
      </c>
      <c r="E2103" s="276" t="s">
        <v>4644</v>
      </c>
      <c r="F2103" s="16">
        <v>1</v>
      </c>
      <c r="G2103" s="16">
        <v>80002024</v>
      </c>
      <c r="H2103" s="18">
        <v>0</v>
      </c>
      <c r="I2103" s="27">
        <v>0</v>
      </c>
      <c r="J2103" s="18">
        <v>1</v>
      </c>
      <c r="K2103" s="18">
        <v>0</v>
      </c>
      <c r="L2103" s="18">
        <v>0</v>
      </c>
      <c r="M2103" s="16">
        <v>0</v>
      </c>
      <c r="N2103" s="16">
        <v>0</v>
      </c>
      <c r="O2103" s="16">
        <v>5</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10</v>
      </c>
      <c r="AG2103" s="16">
        <v>2</v>
      </c>
      <c r="AH2103" s="16" t="s">
        <v>213</v>
      </c>
      <c r="AI2103" s="12">
        <v>2</v>
      </c>
      <c r="AJ2103" s="12">
        <v>2</v>
      </c>
      <c r="AK2103" s="12">
        <v>0</v>
      </c>
      <c r="AL2103" s="12">
        <v>1.5</v>
      </c>
      <c r="AM2103" s="16">
        <v>0</v>
      </c>
      <c r="AN2103" s="16">
        <v>0</v>
      </c>
      <c r="AO2103" s="16">
        <v>0</v>
      </c>
      <c r="AP2103" s="16">
        <v>0</v>
      </c>
      <c r="AQ2103" s="16">
        <v>3000</v>
      </c>
      <c r="AR2103" s="16">
        <v>0.5</v>
      </c>
      <c r="AS2103" s="16">
        <v>0</v>
      </c>
      <c r="AT2103" s="12">
        <v>0</v>
      </c>
      <c r="AU2103" s="16" t="s">
        <v>198</v>
      </c>
      <c r="AV2103" s="16"/>
      <c r="AW2103" s="17" t="s">
        <v>199</v>
      </c>
      <c r="AX2103" s="16">
        <v>0</v>
      </c>
      <c r="AY2103" s="18">
        <v>0</v>
      </c>
      <c r="AZ2103" s="18">
        <v>0</v>
      </c>
      <c r="BA2103" s="17" t="s">
        <v>200</v>
      </c>
      <c r="BB2103" s="16" t="s">
        <v>4528</v>
      </c>
      <c r="BC2103" s="27">
        <v>0</v>
      </c>
      <c r="BD2103" s="27">
        <v>0</v>
      </c>
      <c r="BE2103" s="44" t="s">
        <v>4645</v>
      </c>
      <c r="BF2103" s="44" t="s">
        <v>4646</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80002025</v>
      </c>
      <c r="D2104" s="17" t="s">
        <v>4647</v>
      </c>
      <c r="E2104" s="276" t="s">
        <v>4648</v>
      </c>
      <c r="F2104" s="18">
        <v>1</v>
      </c>
      <c r="G2104" s="16">
        <v>80002025</v>
      </c>
      <c r="H2104" s="12">
        <v>0</v>
      </c>
      <c r="I2104" s="12">
        <v>0</v>
      </c>
      <c r="J2104" s="18">
        <v>1</v>
      </c>
      <c r="K2104" s="18">
        <v>0</v>
      </c>
      <c r="L2104" s="12">
        <v>0</v>
      </c>
      <c r="M2104" s="12">
        <v>0</v>
      </c>
      <c r="N2104" s="12">
        <v>0</v>
      </c>
      <c r="O2104" s="12">
        <v>2</v>
      </c>
      <c r="P2104" s="12">
        <v>10</v>
      </c>
      <c r="Q2104" s="12">
        <v>0.1</v>
      </c>
      <c r="R2104" s="12">
        <v>0</v>
      </c>
      <c r="S2104" s="12">
        <v>0</v>
      </c>
      <c r="T2104" s="12">
        <v>0</v>
      </c>
      <c r="U2104" s="16">
        <v>1</v>
      </c>
      <c r="V2104" s="12">
        <v>2</v>
      </c>
      <c r="W2104" s="12">
        <v>0</v>
      </c>
      <c r="X2104" s="12">
        <v>2.5</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12" t="s">
        <v>198</v>
      </c>
      <c r="AV2104" s="12"/>
      <c r="AW2104" s="17" t="s">
        <v>199</v>
      </c>
      <c r="AX2104" s="12" t="s">
        <v>1677</v>
      </c>
      <c r="AY2104" s="12" t="s">
        <v>198</v>
      </c>
      <c r="AZ2104" s="12" t="s">
        <v>1911</v>
      </c>
      <c r="BA2104" s="13" t="s">
        <v>200</v>
      </c>
      <c r="BB2104" s="12">
        <v>0</v>
      </c>
      <c r="BC2104" s="27">
        <v>0</v>
      </c>
      <c r="BD2104" s="27">
        <v>0</v>
      </c>
      <c r="BE2104" s="42" t="s">
        <v>4649</v>
      </c>
      <c r="BF2104" s="42" t="s">
        <v>4650</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80002026</v>
      </c>
      <c r="D2105" s="17" t="s">
        <v>4651</v>
      </c>
      <c r="E2105" s="276" t="s">
        <v>4652</v>
      </c>
      <c r="F2105" s="18">
        <v>1</v>
      </c>
      <c r="G2105" s="16">
        <v>80002026</v>
      </c>
      <c r="H2105" s="12">
        <v>0</v>
      </c>
      <c r="I2105" s="12">
        <v>0</v>
      </c>
      <c r="J2105" s="18">
        <v>1</v>
      </c>
      <c r="K2105" s="18">
        <v>0</v>
      </c>
      <c r="L2105" s="12">
        <v>0</v>
      </c>
      <c r="M2105" s="12">
        <v>0</v>
      </c>
      <c r="N2105" s="12">
        <v>0</v>
      </c>
      <c r="O2105" s="12">
        <v>2</v>
      </c>
      <c r="P2105" s="12">
        <v>1</v>
      </c>
      <c r="Q2105" s="12">
        <v>0.2</v>
      </c>
      <c r="R2105" s="12">
        <v>0</v>
      </c>
      <c r="S2105" s="12">
        <v>0</v>
      </c>
      <c r="T2105" s="12">
        <v>0</v>
      </c>
      <c r="U2105" s="16">
        <v>1</v>
      </c>
      <c r="V2105" s="12">
        <v>2</v>
      </c>
      <c r="W2105" s="12">
        <v>0</v>
      </c>
      <c r="X2105" s="12">
        <v>0</v>
      </c>
      <c r="Y2105" s="12">
        <v>0</v>
      </c>
      <c r="Z2105" s="12">
        <v>0</v>
      </c>
      <c r="AA2105" s="12">
        <v>0</v>
      </c>
      <c r="AB2105" s="12">
        <v>0</v>
      </c>
      <c r="AC2105" s="12">
        <v>0</v>
      </c>
      <c r="AD2105" s="18">
        <v>0</v>
      </c>
      <c r="AE2105" s="12">
        <v>0</v>
      </c>
      <c r="AF2105" s="12">
        <v>10</v>
      </c>
      <c r="AG2105" s="12">
        <v>0</v>
      </c>
      <c r="AH2105" s="12">
        <v>0</v>
      </c>
      <c r="AI2105" s="12">
        <v>7</v>
      </c>
      <c r="AJ2105" s="12">
        <v>0</v>
      </c>
      <c r="AK2105" s="12">
        <v>0</v>
      </c>
      <c r="AL2105" s="12">
        <v>6</v>
      </c>
      <c r="AM2105" s="12">
        <v>0</v>
      </c>
      <c r="AN2105" s="12">
        <v>0</v>
      </c>
      <c r="AO2105" s="12">
        <v>0</v>
      </c>
      <c r="AP2105" s="12">
        <v>0</v>
      </c>
      <c r="AQ2105" s="12">
        <v>1000</v>
      </c>
      <c r="AR2105" s="12">
        <v>0</v>
      </c>
      <c r="AS2105" s="12">
        <v>0</v>
      </c>
      <c r="AT2105" s="12">
        <v>0</v>
      </c>
      <c r="AU2105" s="12">
        <v>80002004</v>
      </c>
      <c r="AV2105" s="12"/>
      <c r="AW2105" s="17" t="s">
        <v>199</v>
      </c>
      <c r="AX2105" s="12">
        <v>0</v>
      </c>
      <c r="AY2105" s="12" t="s">
        <v>198</v>
      </c>
      <c r="AZ2105" s="12">
        <v>0</v>
      </c>
      <c r="BA2105" s="13" t="s">
        <v>200</v>
      </c>
      <c r="BB2105" s="12">
        <v>0</v>
      </c>
      <c r="BC2105" s="27">
        <v>0</v>
      </c>
      <c r="BD2105" s="27">
        <v>0</v>
      </c>
      <c r="BE2105" s="42" t="s">
        <v>4653</v>
      </c>
      <c r="BF2105" s="42" t="s">
        <v>4654</v>
      </c>
      <c r="BG2105" s="12">
        <v>0</v>
      </c>
      <c r="BH2105" s="16">
        <v>0</v>
      </c>
      <c r="BI2105" s="16"/>
      <c r="BJ2105" s="16"/>
      <c r="BK2105" s="16"/>
      <c r="BL2105" s="18"/>
      <c r="BM2105" s="15">
        <v>0</v>
      </c>
      <c r="BN2105" s="12">
        <v>0</v>
      </c>
      <c r="BO2105" s="12">
        <v>0</v>
      </c>
      <c r="BP2105" s="12">
        <v>0</v>
      </c>
      <c r="BQ2105" s="12">
        <v>0</v>
      </c>
      <c r="BR2105" s="12">
        <v>0</v>
      </c>
      <c r="BS2105" s="12">
        <v>0</v>
      </c>
      <c r="BT2105" s="12">
        <v>0</v>
      </c>
      <c r="BU2105" s="47">
        <v>0</v>
      </c>
      <c r="BV2105" s="47"/>
      <c r="BW2105" s="47"/>
    </row>
    <row r="2106" spans="3:75" ht="20.100000000000001" customHeight="1">
      <c r="C2106" s="18">
        <v>80002027</v>
      </c>
      <c r="D2106" s="17" t="s">
        <v>4655</v>
      </c>
      <c r="E2106" s="276" t="s">
        <v>4656</v>
      </c>
      <c r="F2106" s="16">
        <v>1</v>
      </c>
      <c r="G2106" s="16">
        <v>80002027</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4539</v>
      </c>
      <c r="BC2106" s="27">
        <v>0</v>
      </c>
      <c r="BD2106" s="27">
        <v>0</v>
      </c>
      <c r="BE2106" s="44" t="s">
        <v>4657</v>
      </c>
      <c r="BF2106" s="44" t="s">
        <v>4658</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80002028</v>
      </c>
      <c r="D2107" s="17" t="s">
        <v>4659</v>
      </c>
      <c r="E2107" s="276" t="s">
        <v>4660</v>
      </c>
      <c r="F2107" s="16">
        <v>1</v>
      </c>
      <c r="G2107" s="16">
        <v>80002028</v>
      </c>
      <c r="H2107" s="18">
        <v>0</v>
      </c>
      <c r="I2107" s="27">
        <v>0</v>
      </c>
      <c r="J2107" s="18">
        <v>1</v>
      </c>
      <c r="K2107" s="18">
        <v>0</v>
      </c>
      <c r="L2107" s="18">
        <v>0</v>
      </c>
      <c r="M2107" s="16">
        <v>0</v>
      </c>
      <c r="N2107" s="16">
        <v>0</v>
      </c>
      <c r="O2107" s="16">
        <v>2</v>
      </c>
      <c r="P2107" s="16">
        <v>9</v>
      </c>
      <c r="Q2107" s="16">
        <v>0.1</v>
      </c>
      <c r="R2107" s="16">
        <v>0</v>
      </c>
      <c r="S2107" s="12">
        <v>0</v>
      </c>
      <c r="T2107" s="16">
        <v>0</v>
      </c>
      <c r="U2107" s="16">
        <v>1</v>
      </c>
      <c r="V2107" s="16">
        <v>1</v>
      </c>
      <c r="W2107" s="16">
        <v>0</v>
      </c>
      <c r="X2107" s="16">
        <v>2</v>
      </c>
      <c r="Y2107" s="12">
        <v>0</v>
      </c>
      <c r="Z2107" s="16">
        <v>0</v>
      </c>
      <c r="AA2107" s="16">
        <v>0</v>
      </c>
      <c r="AB2107" s="16">
        <v>0</v>
      </c>
      <c r="AC2107" s="16">
        <v>0</v>
      </c>
      <c r="AD2107" s="16">
        <v>0</v>
      </c>
      <c r="AE2107" s="16">
        <v>0</v>
      </c>
      <c r="AF2107" s="16">
        <v>3</v>
      </c>
      <c r="AG2107" s="16">
        <v>2</v>
      </c>
      <c r="AH2107" s="16" t="s">
        <v>213</v>
      </c>
      <c r="AI2107" s="12">
        <v>0</v>
      </c>
      <c r="AJ2107" s="12">
        <v>0</v>
      </c>
      <c r="AK2107" s="12">
        <v>0</v>
      </c>
      <c r="AL2107" s="12">
        <v>1.5</v>
      </c>
      <c r="AM2107" s="16">
        <v>0</v>
      </c>
      <c r="AN2107" s="16">
        <v>0</v>
      </c>
      <c r="AO2107" s="16">
        <v>0</v>
      </c>
      <c r="AP2107" s="16">
        <v>0</v>
      </c>
      <c r="AQ2107" s="16">
        <v>3000</v>
      </c>
      <c r="AR2107" s="16">
        <v>0.5</v>
      </c>
      <c r="AS2107" s="16">
        <v>0</v>
      </c>
      <c r="AT2107" s="12">
        <v>0</v>
      </c>
      <c r="AU2107" s="16">
        <v>0</v>
      </c>
      <c r="AV2107" s="16"/>
      <c r="AW2107" s="17" t="s">
        <v>199</v>
      </c>
      <c r="AX2107" s="16">
        <v>0</v>
      </c>
      <c r="AY2107" s="18">
        <v>10000007</v>
      </c>
      <c r="AZ2107" s="18">
        <v>23000040</v>
      </c>
      <c r="BA2107" s="17" t="s">
        <v>200</v>
      </c>
      <c r="BB2107" s="16">
        <v>0</v>
      </c>
      <c r="BC2107" s="27">
        <v>0</v>
      </c>
      <c r="BD2107" s="27">
        <v>1</v>
      </c>
      <c r="BE2107" s="44" t="s">
        <v>1908</v>
      </c>
      <c r="BF2107" s="44" t="s">
        <v>1909</v>
      </c>
      <c r="BG2107" s="16">
        <v>0</v>
      </c>
      <c r="BH2107" s="16">
        <v>0</v>
      </c>
      <c r="BI2107" s="16"/>
      <c r="BJ2107" s="16"/>
      <c r="BK2107" s="16"/>
      <c r="BL2107" s="18"/>
      <c r="BM2107" s="16">
        <v>0</v>
      </c>
      <c r="BN2107" s="12">
        <v>0</v>
      </c>
      <c r="BO2107" s="12">
        <v>0</v>
      </c>
      <c r="BP2107" s="12">
        <v>0</v>
      </c>
      <c r="BQ2107" s="12">
        <v>0</v>
      </c>
      <c r="BR2107" s="12">
        <v>0</v>
      </c>
      <c r="BS2107" s="12">
        <v>0</v>
      </c>
      <c r="BT2107" s="12">
        <v>0</v>
      </c>
      <c r="BU2107" s="47">
        <v>0</v>
      </c>
      <c r="BV2107" s="47"/>
      <c r="BW2107" s="47"/>
    </row>
    <row r="2108" spans="3:75" ht="20.100000000000001" customHeight="1">
      <c r="C2108" s="18">
        <v>80003001</v>
      </c>
      <c r="D2108" s="59" t="s">
        <v>4661</v>
      </c>
      <c r="E2108" s="59" t="s">
        <v>4662</v>
      </c>
      <c r="F2108" s="60">
        <v>1</v>
      </c>
      <c r="G2108" s="18">
        <v>80003001</v>
      </c>
      <c r="H2108" s="60">
        <v>0</v>
      </c>
      <c r="I2108" s="66">
        <v>0</v>
      </c>
      <c r="J2108" s="64">
        <v>1</v>
      </c>
      <c r="K2108" s="64">
        <v>0</v>
      </c>
      <c r="L2108" s="64">
        <v>0</v>
      </c>
      <c r="M2108" s="60">
        <v>0</v>
      </c>
      <c r="N2108" s="60">
        <v>0</v>
      </c>
      <c r="O2108" s="60">
        <v>2</v>
      </c>
      <c r="P2108" s="60">
        <v>3</v>
      </c>
      <c r="Q2108" s="60">
        <v>0.2</v>
      </c>
      <c r="R2108" s="60">
        <v>0</v>
      </c>
      <c r="S2108" s="68">
        <v>0</v>
      </c>
      <c r="T2108" s="60">
        <v>0</v>
      </c>
      <c r="U2108" s="60">
        <v>1</v>
      </c>
      <c r="V2108" s="60">
        <v>1</v>
      </c>
      <c r="W2108" s="60">
        <v>0</v>
      </c>
      <c r="X2108" s="60">
        <v>0.3</v>
      </c>
      <c r="Y2108" s="12">
        <v>0</v>
      </c>
      <c r="Z2108" s="60">
        <v>0</v>
      </c>
      <c r="AA2108" s="60">
        <v>0</v>
      </c>
      <c r="AB2108" s="60">
        <v>0</v>
      </c>
      <c r="AC2108" s="60">
        <v>0</v>
      </c>
      <c r="AD2108" s="60">
        <v>0</v>
      </c>
      <c r="AE2108" s="60">
        <v>1</v>
      </c>
      <c r="AF2108" s="60">
        <v>3</v>
      </c>
      <c r="AG2108" s="60">
        <v>1</v>
      </c>
      <c r="AH2108" s="60">
        <v>2</v>
      </c>
      <c r="AI2108" s="68">
        <v>0</v>
      </c>
      <c r="AJ2108" s="68">
        <v>2</v>
      </c>
      <c r="AK2108" s="68">
        <v>0</v>
      </c>
      <c r="AL2108" s="68">
        <v>1.5</v>
      </c>
      <c r="AM2108" s="60">
        <v>0</v>
      </c>
      <c r="AN2108" s="60">
        <v>0</v>
      </c>
      <c r="AO2108" s="60">
        <v>0</v>
      </c>
      <c r="AP2108" s="60">
        <v>0.5</v>
      </c>
      <c r="AQ2108" s="60">
        <v>2000</v>
      </c>
      <c r="AR2108" s="60">
        <v>0.1</v>
      </c>
      <c r="AS2108" s="60">
        <v>8</v>
      </c>
      <c r="AT2108" s="68">
        <v>0</v>
      </c>
      <c r="AU2108" s="60">
        <v>0</v>
      </c>
      <c r="AV2108" s="60"/>
      <c r="AW2108" s="59" t="s">
        <v>198</v>
      </c>
      <c r="AX2108" s="60">
        <v>0</v>
      </c>
      <c r="AY2108" s="64">
        <v>0</v>
      </c>
      <c r="AZ2108" s="64">
        <v>23000101</v>
      </c>
      <c r="BA2108" s="59" t="s">
        <v>586</v>
      </c>
      <c r="BB2108" s="60">
        <v>0</v>
      </c>
      <c r="BC2108" s="66">
        <v>0</v>
      </c>
      <c r="BD2108" s="66">
        <v>1</v>
      </c>
      <c r="BE2108" s="90" t="s">
        <v>4663</v>
      </c>
      <c r="BF2108" s="90" t="s">
        <v>4664</v>
      </c>
      <c r="BG2108" s="60">
        <v>0</v>
      </c>
      <c r="BH2108" s="60">
        <v>0</v>
      </c>
      <c r="BI2108" s="60">
        <v>0</v>
      </c>
      <c r="BJ2108" s="60">
        <v>0</v>
      </c>
      <c r="BK2108" s="60">
        <v>0</v>
      </c>
      <c r="BL2108" s="60">
        <v>0</v>
      </c>
      <c r="BM2108" s="60">
        <v>0</v>
      </c>
      <c r="BN2108" s="68">
        <v>0</v>
      </c>
      <c r="BO2108" s="68">
        <v>0</v>
      </c>
      <c r="BP2108" s="68">
        <v>0</v>
      </c>
      <c r="BQ2108" s="68">
        <v>0</v>
      </c>
      <c r="BR2108" s="68">
        <v>0</v>
      </c>
      <c r="BS2108" s="68">
        <v>1</v>
      </c>
      <c r="BT2108" s="12">
        <v>0</v>
      </c>
      <c r="BU2108" s="47">
        <v>0</v>
      </c>
      <c r="BV2108" s="47"/>
      <c r="BW2108" s="47"/>
    </row>
    <row r="2109" spans="3:75" ht="20.100000000000001" customHeight="1">
      <c r="C2109" s="18">
        <v>80003002</v>
      </c>
      <c r="D2109" s="59" t="s">
        <v>4665</v>
      </c>
      <c r="E2109" s="59" t="s">
        <v>4666</v>
      </c>
      <c r="F2109" s="60">
        <v>1</v>
      </c>
      <c r="G2109" s="18">
        <v>80003002</v>
      </c>
      <c r="H2109" s="60">
        <v>0</v>
      </c>
      <c r="I2109" s="66">
        <v>0</v>
      </c>
      <c r="J2109" s="64">
        <v>1</v>
      </c>
      <c r="K2109" s="64">
        <v>0</v>
      </c>
      <c r="L2109" s="64">
        <v>0</v>
      </c>
      <c r="M2109" s="60">
        <v>0</v>
      </c>
      <c r="N2109" s="60">
        <v>0</v>
      </c>
      <c r="O2109" s="60">
        <v>2</v>
      </c>
      <c r="P2109" s="60">
        <v>1</v>
      </c>
      <c r="Q2109" s="60">
        <v>0.1</v>
      </c>
      <c r="R2109" s="60">
        <v>0</v>
      </c>
      <c r="S2109" s="68">
        <v>2</v>
      </c>
      <c r="T2109" s="60">
        <v>0</v>
      </c>
      <c r="U2109" s="60">
        <v>1</v>
      </c>
      <c r="V2109" s="60">
        <v>1</v>
      </c>
      <c r="W2109" s="60">
        <v>0</v>
      </c>
      <c r="X2109" s="60">
        <v>2</v>
      </c>
      <c r="Y2109" s="12">
        <v>0</v>
      </c>
      <c r="Z2109" s="60">
        <v>0</v>
      </c>
      <c r="AA2109" s="60">
        <v>0</v>
      </c>
      <c r="AB2109" s="60">
        <v>0</v>
      </c>
      <c r="AC2109" s="60">
        <v>0</v>
      </c>
      <c r="AD2109" s="60">
        <v>0</v>
      </c>
      <c r="AE2109" s="60">
        <v>1</v>
      </c>
      <c r="AF2109" s="60">
        <v>5</v>
      </c>
      <c r="AG2109" s="60">
        <v>1</v>
      </c>
      <c r="AH2109" s="60">
        <v>1</v>
      </c>
      <c r="AI2109" s="68">
        <v>7</v>
      </c>
      <c r="AJ2109" s="68">
        <v>1</v>
      </c>
      <c r="AK2109" s="68">
        <v>0</v>
      </c>
      <c r="AL2109" s="68">
        <v>1.5</v>
      </c>
      <c r="AM2109" s="60">
        <v>0</v>
      </c>
      <c r="AN2109" s="60">
        <v>0</v>
      </c>
      <c r="AO2109" s="60">
        <v>0</v>
      </c>
      <c r="AP2109" s="60">
        <v>0</v>
      </c>
      <c r="AQ2109" s="60">
        <v>500</v>
      </c>
      <c r="AR2109" s="60">
        <v>0.1</v>
      </c>
      <c r="AS2109" s="60">
        <v>0</v>
      </c>
      <c r="AT2109" s="68">
        <v>0</v>
      </c>
      <c r="AU2109" s="352" t="s">
        <v>4667</v>
      </c>
      <c r="AV2109" s="60"/>
      <c r="AW2109" s="59" t="s">
        <v>198</v>
      </c>
      <c r="AX2109" s="60">
        <v>0</v>
      </c>
      <c r="AY2109" s="64">
        <v>0</v>
      </c>
      <c r="AZ2109" s="64">
        <v>0</v>
      </c>
      <c r="BA2109" s="59" t="s">
        <v>200</v>
      </c>
      <c r="BB2109" s="60">
        <v>0</v>
      </c>
      <c r="BC2109" s="66">
        <v>0</v>
      </c>
      <c r="BD2109" s="66">
        <v>1</v>
      </c>
      <c r="BE2109" s="90" t="s">
        <v>4668</v>
      </c>
      <c r="BF2109" s="90" t="s">
        <v>4669</v>
      </c>
      <c r="BG2109" s="60">
        <v>0</v>
      </c>
      <c r="BH2109" s="60">
        <v>0</v>
      </c>
      <c r="BI2109" s="60">
        <v>0</v>
      </c>
      <c r="BJ2109" s="60">
        <v>0</v>
      </c>
      <c r="BK2109" s="60">
        <v>0</v>
      </c>
      <c r="BL2109" s="60">
        <v>0</v>
      </c>
      <c r="BM2109" s="60">
        <v>0</v>
      </c>
      <c r="BN2109" s="68">
        <v>0</v>
      </c>
      <c r="BO2109" s="68">
        <v>0</v>
      </c>
      <c r="BP2109" s="68">
        <v>0</v>
      </c>
      <c r="BQ2109" s="68">
        <v>0</v>
      </c>
      <c r="BR2109" s="68">
        <v>0</v>
      </c>
      <c r="BS2109" s="68">
        <v>1</v>
      </c>
      <c r="BT2109" s="12">
        <v>0</v>
      </c>
      <c r="BU2109" s="47">
        <v>0</v>
      </c>
      <c r="BV2109" s="47"/>
      <c r="BW2109" s="47"/>
    </row>
    <row r="2110" spans="3:75" ht="19.5" customHeight="1">
      <c r="C2110" s="18">
        <v>80003003</v>
      </c>
      <c r="D2110" s="59" t="s">
        <v>4670</v>
      </c>
      <c r="E2110" s="59" t="s">
        <v>4671</v>
      </c>
      <c r="F2110" s="64">
        <v>1</v>
      </c>
      <c r="G2110" s="18">
        <v>80003003</v>
      </c>
      <c r="H2110" s="64">
        <v>0</v>
      </c>
      <c r="I2110" s="66">
        <v>0</v>
      </c>
      <c r="J2110" s="64">
        <v>1</v>
      </c>
      <c r="K2110" s="64">
        <v>0</v>
      </c>
      <c r="L2110" s="64">
        <v>0</v>
      </c>
      <c r="M2110" s="60">
        <v>0</v>
      </c>
      <c r="N2110" s="60">
        <v>0</v>
      </c>
      <c r="O2110" s="60">
        <v>2</v>
      </c>
      <c r="P2110" s="60">
        <v>1</v>
      </c>
      <c r="Q2110" s="60">
        <v>0.1</v>
      </c>
      <c r="R2110" s="60">
        <v>0</v>
      </c>
      <c r="S2110" s="68">
        <v>1</v>
      </c>
      <c r="T2110" s="60">
        <v>0</v>
      </c>
      <c r="U2110" s="60">
        <v>1</v>
      </c>
      <c r="V2110" s="60">
        <v>2</v>
      </c>
      <c r="W2110" s="60">
        <v>0</v>
      </c>
      <c r="X2110" s="60">
        <v>2</v>
      </c>
      <c r="Y2110" s="12">
        <v>0</v>
      </c>
      <c r="Z2110" s="60">
        <v>0</v>
      </c>
      <c r="AA2110" s="60">
        <v>1</v>
      </c>
      <c r="AB2110" s="60">
        <v>0</v>
      </c>
      <c r="AC2110" s="60">
        <v>0</v>
      </c>
      <c r="AD2110" s="60">
        <v>0</v>
      </c>
      <c r="AE2110" s="60">
        <v>0</v>
      </c>
      <c r="AF2110" s="60">
        <v>0</v>
      </c>
      <c r="AG2110" s="60">
        <v>1</v>
      </c>
      <c r="AH2110" s="60">
        <v>3</v>
      </c>
      <c r="AI2110" s="68">
        <v>0</v>
      </c>
      <c r="AJ2110" s="68">
        <v>1</v>
      </c>
      <c r="AK2110" s="68">
        <v>0</v>
      </c>
      <c r="AL2110" s="68">
        <v>1.5</v>
      </c>
      <c r="AM2110" s="60">
        <v>0</v>
      </c>
      <c r="AN2110" s="60">
        <v>0</v>
      </c>
      <c r="AO2110" s="60">
        <v>0</v>
      </c>
      <c r="AP2110" s="60">
        <v>0</v>
      </c>
      <c r="AQ2110" s="60">
        <v>3000</v>
      </c>
      <c r="AR2110" s="60">
        <v>0.5</v>
      </c>
      <c r="AS2110" s="60">
        <v>0</v>
      </c>
      <c r="AT2110" s="68">
        <v>0</v>
      </c>
      <c r="AU2110" s="60">
        <v>80005021</v>
      </c>
      <c r="AV2110" s="60"/>
      <c r="AW2110" s="63" t="s">
        <v>198</v>
      </c>
      <c r="AX2110" s="60" t="s">
        <v>534</v>
      </c>
      <c r="AY2110" s="64">
        <v>0</v>
      </c>
      <c r="AZ2110" s="64">
        <v>23000102</v>
      </c>
      <c r="BA2110" s="59" t="s">
        <v>200</v>
      </c>
      <c r="BB2110" s="60">
        <v>0</v>
      </c>
      <c r="BC2110" s="66">
        <v>0</v>
      </c>
      <c r="BD2110" s="66">
        <v>0</v>
      </c>
      <c r="BE2110" s="90" t="s">
        <v>4672</v>
      </c>
      <c r="BF2110" s="90" t="s">
        <v>4673</v>
      </c>
      <c r="BG2110" s="60">
        <v>0</v>
      </c>
      <c r="BH2110" s="60">
        <v>0</v>
      </c>
      <c r="BI2110" s="60">
        <v>0</v>
      </c>
      <c r="BJ2110" s="60">
        <v>0</v>
      </c>
      <c r="BK2110" s="60">
        <v>0</v>
      </c>
      <c r="BL2110" s="60">
        <v>0</v>
      </c>
      <c r="BM2110" s="93">
        <v>0</v>
      </c>
      <c r="BN2110" s="68">
        <v>0</v>
      </c>
      <c r="BO2110" s="68">
        <v>0</v>
      </c>
      <c r="BP2110" s="68">
        <v>0</v>
      </c>
      <c r="BQ2110" s="68">
        <v>0</v>
      </c>
      <c r="BR2110" s="68">
        <v>0</v>
      </c>
      <c r="BS2110" s="68">
        <v>1</v>
      </c>
      <c r="BT2110" s="12">
        <v>0</v>
      </c>
      <c r="BU2110" s="47">
        <v>0</v>
      </c>
      <c r="BV2110" s="47"/>
      <c r="BW2110" s="47"/>
    </row>
    <row r="2111" spans="3:75" ht="19.5" customHeight="1">
      <c r="C2111" s="64">
        <v>80003004</v>
      </c>
      <c r="D2111" s="63" t="s">
        <v>4674</v>
      </c>
      <c r="E2111" s="63" t="s">
        <v>4675</v>
      </c>
      <c r="F2111" s="64">
        <v>1</v>
      </c>
      <c r="G2111" s="64">
        <v>80003004</v>
      </c>
      <c r="H2111" s="64">
        <v>0</v>
      </c>
      <c r="I2111" s="64">
        <v>0</v>
      </c>
      <c r="J2111" s="64">
        <v>1</v>
      </c>
      <c r="K2111" s="64">
        <v>0</v>
      </c>
      <c r="L2111" s="64">
        <v>0</v>
      </c>
      <c r="M2111" s="64">
        <v>0</v>
      </c>
      <c r="N2111" s="64">
        <v>0</v>
      </c>
      <c r="O2111" s="64">
        <v>2</v>
      </c>
      <c r="P2111" s="64">
        <v>6</v>
      </c>
      <c r="Q2111" s="64">
        <v>1</v>
      </c>
      <c r="R2111" s="64">
        <v>1</v>
      </c>
      <c r="S2111" s="64">
        <v>1</v>
      </c>
      <c r="T2111" s="64">
        <v>0</v>
      </c>
      <c r="U2111" s="64">
        <v>1</v>
      </c>
      <c r="V2111" s="64">
        <v>2</v>
      </c>
      <c r="W2111" s="64">
        <v>0</v>
      </c>
      <c r="X2111" s="64">
        <v>3</v>
      </c>
      <c r="Y2111" s="12">
        <v>0</v>
      </c>
      <c r="Z2111" s="64">
        <v>0</v>
      </c>
      <c r="AA2111" s="64">
        <v>1</v>
      </c>
      <c r="AB2111" s="64">
        <v>0</v>
      </c>
      <c r="AC2111" s="64">
        <v>0</v>
      </c>
      <c r="AD2111" s="64">
        <v>0</v>
      </c>
      <c r="AE2111" s="64">
        <v>1</v>
      </c>
      <c r="AF2111" s="64">
        <v>15</v>
      </c>
      <c r="AG2111" s="64">
        <v>1</v>
      </c>
      <c r="AH2111" s="64">
        <v>4</v>
      </c>
      <c r="AI2111" s="64">
        <v>0</v>
      </c>
      <c r="AJ2111" s="64">
        <v>1</v>
      </c>
      <c r="AK2111" s="64">
        <v>0</v>
      </c>
      <c r="AL2111" s="64">
        <v>3</v>
      </c>
      <c r="AM2111" s="64">
        <v>0</v>
      </c>
      <c r="AN2111" s="64">
        <v>0</v>
      </c>
      <c r="AO2111" s="64">
        <v>0</v>
      </c>
      <c r="AP2111" s="64">
        <v>0</v>
      </c>
      <c r="AQ2111" s="64">
        <v>2000</v>
      </c>
      <c r="AR2111" s="64">
        <v>0</v>
      </c>
      <c r="AS2111" s="64">
        <v>0</v>
      </c>
      <c r="AT2111" s="64">
        <v>0</v>
      </c>
      <c r="AU2111" s="64">
        <v>80005031</v>
      </c>
      <c r="AV2111" s="64"/>
      <c r="AW2111" s="63" t="s">
        <v>198</v>
      </c>
      <c r="AX2111" s="64" t="s">
        <v>534</v>
      </c>
      <c r="AY2111" s="64">
        <v>0</v>
      </c>
      <c r="AZ2111" s="64">
        <v>23000103</v>
      </c>
      <c r="BA2111" s="63" t="s">
        <v>200</v>
      </c>
      <c r="BB2111" s="64">
        <v>0</v>
      </c>
      <c r="BC2111" s="64">
        <v>0</v>
      </c>
      <c r="BD2111" s="64">
        <v>0</v>
      </c>
      <c r="BE2111" s="92" t="s">
        <v>4676</v>
      </c>
      <c r="BF2111" s="92" t="s">
        <v>4677</v>
      </c>
      <c r="BG2111" s="64">
        <v>0</v>
      </c>
      <c r="BH2111" s="64">
        <v>0</v>
      </c>
      <c r="BI2111" s="64">
        <v>0</v>
      </c>
      <c r="BJ2111" s="64">
        <v>0</v>
      </c>
      <c r="BK2111" s="64">
        <v>0</v>
      </c>
      <c r="BL2111" s="64">
        <v>0</v>
      </c>
      <c r="BM2111" s="93">
        <v>0</v>
      </c>
      <c r="BN2111" s="64">
        <v>0</v>
      </c>
      <c r="BO2111" s="64">
        <v>0</v>
      </c>
      <c r="BP2111" s="64">
        <v>0</v>
      </c>
      <c r="BQ2111" s="64">
        <v>0</v>
      </c>
      <c r="BR2111" s="64">
        <v>0</v>
      </c>
      <c r="BS2111" s="64">
        <v>1</v>
      </c>
      <c r="BT2111" s="12">
        <v>0</v>
      </c>
      <c r="BU2111" s="47">
        <v>0</v>
      </c>
      <c r="BV2111" s="47"/>
      <c r="BW2111" s="47"/>
    </row>
    <row r="2112" spans="3:75" ht="18.75" customHeight="1">
      <c r="C2112" s="18">
        <v>80003005</v>
      </c>
      <c r="D2112" s="63" t="s">
        <v>1587</v>
      </c>
      <c r="E2112" s="63" t="s">
        <v>1588</v>
      </c>
      <c r="F2112" s="64">
        <v>1</v>
      </c>
      <c r="G2112" s="18">
        <v>80003005</v>
      </c>
      <c r="H2112" s="64">
        <v>0</v>
      </c>
      <c r="I2112" s="66">
        <v>0</v>
      </c>
      <c r="J2112" s="64">
        <v>1</v>
      </c>
      <c r="K2112" s="64">
        <v>0</v>
      </c>
      <c r="L2112" s="64">
        <v>0</v>
      </c>
      <c r="M2112" s="64">
        <v>0</v>
      </c>
      <c r="N2112" s="64">
        <v>0</v>
      </c>
      <c r="O2112" s="64">
        <v>2</v>
      </c>
      <c r="P2112" s="64">
        <v>10</v>
      </c>
      <c r="Q2112" s="64">
        <v>0.2</v>
      </c>
      <c r="R2112" s="64">
        <v>0</v>
      </c>
      <c r="S2112" s="68">
        <v>0</v>
      </c>
      <c r="T2112" s="66">
        <v>0</v>
      </c>
      <c r="U2112" s="60">
        <v>1</v>
      </c>
      <c r="V2112" s="64">
        <v>2</v>
      </c>
      <c r="W2112" s="64">
        <v>0</v>
      </c>
      <c r="X2112" s="64">
        <v>1.5</v>
      </c>
      <c r="Y2112" s="12">
        <v>0</v>
      </c>
      <c r="Z2112" s="64">
        <v>0</v>
      </c>
      <c r="AA2112" s="64">
        <v>0</v>
      </c>
      <c r="AB2112" s="64">
        <v>0</v>
      </c>
      <c r="AC2112" s="64">
        <v>0</v>
      </c>
      <c r="AD2112" s="64">
        <v>1</v>
      </c>
      <c r="AE2112" s="64">
        <v>1</v>
      </c>
      <c r="AF2112" s="64">
        <v>0</v>
      </c>
      <c r="AG2112" s="64">
        <v>1</v>
      </c>
      <c r="AH2112" s="64">
        <v>3</v>
      </c>
      <c r="AI2112" s="68">
        <v>2</v>
      </c>
      <c r="AJ2112" s="68">
        <v>1</v>
      </c>
      <c r="AK2112" s="68">
        <v>0</v>
      </c>
      <c r="AL2112" s="68">
        <v>6</v>
      </c>
      <c r="AM2112" s="64">
        <v>0</v>
      </c>
      <c r="AN2112" s="64">
        <v>0</v>
      </c>
      <c r="AO2112" s="64">
        <v>0</v>
      </c>
      <c r="AP2112" s="64">
        <v>0</v>
      </c>
      <c r="AQ2112" s="64">
        <v>5000</v>
      </c>
      <c r="AR2112" s="64">
        <v>0.2</v>
      </c>
      <c r="AS2112" s="64">
        <v>0</v>
      </c>
      <c r="AT2112" s="68">
        <v>0</v>
      </c>
      <c r="AU2112" s="64">
        <v>80005041</v>
      </c>
      <c r="AV2112" s="64"/>
      <c r="AW2112" s="63" t="s">
        <v>198</v>
      </c>
      <c r="AX2112" s="64" t="s">
        <v>1590</v>
      </c>
      <c r="AY2112" s="64">
        <v>10000006</v>
      </c>
      <c r="AZ2112" s="64">
        <v>23000106</v>
      </c>
      <c r="BA2112" s="63" t="s">
        <v>1591</v>
      </c>
      <c r="BB2112" s="63" t="s">
        <v>198</v>
      </c>
      <c r="BC2112" s="66">
        <v>0</v>
      </c>
      <c r="BD2112" s="66">
        <v>0</v>
      </c>
      <c r="BE2112" s="92" t="s">
        <v>4678</v>
      </c>
      <c r="BF2112" s="92" t="s">
        <v>4679</v>
      </c>
      <c r="BG2112" s="64">
        <v>0</v>
      </c>
      <c r="BH2112" s="60">
        <v>0</v>
      </c>
      <c r="BI2112" s="64">
        <v>0</v>
      </c>
      <c r="BJ2112" s="64">
        <v>0</v>
      </c>
      <c r="BK2112" s="64">
        <v>0</v>
      </c>
      <c r="BL2112" s="64">
        <v>0</v>
      </c>
      <c r="BM2112" s="93">
        <v>0</v>
      </c>
      <c r="BN2112" s="68">
        <v>1</v>
      </c>
      <c r="BO2112" s="68">
        <v>0</v>
      </c>
      <c r="BP2112" s="68">
        <v>0</v>
      </c>
      <c r="BQ2112" s="68">
        <v>0</v>
      </c>
      <c r="BR2112" s="68">
        <v>0</v>
      </c>
      <c r="BS2112" s="68">
        <v>1</v>
      </c>
      <c r="BT2112" s="12">
        <v>0</v>
      </c>
      <c r="BU2112" s="47">
        <v>0</v>
      </c>
      <c r="BV2112" s="47"/>
      <c r="BW2112" s="47"/>
    </row>
    <row r="2113" spans="3:75" ht="19.5" customHeight="1">
      <c r="C2113" s="18">
        <v>80003006</v>
      </c>
      <c r="D2113" s="59" t="s">
        <v>4680</v>
      </c>
      <c r="E2113" s="59" t="s">
        <v>4681</v>
      </c>
      <c r="F2113" s="64">
        <v>1</v>
      </c>
      <c r="G2113" s="18">
        <v>80003006</v>
      </c>
      <c r="H2113" s="64">
        <v>0</v>
      </c>
      <c r="I2113" s="66">
        <v>0</v>
      </c>
      <c r="J2113" s="64">
        <v>1</v>
      </c>
      <c r="K2113" s="64">
        <v>0</v>
      </c>
      <c r="L2113" s="64">
        <v>0</v>
      </c>
      <c r="M2113" s="60">
        <v>0</v>
      </c>
      <c r="N2113" s="60">
        <v>0</v>
      </c>
      <c r="O2113" s="60">
        <v>2</v>
      </c>
      <c r="P2113" s="60">
        <v>3</v>
      </c>
      <c r="Q2113" s="60">
        <v>0.15</v>
      </c>
      <c r="R2113" s="60">
        <v>0</v>
      </c>
      <c r="S2113" s="68">
        <v>0</v>
      </c>
      <c r="T2113" s="60">
        <v>0</v>
      </c>
      <c r="U2113" s="60">
        <v>1</v>
      </c>
      <c r="V2113" s="60">
        <v>1</v>
      </c>
      <c r="W2113" s="60">
        <v>0</v>
      </c>
      <c r="X2113" s="60">
        <v>2</v>
      </c>
      <c r="Y2113" s="12">
        <v>0</v>
      </c>
      <c r="Z2113" s="60">
        <v>0</v>
      </c>
      <c r="AA2113" s="60">
        <v>1</v>
      </c>
      <c r="AB2113" s="60">
        <v>0</v>
      </c>
      <c r="AC2113" s="60">
        <v>0</v>
      </c>
      <c r="AD2113" s="60">
        <v>0</v>
      </c>
      <c r="AE2113" s="60">
        <v>1</v>
      </c>
      <c r="AF2113" s="60">
        <v>0</v>
      </c>
      <c r="AG2113" s="60">
        <v>1</v>
      </c>
      <c r="AH2113" s="60">
        <v>4</v>
      </c>
      <c r="AI2113" s="68">
        <v>0</v>
      </c>
      <c r="AJ2113" s="68">
        <v>1</v>
      </c>
      <c r="AK2113" s="68">
        <v>0</v>
      </c>
      <c r="AL2113" s="68">
        <v>3</v>
      </c>
      <c r="AM2113" s="60">
        <v>0</v>
      </c>
      <c r="AN2113" s="60">
        <v>0</v>
      </c>
      <c r="AO2113" s="60">
        <v>0</v>
      </c>
      <c r="AP2113" s="60">
        <v>0</v>
      </c>
      <c r="AQ2113" s="60">
        <v>3000</v>
      </c>
      <c r="AR2113" s="60">
        <v>0.2</v>
      </c>
      <c r="AS2113" s="60">
        <v>0</v>
      </c>
      <c r="AT2113" s="68">
        <v>80005052</v>
      </c>
      <c r="AU2113" s="60">
        <v>80005051</v>
      </c>
      <c r="AV2113" s="60"/>
      <c r="AW2113" s="63" t="s">
        <v>198</v>
      </c>
      <c r="AX2113" s="60" t="s">
        <v>534</v>
      </c>
      <c r="AY2113" s="64">
        <v>0</v>
      </c>
      <c r="AZ2113" s="64">
        <v>23000104</v>
      </c>
      <c r="BA2113" s="59" t="s">
        <v>200</v>
      </c>
      <c r="BB2113" s="60">
        <v>0</v>
      </c>
      <c r="BC2113" s="66">
        <v>0</v>
      </c>
      <c r="BD2113" s="66">
        <v>0</v>
      </c>
      <c r="BE2113" s="90" t="s">
        <v>4682</v>
      </c>
      <c r="BF2113" s="90" t="s">
        <v>4683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20.100000000000001" customHeight="1">
      <c r="C2114" s="18">
        <v>80003007</v>
      </c>
      <c r="D2114" s="59" t="s">
        <v>4684</v>
      </c>
      <c r="E2114" s="59" t="s">
        <v>4685</v>
      </c>
      <c r="F2114" s="60">
        <v>1</v>
      </c>
      <c r="G2114" s="18">
        <v>80003007</v>
      </c>
      <c r="H2114" s="60">
        <v>0</v>
      </c>
      <c r="I2114" s="66">
        <v>0</v>
      </c>
      <c r="J2114" s="64">
        <v>1</v>
      </c>
      <c r="K2114" s="60">
        <v>0</v>
      </c>
      <c r="L2114" s="60">
        <v>0</v>
      </c>
      <c r="M2114" s="60">
        <v>0</v>
      </c>
      <c r="N2114" s="60">
        <v>0</v>
      </c>
      <c r="O2114" s="60">
        <v>2</v>
      </c>
      <c r="P2114" s="60">
        <v>3</v>
      </c>
      <c r="Q2114" s="60">
        <v>0.2</v>
      </c>
      <c r="R2114" s="60">
        <v>0</v>
      </c>
      <c r="S2114" s="68">
        <v>3</v>
      </c>
      <c r="T2114" s="60">
        <v>0</v>
      </c>
      <c r="U2114" s="60">
        <v>1</v>
      </c>
      <c r="V2114" s="60">
        <v>1</v>
      </c>
      <c r="W2114" s="60">
        <v>0</v>
      </c>
      <c r="X2114" s="60">
        <v>2</v>
      </c>
      <c r="Y2114" s="12">
        <v>0</v>
      </c>
      <c r="Z2114" s="60">
        <v>0</v>
      </c>
      <c r="AA2114" s="60">
        <v>1</v>
      </c>
      <c r="AB2114" s="60">
        <v>0</v>
      </c>
      <c r="AC2114" s="60">
        <v>0</v>
      </c>
      <c r="AD2114" s="60">
        <v>0</v>
      </c>
      <c r="AE2114" s="60">
        <v>1</v>
      </c>
      <c r="AF2114" s="60">
        <v>0</v>
      </c>
      <c r="AG2114" s="60">
        <v>1</v>
      </c>
      <c r="AH2114" s="60">
        <v>3</v>
      </c>
      <c r="AI2114" s="68">
        <v>0</v>
      </c>
      <c r="AJ2114" s="68">
        <v>1</v>
      </c>
      <c r="AK2114" s="68">
        <v>0</v>
      </c>
      <c r="AL2114" s="68">
        <v>1.5</v>
      </c>
      <c r="AM2114" s="60">
        <v>0</v>
      </c>
      <c r="AN2114" s="60">
        <v>0</v>
      </c>
      <c r="AO2114" s="60">
        <v>0</v>
      </c>
      <c r="AP2114" s="60">
        <v>0.5</v>
      </c>
      <c r="AQ2114" s="60">
        <v>3000</v>
      </c>
      <c r="AR2114" s="60">
        <v>0.9</v>
      </c>
      <c r="AS2114" s="60">
        <v>0</v>
      </c>
      <c r="AT2114" s="68">
        <v>0</v>
      </c>
      <c r="AU2114" s="60">
        <v>80005061</v>
      </c>
      <c r="AV2114" s="60"/>
      <c r="AW2114" s="59" t="s">
        <v>198</v>
      </c>
      <c r="AX2114" s="60" t="s">
        <v>534</v>
      </c>
      <c r="AY2114" s="64">
        <v>10000001</v>
      </c>
      <c r="AZ2114" s="64">
        <v>23000105</v>
      </c>
      <c r="BA2114" s="59" t="s">
        <v>771</v>
      </c>
      <c r="BB2114" s="60">
        <v>0</v>
      </c>
      <c r="BC2114" s="66">
        <v>0</v>
      </c>
      <c r="BD2114" s="66">
        <v>0</v>
      </c>
      <c r="BE2114" s="121" t="s">
        <v>4686</v>
      </c>
      <c r="BF2114" s="121" t="s">
        <v>4687</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18">
        <v>80003008</v>
      </c>
      <c r="D2115" s="59" t="s">
        <v>4688</v>
      </c>
      <c r="E2115" s="59" t="s">
        <v>4689</v>
      </c>
      <c r="F2115" s="64">
        <v>1</v>
      </c>
      <c r="G2115" s="18">
        <v>80003008</v>
      </c>
      <c r="H2115" s="64">
        <v>0</v>
      </c>
      <c r="I2115" s="66">
        <v>0</v>
      </c>
      <c r="J2115" s="64">
        <v>1</v>
      </c>
      <c r="K2115" s="64">
        <v>0</v>
      </c>
      <c r="L2115" s="64">
        <v>0</v>
      </c>
      <c r="M2115" s="60">
        <v>0</v>
      </c>
      <c r="N2115" s="60">
        <v>0</v>
      </c>
      <c r="O2115" s="60">
        <v>2</v>
      </c>
      <c r="P2115" s="60" t="s">
        <v>4690</v>
      </c>
      <c r="Q2115" s="60" t="s">
        <v>4691</v>
      </c>
      <c r="R2115" s="60">
        <v>0</v>
      </c>
      <c r="S2115" s="68">
        <v>0</v>
      </c>
      <c r="T2115" s="60">
        <v>0</v>
      </c>
      <c r="U2115" s="60">
        <v>1</v>
      </c>
      <c r="V2115" s="60">
        <v>1</v>
      </c>
      <c r="W2115" s="60">
        <v>0</v>
      </c>
      <c r="X2115" s="60">
        <v>0</v>
      </c>
      <c r="Y2115" s="12">
        <v>0</v>
      </c>
      <c r="Z2115" s="60">
        <v>0</v>
      </c>
      <c r="AA2115" s="60">
        <v>1</v>
      </c>
      <c r="AB2115" s="60">
        <v>0</v>
      </c>
      <c r="AC2115" s="60">
        <v>0</v>
      </c>
      <c r="AD2115" s="60">
        <v>0</v>
      </c>
      <c r="AE2115" s="60">
        <v>1</v>
      </c>
      <c r="AF2115" s="60">
        <v>0</v>
      </c>
      <c r="AG2115" s="60">
        <v>1</v>
      </c>
      <c r="AH2115" s="60">
        <v>6</v>
      </c>
      <c r="AI2115" s="68">
        <v>0</v>
      </c>
      <c r="AJ2115" s="68">
        <v>1</v>
      </c>
      <c r="AK2115" s="68">
        <v>0</v>
      </c>
      <c r="AL2115" s="68">
        <v>3</v>
      </c>
      <c r="AM2115" s="60">
        <v>0</v>
      </c>
      <c r="AN2115" s="60">
        <v>0</v>
      </c>
      <c r="AO2115" s="60">
        <v>0</v>
      </c>
      <c r="AP2115" s="60">
        <v>0</v>
      </c>
      <c r="AQ2115" s="60">
        <v>2000</v>
      </c>
      <c r="AR2115" s="60">
        <v>0</v>
      </c>
      <c r="AS2115" s="60">
        <v>0</v>
      </c>
      <c r="AT2115" s="339" t="s">
        <v>4692</v>
      </c>
      <c r="AU2115" s="60">
        <v>80005072</v>
      </c>
      <c r="AV2115" s="60"/>
      <c r="AW2115" s="63" t="s">
        <v>198</v>
      </c>
      <c r="AX2115" s="60" t="s">
        <v>534</v>
      </c>
      <c r="AY2115" s="64">
        <v>0</v>
      </c>
      <c r="AZ2115" s="64">
        <v>0</v>
      </c>
      <c r="BA2115" s="59" t="s">
        <v>200</v>
      </c>
      <c r="BB2115" s="60">
        <v>0</v>
      </c>
      <c r="BC2115" s="66">
        <v>0</v>
      </c>
      <c r="BD2115" s="66">
        <v>0</v>
      </c>
      <c r="BE2115" s="90" t="s">
        <v>4693</v>
      </c>
      <c r="BF2115" s="90" t="s">
        <v>4694</v>
      </c>
      <c r="BG2115" s="60">
        <v>0</v>
      </c>
      <c r="BH2115" s="60">
        <v>0</v>
      </c>
      <c r="BI2115" s="60">
        <v>0</v>
      </c>
      <c r="BJ2115" s="60">
        <v>0</v>
      </c>
      <c r="BK2115" s="60">
        <v>0</v>
      </c>
      <c r="BL2115" s="60">
        <v>0</v>
      </c>
      <c r="BM2115" s="93">
        <v>0</v>
      </c>
      <c r="BN2115" s="68">
        <v>0</v>
      </c>
      <c r="BO2115" s="68">
        <v>0</v>
      </c>
      <c r="BP2115" s="68">
        <v>0</v>
      </c>
      <c r="BQ2115" s="68">
        <v>0</v>
      </c>
      <c r="BR2115" s="68">
        <v>0</v>
      </c>
      <c r="BS2115" s="68">
        <v>1</v>
      </c>
      <c r="BT2115" s="12">
        <v>0</v>
      </c>
      <c r="BU2115" s="47">
        <v>0</v>
      </c>
      <c r="BV2115" s="47"/>
      <c r="BW2115" s="47"/>
    </row>
    <row r="2116" spans="3:75" ht="20.100000000000001" customHeight="1">
      <c r="C2116" s="18">
        <v>80003101</v>
      </c>
      <c r="D2116" s="17" t="s">
        <v>4695</v>
      </c>
      <c r="E2116" s="17" t="s">
        <v>4696</v>
      </c>
      <c r="F2116" s="16">
        <v>1</v>
      </c>
      <c r="G2116" s="16">
        <v>80003001</v>
      </c>
      <c r="H2116" s="18">
        <v>0</v>
      </c>
      <c r="I2116" s="27">
        <v>0</v>
      </c>
      <c r="J2116" s="18">
        <v>1</v>
      </c>
      <c r="K2116" s="18">
        <v>0</v>
      </c>
      <c r="L2116" s="18">
        <v>0</v>
      </c>
      <c r="M2116" s="16">
        <v>0</v>
      </c>
      <c r="N2116" s="16">
        <v>0</v>
      </c>
      <c r="O2116" s="16">
        <v>1</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213</v>
      </c>
      <c r="AI2116" s="12">
        <v>2</v>
      </c>
      <c r="AJ2116" s="12">
        <v>2</v>
      </c>
      <c r="AK2116" s="12">
        <v>0</v>
      </c>
      <c r="AL2116" s="12">
        <v>1.5</v>
      </c>
      <c r="AM2116" s="16">
        <v>0</v>
      </c>
      <c r="AN2116" s="16">
        <v>0</v>
      </c>
      <c r="AO2116" s="16">
        <v>0</v>
      </c>
      <c r="AP2116" s="16">
        <v>1</v>
      </c>
      <c r="AQ2116" s="16">
        <v>3000</v>
      </c>
      <c r="AR2116" s="16">
        <v>0.5</v>
      </c>
      <c r="AS2116" s="16">
        <v>0</v>
      </c>
      <c r="AT2116" s="12">
        <v>0</v>
      </c>
      <c r="AU2116" s="16" t="s">
        <v>198</v>
      </c>
      <c r="AV2116" s="16"/>
      <c r="AW2116" s="17" t="s">
        <v>287</v>
      </c>
      <c r="AX2116" s="16">
        <v>0</v>
      </c>
      <c r="AY2116" s="18">
        <v>0</v>
      </c>
      <c r="AZ2116" s="18">
        <v>0</v>
      </c>
      <c r="BA2116" s="17" t="s">
        <v>200</v>
      </c>
      <c r="BB2116" s="16">
        <v>0</v>
      </c>
      <c r="BC2116" s="27">
        <v>0</v>
      </c>
      <c r="BD2116" s="27">
        <v>0</v>
      </c>
      <c r="BE2116" s="44" t="s">
        <v>4697</v>
      </c>
      <c r="BF2116" s="44" t="s">
        <v>4698</v>
      </c>
      <c r="BG2116" s="16"/>
      <c r="BH2116" s="16">
        <v>0</v>
      </c>
      <c r="BI2116" s="16"/>
      <c r="BJ2116" s="16"/>
      <c r="BK2116" s="16"/>
      <c r="BL2116" s="16"/>
      <c r="BM2116" s="16">
        <v>0</v>
      </c>
      <c r="BN2116" s="12">
        <v>0</v>
      </c>
      <c r="BO2116" s="12">
        <v>0</v>
      </c>
      <c r="BP2116" s="12">
        <v>0</v>
      </c>
      <c r="BQ2116" s="12">
        <v>0</v>
      </c>
      <c r="BR2116" s="12">
        <v>0</v>
      </c>
      <c r="BS2116" s="12">
        <v>0</v>
      </c>
      <c r="BT2116" s="12">
        <v>0</v>
      </c>
      <c r="BU2116" s="47">
        <v>0</v>
      </c>
      <c r="BV2116" s="47"/>
      <c r="BW2116" s="47"/>
    </row>
    <row r="2117" spans="3:75" ht="20.100000000000001" customHeight="1">
      <c r="C2117" s="18">
        <v>80003102</v>
      </c>
      <c r="D2117" s="17" t="s">
        <v>4699</v>
      </c>
      <c r="E2117" s="17" t="s">
        <v>4700</v>
      </c>
      <c r="F2117" s="16">
        <v>1</v>
      </c>
      <c r="G2117" s="16">
        <v>80003002</v>
      </c>
      <c r="H2117" s="18">
        <v>0</v>
      </c>
      <c r="I2117" s="27">
        <v>0</v>
      </c>
      <c r="J2117" s="18">
        <v>1</v>
      </c>
      <c r="K2117" s="18">
        <v>0</v>
      </c>
      <c r="L2117" s="18">
        <v>0</v>
      </c>
      <c r="M2117" s="16">
        <v>0</v>
      </c>
      <c r="N2117" s="16">
        <v>0</v>
      </c>
      <c r="O2117" s="16">
        <v>1</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213</v>
      </c>
      <c r="AI2117" s="12">
        <v>2</v>
      </c>
      <c r="AJ2117" s="12">
        <v>2</v>
      </c>
      <c r="AK2117" s="12">
        <v>0</v>
      </c>
      <c r="AL2117" s="12">
        <v>1.5</v>
      </c>
      <c r="AM2117" s="16">
        <v>0</v>
      </c>
      <c r="AN2117" s="16">
        <v>0</v>
      </c>
      <c r="AO2117" s="16">
        <v>0</v>
      </c>
      <c r="AP2117" s="16">
        <v>1</v>
      </c>
      <c r="AQ2117" s="16">
        <v>3000</v>
      </c>
      <c r="AR2117" s="16">
        <v>0.5</v>
      </c>
      <c r="AS2117" s="16">
        <v>0</v>
      </c>
      <c r="AT2117" s="12">
        <v>0</v>
      </c>
      <c r="AU2117" s="16" t="s">
        <v>198</v>
      </c>
      <c r="AV2117" s="16"/>
      <c r="AW2117" s="17" t="s">
        <v>287</v>
      </c>
      <c r="AX2117" s="16">
        <v>0</v>
      </c>
      <c r="AY2117" s="18">
        <v>0</v>
      </c>
      <c r="AZ2117" s="18">
        <v>0</v>
      </c>
      <c r="BA2117" s="17" t="s">
        <v>200</v>
      </c>
      <c r="BB2117" s="16">
        <v>0</v>
      </c>
      <c r="BC2117" s="27">
        <v>0</v>
      </c>
      <c r="BD2117" s="27">
        <v>0</v>
      </c>
      <c r="BE2117" s="44" t="s">
        <v>4697</v>
      </c>
      <c r="BF2117" s="44" t="s">
        <v>4698</v>
      </c>
      <c r="BG2117" s="16"/>
      <c r="BH2117" s="16">
        <v>0</v>
      </c>
      <c r="BI2117" s="16"/>
      <c r="BJ2117" s="16"/>
      <c r="BK2117" s="16"/>
      <c r="BL2117" s="16"/>
      <c r="BM2117" s="16">
        <v>0</v>
      </c>
      <c r="BN2117" s="12">
        <v>0</v>
      </c>
      <c r="BO2117" s="12">
        <v>0</v>
      </c>
      <c r="BP2117" s="12">
        <v>0</v>
      </c>
      <c r="BQ2117" s="12">
        <v>0</v>
      </c>
      <c r="BR2117" s="12">
        <v>0</v>
      </c>
      <c r="BS2117" s="12">
        <v>0</v>
      </c>
      <c r="BT2117" s="12">
        <v>0</v>
      </c>
      <c r="BU2117" s="47">
        <v>0</v>
      </c>
      <c r="BV2117" s="47"/>
      <c r="BW2117" s="47"/>
    </row>
    <row r="2118" spans="3:75" ht="20.100000000000001" customHeight="1">
      <c r="C2118" s="18">
        <v>80003103</v>
      </c>
      <c r="D2118" s="17" t="s">
        <v>4701</v>
      </c>
      <c r="E2118" s="17" t="s">
        <v>4702</v>
      </c>
      <c r="F2118" s="16">
        <v>1</v>
      </c>
      <c r="G2118" s="16">
        <v>80003003</v>
      </c>
      <c r="H2118" s="18">
        <v>0</v>
      </c>
      <c r="I2118" s="27">
        <v>0</v>
      </c>
      <c r="J2118" s="18">
        <v>1</v>
      </c>
      <c r="K2118" s="18">
        <v>0</v>
      </c>
      <c r="L2118" s="18">
        <v>0</v>
      </c>
      <c r="M2118" s="16">
        <v>0</v>
      </c>
      <c r="N2118" s="16">
        <v>0</v>
      </c>
      <c r="O2118" s="16">
        <v>1</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213</v>
      </c>
      <c r="AI2118" s="12">
        <v>2</v>
      </c>
      <c r="AJ2118" s="12">
        <v>2</v>
      </c>
      <c r="AK2118" s="12">
        <v>0</v>
      </c>
      <c r="AL2118" s="12">
        <v>1.5</v>
      </c>
      <c r="AM2118" s="16">
        <v>0</v>
      </c>
      <c r="AN2118" s="16">
        <v>0</v>
      </c>
      <c r="AO2118" s="16">
        <v>0</v>
      </c>
      <c r="AP2118" s="16">
        <v>1</v>
      </c>
      <c r="AQ2118" s="16">
        <v>3000</v>
      </c>
      <c r="AR2118" s="16">
        <v>0.5</v>
      </c>
      <c r="AS2118" s="16">
        <v>0</v>
      </c>
      <c r="AT2118" s="12">
        <v>0</v>
      </c>
      <c r="AU2118" s="16" t="s">
        <v>198</v>
      </c>
      <c r="AV2118" s="16"/>
      <c r="AW2118" s="17" t="s">
        <v>287</v>
      </c>
      <c r="AX2118" s="16">
        <v>0</v>
      </c>
      <c r="AY2118" s="18">
        <v>0</v>
      </c>
      <c r="AZ2118" s="18">
        <v>0</v>
      </c>
      <c r="BA2118" s="17" t="s">
        <v>200</v>
      </c>
      <c r="BB2118" s="16">
        <v>0</v>
      </c>
      <c r="BC2118" s="27">
        <v>0</v>
      </c>
      <c r="BD2118" s="27">
        <v>0</v>
      </c>
      <c r="BE2118" s="44" t="s">
        <v>4697</v>
      </c>
      <c r="BF2118" s="44" t="s">
        <v>4698</v>
      </c>
      <c r="BG2118" s="16"/>
      <c r="BH2118" s="16">
        <v>0</v>
      </c>
      <c r="BI2118" s="16"/>
      <c r="BJ2118" s="16"/>
      <c r="BK2118" s="16"/>
      <c r="BL2118" s="16"/>
      <c r="BM2118" s="16">
        <v>0</v>
      </c>
      <c r="BN2118" s="12">
        <v>0</v>
      </c>
      <c r="BO2118" s="12">
        <v>0</v>
      </c>
      <c r="BP2118" s="12">
        <v>0</v>
      </c>
      <c r="BQ2118" s="12">
        <v>0</v>
      </c>
      <c r="BR2118" s="12">
        <v>0</v>
      </c>
      <c r="BS2118" s="12">
        <v>0</v>
      </c>
      <c r="BT2118" s="12">
        <v>0</v>
      </c>
      <c r="BU2118" s="47">
        <v>0</v>
      </c>
      <c r="BV2118" s="47"/>
      <c r="BW2118" s="47"/>
    </row>
    <row r="2119" spans="3:75" ht="20.100000000000001" customHeight="1">
      <c r="C2119" s="18">
        <v>80003104</v>
      </c>
      <c r="D2119" s="17" t="s">
        <v>4703</v>
      </c>
      <c r="E2119" s="17" t="s">
        <v>4704</v>
      </c>
      <c r="F2119" s="16">
        <v>1</v>
      </c>
      <c r="G2119" s="16">
        <v>80003004</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4697</v>
      </c>
      <c r="BF2119" s="44" t="s">
        <v>4698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spans="3:75" ht="20.100000000000001" customHeight="1">
      <c r="C2120" s="18">
        <v>80003105</v>
      </c>
      <c r="D2120" s="17" t="s">
        <v>4705</v>
      </c>
      <c r="E2120" s="17" t="s">
        <v>4706</v>
      </c>
      <c r="F2120" s="16">
        <v>1</v>
      </c>
      <c r="G2120" s="16">
        <v>80003005</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4697</v>
      </c>
      <c r="BF2120" s="44" t="s">
        <v>4698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80003106</v>
      </c>
      <c r="D2121" s="17" t="s">
        <v>4707</v>
      </c>
      <c r="E2121" s="17" t="s">
        <v>4708</v>
      </c>
      <c r="F2121" s="16">
        <v>1</v>
      </c>
      <c r="G2121" s="16">
        <v>80003101</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4709</v>
      </c>
      <c r="BF2121" s="44" t="s">
        <v>4710</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80003107</v>
      </c>
      <c r="D2122" s="17" t="s">
        <v>4711</v>
      </c>
      <c r="E2122" s="17" t="s">
        <v>4712</v>
      </c>
      <c r="F2122" s="16">
        <v>1</v>
      </c>
      <c r="G2122" s="16">
        <v>80003102</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4713</v>
      </c>
      <c r="BF2122" s="44" t="s">
        <v>4714</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80003108</v>
      </c>
      <c r="D2123" s="17" t="s">
        <v>4715</v>
      </c>
      <c r="E2123" s="17" t="s">
        <v>4716</v>
      </c>
      <c r="F2123" s="16">
        <v>1</v>
      </c>
      <c r="G2123" s="16">
        <v>80003103</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4717</v>
      </c>
      <c r="BF2123" s="44" t="s">
        <v>4718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80003109</v>
      </c>
      <c r="D2124" s="17" t="s">
        <v>4719</v>
      </c>
      <c r="E2124" s="17" t="s">
        <v>4720</v>
      </c>
      <c r="F2124" s="16">
        <v>1</v>
      </c>
      <c r="G2124" s="16">
        <v>80003104</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4721</v>
      </c>
      <c r="BF2124" s="44" t="s">
        <v>4722</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80003110</v>
      </c>
      <c r="D2125" s="17" t="s">
        <v>4723</v>
      </c>
      <c r="E2125" s="17" t="s">
        <v>4724</v>
      </c>
      <c r="F2125" s="16">
        <v>1</v>
      </c>
      <c r="G2125" s="16">
        <v>80003105</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4725</v>
      </c>
      <c r="BF2125" s="44" t="s">
        <v>4726</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80004001</v>
      </c>
      <c r="D2126" s="59" t="s">
        <v>4727</v>
      </c>
      <c r="E2126" s="59" t="s">
        <v>4728</v>
      </c>
      <c r="F2126" s="16">
        <v>1</v>
      </c>
      <c r="G2126" s="18">
        <v>80004001</v>
      </c>
      <c r="H2126" s="60">
        <v>0</v>
      </c>
      <c r="I2126" s="27">
        <v>0</v>
      </c>
      <c r="J2126" s="18">
        <v>1</v>
      </c>
      <c r="K2126" s="18">
        <v>0</v>
      </c>
      <c r="L2126" s="18">
        <v>0</v>
      </c>
      <c r="M2126" s="60">
        <v>0</v>
      </c>
      <c r="N2126" s="60">
        <v>0</v>
      </c>
      <c r="O2126" s="60">
        <v>2</v>
      </c>
      <c r="P2126" s="60">
        <v>1</v>
      </c>
      <c r="Q2126" s="60">
        <v>0.2</v>
      </c>
      <c r="R2126" s="60">
        <v>0</v>
      </c>
      <c r="S2126" s="12">
        <v>0</v>
      </c>
      <c r="T2126" s="60">
        <v>0</v>
      </c>
      <c r="U2126" s="16">
        <v>1</v>
      </c>
      <c r="V2126" s="60">
        <v>2</v>
      </c>
      <c r="W2126" s="60">
        <v>0</v>
      </c>
      <c r="X2126" s="60">
        <v>0</v>
      </c>
      <c r="Y2126" s="12">
        <v>0</v>
      </c>
      <c r="Z2126" s="60">
        <v>0</v>
      </c>
      <c r="AA2126" s="60">
        <v>0</v>
      </c>
      <c r="AB2126" s="60">
        <v>0</v>
      </c>
      <c r="AC2126" s="60">
        <v>0</v>
      </c>
      <c r="AD2126" s="60">
        <v>0</v>
      </c>
      <c r="AE2126" s="60">
        <v>0</v>
      </c>
      <c r="AF2126" s="60">
        <v>15</v>
      </c>
      <c r="AG2126" s="60">
        <v>1</v>
      </c>
      <c r="AH2126" s="60">
        <v>3</v>
      </c>
      <c r="AI2126" s="12">
        <v>0</v>
      </c>
      <c r="AJ2126" s="12">
        <v>0</v>
      </c>
      <c r="AK2126" s="12">
        <v>0</v>
      </c>
      <c r="AL2126" s="68">
        <v>6</v>
      </c>
      <c r="AM2126" s="60">
        <v>0</v>
      </c>
      <c r="AN2126" s="60">
        <v>0</v>
      </c>
      <c r="AO2126" s="60">
        <v>0</v>
      </c>
      <c r="AP2126" s="60">
        <v>0.5</v>
      </c>
      <c r="AQ2126" s="60">
        <v>3000</v>
      </c>
      <c r="AR2126" s="60">
        <v>0.5</v>
      </c>
      <c r="AS2126" s="60">
        <v>0</v>
      </c>
      <c r="AT2126" s="12">
        <v>0</v>
      </c>
      <c r="AU2126" s="60">
        <v>93000201</v>
      </c>
      <c r="AV2126" s="60"/>
      <c r="AW2126" s="59" t="s">
        <v>287</v>
      </c>
      <c r="AX2126" s="16">
        <v>0</v>
      </c>
      <c r="AY2126" s="64">
        <v>10000007</v>
      </c>
      <c r="AZ2126" s="18">
        <v>23000050</v>
      </c>
      <c r="BA2126" s="59" t="s">
        <v>200</v>
      </c>
      <c r="BB2126" s="60">
        <v>0</v>
      </c>
      <c r="BC2126" s="66">
        <v>0</v>
      </c>
      <c r="BD2126" s="27">
        <v>0</v>
      </c>
      <c r="BE2126" s="44" t="s">
        <v>4729</v>
      </c>
      <c r="BF2126" s="44" t="s">
        <v>4730</v>
      </c>
      <c r="BG2126" s="60">
        <v>0</v>
      </c>
      <c r="BH2126" s="16">
        <v>0</v>
      </c>
      <c r="BI2126" s="60">
        <v>0</v>
      </c>
      <c r="BJ2126" s="60">
        <v>0</v>
      </c>
      <c r="BK2126" s="60">
        <v>0</v>
      </c>
      <c r="BL2126" s="60">
        <v>0</v>
      </c>
      <c r="BM2126" s="16">
        <v>0</v>
      </c>
      <c r="BN2126" s="12">
        <v>0</v>
      </c>
      <c r="BO2126" s="12">
        <v>0</v>
      </c>
      <c r="BP2126" s="12">
        <v>0</v>
      </c>
      <c r="BQ2126" s="12">
        <v>0</v>
      </c>
      <c r="BR2126" s="12">
        <v>0</v>
      </c>
      <c r="BS2126" s="12">
        <v>0</v>
      </c>
      <c r="BT2126" s="12">
        <v>0</v>
      </c>
      <c r="BU2126" s="47">
        <v>0</v>
      </c>
      <c r="BV2126" s="47"/>
      <c r="BW2126" s="47"/>
    </row>
    <row r="2127" spans="3:75" ht="19.5" customHeight="1">
      <c r="C2127" s="18">
        <v>80004002</v>
      </c>
      <c r="D2127" s="17" t="s">
        <v>4731</v>
      </c>
      <c r="E2127" s="17" t="s">
        <v>4732</v>
      </c>
      <c r="F2127" s="18">
        <v>1</v>
      </c>
      <c r="G2127" s="18">
        <v>80004002</v>
      </c>
      <c r="H2127" s="18">
        <v>0</v>
      </c>
      <c r="I2127" s="27">
        <v>0</v>
      </c>
      <c r="J2127" s="18">
        <v>1</v>
      </c>
      <c r="K2127" s="18">
        <v>0</v>
      </c>
      <c r="L2127" s="18">
        <v>0</v>
      </c>
      <c r="M2127" s="16">
        <v>0</v>
      </c>
      <c r="N2127" s="16">
        <v>0</v>
      </c>
      <c r="O2127" s="16">
        <v>2</v>
      </c>
      <c r="P2127" s="16">
        <v>1</v>
      </c>
      <c r="Q2127" s="16">
        <v>1</v>
      </c>
      <c r="R2127" s="16">
        <v>0</v>
      </c>
      <c r="S2127" s="12">
        <v>0</v>
      </c>
      <c r="T2127" s="16">
        <v>0</v>
      </c>
      <c r="U2127" s="16">
        <v>1</v>
      </c>
      <c r="V2127" s="16">
        <v>2</v>
      </c>
      <c r="W2127" s="16">
        <v>0</v>
      </c>
      <c r="X2127" s="16">
        <v>1.2</v>
      </c>
      <c r="Y2127" s="12">
        <v>0</v>
      </c>
      <c r="Z2127" s="16">
        <v>0</v>
      </c>
      <c r="AA2127" s="16">
        <v>1</v>
      </c>
      <c r="AB2127" s="16">
        <v>0</v>
      </c>
      <c r="AC2127" s="16">
        <v>0</v>
      </c>
      <c r="AD2127" s="16">
        <v>0</v>
      </c>
      <c r="AE2127" s="16">
        <v>0</v>
      </c>
      <c r="AF2127" s="16">
        <v>3</v>
      </c>
      <c r="AG2127" s="16">
        <v>1</v>
      </c>
      <c r="AH2127" s="16" t="s">
        <v>607</v>
      </c>
      <c r="AI2127" s="12">
        <v>0</v>
      </c>
      <c r="AJ2127" s="12">
        <v>1</v>
      </c>
      <c r="AK2127" s="12">
        <v>0</v>
      </c>
      <c r="AL2127" s="12">
        <v>3</v>
      </c>
      <c r="AM2127" s="16">
        <v>0</v>
      </c>
      <c r="AN2127" s="16">
        <v>0</v>
      </c>
      <c r="AO2127" s="16">
        <v>0</v>
      </c>
      <c r="AP2127" s="16">
        <v>0.5</v>
      </c>
      <c r="AQ2127" s="16">
        <v>5000</v>
      </c>
      <c r="AR2127" s="16">
        <v>0.5</v>
      </c>
      <c r="AS2127" s="16">
        <v>0</v>
      </c>
      <c r="AT2127" s="12">
        <v>0</v>
      </c>
      <c r="AU2127" s="16" t="s">
        <v>659</v>
      </c>
      <c r="AV2127" s="16"/>
      <c r="AW2127" s="19" t="s">
        <v>256</v>
      </c>
      <c r="AX2127" s="16">
        <v>0</v>
      </c>
      <c r="AY2127" s="18">
        <v>10000007</v>
      </c>
      <c r="AZ2127" s="18">
        <v>70403003</v>
      </c>
      <c r="BA2127" s="17" t="s">
        <v>200</v>
      </c>
      <c r="BB2127" s="16">
        <v>0</v>
      </c>
      <c r="BC2127" s="27">
        <v>0</v>
      </c>
      <c r="BD2127" s="27">
        <v>0</v>
      </c>
      <c r="BE2127" s="44" t="s">
        <v>4733</v>
      </c>
      <c r="BF2127" s="44" t="s">
        <v>4734</v>
      </c>
      <c r="BG2127" s="16">
        <v>0</v>
      </c>
      <c r="BH2127" s="16">
        <v>0</v>
      </c>
      <c r="BI2127" s="16">
        <v>0</v>
      </c>
      <c r="BJ2127" s="16">
        <v>0</v>
      </c>
      <c r="BK2127" s="16">
        <v>0</v>
      </c>
      <c r="BL2127" s="16">
        <v>0</v>
      </c>
      <c r="BM2127" s="15">
        <v>0</v>
      </c>
      <c r="BN2127" s="12">
        <v>0</v>
      </c>
      <c r="BO2127" s="12">
        <v>0</v>
      </c>
      <c r="BP2127" s="12">
        <v>0</v>
      </c>
      <c r="BQ2127" s="12">
        <v>0</v>
      </c>
      <c r="BR2127" s="12">
        <v>0</v>
      </c>
      <c r="BS2127" s="12">
        <v>0</v>
      </c>
      <c r="BT2127" s="12">
        <v>0</v>
      </c>
      <c r="BU2127" s="47">
        <v>0</v>
      </c>
      <c r="BV2127" s="47"/>
      <c r="BW2127" s="47"/>
    </row>
    <row r="2128" spans="3:75" ht="20.100000000000001" customHeight="1">
      <c r="C2128" s="18">
        <v>80004003</v>
      </c>
      <c r="D2128" s="17" t="s">
        <v>4735</v>
      </c>
      <c r="E2128" s="17" t="s">
        <v>4736</v>
      </c>
      <c r="F2128" s="16">
        <v>1</v>
      </c>
      <c r="G2128" s="18">
        <v>80004003</v>
      </c>
      <c r="H2128" s="16">
        <v>0</v>
      </c>
      <c r="I2128" s="27">
        <v>0</v>
      </c>
      <c r="J2128" s="18">
        <v>1</v>
      </c>
      <c r="K2128" s="18">
        <v>0</v>
      </c>
      <c r="L2128" s="18">
        <v>0</v>
      </c>
      <c r="M2128" s="16">
        <v>0</v>
      </c>
      <c r="N2128" s="16">
        <v>0</v>
      </c>
      <c r="O2128" s="16">
        <v>2</v>
      </c>
      <c r="P2128" s="16">
        <v>1</v>
      </c>
      <c r="Q2128" s="16">
        <v>0.3</v>
      </c>
      <c r="R2128" s="16">
        <v>0</v>
      </c>
      <c r="S2128" s="12">
        <v>0</v>
      </c>
      <c r="T2128" s="16">
        <v>0</v>
      </c>
      <c r="U2128" s="16">
        <v>1</v>
      </c>
      <c r="V2128" s="16">
        <v>2</v>
      </c>
      <c r="W2128" s="16">
        <v>0</v>
      </c>
      <c r="X2128" s="16">
        <v>3</v>
      </c>
      <c r="Y2128" s="12">
        <v>0</v>
      </c>
      <c r="Z2128" s="16">
        <v>0</v>
      </c>
      <c r="AA2128" s="16">
        <v>0</v>
      </c>
      <c r="AB2128" s="16">
        <v>0</v>
      </c>
      <c r="AC2128" s="16">
        <v>0</v>
      </c>
      <c r="AD2128" s="16">
        <v>0</v>
      </c>
      <c r="AE2128" s="16">
        <v>0</v>
      </c>
      <c r="AF2128" s="16">
        <v>6</v>
      </c>
      <c r="AG2128" s="16">
        <v>2</v>
      </c>
      <c r="AH2128" s="16" t="s">
        <v>213</v>
      </c>
      <c r="AI2128" s="12">
        <v>0</v>
      </c>
      <c r="AJ2128" s="12">
        <v>0</v>
      </c>
      <c r="AK2128" s="12">
        <v>0</v>
      </c>
      <c r="AL2128" s="12">
        <v>1.5</v>
      </c>
      <c r="AM2128" s="16">
        <v>0</v>
      </c>
      <c r="AN2128" s="16">
        <v>0</v>
      </c>
      <c r="AO2128" s="16">
        <v>0</v>
      </c>
      <c r="AP2128" s="16">
        <v>0.5</v>
      </c>
      <c r="AQ2128" s="16">
        <v>3000</v>
      </c>
      <c r="AR2128" s="16">
        <v>0.5</v>
      </c>
      <c r="AS2128" s="16">
        <v>0</v>
      </c>
      <c r="AT2128" s="12">
        <v>0</v>
      </c>
      <c r="AU2128" s="16">
        <v>90001021</v>
      </c>
      <c r="AV2128" s="16"/>
      <c r="AW2128" s="17" t="s">
        <v>287</v>
      </c>
      <c r="AX2128" s="16">
        <v>0</v>
      </c>
      <c r="AY2128" s="18">
        <v>10000007</v>
      </c>
      <c r="AZ2128" s="18">
        <v>23000070</v>
      </c>
      <c r="BA2128" s="17" t="s">
        <v>200</v>
      </c>
      <c r="BB2128" s="16">
        <v>0</v>
      </c>
      <c r="BC2128" s="27">
        <v>0</v>
      </c>
      <c r="BD2128" s="27">
        <v>0</v>
      </c>
      <c r="BE2128" s="44" t="s">
        <v>4737</v>
      </c>
      <c r="BF2128" s="44" t="s">
        <v>4738</v>
      </c>
      <c r="BG2128" s="16">
        <v>0</v>
      </c>
      <c r="BH2128" s="16">
        <v>0</v>
      </c>
      <c r="BI2128" s="16">
        <v>0</v>
      </c>
      <c r="BJ2128" s="16">
        <v>0</v>
      </c>
      <c r="BK2128" s="16">
        <v>0</v>
      </c>
      <c r="BL2128" s="16">
        <v>0</v>
      </c>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80004004</v>
      </c>
      <c r="D2129" s="17" t="s">
        <v>4739</v>
      </c>
      <c r="E2129" s="17" t="s">
        <v>4740</v>
      </c>
      <c r="F2129" s="16">
        <v>1</v>
      </c>
      <c r="G2129" s="16">
        <v>80004004</v>
      </c>
      <c r="H2129" s="18">
        <v>0</v>
      </c>
      <c r="I2129" s="27">
        <v>0</v>
      </c>
      <c r="J2129" s="18">
        <v>1</v>
      </c>
      <c r="K2129" s="18">
        <v>0</v>
      </c>
      <c r="L2129" s="18">
        <v>0</v>
      </c>
      <c r="M2129" s="16">
        <v>0</v>
      </c>
      <c r="N2129" s="16">
        <v>0</v>
      </c>
      <c r="O2129" s="16">
        <v>5</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199</v>
      </c>
      <c r="AX2129" s="16">
        <v>0</v>
      </c>
      <c r="AY2129" s="18">
        <v>0</v>
      </c>
      <c r="AZ2129" s="18">
        <v>0</v>
      </c>
      <c r="BA2129" s="17" t="s">
        <v>200</v>
      </c>
      <c r="BB2129" s="16" t="s">
        <v>4741</v>
      </c>
      <c r="BC2129" s="27">
        <v>0</v>
      </c>
      <c r="BD2129" s="27">
        <v>0</v>
      </c>
      <c r="BE2129" s="44" t="s">
        <v>4742</v>
      </c>
      <c r="BF2129" s="44" t="s">
        <v>4743</v>
      </c>
      <c r="BG2129" s="16"/>
      <c r="BH2129" s="16">
        <v>0</v>
      </c>
      <c r="BI2129" s="16"/>
      <c r="BJ2129" s="16"/>
      <c r="BK2129" s="16"/>
      <c r="BL2129" s="18"/>
      <c r="BM2129" s="16">
        <v>0</v>
      </c>
      <c r="BN2129" s="12">
        <v>0</v>
      </c>
      <c r="BO2129" s="12">
        <v>0</v>
      </c>
      <c r="BP2129" s="12">
        <v>0</v>
      </c>
      <c r="BQ2129" s="12">
        <v>0</v>
      </c>
      <c r="BR2129" s="12">
        <v>0</v>
      </c>
      <c r="BS2129" s="12">
        <v>0</v>
      </c>
      <c r="BT2129" s="12">
        <v>0</v>
      </c>
      <c r="BU2129" s="47">
        <v>0</v>
      </c>
      <c r="BV2129" s="47"/>
      <c r="BW2129" s="47"/>
    </row>
    <row r="2130" spans="3:75" ht="19.5" customHeight="1">
      <c r="C2130" s="64">
        <v>80004005</v>
      </c>
      <c r="D2130" s="59" t="s">
        <v>4727</v>
      </c>
      <c r="E2130" s="59" t="s">
        <v>4728</v>
      </c>
      <c r="F2130" s="64">
        <v>1</v>
      </c>
      <c r="G2130" s="64">
        <v>80004005</v>
      </c>
      <c r="H2130" s="64">
        <v>0</v>
      </c>
      <c r="I2130" s="66">
        <v>0</v>
      </c>
      <c r="J2130" s="64">
        <v>1</v>
      </c>
      <c r="K2130" s="64">
        <v>0</v>
      </c>
      <c r="L2130" s="64">
        <v>0</v>
      </c>
      <c r="M2130" s="60">
        <v>0</v>
      </c>
      <c r="N2130" s="60">
        <v>0</v>
      </c>
      <c r="O2130" s="60">
        <v>2</v>
      </c>
      <c r="P2130" s="60">
        <v>3</v>
      </c>
      <c r="Q2130" s="60">
        <v>0.15</v>
      </c>
      <c r="R2130" s="60">
        <v>0</v>
      </c>
      <c r="S2130" s="68">
        <v>0</v>
      </c>
      <c r="T2130" s="60">
        <v>0</v>
      </c>
      <c r="U2130" s="60">
        <v>1</v>
      </c>
      <c r="V2130" s="60">
        <v>2</v>
      </c>
      <c r="W2130" s="60">
        <v>0</v>
      </c>
      <c r="X2130" s="60">
        <v>0</v>
      </c>
      <c r="Y2130" s="12">
        <v>0</v>
      </c>
      <c r="Z2130" s="60">
        <v>0</v>
      </c>
      <c r="AA2130" s="60">
        <v>0</v>
      </c>
      <c r="AB2130" s="60">
        <v>0</v>
      </c>
      <c r="AC2130" s="60">
        <v>0</v>
      </c>
      <c r="AD2130" s="60">
        <v>0</v>
      </c>
      <c r="AE2130" s="60">
        <v>1</v>
      </c>
      <c r="AF2130" s="60">
        <v>16</v>
      </c>
      <c r="AG2130" s="60">
        <v>1</v>
      </c>
      <c r="AH2130" s="60">
        <v>5</v>
      </c>
      <c r="AI2130" s="68">
        <v>0</v>
      </c>
      <c r="AJ2130" s="68">
        <v>1</v>
      </c>
      <c r="AK2130" s="68">
        <v>0</v>
      </c>
      <c r="AL2130" s="68">
        <v>3</v>
      </c>
      <c r="AM2130" s="60">
        <v>0</v>
      </c>
      <c r="AN2130" s="60">
        <v>0</v>
      </c>
      <c r="AO2130" s="60">
        <v>0</v>
      </c>
      <c r="AP2130" s="60">
        <v>0</v>
      </c>
      <c r="AQ2130" s="60">
        <v>5000</v>
      </c>
      <c r="AR2130" s="60">
        <v>0.1</v>
      </c>
      <c r="AS2130" s="60">
        <v>0</v>
      </c>
      <c r="AT2130" s="339" t="s">
        <v>4744</v>
      </c>
      <c r="AU2130" s="79">
        <v>0</v>
      </c>
      <c r="AV2130" s="79"/>
      <c r="AW2130" s="59" t="s">
        <v>198</v>
      </c>
      <c r="AX2130" s="60">
        <v>0</v>
      </c>
      <c r="AY2130" s="64">
        <v>0</v>
      </c>
      <c r="AZ2130" s="64">
        <v>0</v>
      </c>
      <c r="BA2130" s="59" t="s">
        <v>200</v>
      </c>
      <c r="BB2130" s="60">
        <v>0</v>
      </c>
      <c r="BC2130" s="66">
        <v>0</v>
      </c>
      <c r="BD2130" s="66">
        <v>0</v>
      </c>
      <c r="BE2130" s="90" t="s">
        <v>4745</v>
      </c>
      <c r="BF2130" s="90" t="s">
        <v>4746</v>
      </c>
      <c r="BG2130" s="60">
        <v>0</v>
      </c>
      <c r="BH2130" s="60">
        <v>0</v>
      </c>
      <c r="BI2130" s="60">
        <v>0</v>
      </c>
      <c r="BJ2130" s="60">
        <v>0</v>
      </c>
      <c r="BK2130" s="60">
        <v>0</v>
      </c>
      <c r="BL2130" s="60">
        <v>0</v>
      </c>
      <c r="BM2130" s="93">
        <v>0</v>
      </c>
      <c r="BN2130" s="68">
        <v>0</v>
      </c>
      <c r="BO2130" s="68">
        <v>0</v>
      </c>
      <c r="BP2130" s="68">
        <v>0</v>
      </c>
      <c r="BQ2130" s="68">
        <v>0</v>
      </c>
      <c r="BR2130" s="68">
        <v>0</v>
      </c>
      <c r="BS2130" s="68">
        <v>1</v>
      </c>
      <c r="BT2130" s="12">
        <v>0</v>
      </c>
      <c r="BU2130" s="47">
        <v>0</v>
      </c>
      <c r="BV2130" s="47"/>
      <c r="BW2130" s="47"/>
    </row>
    <row r="2131" spans="3:75" ht="19.5" customHeight="1">
      <c r="C2131" s="64">
        <v>80004006</v>
      </c>
      <c r="D2131" s="59" t="s">
        <v>4747</v>
      </c>
      <c r="E2131" s="59" t="s">
        <v>4748</v>
      </c>
      <c r="F2131" s="64">
        <v>1</v>
      </c>
      <c r="G2131" s="64">
        <v>80004006</v>
      </c>
      <c r="H2131" s="64">
        <v>0</v>
      </c>
      <c r="I2131" s="66">
        <v>0</v>
      </c>
      <c r="J2131" s="64">
        <v>1</v>
      </c>
      <c r="K2131" s="64">
        <v>0</v>
      </c>
      <c r="L2131" s="64">
        <v>0</v>
      </c>
      <c r="M2131" s="60">
        <v>0</v>
      </c>
      <c r="N2131" s="60">
        <v>0</v>
      </c>
      <c r="O2131" s="60">
        <v>2</v>
      </c>
      <c r="P2131" s="60">
        <v>1</v>
      </c>
      <c r="Q2131" s="60">
        <v>0.15</v>
      </c>
      <c r="R2131" s="60">
        <v>0</v>
      </c>
      <c r="S2131" s="68">
        <v>0</v>
      </c>
      <c r="T2131" s="60">
        <v>0</v>
      </c>
      <c r="U2131" s="60">
        <v>1</v>
      </c>
      <c r="V2131" s="60">
        <v>2</v>
      </c>
      <c r="W2131" s="60">
        <v>0</v>
      </c>
      <c r="X2131" s="60">
        <v>1.5</v>
      </c>
      <c r="Y2131" s="12">
        <v>0</v>
      </c>
      <c r="Z2131" s="60">
        <v>0</v>
      </c>
      <c r="AA2131" s="60">
        <v>1</v>
      </c>
      <c r="AB2131" s="60">
        <v>0</v>
      </c>
      <c r="AC2131" s="60">
        <v>0</v>
      </c>
      <c r="AD2131" s="60">
        <v>0</v>
      </c>
      <c r="AE2131" s="60">
        <v>1</v>
      </c>
      <c r="AF2131" s="60">
        <v>0</v>
      </c>
      <c r="AG2131" s="60">
        <v>1</v>
      </c>
      <c r="AH2131" s="60">
        <v>6</v>
      </c>
      <c r="AI2131" s="68">
        <v>0</v>
      </c>
      <c r="AJ2131" s="68">
        <v>1</v>
      </c>
      <c r="AK2131" s="68">
        <v>0</v>
      </c>
      <c r="AL2131" s="68">
        <v>3</v>
      </c>
      <c r="AM2131" s="60">
        <v>0</v>
      </c>
      <c r="AN2131" s="60">
        <v>0</v>
      </c>
      <c r="AO2131" s="60">
        <v>0</v>
      </c>
      <c r="AP2131" s="60">
        <v>0</v>
      </c>
      <c r="AQ2131" s="60">
        <v>3000</v>
      </c>
      <c r="AR2131" s="60">
        <v>0.2</v>
      </c>
      <c r="AS2131" s="60">
        <v>0</v>
      </c>
      <c r="AT2131" s="68">
        <v>0</v>
      </c>
      <c r="AU2131" s="60">
        <v>80005106</v>
      </c>
      <c r="AV2131" s="60"/>
      <c r="AW2131" s="59" t="s">
        <v>199</v>
      </c>
      <c r="AX2131" s="60">
        <v>0</v>
      </c>
      <c r="AY2131" s="64">
        <v>0</v>
      </c>
      <c r="AZ2131" s="64">
        <v>23000201</v>
      </c>
      <c r="BA2131" s="59" t="s">
        <v>200</v>
      </c>
      <c r="BB2131" s="60">
        <v>0</v>
      </c>
      <c r="BC2131" s="66">
        <v>0</v>
      </c>
      <c r="BD2131" s="66">
        <v>0</v>
      </c>
      <c r="BE2131" s="90" t="s">
        <v>4749</v>
      </c>
      <c r="BF2131" s="90" t="s">
        <v>4750</v>
      </c>
      <c r="BG2131" s="60">
        <v>0</v>
      </c>
      <c r="BH2131" s="60">
        <v>0</v>
      </c>
      <c r="BI2131" s="60">
        <v>0</v>
      </c>
      <c r="BJ2131" s="60">
        <v>0</v>
      </c>
      <c r="BK2131" s="60">
        <v>0</v>
      </c>
      <c r="BL2131" s="60">
        <v>0</v>
      </c>
      <c r="BM2131" s="93">
        <v>0</v>
      </c>
      <c r="BN2131" s="68">
        <v>0</v>
      </c>
      <c r="BO2131" s="68">
        <v>0</v>
      </c>
      <c r="BP2131" s="68">
        <v>0</v>
      </c>
      <c r="BQ2131" s="68">
        <v>0</v>
      </c>
      <c r="BR2131" s="68">
        <v>0</v>
      </c>
      <c r="BS2131" s="68">
        <v>1</v>
      </c>
      <c r="BT2131" s="12">
        <v>0</v>
      </c>
      <c r="BU2131" s="47">
        <v>0</v>
      </c>
      <c r="BV2131" s="47"/>
      <c r="BW2131" s="47"/>
    </row>
    <row r="2132" spans="3:75" ht="19.5" customHeight="1">
      <c r="C2132" s="64">
        <v>80004007</v>
      </c>
      <c r="D2132" s="59" t="s">
        <v>4751</v>
      </c>
      <c r="E2132" s="59" t="s">
        <v>4752</v>
      </c>
      <c r="F2132" s="64">
        <v>1</v>
      </c>
      <c r="G2132" s="60">
        <v>60010100</v>
      </c>
      <c r="H2132" s="64">
        <v>0</v>
      </c>
      <c r="I2132" s="66">
        <v>0</v>
      </c>
      <c r="J2132" s="64">
        <v>1</v>
      </c>
      <c r="K2132" s="64">
        <v>0</v>
      </c>
      <c r="L2132" s="64">
        <v>0</v>
      </c>
      <c r="M2132" s="60">
        <v>0</v>
      </c>
      <c r="N2132" s="60">
        <v>0</v>
      </c>
      <c r="O2132" s="60">
        <v>2</v>
      </c>
      <c r="P2132" s="60">
        <v>3</v>
      </c>
      <c r="Q2132" s="60">
        <v>0.15</v>
      </c>
      <c r="R2132" s="60">
        <v>0</v>
      </c>
      <c r="S2132" s="68">
        <v>0</v>
      </c>
      <c r="T2132" s="60">
        <v>0</v>
      </c>
      <c r="U2132" s="60">
        <v>1</v>
      </c>
      <c r="V2132" s="60">
        <v>2</v>
      </c>
      <c r="W2132" s="60">
        <v>0</v>
      </c>
      <c r="X2132" s="60">
        <v>0</v>
      </c>
      <c r="Y2132" s="12">
        <v>0</v>
      </c>
      <c r="Z2132" s="60">
        <v>0</v>
      </c>
      <c r="AA2132" s="60">
        <v>0</v>
      </c>
      <c r="AB2132" s="60">
        <v>0</v>
      </c>
      <c r="AC2132" s="60">
        <v>0</v>
      </c>
      <c r="AD2132" s="60">
        <v>0</v>
      </c>
      <c r="AE2132" s="60">
        <v>1</v>
      </c>
      <c r="AF2132" s="60">
        <v>0</v>
      </c>
      <c r="AG2132" s="60">
        <v>1</v>
      </c>
      <c r="AH2132" s="60">
        <v>5</v>
      </c>
      <c r="AI2132" s="68">
        <v>0</v>
      </c>
      <c r="AJ2132" s="68">
        <v>1</v>
      </c>
      <c r="AK2132" s="68">
        <v>0</v>
      </c>
      <c r="AL2132" s="68">
        <v>3</v>
      </c>
      <c r="AM2132" s="60">
        <v>0</v>
      </c>
      <c r="AN2132" s="60">
        <v>0</v>
      </c>
      <c r="AO2132" s="60">
        <v>0</v>
      </c>
      <c r="AP2132" s="60">
        <v>1</v>
      </c>
      <c r="AQ2132" s="60">
        <v>1000</v>
      </c>
      <c r="AR2132" s="60">
        <v>0</v>
      </c>
      <c r="AS2132" s="60">
        <v>0</v>
      </c>
      <c r="AT2132" s="78">
        <v>0</v>
      </c>
      <c r="AU2132" s="331" t="s">
        <v>4753</v>
      </c>
      <c r="AV2132" s="79"/>
      <c r="AW2132" s="59" t="s">
        <v>287</v>
      </c>
      <c r="AX2132" s="60">
        <v>0</v>
      </c>
      <c r="AY2132" s="64">
        <v>0</v>
      </c>
      <c r="AZ2132" s="64">
        <v>23000202</v>
      </c>
      <c r="BA2132" s="59" t="s">
        <v>200</v>
      </c>
      <c r="BB2132" s="60">
        <v>0</v>
      </c>
      <c r="BC2132" s="66">
        <v>0</v>
      </c>
      <c r="BD2132" s="66">
        <v>0</v>
      </c>
      <c r="BE2132" s="90" t="s">
        <v>4754</v>
      </c>
      <c r="BF2132" s="90" t="s">
        <v>4755</v>
      </c>
      <c r="BG2132" s="60">
        <v>0</v>
      </c>
      <c r="BH2132" s="60">
        <v>0</v>
      </c>
      <c r="BI2132" s="60">
        <v>0</v>
      </c>
      <c r="BJ2132" s="60">
        <v>0</v>
      </c>
      <c r="BK2132" s="60">
        <v>0</v>
      </c>
      <c r="BL2132" s="60">
        <v>0</v>
      </c>
      <c r="BM2132" s="93">
        <v>0</v>
      </c>
      <c r="BN2132" s="68">
        <v>0</v>
      </c>
      <c r="BO2132" s="68">
        <v>0</v>
      </c>
      <c r="BP2132" s="68">
        <v>0</v>
      </c>
      <c r="BQ2132" s="68">
        <v>0</v>
      </c>
      <c r="BR2132" s="68">
        <v>0</v>
      </c>
      <c r="BS2132" s="68">
        <v>1</v>
      </c>
      <c r="BT2132" s="12">
        <v>0</v>
      </c>
      <c r="BU2132" s="47">
        <v>0</v>
      </c>
      <c r="BV2132" s="47"/>
      <c r="BW2132" s="47"/>
    </row>
    <row r="2133" spans="3:75" ht="19.5" customHeight="1">
      <c r="C2133" s="64">
        <v>80004008</v>
      </c>
      <c r="D2133" s="59" t="s">
        <v>4756</v>
      </c>
      <c r="E2133" s="59" t="s">
        <v>4757</v>
      </c>
      <c r="F2133" s="64">
        <v>1</v>
      </c>
      <c r="G2133" s="64">
        <v>80004008</v>
      </c>
      <c r="H2133" s="64">
        <v>0</v>
      </c>
      <c r="I2133" s="66">
        <v>0</v>
      </c>
      <c r="J2133" s="64">
        <v>1</v>
      </c>
      <c r="K2133" s="64">
        <v>0</v>
      </c>
      <c r="L2133" s="64">
        <v>0</v>
      </c>
      <c r="M2133" s="60">
        <v>0</v>
      </c>
      <c r="N2133" s="60">
        <v>0</v>
      </c>
      <c r="O2133" s="60">
        <v>2</v>
      </c>
      <c r="P2133" s="60" t="s">
        <v>4758</v>
      </c>
      <c r="Q2133" s="60" t="s">
        <v>4759</v>
      </c>
      <c r="R2133" s="60">
        <v>0</v>
      </c>
      <c r="S2133" s="68">
        <v>0</v>
      </c>
      <c r="T2133" s="60">
        <v>0</v>
      </c>
      <c r="U2133" s="60">
        <v>1</v>
      </c>
      <c r="V2133" s="60">
        <v>2</v>
      </c>
      <c r="W2133" s="60">
        <v>0</v>
      </c>
      <c r="X2133" s="60">
        <v>0</v>
      </c>
      <c r="Y2133" s="12">
        <v>0</v>
      </c>
      <c r="Z2133" s="60">
        <v>0</v>
      </c>
      <c r="AA2133" s="60">
        <v>1</v>
      </c>
      <c r="AB2133" s="60">
        <v>0</v>
      </c>
      <c r="AC2133" s="60">
        <v>0</v>
      </c>
      <c r="AD2133" s="60">
        <v>0</v>
      </c>
      <c r="AE2133" s="60">
        <v>1</v>
      </c>
      <c r="AF2133" s="60">
        <v>8</v>
      </c>
      <c r="AG2133" s="60">
        <v>1</v>
      </c>
      <c r="AH2133" s="60">
        <v>6</v>
      </c>
      <c r="AI2133" s="68">
        <v>0</v>
      </c>
      <c r="AJ2133" s="68">
        <v>1</v>
      </c>
      <c r="AK2133" s="68">
        <v>0</v>
      </c>
      <c r="AL2133" s="68">
        <v>3</v>
      </c>
      <c r="AM2133" s="60">
        <v>0</v>
      </c>
      <c r="AN2133" s="60">
        <v>0</v>
      </c>
      <c r="AO2133" s="60">
        <v>0</v>
      </c>
      <c r="AP2133" s="60">
        <v>0</v>
      </c>
      <c r="AQ2133" s="60">
        <v>1000</v>
      </c>
      <c r="AR2133" s="60">
        <v>0</v>
      </c>
      <c r="AS2133" s="60">
        <v>0</v>
      </c>
      <c r="AT2133" s="330" t="s">
        <v>4760</v>
      </c>
      <c r="AU2133" s="331" t="s">
        <v>4761</v>
      </c>
      <c r="AV2133" s="79"/>
      <c r="AW2133" s="59" t="s">
        <v>287</v>
      </c>
      <c r="AX2133" s="60">
        <v>0</v>
      </c>
      <c r="AY2133" s="64">
        <v>0</v>
      </c>
      <c r="AZ2133" s="64">
        <v>23000211</v>
      </c>
      <c r="BA2133" s="59" t="s">
        <v>200</v>
      </c>
      <c r="BB2133" s="60">
        <v>0</v>
      </c>
      <c r="BC2133" s="66">
        <v>0</v>
      </c>
      <c r="BD2133" s="66">
        <v>0</v>
      </c>
      <c r="BE2133" s="90" t="s">
        <v>4762</v>
      </c>
      <c r="BF2133" s="90" t="s">
        <v>4763</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spans="3:75" ht="19.5" customHeight="1">
      <c r="C2134" s="64">
        <v>80004009</v>
      </c>
      <c r="D2134" s="59" t="s">
        <v>4764</v>
      </c>
      <c r="E2134" s="59" t="s">
        <v>4765</v>
      </c>
      <c r="F2134" s="64">
        <v>1</v>
      </c>
      <c r="G2134" s="64">
        <v>80004009</v>
      </c>
      <c r="H2134" s="64">
        <v>0</v>
      </c>
      <c r="I2134" s="66">
        <v>0</v>
      </c>
      <c r="J2134" s="64">
        <v>1</v>
      </c>
      <c r="K2134" s="64">
        <v>0</v>
      </c>
      <c r="L2134" s="64">
        <v>0</v>
      </c>
      <c r="M2134" s="60">
        <v>0</v>
      </c>
      <c r="N2134" s="60">
        <v>0</v>
      </c>
      <c r="O2134" s="60">
        <v>2</v>
      </c>
      <c r="P2134" s="60">
        <v>16</v>
      </c>
      <c r="Q2134" s="60">
        <v>5</v>
      </c>
      <c r="R2134" s="60">
        <v>0</v>
      </c>
      <c r="S2134" s="68">
        <v>0</v>
      </c>
      <c r="T2134" s="60">
        <v>0</v>
      </c>
      <c r="U2134" s="60">
        <v>1</v>
      </c>
      <c r="V2134" s="60">
        <v>2</v>
      </c>
      <c r="W2134" s="60">
        <v>0</v>
      </c>
      <c r="X2134" s="60">
        <v>1.2</v>
      </c>
      <c r="Y2134" s="12">
        <v>0</v>
      </c>
      <c r="Z2134" s="60">
        <v>0</v>
      </c>
      <c r="AA2134" s="60">
        <v>1</v>
      </c>
      <c r="AB2134" s="60">
        <v>0</v>
      </c>
      <c r="AC2134" s="60">
        <v>0</v>
      </c>
      <c r="AD2134" s="60">
        <v>0</v>
      </c>
      <c r="AE2134" s="60">
        <v>1</v>
      </c>
      <c r="AF2134" s="60">
        <v>0</v>
      </c>
      <c r="AG2134" s="60">
        <v>1</v>
      </c>
      <c r="AH2134" s="60">
        <v>2</v>
      </c>
      <c r="AI2134" s="68">
        <v>0</v>
      </c>
      <c r="AJ2134" s="68">
        <v>2</v>
      </c>
      <c r="AK2134" s="68">
        <v>0</v>
      </c>
      <c r="AL2134" s="68">
        <v>2</v>
      </c>
      <c r="AM2134" s="60">
        <v>0</v>
      </c>
      <c r="AN2134" s="60">
        <v>0</v>
      </c>
      <c r="AO2134" s="60">
        <v>0</v>
      </c>
      <c r="AP2134" s="60">
        <v>2</v>
      </c>
      <c r="AQ2134" s="60">
        <v>8000</v>
      </c>
      <c r="AR2134" s="60">
        <v>0</v>
      </c>
      <c r="AS2134" s="60">
        <v>10</v>
      </c>
      <c r="AT2134" s="78">
        <v>0</v>
      </c>
      <c r="AU2134" s="331" t="s">
        <v>198</v>
      </c>
      <c r="AV2134" s="79"/>
      <c r="AW2134" s="59" t="s">
        <v>199</v>
      </c>
      <c r="AX2134" s="60" t="s">
        <v>534</v>
      </c>
      <c r="AY2134" s="64">
        <v>10000007</v>
      </c>
      <c r="AZ2134" s="64">
        <v>23000212</v>
      </c>
      <c r="BA2134" s="59" t="s">
        <v>586</v>
      </c>
      <c r="BB2134" s="60" t="s">
        <v>1318</v>
      </c>
      <c r="BC2134" s="66">
        <v>0</v>
      </c>
      <c r="BD2134" s="66">
        <v>1</v>
      </c>
      <c r="BE2134" s="90" t="s">
        <v>1306</v>
      </c>
      <c r="BF2134" s="90" t="s">
        <v>1307</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20.100000000000001" customHeight="1">
      <c r="C2135" s="64">
        <v>80004010</v>
      </c>
      <c r="D2135" s="59" t="s">
        <v>4766</v>
      </c>
      <c r="E2135" s="59" t="s">
        <v>952</v>
      </c>
      <c r="F2135" s="60">
        <v>1</v>
      </c>
      <c r="G2135" s="64">
        <v>80004010</v>
      </c>
      <c r="H2135" s="60">
        <v>0</v>
      </c>
      <c r="I2135" s="66">
        <v>0</v>
      </c>
      <c r="J2135" s="64">
        <v>1</v>
      </c>
      <c r="K2135" s="64">
        <v>0</v>
      </c>
      <c r="L2135" s="64">
        <v>0</v>
      </c>
      <c r="M2135" s="60">
        <v>0</v>
      </c>
      <c r="N2135" s="60">
        <v>0</v>
      </c>
      <c r="O2135" s="60">
        <v>2</v>
      </c>
      <c r="P2135" s="60">
        <v>1</v>
      </c>
      <c r="Q2135" s="60">
        <v>0.2</v>
      </c>
      <c r="R2135" s="60">
        <v>0</v>
      </c>
      <c r="S2135" s="68">
        <v>0</v>
      </c>
      <c r="T2135" s="60">
        <v>0</v>
      </c>
      <c r="U2135" s="60">
        <v>1</v>
      </c>
      <c r="V2135" s="60">
        <v>1</v>
      </c>
      <c r="W2135" s="60">
        <v>0</v>
      </c>
      <c r="X2135" s="60">
        <v>1.2</v>
      </c>
      <c r="Y2135" s="12">
        <v>0</v>
      </c>
      <c r="Z2135" s="60">
        <v>0</v>
      </c>
      <c r="AA2135" s="60">
        <v>1</v>
      </c>
      <c r="AB2135" s="60">
        <v>0</v>
      </c>
      <c r="AC2135" s="60">
        <v>0</v>
      </c>
      <c r="AD2135" s="60">
        <v>0</v>
      </c>
      <c r="AE2135" s="60">
        <v>1</v>
      </c>
      <c r="AF2135" s="60">
        <v>0</v>
      </c>
      <c r="AG2135" s="60">
        <v>2</v>
      </c>
      <c r="AH2135" s="60" t="s">
        <v>213</v>
      </c>
      <c r="AI2135" s="68">
        <v>0</v>
      </c>
      <c r="AJ2135" s="68">
        <v>2</v>
      </c>
      <c r="AK2135" s="68">
        <v>0</v>
      </c>
      <c r="AL2135" s="68">
        <v>1.5</v>
      </c>
      <c r="AM2135" s="60">
        <v>0</v>
      </c>
      <c r="AN2135" s="60">
        <v>0.1</v>
      </c>
      <c r="AO2135" s="60">
        <v>0</v>
      </c>
      <c r="AP2135" s="60">
        <v>0.5</v>
      </c>
      <c r="AQ2135" s="60">
        <v>500</v>
      </c>
      <c r="AR2135" s="60">
        <v>0</v>
      </c>
      <c r="AS2135" s="60">
        <v>15</v>
      </c>
      <c r="AT2135" s="339" t="s">
        <v>4767</v>
      </c>
      <c r="AU2135" s="331" t="s">
        <v>4768</v>
      </c>
      <c r="AV2135" s="79"/>
      <c r="AW2135" s="59" t="s">
        <v>199</v>
      </c>
      <c r="AX2135" s="60" t="s">
        <v>215</v>
      </c>
      <c r="AY2135" s="64">
        <v>10000011</v>
      </c>
      <c r="AZ2135" s="64">
        <v>23000221</v>
      </c>
      <c r="BA2135" s="59" t="s">
        <v>216</v>
      </c>
      <c r="BB2135" s="60">
        <v>0</v>
      </c>
      <c r="BC2135" s="66">
        <v>0</v>
      </c>
      <c r="BD2135" s="66">
        <v>0</v>
      </c>
      <c r="BE2135" s="90" t="s">
        <v>4769</v>
      </c>
      <c r="BF2135" s="90" t="s">
        <v>4770</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20.100000000000001" customHeight="1">
      <c r="C2136" s="64">
        <v>80004011</v>
      </c>
      <c r="D2136" s="59" t="s">
        <v>4766</v>
      </c>
      <c r="E2136" s="59" t="s">
        <v>952</v>
      </c>
      <c r="F2136" s="60">
        <v>1</v>
      </c>
      <c r="G2136" s="60">
        <v>61012301</v>
      </c>
      <c r="H2136" s="60">
        <v>0</v>
      </c>
      <c r="I2136" s="66">
        <v>0</v>
      </c>
      <c r="J2136" s="64">
        <v>1</v>
      </c>
      <c r="K2136" s="64">
        <v>0</v>
      </c>
      <c r="L2136" s="64">
        <v>0</v>
      </c>
      <c r="M2136" s="60">
        <v>0</v>
      </c>
      <c r="N2136" s="60">
        <v>0</v>
      </c>
      <c r="O2136" s="60">
        <v>2</v>
      </c>
      <c r="P2136" s="60">
        <v>1</v>
      </c>
      <c r="Q2136" s="60">
        <v>0.2</v>
      </c>
      <c r="R2136" s="60">
        <v>0</v>
      </c>
      <c r="S2136" s="68">
        <v>0</v>
      </c>
      <c r="T2136" s="60">
        <v>0</v>
      </c>
      <c r="U2136" s="60">
        <v>1</v>
      </c>
      <c r="V2136" s="60">
        <v>1</v>
      </c>
      <c r="W2136" s="60">
        <v>0</v>
      </c>
      <c r="X2136" s="60">
        <v>1.2</v>
      </c>
      <c r="Y2136" s="12">
        <v>0</v>
      </c>
      <c r="Z2136" s="60">
        <v>0</v>
      </c>
      <c r="AA2136" s="60">
        <v>1</v>
      </c>
      <c r="AB2136" s="60">
        <v>0</v>
      </c>
      <c r="AC2136" s="60">
        <v>0</v>
      </c>
      <c r="AD2136" s="60">
        <v>0</v>
      </c>
      <c r="AE2136" s="60">
        <v>1</v>
      </c>
      <c r="AF2136" s="60">
        <v>0</v>
      </c>
      <c r="AG2136" s="60">
        <v>2</v>
      </c>
      <c r="AH2136" s="60" t="s">
        <v>213</v>
      </c>
      <c r="AI2136" s="68">
        <v>0</v>
      </c>
      <c r="AJ2136" s="68">
        <v>2</v>
      </c>
      <c r="AK2136" s="68">
        <v>0</v>
      </c>
      <c r="AL2136" s="68">
        <v>1.5</v>
      </c>
      <c r="AM2136" s="60">
        <v>0</v>
      </c>
      <c r="AN2136" s="60">
        <v>0.1</v>
      </c>
      <c r="AO2136" s="60">
        <v>0</v>
      </c>
      <c r="AP2136" s="60">
        <v>0.5</v>
      </c>
      <c r="AQ2136" s="60">
        <v>500</v>
      </c>
      <c r="AR2136" s="60">
        <v>0</v>
      </c>
      <c r="AS2136" s="60">
        <v>15</v>
      </c>
      <c r="AT2136" s="339" t="s">
        <v>4771</v>
      </c>
      <c r="AU2136" s="331" t="s">
        <v>4768</v>
      </c>
      <c r="AV2136" s="79"/>
      <c r="AW2136" s="59" t="s">
        <v>199</v>
      </c>
      <c r="AX2136" s="60" t="s">
        <v>215</v>
      </c>
      <c r="AY2136" s="64">
        <v>10000011</v>
      </c>
      <c r="AZ2136" s="64">
        <v>23000221</v>
      </c>
      <c r="BA2136" s="59" t="s">
        <v>216</v>
      </c>
      <c r="BB2136" s="60">
        <v>0</v>
      </c>
      <c r="BC2136" s="66">
        <v>0</v>
      </c>
      <c r="BD2136" s="66">
        <v>0</v>
      </c>
      <c r="BE2136" s="90" t="s">
        <v>4772</v>
      </c>
      <c r="BF2136" s="90" t="s">
        <v>4773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80004012</v>
      </c>
      <c r="D2137" s="59" t="s">
        <v>2140</v>
      </c>
      <c r="E2137" s="59" t="s">
        <v>2141</v>
      </c>
      <c r="F2137" s="64">
        <v>1</v>
      </c>
      <c r="G2137" s="60">
        <v>60010100</v>
      </c>
      <c r="H2137" s="64">
        <v>0</v>
      </c>
      <c r="I2137" s="66">
        <v>0</v>
      </c>
      <c r="J2137" s="64">
        <v>1</v>
      </c>
      <c r="K2137" s="64">
        <v>0</v>
      </c>
      <c r="L2137" s="64">
        <v>0</v>
      </c>
      <c r="M2137" s="60">
        <v>0</v>
      </c>
      <c r="N2137" s="60">
        <v>0</v>
      </c>
      <c r="O2137" s="60">
        <v>2</v>
      </c>
      <c r="P2137" s="60">
        <v>1</v>
      </c>
      <c r="Q2137" s="60">
        <v>0.2</v>
      </c>
      <c r="R2137" s="60">
        <v>0</v>
      </c>
      <c r="S2137" s="68">
        <v>0</v>
      </c>
      <c r="T2137" s="60">
        <v>0</v>
      </c>
      <c r="U2137" s="60">
        <v>1</v>
      </c>
      <c r="V2137" s="60">
        <v>1</v>
      </c>
      <c r="W2137" s="60">
        <v>0</v>
      </c>
      <c r="X2137" s="60">
        <v>0.3</v>
      </c>
      <c r="Y2137" s="12">
        <v>0</v>
      </c>
      <c r="Z2137" s="60">
        <v>0</v>
      </c>
      <c r="AA2137" s="60">
        <v>1</v>
      </c>
      <c r="AB2137" s="60">
        <v>0</v>
      </c>
      <c r="AC2137" s="60">
        <v>0</v>
      </c>
      <c r="AD2137" s="60">
        <v>0</v>
      </c>
      <c r="AE2137" s="60">
        <v>1</v>
      </c>
      <c r="AF2137" s="60">
        <v>0</v>
      </c>
      <c r="AG2137" s="60">
        <v>1</v>
      </c>
      <c r="AH2137" s="60" t="s">
        <v>861</v>
      </c>
      <c r="AI2137" s="68">
        <v>0</v>
      </c>
      <c r="AJ2137" s="68">
        <v>0</v>
      </c>
      <c r="AK2137" s="68">
        <v>0</v>
      </c>
      <c r="AL2137" s="68">
        <v>0</v>
      </c>
      <c r="AM2137" s="60">
        <v>0</v>
      </c>
      <c r="AN2137" s="60">
        <v>0</v>
      </c>
      <c r="AO2137" s="60">
        <v>0</v>
      </c>
      <c r="AP2137" s="60">
        <v>0</v>
      </c>
      <c r="AQ2137" s="60">
        <v>5000</v>
      </c>
      <c r="AR2137" s="60">
        <v>0</v>
      </c>
      <c r="AS2137" s="60">
        <v>0</v>
      </c>
      <c r="AT2137" s="68">
        <v>0</v>
      </c>
      <c r="AU2137" s="60">
        <v>80005302</v>
      </c>
      <c r="AV2137" s="60"/>
      <c r="AW2137" s="59" t="s">
        <v>287</v>
      </c>
      <c r="AX2137" s="60" t="s">
        <v>534</v>
      </c>
      <c r="AY2137" s="64">
        <v>10000007</v>
      </c>
      <c r="AZ2137" s="64">
        <v>23000222</v>
      </c>
      <c r="BA2137" s="63" t="s">
        <v>315</v>
      </c>
      <c r="BB2137" s="63" t="s">
        <v>371</v>
      </c>
      <c r="BC2137" s="66">
        <v>0</v>
      </c>
      <c r="BD2137" s="66">
        <v>0</v>
      </c>
      <c r="BE2137" s="90" t="s">
        <v>4774</v>
      </c>
      <c r="BF2137" s="90" t="s">
        <v>4775</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20.100000000000001" customHeight="1">
      <c r="C2138" s="64">
        <v>80004013</v>
      </c>
      <c r="D2138" s="59" t="s">
        <v>4735</v>
      </c>
      <c r="E2138" s="59" t="s">
        <v>4736</v>
      </c>
      <c r="F2138" s="60">
        <v>1</v>
      </c>
      <c r="G2138" s="64">
        <v>80004013</v>
      </c>
      <c r="H2138" s="60">
        <v>0</v>
      </c>
      <c r="I2138" s="66">
        <v>0</v>
      </c>
      <c r="J2138" s="64">
        <v>1</v>
      </c>
      <c r="K2138" s="64">
        <v>0</v>
      </c>
      <c r="L2138" s="64">
        <v>0</v>
      </c>
      <c r="M2138" s="60">
        <v>0</v>
      </c>
      <c r="N2138" s="60">
        <v>0</v>
      </c>
      <c r="O2138" s="60">
        <v>2</v>
      </c>
      <c r="P2138" s="60">
        <v>1</v>
      </c>
      <c r="Q2138" s="60">
        <v>0.3</v>
      </c>
      <c r="R2138" s="60">
        <v>0</v>
      </c>
      <c r="S2138" s="68">
        <v>0</v>
      </c>
      <c r="T2138" s="60">
        <v>0</v>
      </c>
      <c r="U2138" s="60">
        <v>1</v>
      </c>
      <c r="V2138" s="60">
        <v>1</v>
      </c>
      <c r="W2138" s="60">
        <v>0</v>
      </c>
      <c r="X2138" s="60">
        <v>2</v>
      </c>
      <c r="Y2138" s="12">
        <v>0</v>
      </c>
      <c r="Z2138" s="60">
        <v>0</v>
      </c>
      <c r="AA2138" s="60">
        <v>0</v>
      </c>
      <c r="AB2138" s="60">
        <v>0</v>
      </c>
      <c r="AC2138" s="60">
        <v>0</v>
      </c>
      <c r="AD2138" s="60">
        <v>0</v>
      </c>
      <c r="AE2138" s="60">
        <v>0</v>
      </c>
      <c r="AF2138" s="60">
        <v>6</v>
      </c>
      <c r="AG2138" s="60">
        <v>2</v>
      </c>
      <c r="AH2138" s="60" t="s">
        <v>213</v>
      </c>
      <c r="AI2138" s="68">
        <v>0</v>
      </c>
      <c r="AJ2138" s="68">
        <v>0</v>
      </c>
      <c r="AK2138" s="68">
        <v>0</v>
      </c>
      <c r="AL2138" s="68">
        <v>1.5</v>
      </c>
      <c r="AM2138" s="60">
        <v>0</v>
      </c>
      <c r="AN2138" s="60">
        <v>0</v>
      </c>
      <c r="AO2138" s="60">
        <v>0</v>
      </c>
      <c r="AP2138" s="60">
        <v>0.5</v>
      </c>
      <c r="AQ2138" s="60">
        <v>3000</v>
      </c>
      <c r="AR2138" s="60">
        <v>0.5</v>
      </c>
      <c r="AS2138" s="60">
        <v>0</v>
      </c>
      <c r="AT2138" s="68">
        <v>0</v>
      </c>
      <c r="AU2138" s="60">
        <v>80005305</v>
      </c>
      <c r="AV2138" s="60"/>
      <c r="AW2138" s="59" t="s">
        <v>287</v>
      </c>
      <c r="AX2138" s="60">
        <v>0</v>
      </c>
      <c r="AY2138" s="64">
        <v>10000007</v>
      </c>
      <c r="AZ2138" s="64">
        <v>23000223</v>
      </c>
      <c r="BA2138" s="59" t="s">
        <v>200</v>
      </c>
      <c r="BB2138" s="60">
        <v>0</v>
      </c>
      <c r="BC2138" s="66">
        <v>0</v>
      </c>
      <c r="BD2138" s="66">
        <v>0</v>
      </c>
      <c r="BE2138" s="90" t="s">
        <v>4776</v>
      </c>
      <c r="BF2138" s="90" t="s">
        <v>4777</v>
      </c>
      <c r="BG2138" s="60">
        <v>0</v>
      </c>
      <c r="BH2138" s="60">
        <v>0</v>
      </c>
      <c r="BI2138" s="60">
        <v>0</v>
      </c>
      <c r="BJ2138" s="60">
        <v>0</v>
      </c>
      <c r="BK2138" s="60">
        <v>0</v>
      </c>
      <c r="BL2138" s="60">
        <v>0</v>
      </c>
      <c r="BM2138" s="60">
        <v>0</v>
      </c>
      <c r="BN2138" s="68">
        <v>0</v>
      </c>
      <c r="BO2138" s="68">
        <v>0</v>
      </c>
      <c r="BP2138" s="68">
        <v>0</v>
      </c>
      <c r="BQ2138" s="68">
        <v>0</v>
      </c>
      <c r="BR2138" s="68">
        <v>0</v>
      </c>
      <c r="BS2138" s="68">
        <v>0</v>
      </c>
      <c r="BT2138" s="12">
        <v>0</v>
      </c>
      <c r="BU2138" s="47">
        <v>0</v>
      </c>
      <c r="BV2138" s="47"/>
      <c r="BW2138" s="47"/>
    </row>
    <row r="2139" spans="3:75" ht="20.100000000000001" customHeight="1">
      <c r="C2139" s="18">
        <v>81000110</v>
      </c>
      <c r="D2139" s="19" t="s">
        <v>1309</v>
      </c>
      <c r="E2139" s="19" t="s">
        <v>1310</v>
      </c>
      <c r="F2139" s="16">
        <v>1</v>
      </c>
      <c r="G2139" s="18">
        <v>61023101</v>
      </c>
      <c r="H2139" s="18">
        <v>0</v>
      </c>
      <c r="I2139" s="27">
        <v>0</v>
      </c>
      <c r="J2139" s="16">
        <v>1</v>
      </c>
      <c r="K2139" s="16">
        <v>0</v>
      </c>
      <c r="L2139" s="16">
        <v>0</v>
      </c>
      <c r="M2139" s="18">
        <v>0</v>
      </c>
      <c r="N2139" s="18">
        <v>0</v>
      </c>
      <c r="O2139" s="18">
        <v>1</v>
      </c>
      <c r="P2139" s="18">
        <v>0</v>
      </c>
      <c r="Q2139" s="18">
        <v>0</v>
      </c>
      <c r="R2139" s="18">
        <v>0</v>
      </c>
      <c r="S2139" s="12">
        <v>0</v>
      </c>
      <c r="T2139" s="27">
        <v>0</v>
      </c>
      <c r="U2139" s="16">
        <v>1</v>
      </c>
      <c r="V2139" s="18">
        <v>2</v>
      </c>
      <c r="W2139" s="18">
        <v>0</v>
      </c>
      <c r="X2139" s="18">
        <v>0</v>
      </c>
      <c r="Y2139" s="12">
        <v>0</v>
      </c>
      <c r="Z2139" s="18">
        <v>0</v>
      </c>
      <c r="AA2139" s="18">
        <v>1</v>
      </c>
      <c r="AB2139" s="18">
        <v>0</v>
      </c>
      <c r="AC2139" s="18">
        <v>0</v>
      </c>
      <c r="AD2139" s="18">
        <v>0</v>
      </c>
      <c r="AE2139" s="18">
        <v>0</v>
      </c>
      <c r="AF2139" s="18">
        <v>9</v>
      </c>
      <c r="AG2139" s="18">
        <v>1</v>
      </c>
      <c r="AH2139" s="18">
        <v>3.5</v>
      </c>
      <c r="AI2139" s="12">
        <v>0</v>
      </c>
      <c r="AJ2139" s="12">
        <v>0</v>
      </c>
      <c r="AK2139" s="12">
        <v>0</v>
      </c>
      <c r="AL2139" s="12">
        <v>3</v>
      </c>
      <c r="AM2139" s="18">
        <v>0</v>
      </c>
      <c r="AN2139" s="18">
        <v>0</v>
      </c>
      <c r="AO2139" s="18">
        <v>0</v>
      </c>
      <c r="AP2139" s="18">
        <v>0</v>
      </c>
      <c r="AQ2139" s="18">
        <v>2000</v>
      </c>
      <c r="AR2139" s="18">
        <v>0</v>
      </c>
      <c r="AS2139" s="18">
        <v>0</v>
      </c>
      <c r="AT2139" s="12">
        <v>0</v>
      </c>
      <c r="AU2139" s="346" t="s">
        <v>4778</v>
      </c>
      <c r="AV2139" s="18"/>
      <c r="AW2139" s="19" t="s">
        <v>199</v>
      </c>
      <c r="AX2139" s="18" t="s">
        <v>534</v>
      </c>
      <c r="AY2139" s="18">
        <v>10000007</v>
      </c>
      <c r="AZ2139" s="18">
        <v>70403003</v>
      </c>
      <c r="BA2139" s="17" t="s">
        <v>1531</v>
      </c>
      <c r="BB2139" s="19">
        <v>0</v>
      </c>
      <c r="BC2139" s="27">
        <v>0</v>
      </c>
      <c r="BD2139" s="27">
        <v>0</v>
      </c>
      <c r="BE2139" s="183" t="s">
        <v>4779</v>
      </c>
      <c r="BF2139" s="183" t="s">
        <v>4780</v>
      </c>
      <c r="BG2139" s="18">
        <v>0</v>
      </c>
      <c r="BH2139" s="16">
        <v>0</v>
      </c>
      <c r="BI2139" s="18">
        <v>0</v>
      </c>
      <c r="BJ2139" s="18">
        <v>0</v>
      </c>
      <c r="BK2139" s="18">
        <v>0</v>
      </c>
      <c r="BL2139" s="18">
        <v>0</v>
      </c>
      <c r="BM2139" s="15">
        <v>0</v>
      </c>
      <c r="BN2139" s="12">
        <v>1</v>
      </c>
      <c r="BO2139" s="12">
        <v>0</v>
      </c>
      <c r="BP2139" s="12">
        <v>0</v>
      </c>
      <c r="BQ2139" s="12">
        <v>0</v>
      </c>
      <c r="BR2139" s="12">
        <v>0</v>
      </c>
      <c r="BS2139" s="12">
        <v>0</v>
      </c>
      <c r="BT2139" s="12">
        <v>0</v>
      </c>
      <c r="BU2139" s="47">
        <v>0</v>
      </c>
      <c r="BV2139" s="47"/>
      <c r="BW2139" s="47"/>
    </row>
    <row r="2140" spans="3:75" ht="19.5" customHeight="1">
      <c r="C2140" s="18">
        <v>81000120</v>
      </c>
      <c r="D2140" s="19" t="s">
        <v>4371</v>
      </c>
      <c r="E2140" s="19" t="s">
        <v>4372</v>
      </c>
      <c r="F2140" s="16">
        <v>1</v>
      </c>
      <c r="G2140" s="18">
        <v>61021301</v>
      </c>
      <c r="H2140" s="18">
        <v>0</v>
      </c>
      <c r="I2140" s="27">
        <v>0</v>
      </c>
      <c r="J2140" s="16">
        <v>1</v>
      </c>
      <c r="K2140" s="18">
        <v>0</v>
      </c>
      <c r="L2140" s="16">
        <v>0</v>
      </c>
      <c r="M2140" s="18">
        <v>0</v>
      </c>
      <c r="N2140" s="18">
        <v>0</v>
      </c>
      <c r="O2140" s="18">
        <v>1</v>
      </c>
      <c r="P2140" s="18">
        <v>0</v>
      </c>
      <c r="Q2140" s="18">
        <v>0</v>
      </c>
      <c r="R2140" s="18">
        <v>0</v>
      </c>
      <c r="S2140" s="12">
        <v>0</v>
      </c>
      <c r="T2140" s="27">
        <v>0</v>
      </c>
      <c r="U2140" s="16">
        <v>1</v>
      </c>
      <c r="V2140" s="18">
        <v>2</v>
      </c>
      <c r="W2140" s="18">
        <v>0</v>
      </c>
      <c r="X2140" s="18">
        <v>0</v>
      </c>
      <c r="Y2140" s="12">
        <v>0</v>
      </c>
      <c r="Z2140" s="18">
        <v>0</v>
      </c>
      <c r="AA2140" s="18">
        <v>1</v>
      </c>
      <c r="AB2140" s="18">
        <v>0</v>
      </c>
      <c r="AC2140" s="18">
        <v>0</v>
      </c>
      <c r="AD2140" s="18">
        <v>0</v>
      </c>
      <c r="AE2140" s="18">
        <v>0</v>
      </c>
      <c r="AF2140" s="18">
        <v>9</v>
      </c>
      <c r="AG2140" s="18">
        <v>2</v>
      </c>
      <c r="AH2140" s="18" t="s">
        <v>1547</v>
      </c>
      <c r="AI2140" s="12">
        <v>2</v>
      </c>
      <c r="AJ2140" s="12">
        <v>3</v>
      </c>
      <c r="AK2140" s="12">
        <v>0</v>
      </c>
      <c r="AL2140" s="12">
        <v>3</v>
      </c>
      <c r="AM2140" s="18">
        <v>0</v>
      </c>
      <c r="AN2140" s="18">
        <v>0</v>
      </c>
      <c r="AO2140" s="18">
        <v>0</v>
      </c>
      <c r="AP2140" s="18">
        <v>0</v>
      </c>
      <c r="AQ2140" s="18">
        <v>3000</v>
      </c>
      <c r="AR2140" s="18">
        <v>0</v>
      </c>
      <c r="AS2140" s="18">
        <v>0</v>
      </c>
      <c r="AT2140" s="12">
        <v>0</v>
      </c>
      <c r="AU2140" s="18">
        <v>81000120</v>
      </c>
      <c r="AV2140" s="18"/>
      <c r="AW2140" s="19" t="s">
        <v>199</v>
      </c>
      <c r="AX2140" s="18" t="s">
        <v>545</v>
      </c>
      <c r="AY2140" s="18">
        <v>10001007</v>
      </c>
      <c r="AZ2140" s="18">
        <v>21010030</v>
      </c>
      <c r="BA2140" s="19" t="s">
        <v>200</v>
      </c>
      <c r="BB2140" s="19">
        <v>0</v>
      </c>
      <c r="BC2140" s="27">
        <v>0</v>
      </c>
      <c r="BD2140" s="27">
        <v>0</v>
      </c>
      <c r="BE2140" s="183" t="s">
        <v>4781</v>
      </c>
      <c r="BF2140" s="183" t="s">
        <v>4782</v>
      </c>
      <c r="BG2140" s="18">
        <v>0</v>
      </c>
      <c r="BH2140" s="16">
        <v>0</v>
      </c>
      <c r="BI2140" s="18">
        <v>0</v>
      </c>
      <c r="BJ2140" s="18">
        <v>0</v>
      </c>
      <c r="BK2140" s="18">
        <v>0</v>
      </c>
      <c r="BL2140" s="18">
        <v>0</v>
      </c>
      <c r="BM2140" s="15">
        <v>0</v>
      </c>
      <c r="BN2140" s="12">
        <v>0</v>
      </c>
      <c r="BO2140" s="12">
        <v>0</v>
      </c>
      <c r="BP2140" s="12">
        <v>0</v>
      </c>
      <c r="BQ2140" s="12">
        <v>0</v>
      </c>
      <c r="BR2140" s="12">
        <v>0</v>
      </c>
      <c r="BS2140" s="12">
        <v>0</v>
      </c>
      <c r="BT2140" s="12">
        <v>0</v>
      </c>
      <c r="BU2140" s="47">
        <v>0</v>
      </c>
      <c r="BV2140" s="47"/>
      <c r="BW2140" s="47"/>
    </row>
    <row r="2141" spans="3:75" ht="20.100000000000001" customHeight="1">
      <c r="C2141" s="18">
        <v>81000130</v>
      </c>
      <c r="D2141" s="19" t="s">
        <v>4783</v>
      </c>
      <c r="E2141" s="19" t="s">
        <v>4784</v>
      </c>
      <c r="F2141" s="16">
        <v>1</v>
      </c>
      <c r="G2141" s="18">
        <v>61023101</v>
      </c>
      <c r="H2141" s="18">
        <v>0</v>
      </c>
      <c r="I2141" s="27">
        <v>0</v>
      </c>
      <c r="J2141" s="16">
        <v>1</v>
      </c>
      <c r="K2141" s="16">
        <v>0</v>
      </c>
      <c r="L2141" s="16">
        <v>0</v>
      </c>
      <c r="M2141" s="18">
        <v>0</v>
      </c>
      <c r="N2141" s="18">
        <v>0</v>
      </c>
      <c r="O2141" s="18">
        <v>1</v>
      </c>
      <c r="P2141" s="18">
        <v>0</v>
      </c>
      <c r="Q2141" s="18">
        <v>0</v>
      </c>
      <c r="R2141" s="18">
        <v>0</v>
      </c>
      <c r="S2141" s="12">
        <v>0</v>
      </c>
      <c r="T2141" s="27">
        <v>0</v>
      </c>
      <c r="U2141" s="16">
        <v>1</v>
      </c>
      <c r="V2141" s="18">
        <v>2</v>
      </c>
      <c r="W2141" s="18">
        <v>0</v>
      </c>
      <c r="X2141" s="18">
        <v>0</v>
      </c>
      <c r="Y2141" s="12">
        <v>0</v>
      </c>
      <c r="Z2141" s="18">
        <v>0</v>
      </c>
      <c r="AA2141" s="18">
        <v>1</v>
      </c>
      <c r="AB2141" s="18">
        <v>0</v>
      </c>
      <c r="AC2141" s="18">
        <v>0</v>
      </c>
      <c r="AD2141" s="18">
        <v>0</v>
      </c>
      <c r="AE2141" s="18">
        <v>0</v>
      </c>
      <c r="AF2141" s="18">
        <v>9</v>
      </c>
      <c r="AG2141" s="18">
        <v>1</v>
      </c>
      <c r="AH2141" s="18">
        <v>3.5</v>
      </c>
      <c r="AI2141" s="12">
        <v>0</v>
      </c>
      <c r="AJ2141" s="12">
        <v>0</v>
      </c>
      <c r="AK2141" s="12">
        <v>0</v>
      </c>
      <c r="AL2141" s="12">
        <v>3</v>
      </c>
      <c r="AM2141" s="18">
        <v>0</v>
      </c>
      <c r="AN2141" s="18">
        <v>0</v>
      </c>
      <c r="AO2141" s="18">
        <v>0</v>
      </c>
      <c r="AP2141" s="18">
        <v>0</v>
      </c>
      <c r="AQ2141" s="18">
        <v>2000</v>
      </c>
      <c r="AR2141" s="18">
        <v>0</v>
      </c>
      <c r="AS2141" s="18">
        <v>0</v>
      </c>
      <c r="AT2141" s="12">
        <v>0</v>
      </c>
      <c r="AU2141" s="18">
        <v>81000130</v>
      </c>
      <c r="AV2141" s="18"/>
      <c r="AW2141" s="19" t="s">
        <v>199</v>
      </c>
      <c r="AX2141" s="18" t="s">
        <v>534</v>
      </c>
      <c r="AY2141" s="18">
        <v>10000009</v>
      </c>
      <c r="AZ2141" s="18">
        <v>21030010</v>
      </c>
      <c r="BA2141" s="17" t="s">
        <v>1531</v>
      </c>
      <c r="BB2141" s="19">
        <v>0</v>
      </c>
      <c r="BC2141" s="27">
        <v>0</v>
      </c>
      <c r="BD2141" s="27">
        <v>0</v>
      </c>
      <c r="BE2141" s="183" t="s">
        <v>4785</v>
      </c>
      <c r="BF2141" s="183" t="s">
        <v>4786</v>
      </c>
      <c r="BG2141" s="18">
        <v>0</v>
      </c>
      <c r="BH2141" s="16">
        <v>0</v>
      </c>
      <c r="BI2141" s="18">
        <v>0</v>
      </c>
      <c r="BJ2141" s="18">
        <v>0</v>
      </c>
      <c r="BK2141" s="18">
        <v>0</v>
      </c>
      <c r="BL2141" s="18">
        <v>0</v>
      </c>
      <c r="BM2141" s="15">
        <v>0</v>
      </c>
      <c r="BN2141" s="12">
        <v>1</v>
      </c>
      <c r="BO2141" s="12">
        <v>0</v>
      </c>
      <c r="BP2141" s="12">
        <v>0</v>
      </c>
      <c r="BQ2141" s="12">
        <v>0</v>
      </c>
      <c r="BR2141" s="12">
        <v>0</v>
      </c>
      <c r="BS2141" s="12">
        <v>0</v>
      </c>
      <c r="BT2141" s="12">
        <v>0</v>
      </c>
      <c r="BU2141" s="47">
        <v>0</v>
      </c>
      <c r="BV2141" s="47"/>
      <c r="BW2141" s="47"/>
    </row>
    <row r="2142" spans="3:75" ht="20.100000000000001" customHeight="1">
      <c r="C2142" s="18">
        <v>81000140</v>
      </c>
      <c r="D2142" s="19" t="s">
        <v>4787</v>
      </c>
      <c r="E2142" s="19" t="s">
        <v>4788</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18">
        <v>81000140</v>
      </c>
      <c r="AV2142" s="18"/>
      <c r="AW2142" s="19" t="s">
        <v>199</v>
      </c>
      <c r="AX2142" s="18" t="s">
        <v>534</v>
      </c>
      <c r="AY2142" s="18">
        <v>10000015</v>
      </c>
      <c r="AZ2142" s="18">
        <v>21000030</v>
      </c>
      <c r="BA2142" s="17" t="s">
        <v>1531</v>
      </c>
      <c r="BB2142" s="19">
        <v>0</v>
      </c>
      <c r="BC2142" s="27">
        <v>0</v>
      </c>
      <c r="BD2142" s="27">
        <v>0</v>
      </c>
      <c r="BE2142" s="183" t="s">
        <v>4789</v>
      </c>
      <c r="BF2142" s="183" t="s">
        <v>4790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spans="3:75" ht="20.100000000000001" customHeight="1">
      <c r="C2143" s="18">
        <v>81000150</v>
      </c>
      <c r="D2143" s="63" t="s">
        <v>4791</v>
      </c>
      <c r="E2143" s="63" t="s">
        <v>4792</v>
      </c>
      <c r="F2143" s="64">
        <v>1</v>
      </c>
      <c r="G2143" s="64">
        <v>63021201</v>
      </c>
      <c r="H2143" s="64">
        <v>0</v>
      </c>
      <c r="I2143" s="66">
        <v>0</v>
      </c>
      <c r="J2143" s="60">
        <v>1</v>
      </c>
      <c r="K2143" s="60">
        <v>0</v>
      </c>
      <c r="L2143" s="64">
        <v>0</v>
      </c>
      <c r="M2143" s="64">
        <v>0</v>
      </c>
      <c r="N2143" s="64">
        <v>0</v>
      </c>
      <c r="O2143" s="64">
        <v>1</v>
      </c>
      <c r="P2143" s="64">
        <v>0</v>
      </c>
      <c r="Q2143" s="64">
        <v>0</v>
      </c>
      <c r="R2143" s="64">
        <v>0</v>
      </c>
      <c r="S2143" s="68">
        <v>0</v>
      </c>
      <c r="T2143" s="66">
        <v>0</v>
      </c>
      <c r="U2143" s="60">
        <v>1</v>
      </c>
      <c r="V2143" s="64">
        <v>2</v>
      </c>
      <c r="W2143" s="64">
        <v>0</v>
      </c>
      <c r="X2143" s="18">
        <v>0</v>
      </c>
      <c r="Y2143" s="12">
        <v>0</v>
      </c>
      <c r="Z2143" s="18">
        <v>0</v>
      </c>
      <c r="AA2143" s="64">
        <v>1</v>
      </c>
      <c r="AB2143" s="64">
        <v>0</v>
      </c>
      <c r="AC2143" s="64">
        <v>0</v>
      </c>
      <c r="AD2143" s="64">
        <v>0</v>
      </c>
      <c r="AE2143" s="64">
        <v>0</v>
      </c>
      <c r="AF2143" s="64">
        <v>9</v>
      </c>
      <c r="AG2143" s="64">
        <v>1</v>
      </c>
      <c r="AH2143" s="64">
        <v>4</v>
      </c>
      <c r="AI2143" s="68">
        <v>2</v>
      </c>
      <c r="AJ2143" s="68">
        <v>1</v>
      </c>
      <c r="AK2143" s="68">
        <v>0</v>
      </c>
      <c r="AL2143" s="68">
        <v>8</v>
      </c>
      <c r="AM2143" s="64">
        <v>0</v>
      </c>
      <c r="AN2143" s="64">
        <v>0</v>
      </c>
      <c r="AO2143" s="64">
        <v>0</v>
      </c>
      <c r="AP2143" s="64">
        <v>0</v>
      </c>
      <c r="AQ2143" s="64">
        <v>360000</v>
      </c>
      <c r="AR2143" s="64">
        <v>0</v>
      </c>
      <c r="AS2143" s="64">
        <v>0</v>
      </c>
      <c r="AT2143" s="68">
        <v>0</v>
      </c>
      <c r="AU2143" s="64">
        <v>0</v>
      </c>
      <c r="AV2143" s="64"/>
      <c r="AW2143" s="19" t="s">
        <v>199</v>
      </c>
      <c r="AX2143" s="64" t="s">
        <v>1851</v>
      </c>
      <c r="AY2143" s="64">
        <v>10002001</v>
      </c>
      <c r="AZ2143" s="64">
        <v>21201020</v>
      </c>
      <c r="BA2143" s="63" t="s">
        <v>1174</v>
      </c>
      <c r="BB2143" s="63" t="s">
        <v>4793</v>
      </c>
      <c r="BC2143" s="66">
        <v>0</v>
      </c>
      <c r="BD2143" s="66">
        <v>0</v>
      </c>
      <c r="BE2143" s="92" t="s">
        <v>4794</v>
      </c>
      <c r="BF2143" s="92" t="s">
        <v>4795</v>
      </c>
      <c r="BG2143" s="64">
        <v>0</v>
      </c>
      <c r="BH2143" s="60">
        <v>0</v>
      </c>
      <c r="BI2143" s="64">
        <v>0</v>
      </c>
      <c r="BJ2143" s="64">
        <v>0</v>
      </c>
      <c r="BK2143" s="64">
        <v>0</v>
      </c>
      <c r="BL2143" s="64">
        <v>0</v>
      </c>
      <c r="BM2143" s="93">
        <v>0</v>
      </c>
      <c r="BN2143" s="68">
        <v>0</v>
      </c>
      <c r="BO2143" s="68">
        <v>0</v>
      </c>
      <c r="BP2143" s="68">
        <v>0</v>
      </c>
      <c r="BQ2143" s="68">
        <v>0</v>
      </c>
      <c r="BR2143" s="68">
        <v>0</v>
      </c>
      <c r="BS2143" s="68">
        <v>0</v>
      </c>
      <c r="BT2143" s="12">
        <v>0</v>
      </c>
      <c r="BU2143" s="47">
        <v>0</v>
      </c>
      <c r="BV2143" s="47"/>
      <c r="BW2143" s="47"/>
    </row>
    <row r="2144" spans="3:75" ht="19.5" customHeight="1">
      <c r="C2144" s="18">
        <v>81000151</v>
      </c>
      <c r="D2144" s="63" t="s">
        <v>4796</v>
      </c>
      <c r="E2144" s="63" t="s">
        <v>4797</v>
      </c>
      <c r="F2144" s="60">
        <v>1</v>
      </c>
      <c r="G2144" s="64">
        <v>62011101</v>
      </c>
      <c r="H2144" s="60">
        <v>0</v>
      </c>
      <c r="I2144" s="66">
        <v>0</v>
      </c>
      <c r="J2144" s="60">
        <v>1</v>
      </c>
      <c r="K2144" s="60">
        <v>0</v>
      </c>
      <c r="L2144" s="60">
        <v>0</v>
      </c>
      <c r="M2144" s="64">
        <v>0</v>
      </c>
      <c r="N2144" s="64">
        <v>0</v>
      </c>
      <c r="O2144" s="64">
        <v>2</v>
      </c>
      <c r="P2144" s="64">
        <v>10</v>
      </c>
      <c r="Q2144" s="64">
        <v>0.8</v>
      </c>
      <c r="R2144" s="64">
        <v>0</v>
      </c>
      <c r="S2144" s="68">
        <v>0</v>
      </c>
      <c r="T2144" s="66">
        <v>0</v>
      </c>
      <c r="U2144" s="60">
        <v>1</v>
      </c>
      <c r="V2144" s="64">
        <v>2</v>
      </c>
      <c r="W2144" s="64">
        <v>0</v>
      </c>
      <c r="X2144" s="18">
        <v>0</v>
      </c>
      <c r="Y2144" s="12">
        <v>0</v>
      </c>
      <c r="Z2144" s="18">
        <v>0</v>
      </c>
      <c r="AA2144" s="64">
        <v>1</v>
      </c>
      <c r="AB2144" s="64">
        <v>0</v>
      </c>
      <c r="AC2144" s="64">
        <v>0</v>
      </c>
      <c r="AD2144" s="64">
        <v>0</v>
      </c>
      <c r="AE2144" s="64">
        <v>0</v>
      </c>
      <c r="AF2144" s="64">
        <v>9</v>
      </c>
      <c r="AG2144" s="64">
        <v>1</v>
      </c>
      <c r="AH2144" s="64">
        <v>4</v>
      </c>
      <c r="AI2144" s="68">
        <v>2</v>
      </c>
      <c r="AJ2144" s="68">
        <v>1</v>
      </c>
      <c r="AK2144" s="68">
        <v>1</v>
      </c>
      <c r="AL2144" s="68">
        <v>2</v>
      </c>
      <c r="AM2144" s="64">
        <v>0</v>
      </c>
      <c r="AN2144" s="64">
        <v>0</v>
      </c>
      <c r="AO2144" s="64">
        <v>0</v>
      </c>
      <c r="AP2144" s="64">
        <v>0</v>
      </c>
      <c r="AQ2144" s="64">
        <v>3000</v>
      </c>
      <c r="AR2144" s="64">
        <v>0</v>
      </c>
      <c r="AS2144" s="64">
        <v>0</v>
      </c>
      <c r="AT2144" s="68">
        <v>0</v>
      </c>
      <c r="AU2144" s="64">
        <v>81000120</v>
      </c>
      <c r="AV2144" s="64"/>
      <c r="AW2144" s="19" t="s">
        <v>199</v>
      </c>
      <c r="AX2144" s="64" t="s">
        <v>1677</v>
      </c>
      <c r="AY2144" s="64">
        <v>10002001</v>
      </c>
      <c r="AZ2144" s="64">
        <v>21201020</v>
      </c>
      <c r="BA2144" s="63" t="s">
        <v>200</v>
      </c>
      <c r="BB2144" s="63">
        <v>0</v>
      </c>
      <c r="BC2144" s="66">
        <v>0</v>
      </c>
      <c r="BD2144" s="66">
        <v>0</v>
      </c>
      <c r="BE2144" s="207" t="s">
        <v>4798</v>
      </c>
      <c r="BF2144" s="207" t="s">
        <v>4799</v>
      </c>
      <c r="BG2144" s="64">
        <v>0</v>
      </c>
      <c r="BH2144" s="60">
        <v>0</v>
      </c>
      <c r="BI2144" s="64">
        <v>0</v>
      </c>
      <c r="BJ2144" s="64">
        <v>0</v>
      </c>
      <c r="BK2144" s="64">
        <v>0</v>
      </c>
      <c r="BL2144" s="64">
        <v>0</v>
      </c>
      <c r="BM2144" s="93">
        <v>0</v>
      </c>
      <c r="BN2144" s="68">
        <v>0</v>
      </c>
      <c r="BO2144" s="68">
        <v>0</v>
      </c>
      <c r="BP2144" s="68">
        <v>0</v>
      </c>
      <c r="BQ2144" s="68">
        <v>0</v>
      </c>
      <c r="BR2144" s="68">
        <v>0</v>
      </c>
      <c r="BS2144" s="68">
        <v>0</v>
      </c>
      <c r="BT2144" s="12">
        <v>0</v>
      </c>
      <c r="BU2144" s="47">
        <v>0</v>
      </c>
      <c r="BV2144" s="47"/>
      <c r="BW2144" s="47"/>
    </row>
    <row r="2145" spans="3:75" ht="19.5" customHeight="1">
      <c r="C2145" s="18">
        <v>81000160</v>
      </c>
      <c r="D2145" s="17" t="s">
        <v>4800</v>
      </c>
      <c r="E2145" s="17" t="s">
        <v>4801</v>
      </c>
      <c r="F2145" s="16">
        <v>1</v>
      </c>
      <c r="G2145" s="16">
        <v>62011201</v>
      </c>
      <c r="H2145" s="16">
        <v>0</v>
      </c>
      <c r="I2145" s="27">
        <v>0</v>
      </c>
      <c r="J2145" s="16">
        <v>1</v>
      </c>
      <c r="K2145" s="16">
        <v>0</v>
      </c>
      <c r="L2145" s="16">
        <v>0</v>
      </c>
      <c r="M2145" s="16">
        <v>0</v>
      </c>
      <c r="N2145" s="16">
        <v>0</v>
      </c>
      <c r="O2145" s="16">
        <v>1</v>
      </c>
      <c r="P2145" s="16">
        <v>0</v>
      </c>
      <c r="Q2145" s="16">
        <v>0</v>
      </c>
      <c r="R2145" s="16">
        <v>0</v>
      </c>
      <c r="S2145" s="12">
        <v>0</v>
      </c>
      <c r="T2145" s="16">
        <v>0</v>
      </c>
      <c r="U2145" s="16">
        <v>1</v>
      </c>
      <c r="V2145" s="16">
        <v>2</v>
      </c>
      <c r="W2145" s="16">
        <v>0</v>
      </c>
      <c r="X2145" s="18">
        <v>0</v>
      </c>
      <c r="Y2145" s="12">
        <v>0</v>
      </c>
      <c r="Z2145" s="18">
        <v>0</v>
      </c>
      <c r="AA2145" s="16">
        <v>1</v>
      </c>
      <c r="AB2145" s="16">
        <v>0</v>
      </c>
      <c r="AC2145" s="16">
        <v>0</v>
      </c>
      <c r="AD2145" s="16">
        <v>0</v>
      </c>
      <c r="AE2145" s="16">
        <v>0</v>
      </c>
      <c r="AF2145" s="16">
        <v>9</v>
      </c>
      <c r="AG2145" s="16">
        <v>1</v>
      </c>
      <c r="AH2145" s="16">
        <v>2</v>
      </c>
      <c r="AI2145" s="12">
        <v>7</v>
      </c>
      <c r="AJ2145" s="12">
        <v>0</v>
      </c>
      <c r="AK2145" s="12">
        <v>0</v>
      </c>
      <c r="AL2145" s="12">
        <v>15</v>
      </c>
      <c r="AM2145" s="16">
        <v>0</v>
      </c>
      <c r="AN2145" s="16">
        <v>0</v>
      </c>
      <c r="AO2145" s="16">
        <v>0</v>
      </c>
      <c r="AP2145" s="16">
        <v>0</v>
      </c>
      <c r="AQ2145" s="16">
        <v>3000</v>
      </c>
      <c r="AR2145" s="16">
        <v>0</v>
      </c>
      <c r="AS2145" s="16">
        <v>0</v>
      </c>
      <c r="AT2145" s="12">
        <v>0</v>
      </c>
      <c r="AU2145" s="346" t="s">
        <v>4778</v>
      </c>
      <c r="AV2145" s="18"/>
      <c r="AW2145" s="19" t="s">
        <v>199</v>
      </c>
      <c r="AX2145" s="16" t="s">
        <v>534</v>
      </c>
      <c r="AY2145" s="18">
        <v>10000007</v>
      </c>
      <c r="AZ2145" s="18">
        <v>21101050</v>
      </c>
      <c r="BA2145" s="17" t="s">
        <v>4802</v>
      </c>
      <c r="BB2145" s="16">
        <v>0</v>
      </c>
      <c r="BC2145" s="27">
        <v>0</v>
      </c>
      <c r="BD2145" s="27">
        <v>0</v>
      </c>
      <c r="BE2145" s="183" t="s">
        <v>4803</v>
      </c>
      <c r="BF2145" s="183" t="s">
        <v>4804</v>
      </c>
      <c r="BG2145" s="16">
        <v>0</v>
      </c>
      <c r="BH2145" s="16">
        <v>0</v>
      </c>
      <c r="BI2145" s="16">
        <v>0</v>
      </c>
      <c r="BJ2145" s="16">
        <v>0</v>
      </c>
      <c r="BK2145" s="16">
        <v>0</v>
      </c>
      <c r="BL2145" s="16">
        <v>0</v>
      </c>
      <c r="BM2145" s="15">
        <v>0</v>
      </c>
      <c r="BN2145" s="12">
        <v>0</v>
      </c>
      <c r="BO2145" s="12">
        <v>0</v>
      </c>
      <c r="BP2145" s="12">
        <v>0</v>
      </c>
      <c r="BQ2145" s="12">
        <v>0</v>
      </c>
      <c r="BR2145" s="12">
        <v>0</v>
      </c>
      <c r="BS2145" s="12">
        <v>0</v>
      </c>
      <c r="BT2145" s="12">
        <v>0</v>
      </c>
      <c r="BU2145" s="47">
        <v>0</v>
      </c>
      <c r="BV2145" s="47"/>
      <c r="BW2145" s="47"/>
    </row>
    <row r="2146" spans="3:75" ht="20.100000000000001" customHeight="1">
      <c r="C2146" s="18">
        <v>81000170</v>
      </c>
      <c r="D2146" s="17" t="s">
        <v>4805</v>
      </c>
      <c r="E2146" s="17" t="s">
        <v>4806</v>
      </c>
      <c r="F2146" s="16">
        <v>1</v>
      </c>
      <c r="G2146" s="16">
        <v>61011301</v>
      </c>
      <c r="H2146" s="16">
        <v>0</v>
      </c>
      <c r="I2146" s="27">
        <v>0</v>
      </c>
      <c r="J2146" s="16">
        <v>1</v>
      </c>
      <c r="K2146" s="16">
        <v>0</v>
      </c>
      <c r="L2146" s="16">
        <v>0</v>
      </c>
      <c r="M2146" s="16">
        <v>0</v>
      </c>
      <c r="N2146" s="16">
        <v>0</v>
      </c>
      <c r="O2146" s="16">
        <v>6</v>
      </c>
      <c r="P2146" s="16">
        <v>0</v>
      </c>
      <c r="Q2146" s="16">
        <v>0</v>
      </c>
      <c r="R2146" s="16">
        <v>0</v>
      </c>
      <c r="S2146" s="12">
        <v>0</v>
      </c>
      <c r="T2146" s="16">
        <v>0</v>
      </c>
      <c r="U2146" s="16">
        <v>1</v>
      </c>
      <c r="V2146" s="16">
        <v>2</v>
      </c>
      <c r="W2146" s="16">
        <v>0</v>
      </c>
      <c r="X2146" s="18">
        <v>0</v>
      </c>
      <c r="Y2146" s="12">
        <v>0</v>
      </c>
      <c r="Z2146" s="18">
        <v>0</v>
      </c>
      <c r="AA2146" s="16">
        <v>1</v>
      </c>
      <c r="AB2146" s="16">
        <v>0</v>
      </c>
      <c r="AC2146" s="16">
        <v>0</v>
      </c>
      <c r="AD2146" s="16">
        <v>0</v>
      </c>
      <c r="AE2146" s="16">
        <v>0</v>
      </c>
      <c r="AF2146" s="16">
        <v>9</v>
      </c>
      <c r="AG2146" s="16">
        <v>1</v>
      </c>
      <c r="AH2146" s="16">
        <v>3</v>
      </c>
      <c r="AI2146" s="12">
        <v>2</v>
      </c>
      <c r="AJ2146" s="12">
        <v>1</v>
      </c>
      <c r="AK2146" s="12">
        <v>0</v>
      </c>
      <c r="AL2146" s="12">
        <v>6</v>
      </c>
      <c r="AM2146" s="16">
        <v>0</v>
      </c>
      <c r="AN2146" s="16">
        <v>0</v>
      </c>
      <c r="AO2146" s="16">
        <v>0</v>
      </c>
      <c r="AP2146" s="16">
        <v>0</v>
      </c>
      <c r="AQ2146" s="16">
        <v>3000</v>
      </c>
      <c r="AR2146" s="16">
        <v>0</v>
      </c>
      <c r="AS2146" s="16">
        <v>0</v>
      </c>
      <c r="AT2146" s="12">
        <v>0</v>
      </c>
      <c r="AU2146" s="16" t="s">
        <v>198</v>
      </c>
      <c r="AV2146" s="16"/>
      <c r="AW2146" s="19" t="s">
        <v>199</v>
      </c>
      <c r="AX2146" s="16" t="s">
        <v>215</v>
      </c>
      <c r="AY2146" s="18">
        <v>10000015</v>
      </c>
      <c r="AZ2146" s="18">
        <v>21000030</v>
      </c>
      <c r="BA2146" s="17" t="s">
        <v>1371</v>
      </c>
      <c r="BB2146" s="16">
        <v>0</v>
      </c>
      <c r="BC2146" s="27">
        <v>0</v>
      </c>
      <c r="BD2146" s="27">
        <v>0</v>
      </c>
      <c r="BE2146" s="170" t="s">
        <v>4807</v>
      </c>
      <c r="BF2146" s="170" t="s">
        <v>4808</v>
      </c>
      <c r="BG2146" s="16">
        <v>0</v>
      </c>
      <c r="BH2146" s="16">
        <v>0</v>
      </c>
      <c r="BI2146" s="16">
        <v>0</v>
      </c>
      <c r="BJ2146" s="16">
        <v>0</v>
      </c>
      <c r="BK2146" s="16">
        <v>0</v>
      </c>
      <c r="BL2146" s="16">
        <v>0</v>
      </c>
      <c r="BM2146" s="15">
        <v>0</v>
      </c>
      <c r="BN2146" s="12">
        <v>0</v>
      </c>
      <c r="BO2146" s="12">
        <v>0</v>
      </c>
      <c r="BP2146" s="12">
        <v>0</v>
      </c>
      <c r="BQ2146" s="12">
        <v>0</v>
      </c>
      <c r="BR2146" s="12">
        <v>0</v>
      </c>
      <c r="BS2146" s="12">
        <v>0</v>
      </c>
      <c r="BT2146" s="12">
        <v>0</v>
      </c>
      <c r="BU2146" s="47">
        <v>0</v>
      </c>
      <c r="BV2146" s="47"/>
      <c r="BW2146" s="47"/>
    </row>
    <row r="2147" spans="3:75" ht="20.100000000000001" customHeight="1">
      <c r="C2147" s="18">
        <v>81000310</v>
      </c>
      <c r="D2147" s="17" t="s">
        <v>4809</v>
      </c>
      <c r="E2147" s="17" t="s">
        <v>4810</v>
      </c>
      <c r="F2147" s="12">
        <v>1</v>
      </c>
      <c r="G2147" s="18">
        <v>81000310</v>
      </c>
      <c r="H2147" s="12">
        <v>0</v>
      </c>
      <c r="I2147" s="12">
        <v>0</v>
      </c>
      <c r="J2147" s="12">
        <v>1</v>
      </c>
      <c r="K2147" s="12">
        <v>0</v>
      </c>
      <c r="L2147" s="16">
        <v>0</v>
      </c>
      <c r="M2147" s="12">
        <v>0</v>
      </c>
      <c r="N2147" s="12">
        <v>0</v>
      </c>
      <c r="O2147" s="12">
        <v>1</v>
      </c>
      <c r="P2147" s="12">
        <v>0</v>
      </c>
      <c r="Q2147" s="12">
        <v>0</v>
      </c>
      <c r="R2147" s="12">
        <v>0</v>
      </c>
      <c r="S2147" s="12">
        <v>0</v>
      </c>
      <c r="T2147" s="12">
        <v>0</v>
      </c>
      <c r="U2147" s="12">
        <v>1</v>
      </c>
      <c r="V2147" s="12">
        <v>2</v>
      </c>
      <c r="W2147" s="12">
        <v>0</v>
      </c>
      <c r="X2147" s="12">
        <v>0</v>
      </c>
      <c r="Y2147" s="12">
        <v>0</v>
      </c>
      <c r="Z2147" s="12">
        <v>0</v>
      </c>
      <c r="AA2147" s="12">
        <v>1</v>
      </c>
      <c r="AB2147" s="12">
        <v>0</v>
      </c>
      <c r="AC2147" s="12">
        <v>0</v>
      </c>
      <c r="AD2147" s="12">
        <v>0</v>
      </c>
      <c r="AE2147" s="12">
        <v>0</v>
      </c>
      <c r="AF2147" s="12">
        <v>1</v>
      </c>
      <c r="AG2147" s="12">
        <v>0</v>
      </c>
      <c r="AH2147" s="12">
        <v>0</v>
      </c>
      <c r="AI2147" s="12">
        <v>2</v>
      </c>
      <c r="AJ2147" s="12">
        <v>0</v>
      </c>
      <c r="AK2147" s="12">
        <v>0</v>
      </c>
      <c r="AL2147" s="12">
        <v>0</v>
      </c>
      <c r="AM2147" s="12">
        <v>0</v>
      </c>
      <c r="AN2147" s="12">
        <v>0</v>
      </c>
      <c r="AO2147" s="12">
        <v>0</v>
      </c>
      <c r="AP2147" s="12">
        <v>0</v>
      </c>
      <c r="AQ2147" s="12">
        <v>1000</v>
      </c>
      <c r="AR2147" s="12">
        <v>0</v>
      </c>
      <c r="AS2147" s="12">
        <v>0</v>
      </c>
      <c r="AT2147" s="12">
        <v>81000310</v>
      </c>
      <c r="AU2147" s="12" t="s">
        <v>198</v>
      </c>
      <c r="AV2147" s="12"/>
      <c r="AW2147" s="13" t="s">
        <v>199</v>
      </c>
      <c r="AX2147" s="12" t="s">
        <v>2084</v>
      </c>
      <c r="AY2147" s="12">
        <v>0</v>
      </c>
      <c r="AZ2147" s="12">
        <v>0</v>
      </c>
      <c r="BA2147" s="13" t="s">
        <v>200</v>
      </c>
      <c r="BB2147" s="13" t="s">
        <v>198</v>
      </c>
      <c r="BC2147" s="12">
        <v>0</v>
      </c>
      <c r="BD2147" s="12">
        <v>0</v>
      </c>
      <c r="BE2147" s="42" t="s">
        <v>4811</v>
      </c>
      <c r="BF2147" s="42" t="s">
        <v>4812</v>
      </c>
      <c r="BG2147" s="12">
        <v>0</v>
      </c>
      <c r="BH2147" s="12">
        <v>0</v>
      </c>
      <c r="BI2147" s="12">
        <v>0</v>
      </c>
      <c r="BJ2147" s="12">
        <v>0</v>
      </c>
      <c r="BK2147" s="12">
        <v>0</v>
      </c>
      <c r="BL2147" s="12">
        <v>0</v>
      </c>
      <c r="BM2147" s="185">
        <v>0</v>
      </c>
      <c r="BN2147" s="12">
        <v>1</v>
      </c>
      <c r="BO2147" s="12">
        <v>0</v>
      </c>
      <c r="BP2147" s="12">
        <v>0</v>
      </c>
      <c r="BQ2147" s="12">
        <v>0</v>
      </c>
      <c r="BR2147" s="12">
        <v>0</v>
      </c>
      <c r="BS2147" s="12">
        <v>0</v>
      </c>
      <c r="BT2147" s="12">
        <v>0</v>
      </c>
      <c r="BU2147" s="47">
        <v>0</v>
      </c>
      <c r="BV2147" s="47"/>
      <c r="BW2147" s="47"/>
    </row>
    <row r="2148" spans="3:75" ht="20.100000000000001" customHeight="1">
      <c r="C2148" s="18">
        <v>81000320</v>
      </c>
      <c r="D2148" s="17" t="s">
        <v>4813</v>
      </c>
      <c r="E2148" s="17" t="s">
        <v>4814</v>
      </c>
      <c r="F2148" s="12">
        <v>1</v>
      </c>
      <c r="G2148" s="12">
        <v>68000011</v>
      </c>
      <c r="H2148" s="12">
        <v>0</v>
      </c>
      <c r="I2148" s="12">
        <v>0</v>
      </c>
      <c r="J2148" s="12">
        <v>1</v>
      </c>
      <c r="K2148" s="12">
        <v>0</v>
      </c>
      <c r="L2148" s="16">
        <v>0</v>
      </c>
      <c r="M2148" s="12">
        <v>0</v>
      </c>
      <c r="N2148" s="12">
        <v>0</v>
      </c>
      <c r="O2148" s="12">
        <v>1</v>
      </c>
      <c r="P2148" s="12">
        <v>0</v>
      </c>
      <c r="Q2148" s="12">
        <v>0</v>
      </c>
      <c r="R2148" s="12">
        <v>0</v>
      </c>
      <c r="S2148" s="12">
        <v>0</v>
      </c>
      <c r="T2148" s="12">
        <v>0</v>
      </c>
      <c r="U2148" s="12">
        <v>1</v>
      </c>
      <c r="V2148" s="12">
        <v>2</v>
      </c>
      <c r="W2148" s="12">
        <v>0</v>
      </c>
      <c r="X2148" s="12">
        <v>0</v>
      </c>
      <c r="Y2148" s="12">
        <v>0</v>
      </c>
      <c r="Z2148" s="12">
        <v>0</v>
      </c>
      <c r="AA2148" s="12">
        <v>1</v>
      </c>
      <c r="AB2148" s="12">
        <v>0</v>
      </c>
      <c r="AC2148" s="12">
        <v>0</v>
      </c>
      <c r="AD2148" s="12">
        <v>0</v>
      </c>
      <c r="AE2148" s="12">
        <v>0</v>
      </c>
      <c r="AF2148" s="12">
        <v>1</v>
      </c>
      <c r="AG2148" s="12">
        <v>0</v>
      </c>
      <c r="AH2148" s="12">
        <v>0</v>
      </c>
      <c r="AI2148" s="12">
        <v>2</v>
      </c>
      <c r="AJ2148" s="12">
        <v>0</v>
      </c>
      <c r="AK2148" s="12">
        <v>0</v>
      </c>
      <c r="AL2148" s="12">
        <v>0</v>
      </c>
      <c r="AM2148" s="12">
        <v>0</v>
      </c>
      <c r="AN2148" s="12">
        <v>0</v>
      </c>
      <c r="AO2148" s="12">
        <v>0</v>
      </c>
      <c r="AP2148" s="12">
        <v>0</v>
      </c>
      <c r="AQ2148" s="12">
        <v>1000</v>
      </c>
      <c r="AR2148" s="12">
        <v>0</v>
      </c>
      <c r="AS2148" s="12">
        <v>0</v>
      </c>
      <c r="AT2148" s="12">
        <v>81000320</v>
      </c>
      <c r="AU2148" s="12" t="s">
        <v>198</v>
      </c>
      <c r="AV2148" s="12"/>
      <c r="AW2148" s="13" t="s">
        <v>199</v>
      </c>
      <c r="AX2148" s="12" t="s">
        <v>2084</v>
      </c>
      <c r="AY2148" s="12">
        <v>0</v>
      </c>
      <c r="AZ2148" s="12">
        <v>0</v>
      </c>
      <c r="BA2148" s="13" t="s">
        <v>200</v>
      </c>
      <c r="BB2148" s="13" t="s">
        <v>198</v>
      </c>
      <c r="BC2148" s="12">
        <v>0</v>
      </c>
      <c r="BD2148" s="12">
        <v>0</v>
      </c>
      <c r="BE2148" s="42" t="s">
        <v>4815</v>
      </c>
      <c r="BF2148" s="42" t="s">
        <v>4816</v>
      </c>
      <c r="BG2148" s="12">
        <v>0</v>
      </c>
      <c r="BH2148" s="12">
        <v>0</v>
      </c>
      <c r="BI2148" s="12">
        <v>0</v>
      </c>
      <c r="BJ2148" s="12">
        <v>0</v>
      </c>
      <c r="BK2148" s="12">
        <v>0</v>
      </c>
      <c r="BL2148" s="12">
        <v>0</v>
      </c>
      <c r="BM2148" s="185">
        <v>0</v>
      </c>
      <c r="BN2148" s="12">
        <v>1</v>
      </c>
      <c r="BO2148" s="12">
        <v>0</v>
      </c>
      <c r="BP2148" s="12">
        <v>0</v>
      </c>
      <c r="BQ2148" s="12">
        <v>0</v>
      </c>
      <c r="BR2148" s="12">
        <v>0</v>
      </c>
      <c r="BS2148" s="12">
        <v>0</v>
      </c>
      <c r="BT2148" s="12">
        <v>0</v>
      </c>
      <c r="BU2148" s="47">
        <v>0</v>
      </c>
      <c r="BV2148" s="47"/>
      <c r="BW2148" s="47"/>
    </row>
    <row r="2149" spans="3:75" ht="19.5" customHeight="1">
      <c r="C2149" s="18">
        <v>81000330</v>
      </c>
      <c r="D2149" s="17" t="s">
        <v>2324</v>
      </c>
      <c r="E2149" s="17" t="s">
        <v>2325</v>
      </c>
      <c r="F2149" s="16">
        <v>1</v>
      </c>
      <c r="G2149" s="16">
        <v>66001008</v>
      </c>
      <c r="H2149" s="12">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1</v>
      </c>
      <c r="AG2149" s="18">
        <v>1</v>
      </c>
      <c r="AH2149" s="18">
        <v>3</v>
      </c>
      <c r="AI2149" s="12">
        <v>2</v>
      </c>
      <c r="AJ2149" s="12">
        <v>2</v>
      </c>
      <c r="AK2149" s="12">
        <v>0</v>
      </c>
      <c r="AL2149" s="12">
        <v>4</v>
      </c>
      <c r="AM2149" s="18">
        <v>0</v>
      </c>
      <c r="AN2149" s="18">
        <v>0</v>
      </c>
      <c r="AO2149" s="18">
        <v>0</v>
      </c>
      <c r="AP2149" s="18">
        <v>0</v>
      </c>
      <c r="AQ2149" s="18">
        <v>2000</v>
      </c>
      <c r="AR2149" s="18">
        <v>0</v>
      </c>
      <c r="AS2149" s="18">
        <v>10</v>
      </c>
      <c r="AT2149" s="12">
        <v>0</v>
      </c>
      <c r="AU2149" s="18">
        <v>92002001</v>
      </c>
      <c r="AV2149" s="18"/>
      <c r="AW2149" s="19" t="s">
        <v>199</v>
      </c>
      <c r="AX2149" s="18" t="s">
        <v>1685</v>
      </c>
      <c r="AY2149" s="18">
        <v>10003002</v>
      </c>
      <c r="AZ2149" s="18">
        <v>21100020</v>
      </c>
      <c r="BA2149" s="17" t="s">
        <v>1531</v>
      </c>
      <c r="BB2149" s="19">
        <v>0</v>
      </c>
      <c r="BC2149" s="27">
        <v>0</v>
      </c>
      <c r="BD2149" s="27">
        <v>0</v>
      </c>
      <c r="BE2149" s="183" t="s">
        <v>4817</v>
      </c>
      <c r="BF2149" s="183" t="s">
        <v>4818</v>
      </c>
      <c r="BG2149" s="18">
        <v>0</v>
      </c>
      <c r="BH2149" s="16">
        <v>0</v>
      </c>
      <c r="BI2149" s="18">
        <v>0</v>
      </c>
      <c r="BJ2149" s="18">
        <v>0</v>
      </c>
      <c r="BK2149" s="18">
        <v>0</v>
      </c>
      <c r="BL2149" s="18">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81000340</v>
      </c>
      <c r="D2150" s="19" t="s">
        <v>1309</v>
      </c>
      <c r="E2150" s="19" t="s">
        <v>1310</v>
      </c>
      <c r="F2150" s="16">
        <v>1</v>
      </c>
      <c r="G2150" s="18">
        <v>61023101</v>
      </c>
      <c r="H2150" s="18">
        <v>0</v>
      </c>
      <c r="I2150" s="27">
        <v>0</v>
      </c>
      <c r="J2150" s="16">
        <v>1</v>
      </c>
      <c r="K2150" s="16">
        <v>0</v>
      </c>
      <c r="L2150" s="16">
        <v>0</v>
      </c>
      <c r="M2150" s="18">
        <v>0</v>
      </c>
      <c r="N2150" s="18">
        <v>0</v>
      </c>
      <c r="O2150" s="18">
        <v>1</v>
      </c>
      <c r="P2150" s="18">
        <v>0</v>
      </c>
      <c r="Q2150" s="18">
        <v>0</v>
      </c>
      <c r="R2150" s="18">
        <v>0</v>
      </c>
      <c r="S2150" s="12">
        <v>0</v>
      </c>
      <c r="T2150" s="27">
        <v>0</v>
      </c>
      <c r="U2150" s="16">
        <v>1</v>
      </c>
      <c r="V2150" s="18">
        <v>2</v>
      </c>
      <c r="W2150" s="18">
        <v>0</v>
      </c>
      <c r="X2150" s="18">
        <v>0</v>
      </c>
      <c r="Y2150" s="12">
        <v>0</v>
      </c>
      <c r="Z2150" s="18">
        <v>0</v>
      </c>
      <c r="AA2150" s="18">
        <v>1</v>
      </c>
      <c r="AB2150" s="18">
        <v>0</v>
      </c>
      <c r="AC2150" s="18">
        <v>0</v>
      </c>
      <c r="AD2150" s="18">
        <v>0</v>
      </c>
      <c r="AE2150" s="18">
        <v>0</v>
      </c>
      <c r="AF2150" s="18">
        <v>1</v>
      </c>
      <c r="AG2150" s="18">
        <v>1</v>
      </c>
      <c r="AH2150" s="18">
        <v>3.5</v>
      </c>
      <c r="AI2150" s="12">
        <v>0</v>
      </c>
      <c r="AJ2150" s="12">
        <v>0</v>
      </c>
      <c r="AK2150" s="12">
        <v>0</v>
      </c>
      <c r="AL2150" s="12">
        <v>3</v>
      </c>
      <c r="AM2150" s="18">
        <v>0</v>
      </c>
      <c r="AN2150" s="18">
        <v>0</v>
      </c>
      <c r="AO2150" s="18">
        <v>0</v>
      </c>
      <c r="AP2150" s="18">
        <v>0</v>
      </c>
      <c r="AQ2150" s="18">
        <v>2000</v>
      </c>
      <c r="AR2150" s="18">
        <v>0</v>
      </c>
      <c r="AS2150" s="18">
        <v>0</v>
      </c>
      <c r="AT2150" s="12">
        <v>0</v>
      </c>
      <c r="AU2150" s="18">
        <v>81000130</v>
      </c>
      <c r="AV2150" s="18"/>
      <c r="AW2150" s="19" t="s">
        <v>199</v>
      </c>
      <c r="AX2150" s="18" t="s">
        <v>534</v>
      </c>
      <c r="AY2150" s="18">
        <v>10000007</v>
      </c>
      <c r="AZ2150" s="18">
        <v>70204001</v>
      </c>
      <c r="BA2150" s="63" t="s">
        <v>200</v>
      </c>
      <c r="BB2150" s="19">
        <v>0</v>
      </c>
      <c r="BC2150" s="27">
        <v>0</v>
      </c>
      <c r="BD2150" s="27">
        <v>0</v>
      </c>
      <c r="BE2150" s="183" t="s">
        <v>4819</v>
      </c>
      <c r="BF2150" s="183" t="s">
        <v>4820</v>
      </c>
      <c r="BG2150" s="18">
        <v>0</v>
      </c>
      <c r="BH2150" s="16">
        <v>0</v>
      </c>
      <c r="BI2150" s="18">
        <v>0</v>
      </c>
      <c r="BJ2150" s="18">
        <v>0</v>
      </c>
      <c r="BK2150" s="18">
        <v>0</v>
      </c>
      <c r="BL2150" s="18">
        <v>0</v>
      </c>
      <c r="BM2150" s="15">
        <v>0</v>
      </c>
      <c r="BN2150" s="12">
        <v>1</v>
      </c>
      <c r="BO2150" s="12">
        <v>0</v>
      </c>
      <c r="BP2150" s="12">
        <v>0</v>
      </c>
      <c r="BQ2150" s="12">
        <v>0</v>
      </c>
      <c r="BR2150" s="12">
        <v>0</v>
      </c>
      <c r="BS2150" s="12">
        <v>0</v>
      </c>
      <c r="BT2150" s="12">
        <v>0</v>
      </c>
      <c r="BU2150" s="47">
        <v>0</v>
      </c>
      <c r="BV2150" s="47"/>
      <c r="BW2150" s="47"/>
    </row>
    <row r="2151" spans="3:75" ht="19.5" customHeight="1">
      <c r="C2151" s="18">
        <v>81000350</v>
      </c>
      <c r="D2151" s="17" t="s">
        <v>4821</v>
      </c>
      <c r="E2151" s="17" t="s">
        <v>4822</v>
      </c>
      <c r="F2151" s="16">
        <v>1</v>
      </c>
      <c r="G2151" s="16">
        <v>68000014</v>
      </c>
      <c r="H2151" s="16">
        <v>0</v>
      </c>
      <c r="I2151" s="27">
        <v>0</v>
      </c>
      <c r="J2151" s="16">
        <v>1</v>
      </c>
      <c r="K2151" s="16">
        <v>0</v>
      </c>
      <c r="L2151" s="16">
        <v>0</v>
      </c>
      <c r="M2151" s="16">
        <v>0</v>
      </c>
      <c r="N2151" s="16">
        <v>0</v>
      </c>
      <c r="O2151" s="16">
        <v>1</v>
      </c>
      <c r="P2151" s="16">
        <v>0</v>
      </c>
      <c r="Q2151" s="16">
        <v>0</v>
      </c>
      <c r="R2151" s="16">
        <v>0</v>
      </c>
      <c r="S2151" s="12">
        <v>0</v>
      </c>
      <c r="T2151" s="16">
        <v>0</v>
      </c>
      <c r="U2151" s="16">
        <v>1</v>
      </c>
      <c r="V2151" s="16">
        <v>2</v>
      </c>
      <c r="W2151" s="16">
        <v>0</v>
      </c>
      <c r="X2151" s="18">
        <v>0</v>
      </c>
      <c r="Y2151" s="12">
        <v>0</v>
      </c>
      <c r="Z2151" s="18">
        <v>0</v>
      </c>
      <c r="AA2151" s="16">
        <v>1</v>
      </c>
      <c r="AB2151" s="16">
        <v>0</v>
      </c>
      <c r="AC2151" s="16">
        <v>0</v>
      </c>
      <c r="AD2151" s="16">
        <v>0</v>
      </c>
      <c r="AE2151" s="16">
        <v>0</v>
      </c>
      <c r="AF2151" s="16">
        <v>1</v>
      </c>
      <c r="AG2151" s="16">
        <v>1</v>
      </c>
      <c r="AH2151" s="16">
        <v>0</v>
      </c>
      <c r="AI2151" s="12">
        <v>7</v>
      </c>
      <c r="AJ2151" s="12">
        <v>0</v>
      </c>
      <c r="AK2151" s="12">
        <v>0</v>
      </c>
      <c r="AL2151" s="12">
        <v>15</v>
      </c>
      <c r="AM2151" s="16">
        <v>0</v>
      </c>
      <c r="AN2151" s="16">
        <v>0</v>
      </c>
      <c r="AO2151" s="16">
        <v>0</v>
      </c>
      <c r="AP2151" s="16">
        <v>0</v>
      </c>
      <c r="AQ2151" s="16">
        <v>3000</v>
      </c>
      <c r="AR2151" s="16">
        <v>0</v>
      </c>
      <c r="AS2151" s="16">
        <v>0</v>
      </c>
      <c r="AT2151" s="12">
        <v>0</v>
      </c>
      <c r="AU2151" s="18">
        <v>81000130</v>
      </c>
      <c r="AV2151" s="18"/>
      <c r="AW2151" s="19" t="s">
        <v>199</v>
      </c>
      <c r="AX2151" s="16" t="s">
        <v>534</v>
      </c>
      <c r="AY2151" s="18">
        <v>10000007</v>
      </c>
      <c r="AZ2151" s="18">
        <v>21101050</v>
      </c>
      <c r="BA2151" s="17" t="s">
        <v>4802</v>
      </c>
      <c r="BB2151" s="16">
        <v>0</v>
      </c>
      <c r="BC2151" s="27">
        <v>0</v>
      </c>
      <c r="BD2151" s="27">
        <v>0</v>
      </c>
      <c r="BE2151" s="183" t="s">
        <v>4823</v>
      </c>
      <c r="BF2151" s="183" t="s">
        <v>4824</v>
      </c>
      <c r="BG2151" s="16">
        <v>0</v>
      </c>
      <c r="BH2151" s="16">
        <v>0</v>
      </c>
      <c r="BI2151" s="16">
        <v>0</v>
      </c>
      <c r="BJ2151" s="16">
        <v>0</v>
      </c>
      <c r="BK2151" s="16">
        <v>0</v>
      </c>
      <c r="BL2151" s="16">
        <v>0</v>
      </c>
      <c r="BM2151" s="15">
        <v>0</v>
      </c>
      <c r="BN2151" s="12">
        <v>0</v>
      </c>
      <c r="BO2151" s="12">
        <v>0</v>
      </c>
      <c r="BP2151" s="12">
        <v>0</v>
      </c>
      <c r="BQ2151" s="12">
        <v>0</v>
      </c>
      <c r="BR2151" s="12">
        <v>0</v>
      </c>
      <c r="BS2151" s="12">
        <v>0</v>
      </c>
      <c r="BT2151" s="12">
        <v>0</v>
      </c>
      <c r="BU2151" s="47">
        <v>0</v>
      </c>
      <c r="BV2151" s="47"/>
      <c r="BW2151" s="47"/>
    </row>
    <row r="2152" spans="3:75" ht="19.5" customHeight="1">
      <c r="C2152" s="18">
        <v>81000360</v>
      </c>
      <c r="D2152" s="187" t="s">
        <v>4825</v>
      </c>
      <c r="E2152" s="187" t="s">
        <v>4826</v>
      </c>
      <c r="F2152" s="188">
        <v>1</v>
      </c>
      <c r="G2152" s="12">
        <v>68000006</v>
      </c>
      <c r="H2152" s="16">
        <v>0</v>
      </c>
      <c r="I2152" s="191">
        <v>0</v>
      </c>
      <c r="J2152" s="188">
        <v>1</v>
      </c>
      <c r="K2152" s="188">
        <v>0</v>
      </c>
      <c r="L2152" s="188">
        <v>0</v>
      </c>
      <c r="M2152" s="192">
        <v>0</v>
      </c>
      <c r="N2152" s="192">
        <v>0</v>
      </c>
      <c r="O2152" s="192">
        <v>1</v>
      </c>
      <c r="P2152" s="192">
        <v>0</v>
      </c>
      <c r="Q2152" s="192">
        <v>0</v>
      </c>
      <c r="R2152" s="192">
        <v>0</v>
      </c>
      <c r="S2152" s="194">
        <v>0</v>
      </c>
      <c r="T2152" s="191">
        <v>0</v>
      </c>
      <c r="U2152" s="188">
        <v>1</v>
      </c>
      <c r="V2152" s="192">
        <v>2</v>
      </c>
      <c r="W2152" s="192">
        <v>0</v>
      </c>
      <c r="X2152" s="192">
        <v>0</v>
      </c>
      <c r="Y2152" s="12">
        <v>0</v>
      </c>
      <c r="Z2152" s="188">
        <v>0</v>
      </c>
      <c r="AA2152" s="192">
        <v>1</v>
      </c>
      <c r="AB2152" s="192">
        <v>0</v>
      </c>
      <c r="AC2152" s="192">
        <v>0</v>
      </c>
      <c r="AD2152" s="192">
        <v>0</v>
      </c>
      <c r="AE2152" s="192">
        <v>0</v>
      </c>
      <c r="AF2152" s="192">
        <v>1</v>
      </c>
      <c r="AG2152" s="192">
        <v>1</v>
      </c>
      <c r="AH2152" s="192">
        <v>4</v>
      </c>
      <c r="AI2152" s="194">
        <v>2</v>
      </c>
      <c r="AJ2152" s="194">
        <v>1</v>
      </c>
      <c r="AK2152" s="194">
        <v>0</v>
      </c>
      <c r="AL2152" s="194">
        <v>7</v>
      </c>
      <c r="AM2152" s="192">
        <v>0</v>
      </c>
      <c r="AN2152" s="192">
        <v>0</v>
      </c>
      <c r="AO2152" s="192">
        <v>0</v>
      </c>
      <c r="AP2152" s="192">
        <v>0</v>
      </c>
      <c r="AQ2152" s="192">
        <v>2000</v>
      </c>
      <c r="AR2152" s="192">
        <v>0</v>
      </c>
      <c r="AS2152" s="192">
        <v>0</v>
      </c>
      <c r="AT2152" s="194">
        <v>0</v>
      </c>
      <c r="AU2152" s="192"/>
      <c r="AV2152" s="192"/>
      <c r="AW2152" s="19" t="s">
        <v>199</v>
      </c>
      <c r="AX2152" s="192" t="s">
        <v>1530</v>
      </c>
      <c r="AY2152" s="192">
        <v>10000006</v>
      </c>
      <c r="AZ2152" s="192">
        <v>21101022</v>
      </c>
      <c r="BA2152" s="195" t="s">
        <v>1042</v>
      </c>
      <c r="BB2152" s="187">
        <v>0</v>
      </c>
      <c r="BC2152" s="191">
        <v>0</v>
      </c>
      <c r="BD2152" s="191">
        <v>0</v>
      </c>
      <c r="BE2152" s="197" t="str">
        <f>"立即将附近玩家全部拉到当前位置"</f>
        <v>立即将附近玩家全部拉到当前位置</v>
      </c>
      <c r="BF2152" s="197" t="s">
        <v>4827</v>
      </c>
      <c r="BG2152" s="192">
        <v>0</v>
      </c>
      <c r="BH2152" s="188">
        <v>0</v>
      </c>
      <c r="BI2152" s="192">
        <v>0</v>
      </c>
      <c r="BJ2152" s="192">
        <v>0</v>
      </c>
      <c r="BK2152" s="192">
        <v>0</v>
      </c>
      <c r="BL2152" s="192">
        <v>0</v>
      </c>
      <c r="BM2152" s="198">
        <v>0</v>
      </c>
      <c r="BN2152" s="194">
        <v>0</v>
      </c>
      <c r="BO2152" s="194">
        <v>0</v>
      </c>
      <c r="BP2152" s="194">
        <v>0</v>
      </c>
      <c r="BQ2152" s="194">
        <v>0</v>
      </c>
      <c r="BR2152" s="194">
        <v>0</v>
      </c>
      <c r="BS2152" s="194">
        <v>0</v>
      </c>
      <c r="BT2152" s="12">
        <v>0</v>
      </c>
      <c r="BU2152" s="47">
        <v>0</v>
      </c>
      <c r="BV2152" s="47"/>
      <c r="BW2152" s="47"/>
    </row>
    <row r="2153" spans="3:75" ht="19.5" customHeight="1">
      <c r="C2153" s="18">
        <v>81000370</v>
      </c>
      <c r="D2153" s="19" t="s">
        <v>4828</v>
      </c>
      <c r="E2153" s="19" t="s">
        <v>4829</v>
      </c>
      <c r="F2153" s="16">
        <v>1</v>
      </c>
      <c r="G2153" s="18">
        <v>68000007</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v>
      </c>
      <c r="AI2153" s="12">
        <v>2</v>
      </c>
      <c r="AJ2153" s="12">
        <v>1</v>
      </c>
      <c r="AK2153" s="12">
        <v>0</v>
      </c>
      <c r="AL2153" s="12">
        <v>4</v>
      </c>
      <c r="AM2153" s="18">
        <v>0</v>
      </c>
      <c r="AN2153" s="18">
        <v>0</v>
      </c>
      <c r="AO2153" s="18">
        <v>0</v>
      </c>
      <c r="AP2153" s="18">
        <v>0</v>
      </c>
      <c r="AQ2153" s="18">
        <v>30000</v>
      </c>
      <c r="AR2153" s="18">
        <v>0</v>
      </c>
      <c r="AS2153" s="18">
        <v>0</v>
      </c>
      <c r="AT2153" s="12">
        <v>0</v>
      </c>
      <c r="AU2153" s="278">
        <v>81000370</v>
      </c>
      <c r="AV2153" s="279"/>
      <c r="AW2153" s="19" t="s">
        <v>199</v>
      </c>
      <c r="AX2153" s="18" t="s">
        <v>534</v>
      </c>
      <c r="AY2153" s="18">
        <v>10003002</v>
      </c>
      <c r="AZ2153" s="18">
        <v>21100060</v>
      </c>
      <c r="BA2153" s="19" t="s">
        <v>200</v>
      </c>
      <c r="BB2153" s="19">
        <v>0</v>
      </c>
      <c r="BC2153" s="27">
        <v>0</v>
      </c>
      <c r="BD2153" s="27">
        <v>0</v>
      </c>
      <c r="BE2153" s="183" t="s">
        <v>4830</v>
      </c>
      <c r="BF2153" s="183" t="s">
        <v>4831</v>
      </c>
      <c r="BG2153" s="18">
        <v>0</v>
      </c>
      <c r="BH2153" s="16">
        <v>0</v>
      </c>
      <c r="BI2153" s="18">
        <v>0</v>
      </c>
      <c r="BJ2153" s="18">
        <v>0</v>
      </c>
      <c r="BK2153" s="18">
        <v>0</v>
      </c>
      <c r="BL2153" s="18">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67000262</v>
      </c>
      <c r="D2154" s="17" t="s">
        <v>4832</v>
      </c>
      <c r="E2154" s="17" t="s">
        <v>4833</v>
      </c>
      <c r="F2154" s="16">
        <v>1</v>
      </c>
      <c r="G2154" s="16">
        <v>90002001</v>
      </c>
      <c r="H2154" s="16">
        <v>0</v>
      </c>
      <c r="I2154" s="27">
        <v>0</v>
      </c>
      <c r="J2154" s="18">
        <v>1</v>
      </c>
      <c r="K2154" s="18">
        <v>0</v>
      </c>
      <c r="L2154" s="18">
        <v>0</v>
      </c>
      <c r="M2154" s="16">
        <v>0</v>
      </c>
      <c r="N2154" s="16">
        <v>0</v>
      </c>
      <c r="O2154" s="16">
        <v>1</v>
      </c>
      <c r="P2154" s="16">
        <v>1</v>
      </c>
      <c r="Q2154" s="16">
        <v>0.1</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3</v>
      </c>
      <c r="AG2154" s="16">
        <v>2</v>
      </c>
      <c r="AH2154" s="16" t="s">
        <v>213</v>
      </c>
      <c r="AI2154" s="12">
        <v>0</v>
      </c>
      <c r="AJ2154" s="12">
        <v>0</v>
      </c>
      <c r="AK2154" s="12">
        <v>0</v>
      </c>
      <c r="AL2154" s="12">
        <v>1.5</v>
      </c>
      <c r="AM2154" s="16">
        <v>0</v>
      </c>
      <c r="AN2154" s="16">
        <v>0</v>
      </c>
      <c r="AO2154" s="16">
        <v>0</v>
      </c>
      <c r="AP2154" s="16">
        <v>1</v>
      </c>
      <c r="AQ2154" s="16">
        <v>3000</v>
      </c>
      <c r="AR2154" s="16">
        <v>0.5</v>
      </c>
      <c r="AS2154" s="16">
        <v>0</v>
      </c>
      <c r="AT2154" s="12">
        <v>93000201</v>
      </c>
      <c r="AU2154" s="16" t="s">
        <v>198</v>
      </c>
      <c r="AV2154" s="16"/>
      <c r="AW2154" s="17" t="s">
        <v>199</v>
      </c>
      <c r="AX2154" s="16">
        <v>0</v>
      </c>
      <c r="AY2154" s="18">
        <v>0</v>
      </c>
      <c r="AZ2154" s="18">
        <v>0</v>
      </c>
      <c r="BA2154" s="17" t="s">
        <v>4834</v>
      </c>
      <c r="BB2154" s="16">
        <v>0</v>
      </c>
      <c r="BC2154" s="27">
        <v>0</v>
      </c>
      <c r="BD2154" s="27">
        <v>1</v>
      </c>
      <c r="BE2154" s="44" t="s">
        <v>4835</v>
      </c>
      <c r="BF2154" s="44" t="s">
        <v>4836</v>
      </c>
      <c r="BG2154" s="16">
        <v>0</v>
      </c>
      <c r="BH2154" s="16">
        <v>0</v>
      </c>
      <c r="BI2154" s="16">
        <v>0</v>
      </c>
      <c r="BJ2154" s="16">
        <v>0</v>
      </c>
      <c r="BK2154" s="16">
        <v>0</v>
      </c>
      <c r="BL2154" s="16">
        <v>0</v>
      </c>
      <c r="BM2154" s="16">
        <v>0</v>
      </c>
      <c r="BN2154" s="12">
        <v>0</v>
      </c>
      <c r="BO2154" s="12">
        <v>0</v>
      </c>
      <c r="BP2154" s="12">
        <v>0</v>
      </c>
      <c r="BQ2154" s="12">
        <v>0</v>
      </c>
      <c r="BR2154" s="12">
        <v>0</v>
      </c>
      <c r="BS2154" s="12">
        <v>0</v>
      </c>
      <c r="BT2154" s="12">
        <v>0</v>
      </c>
      <c r="BU2154" s="47">
        <v>0</v>
      </c>
      <c r="BV2154" s="47"/>
      <c r="BW2154" s="47"/>
    </row>
    <row r="2155" spans="3:75" ht="20.100000000000001" customHeight="1">
      <c r="C2155" s="18">
        <v>67000263</v>
      </c>
      <c r="D2155" s="17" t="s">
        <v>4837</v>
      </c>
      <c r="E2155" s="17" t="s">
        <v>4838</v>
      </c>
      <c r="F2155" s="16">
        <v>1</v>
      </c>
      <c r="G2155" s="16">
        <v>90002001</v>
      </c>
      <c r="H2155" s="16">
        <v>0</v>
      </c>
      <c r="I2155" s="27">
        <v>0</v>
      </c>
      <c r="J2155" s="18">
        <v>1</v>
      </c>
      <c r="K2155" s="18">
        <v>0</v>
      </c>
      <c r="L2155" s="18">
        <v>0</v>
      </c>
      <c r="M2155" s="16">
        <v>0</v>
      </c>
      <c r="N2155" s="16">
        <v>0</v>
      </c>
      <c r="O2155" s="16">
        <v>1</v>
      </c>
      <c r="P2155" s="16">
        <v>1</v>
      </c>
      <c r="Q2155" s="16">
        <v>0.1</v>
      </c>
      <c r="R2155" s="16">
        <v>0</v>
      </c>
      <c r="S2155" s="12">
        <v>0</v>
      </c>
      <c r="T2155" s="16">
        <v>0</v>
      </c>
      <c r="U2155" s="16">
        <v>1</v>
      </c>
      <c r="V2155" s="16">
        <v>2</v>
      </c>
      <c r="W2155" s="16">
        <v>0</v>
      </c>
      <c r="X2155" s="16">
        <v>0</v>
      </c>
      <c r="Y2155" s="12">
        <v>0</v>
      </c>
      <c r="Z2155" s="16">
        <v>0</v>
      </c>
      <c r="AA2155" s="16">
        <v>0</v>
      </c>
      <c r="AB2155" s="16">
        <v>0</v>
      </c>
      <c r="AC2155" s="16">
        <v>0</v>
      </c>
      <c r="AD2155" s="16">
        <v>0</v>
      </c>
      <c r="AE2155" s="16">
        <v>0</v>
      </c>
      <c r="AF2155" s="16">
        <v>3</v>
      </c>
      <c r="AG2155" s="16">
        <v>2</v>
      </c>
      <c r="AH2155" s="16" t="s">
        <v>213</v>
      </c>
      <c r="AI2155" s="12">
        <v>1</v>
      </c>
      <c r="AJ2155" s="12">
        <v>0</v>
      </c>
      <c r="AK2155" s="12">
        <v>0</v>
      </c>
      <c r="AL2155" s="12">
        <v>1.5</v>
      </c>
      <c r="AM2155" s="16">
        <v>0</v>
      </c>
      <c r="AN2155" s="16">
        <v>0</v>
      </c>
      <c r="AO2155" s="16">
        <v>0</v>
      </c>
      <c r="AP2155" s="16">
        <v>1</v>
      </c>
      <c r="AQ2155" s="16">
        <v>3000</v>
      </c>
      <c r="AR2155" s="16">
        <v>0.5</v>
      </c>
      <c r="AS2155" s="16">
        <v>0</v>
      </c>
      <c r="AT2155" s="12">
        <v>0</v>
      </c>
      <c r="AU2155" s="16" t="s">
        <v>4839</v>
      </c>
      <c r="AV2155" s="16"/>
      <c r="AW2155" s="17" t="s">
        <v>287</v>
      </c>
      <c r="AX2155" s="16">
        <v>0</v>
      </c>
      <c r="AY2155" s="18">
        <v>0</v>
      </c>
      <c r="AZ2155" s="18">
        <v>0</v>
      </c>
      <c r="BA2155" s="17" t="s">
        <v>200</v>
      </c>
      <c r="BB2155" s="16">
        <v>0</v>
      </c>
      <c r="BC2155" s="27">
        <v>0</v>
      </c>
      <c r="BD2155" s="27">
        <v>1</v>
      </c>
      <c r="BE2155" s="44" t="s">
        <v>4840</v>
      </c>
      <c r="BF2155" s="44" t="s">
        <v>4841</v>
      </c>
      <c r="BG2155" s="16">
        <v>0</v>
      </c>
      <c r="BH2155" s="16">
        <v>0</v>
      </c>
      <c r="BI2155" s="16">
        <v>0</v>
      </c>
      <c r="BJ2155" s="16">
        <v>0</v>
      </c>
      <c r="BK2155" s="16">
        <v>0</v>
      </c>
      <c r="BL2155" s="16">
        <v>0</v>
      </c>
      <c r="BM2155" s="16">
        <v>0</v>
      </c>
      <c r="BN2155" s="12">
        <v>0</v>
      </c>
      <c r="BO2155" s="12">
        <v>0</v>
      </c>
      <c r="BP2155" s="12">
        <v>0</v>
      </c>
      <c r="BQ2155" s="12">
        <v>0</v>
      </c>
      <c r="BR2155" s="12">
        <v>0</v>
      </c>
      <c r="BS2155" s="12">
        <v>0</v>
      </c>
      <c r="BT2155" s="12">
        <v>0</v>
      </c>
      <c r="BU2155" s="47">
        <v>0</v>
      </c>
      <c r="BV2155" s="47"/>
      <c r="BW2155" s="47"/>
    </row>
    <row r="2156" spans="3:75" ht="20.100000000000001" customHeight="1">
      <c r="C2156" s="18">
        <v>67000264</v>
      </c>
      <c r="D2156" s="59" t="s">
        <v>4842</v>
      </c>
      <c r="E2156" s="59" t="s">
        <v>4843</v>
      </c>
      <c r="F2156" s="16">
        <v>1</v>
      </c>
      <c r="G2156" s="16">
        <v>90002001</v>
      </c>
      <c r="H2156" s="60">
        <v>0</v>
      </c>
      <c r="I2156" s="27">
        <v>0</v>
      </c>
      <c r="J2156" s="18">
        <v>1</v>
      </c>
      <c r="K2156" s="18">
        <v>0</v>
      </c>
      <c r="L2156" s="18">
        <v>0</v>
      </c>
      <c r="M2156" s="60">
        <v>0</v>
      </c>
      <c r="N2156" s="60">
        <v>0</v>
      </c>
      <c r="O2156" s="60">
        <v>1</v>
      </c>
      <c r="P2156" s="16">
        <v>1</v>
      </c>
      <c r="Q2156" s="16">
        <v>0.1</v>
      </c>
      <c r="R2156" s="60">
        <v>0</v>
      </c>
      <c r="S2156" s="12">
        <v>0</v>
      </c>
      <c r="T2156" s="60">
        <v>0</v>
      </c>
      <c r="U2156" s="16">
        <v>1</v>
      </c>
      <c r="V2156" s="60">
        <v>2</v>
      </c>
      <c r="W2156" s="60">
        <v>0</v>
      </c>
      <c r="X2156" s="60">
        <v>1.5</v>
      </c>
      <c r="Y2156" s="12">
        <v>0</v>
      </c>
      <c r="Z2156" s="16">
        <v>0</v>
      </c>
      <c r="AA2156" s="60">
        <v>0</v>
      </c>
      <c r="AB2156" s="60">
        <v>0</v>
      </c>
      <c r="AC2156" s="60">
        <v>0</v>
      </c>
      <c r="AD2156" s="60">
        <v>0</v>
      </c>
      <c r="AE2156" s="60">
        <v>0</v>
      </c>
      <c r="AF2156" s="60">
        <v>10</v>
      </c>
      <c r="AG2156" s="60">
        <v>2</v>
      </c>
      <c r="AH2156" s="60" t="s">
        <v>2151</v>
      </c>
      <c r="AI2156" s="68">
        <v>0</v>
      </c>
      <c r="AJ2156" s="12">
        <v>0</v>
      </c>
      <c r="AK2156" s="12">
        <v>0</v>
      </c>
      <c r="AL2156" s="68">
        <v>1.5</v>
      </c>
      <c r="AM2156" s="60">
        <v>0</v>
      </c>
      <c r="AN2156" s="60">
        <v>0</v>
      </c>
      <c r="AO2156" s="60">
        <v>0</v>
      </c>
      <c r="AP2156" s="60">
        <v>2</v>
      </c>
      <c r="AQ2156" s="60">
        <v>3000</v>
      </c>
      <c r="AR2156" s="60">
        <v>0.5</v>
      </c>
      <c r="AS2156" s="60">
        <v>0</v>
      </c>
      <c r="AT2156" s="12">
        <v>0</v>
      </c>
      <c r="AU2156" s="60" t="s">
        <v>198</v>
      </c>
      <c r="AV2156" s="60"/>
      <c r="AW2156" s="59" t="s">
        <v>287</v>
      </c>
      <c r="AX2156" s="16">
        <v>0</v>
      </c>
      <c r="AY2156" s="64">
        <v>10000007</v>
      </c>
      <c r="AZ2156" s="18">
        <v>23000010</v>
      </c>
      <c r="BA2156" s="59" t="s">
        <v>200</v>
      </c>
      <c r="BB2156" s="60">
        <v>0</v>
      </c>
      <c r="BC2156" s="66">
        <v>0</v>
      </c>
      <c r="BD2156" s="27">
        <v>1</v>
      </c>
      <c r="BE2156" s="90" t="s">
        <v>4844</v>
      </c>
      <c r="BF2156" s="90" t="s">
        <v>4845</v>
      </c>
      <c r="BG2156" s="60">
        <v>0</v>
      </c>
      <c r="BH2156" s="16">
        <v>0</v>
      </c>
      <c r="BI2156" s="60">
        <v>0</v>
      </c>
      <c r="BJ2156" s="60">
        <v>0</v>
      </c>
      <c r="BK2156" s="60">
        <v>0</v>
      </c>
      <c r="BL2156" s="60">
        <v>0</v>
      </c>
      <c r="BM2156" s="16">
        <v>0</v>
      </c>
      <c r="BN2156" s="12">
        <v>0</v>
      </c>
      <c r="BO2156" s="12">
        <v>0</v>
      </c>
      <c r="BP2156" s="12">
        <v>0</v>
      </c>
      <c r="BQ2156" s="12">
        <v>0</v>
      </c>
      <c r="BR2156" s="12">
        <v>0</v>
      </c>
      <c r="BS2156" s="12">
        <v>0</v>
      </c>
      <c r="BT2156" s="12">
        <v>0</v>
      </c>
      <c r="BU2156" s="47">
        <v>0</v>
      </c>
      <c r="BV2156" s="47"/>
      <c r="BW2156" s="47"/>
    </row>
    <row r="2157" spans="3:75" ht="20.100000000000001" customHeight="1">
      <c r="C2157" s="18">
        <v>67000265</v>
      </c>
      <c r="D2157" s="17" t="s">
        <v>4846</v>
      </c>
      <c r="E2157" s="17" t="s">
        <v>4847</v>
      </c>
      <c r="F2157" s="16">
        <v>1</v>
      </c>
      <c r="G2157" s="16">
        <v>90002001</v>
      </c>
      <c r="H2157" s="16">
        <v>0</v>
      </c>
      <c r="I2157" s="27">
        <v>0</v>
      </c>
      <c r="J2157" s="18">
        <v>1</v>
      </c>
      <c r="K2157" s="18">
        <v>0</v>
      </c>
      <c r="L2157" s="18">
        <v>0</v>
      </c>
      <c r="M2157" s="16">
        <v>0</v>
      </c>
      <c r="N2157" s="16">
        <v>0</v>
      </c>
      <c r="O2157" s="16">
        <v>1</v>
      </c>
      <c r="P2157" s="16">
        <v>2</v>
      </c>
      <c r="Q2157" s="16">
        <v>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30</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93000203</v>
      </c>
      <c r="AU2157" s="16" t="s">
        <v>198</v>
      </c>
      <c r="AV2157" s="16"/>
      <c r="AW2157" s="17" t="s">
        <v>199</v>
      </c>
      <c r="AX2157" s="16">
        <v>0</v>
      </c>
      <c r="AY2157" s="18">
        <v>0</v>
      </c>
      <c r="AZ2157" s="18">
        <v>0</v>
      </c>
      <c r="BA2157" s="17" t="s">
        <v>4834</v>
      </c>
      <c r="BB2157" s="16">
        <v>0</v>
      </c>
      <c r="BC2157" s="27">
        <v>0</v>
      </c>
      <c r="BD2157" s="27">
        <v>1</v>
      </c>
      <c r="BE2157" s="44" t="s">
        <v>4848</v>
      </c>
      <c r="BF2157" s="44" t="s">
        <v>4849</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spans="3:75" ht="20.100000000000001" customHeight="1">
      <c r="C2158" s="18">
        <v>67000266</v>
      </c>
      <c r="D2158" s="17" t="s">
        <v>4850</v>
      </c>
      <c r="E2158" s="17" t="s">
        <v>4851</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1.5</v>
      </c>
      <c r="Y2158" s="12">
        <v>0</v>
      </c>
      <c r="Z2158" s="16">
        <v>0</v>
      </c>
      <c r="AA2158" s="16">
        <v>0</v>
      </c>
      <c r="AB2158" s="16">
        <v>0</v>
      </c>
      <c r="AC2158" s="16">
        <v>0</v>
      </c>
      <c r="AD2158" s="16">
        <v>0</v>
      </c>
      <c r="AE2158" s="16">
        <v>0</v>
      </c>
      <c r="AF2158" s="16">
        <v>3</v>
      </c>
      <c r="AG2158" s="16">
        <v>2</v>
      </c>
      <c r="AH2158" s="16" t="s">
        <v>213</v>
      </c>
      <c r="AI2158" s="12">
        <v>7</v>
      </c>
      <c r="AJ2158" s="12">
        <v>0</v>
      </c>
      <c r="AK2158" s="12">
        <v>0</v>
      </c>
      <c r="AL2158" s="12">
        <v>1.5</v>
      </c>
      <c r="AM2158" s="16">
        <v>0</v>
      </c>
      <c r="AN2158" s="16">
        <v>0</v>
      </c>
      <c r="AO2158" s="16">
        <v>0</v>
      </c>
      <c r="AP2158" s="16">
        <v>1</v>
      </c>
      <c r="AQ2158" s="16">
        <v>3000</v>
      </c>
      <c r="AR2158" s="16">
        <v>0.5</v>
      </c>
      <c r="AS2158" s="16">
        <v>0</v>
      </c>
      <c r="AT2158" s="12">
        <v>0</v>
      </c>
      <c r="AU2158" s="16" t="s">
        <v>4852</v>
      </c>
      <c r="AV2158" s="16"/>
      <c r="AW2158" s="17" t="s">
        <v>287</v>
      </c>
      <c r="AX2158" s="16">
        <v>0</v>
      </c>
      <c r="AY2158" s="18">
        <v>0</v>
      </c>
      <c r="AZ2158" s="18">
        <v>0</v>
      </c>
      <c r="BA2158" s="17" t="s">
        <v>200</v>
      </c>
      <c r="BB2158" s="16">
        <v>0</v>
      </c>
      <c r="BC2158" s="27">
        <v>0</v>
      </c>
      <c r="BD2158" s="27">
        <v>1</v>
      </c>
      <c r="BE2158" s="44" t="s">
        <v>4853</v>
      </c>
      <c r="BF2158" s="44" t="s">
        <v>4854</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67000267</v>
      </c>
      <c r="D2159" s="59" t="s">
        <v>4855</v>
      </c>
      <c r="E2159" s="59" t="s">
        <v>4856</v>
      </c>
      <c r="F2159" s="16">
        <v>1</v>
      </c>
      <c r="G2159" s="16">
        <v>90002001</v>
      </c>
      <c r="H2159" s="60">
        <v>0</v>
      </c>
      <c r="I2159" s="27">
        <v>0</v>
      </c>
      <c r="J2159" s="18">
        <v>1</v>
      </c>
      <c r="K2159" s="18">
        <v>0</v>
      </c>
      <c r="L2159" s="18">
        <v>0</v>
      </c>
      <c r="M2159" s="60">
        <v>0</v>
      </c>
      <c r="N2159" s="60">
        <v>0</v>
      </c>
      <c r="O2159" s="60">
        <v>1</v>
      </c>
      <c r="P2159" s="60">
        <v>1</v>
      </c>
      <c r="Q2159" s="60">
        <v>0.1</v>
      </c>
      <c r="R2159" s="60">
        <v>0</v>
      </c>
      <c r="S2159" s="12">
        <v>0</v>
      </c>
      <c r="T2159" s="60">
        <v>0</v>
      </c>
      <c r="U2159" s="16">
        <v>1</v>
      </c>
      <c r="V2159" s="60">
        <v>2</v>
      </c>
      <c r="W2159" s="60">
        <v>0</v>
      </c>
      <c r="X2159" s="60">
        <v>1.5</v>
      </c>
      <c r="Y2159" s="12">
        <v>0</v>
      </c>
      <c r="Z2159" s="60">
        <v>0</v>
      </c>
      <c r="AA2159" s="60">
        <v>0</v>
      </c>
      <c r="AB2159" s="60">
        <v>0</v>
      </c>
      <c r="AC2159" s="60">
        <v>0</v>
      </c>
      <c r="AD2159" s="60">
        <v>0</v>
      </c>
      <c r="AE2159" s="60">
        <v>0</v>
      </c>
      <c r="AF2159" s="60">
        <v>3</v>
      </c>
      <c r="AG2159" s="60">
        <v>1</v>
      </c>
      <c r="AH2159" s="60" t="s">
        <v>861</v>
      </c>
      <c r="AI2159" s="68">
        <v>0</v>
      </c>
      <c r="AJ2159" s="68">
        <v>0</v>
      </c>
      <c r="AK2159" s="12">
        <v>0</v>
      </c>
      <c r="AL2159" s="68">
        <v>1.5</v>
      </c>
      <c r="AM2159" s="60">
        <v>0</v>
      </c>
      <c r="AN2159" s="60">
        <v>0</v>
      </c>
      <c r="AO2159" s="60">
        <v>0</v>
      </c>
      <c r="AP2159" s="60">
        <v>1</v>
      </c>
      <c r="AQ2159" s="60">
        <v>3000</v>
      </c>
      <c r="AR2159" s="60">
        <v>1</v>
      </c>
      <c r="AS2159" s="60">
        <v>0</v>
      </c>
      <c r="AT2159" s="12">
        <v>0</v>
      </c>
      <c r="AU2159" s="60" t="s">
        <v>198</v>
      </c>
      <c r="AV2159" s="60"/>
      <c r="AW2159" s="59" t="s">
        <v>199</v>
      </c>
      <c r="AX2159" s="16">
        <v>0</v>
      </c>
      <c r="AY2159" s="64">
        <v>10000007</v>
      </c>
      <c r="AZ2159" s="18">
        <v>23000020</v>
      </c>
      <c r="BA2159" s="59" t="s">
        <v>200</v>
      </c>
      <c r="BB2159" s="60">
        <v>0</v>
      </c>
      <c r="BC2159" s="66">
        <v>0</v>
      </c>
      <c r="BD2159" s="27">
        <v>1</v>
      </c>
      <c r="BE2159" s="90" t="s">
        <v>4857</v>
      </c>
      <c r="BF2159" s="90" t="s">
        <v>4858</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67000268</v>
      </c>
      <c r="D2160" s="59" t="s">
        <v>4859</v>
      </c>
      <c r="E2160" s="59" t="s">
        <v>4860</v>
      </c>
      <c r="F2160" s="16">
        <v>1</v>
      </c>
      <c r="G2160" s="16">
        <v>90002001</v>
      </c>
      <c r="H2160" s="60">
        <v>0</v>
      </c>
      <c r="I2160" s="27">
        <v>0</v>
      </c>
      <c r="J2160" s="18">
        <v>1</v>
      </c>
      <c r="K2160" s="18">
        <v>0</v>
      </c>
      <c r="L2160" s="18">
        <v>0</v>
      </c>
      <c r="M2160" s="60">
        <v>0</v>
      </c>
      <c r="N2160" s="60">
        <v>0</v>
      </c>
      <c r="O2160" s="60">
        <v>1</v>
      </c>
      <c r="P2160" s="60">
        <v>1</v>
      </c>
      <c r="Q2160" s="60">
        <v>0.1</v>
      </c>
      <c r="R2160" s="60">
        <v>0</v>
      </c>
      <c r="S2160" s="12">
        <v>0</v>
      </c>
      <c r="T2160" s="60">
        <v>0</v>
      </c>
      <c r="U2160" s="16">
        <v>1</v>
      </c>
      <c r="V2160" s="60">
        <v>2</v>
      </c>
      <c r="W2160" s="60">
        <v>0</v>
      </c>
      <c r="X2160" s="60">
        <v>1</v>
      </c>
      <c r="Y2160" s="12">
        <v>0</v>
      </c>
      <c r="Z2160" s="60">
        <v>0</v>
      </c>
      <c r="AA2160" s="60">
        <v>0</v>
      </c>
      <c r="AB2160" s="60">
        <v>0</v>
      </c>
      <c r="AC2160" s="60">
        <v>0</v>
      </c>
      <c r="AD2160" s="60">
        <v>0</v>
      </c>
      <c r="AE2160" s="60">
        <v>0</v>
      </c>
      <c r="AF2160" s="60">
        <v>3</v>
      </c>
      <c r="AG2160" s="60">
        <v>2</v>
      </c>
      <c r="AH2160" s="60" t="s">
        <v>213</v>
      </c>
      <c r="AI2160" s="68">
        <v>0</v>
      </c>
      <c r="AJ2160" s="68">
        <v>1</v>
      </c>
      <c r="AK2160" s="12">
        <v>0</v>
      </c>
      <c r="AL2160" s="68">
        <v>1.5</v>
      </c>
      <c r="AM2160" s="60">
        <v>0</v>
      </c>
      <c r="AN2160" s="60">
        <v>0</v>
      </c>
      <c r="AO2160" s="60">
        <v>0</v>
      </c>
      <c r="AP2160" s="60">
        <v>1</v>
      </c>
      <c r="AQ2160" s="60">
        <v>3000</v>
      </c>
      <c r="AR2160" s="60">
        <v>0.5</v>
      </c>
      <c r="AS2160" s="60">
        <v>0</v>
      </c>
      <c r="AT2160" s="12">
        <v>0</v>
      </c>
      <c r="AU2160" s="60" t="s">
        <v>4861</v>
      </c>
      <c r="AV2160" s="60"/>
      <c r="AW2160" s="59" t="s">
        <v>287</v>
      </c>
      <c r="AX2160" s="16">
        <v>0</v>
      </c>
      <c r="AY2160" s="64">
        <v>10000007</v>
      </c>
      <c r="AZ2160" s="18">
        <v>23000030</v>
      </c>
      <c r="BA2160" s="59" t="s">
        <v>200</v>
      </c>
      <c r="BB2160" s="60">
        <v>0</v>
      </c>
      <c r="BC2160" s="66">
        <v>0</v>
      </c>
      <c r="BD2160" s="27">
        <v>1</v>
      </c>
      <c r="BE2160" s="90" t="s">
        <v>4862</v>
      </c>
      <c r="BF2160" s="90" t="s">
        <v>4863</v>
      </c>
      <c r="BG2160" s="60">
        <v>0</v>
      </c>
      <c r="BH2160" s="16">
        <v>0</v>
      </c>
      <c r="BI2160" s="60">
        <v>0</v>
      </c>
      <c r="BJ2160" s="60">
        <v>0</v>
      </c>
      <c r="BK2160" s="60">
        <v>0</v>
      </c>
      <c r="BL2160" s="60">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67000269</v>
      </c>
      <c r="D2161" s="59" t="s">
        <v>4864</v>
      </c>
      <c r="E2161" s="59" t="s">
        <v>4865</v>
      </c>
      <c r="F2161" s="16">
        <v>1</v>
      </c>
      <c r="G2161" s="16">
        <v>90002001</v>
      </c>
      <c r="H2161" s="60">
        <v>0</v>
      </c>
      <c r="I2161" s="27">
        <v>0</v>
      </c>
      <c r="J2161" s="18">
        <v>1</v>
      </c>
      <c r="K2161" s="18">
        <v>0</v>
      </c>
      <c r="L2161" s="18">
        <v>0</v>
      </c>
      <c r="M2161" s="60">
        <v>0</v>
      </c>
      <c r="N2161" s="60">
        <v>0</v>
      </c>
      <c r="O2161" s="60">
        <v>1</v>
      </c>
      <c r="P2161" s="60">
        <v>1</v>
      </c>
      <c r="Q2161" s="60">
        <v>0.1</v>
      </c>
      <c r="R2161" s="60">
        <v>0</v>
      </c>
      <c r="S2161" s="12">
        <v>0</v>
      </c>
      <c r="T2161" s="60">
        <v>0</v>
      </c>
      <c r="U2161" s="16">
        <v>1</v>
      </c>
      <c r="V2161" s="60">
        <v>2</v>
      </c>
      <c r="W2161" s="60">
        <v>0</v>
      </c>
      <c r="X2161" s="60">
        <v>1</v>
      </c>
      <c r="Y2161" s="12">
        <v>0</v>
      </c>
      <c r="Z2161" s="60">
        <v>0</v>
      </c>
      <c r="AA2161" s="60">
        <v>0</v>
      </c>
      <c r="AB2161" s="60">
        <v>0</v>
      </c>
      <c r="AC2161" s="60">
        <v>0</v>
      </c>
      <c r="AD2161" s="60">
        <v>0</v>
      </c>
      <c r="AE2161" s="60">
        <v>0</v>
      </c>
      <c r="AF2161" s="60">
        <v>3</v>
      </c>
      <c r="AG2161" s="60">
        <v>2</v>
      </c>
      <c r="AH2161" s="60" t="s">
        <v>213</v>
      </c>
      <c r="AI2161" s="68">
        <v>0</v>
      </c>
      <c r="AJ2161" s="68">
        <v>0</v>
      </c>
      <c r="AK2161" s="12">
        <v>0</v>
      </c>
      <c r="AL2161" s="68">
        <v>1.5</v>
      </c>
      <c r="AM2161" s="60">
        <v>0</v>
      </c>
      <c r="AN2161" s="60">
        <v>0</v>
      </c>
      <c r="AO2161" s="60">
        <v>0</v>
      </c>
      <c r="AP2161" s="60">
        <v>1</v>
      </c>
      <c r="AQ2161" s="60">
        <v>3000</v>
      </c>
      <c r="AR2161" s="60">
        <v>0.5</v>
      </c>
      <c r="AS2161" s="60">
        <v>0</v>
      </c>
      <c r="AT2161" s="12">
        <v>0</v>
      </c>
      <c r="AU2161" s="60" t="s">
        <v>1465</v>
      </c>
      <c r="AV2161" s="60"/>
      <c r="AW2161" s="59" t="s">
        <v>287</v>
      </c>
      <c r="AX2161" s="16">
        <v>0</v>
      </c>
      <c r="AY2161" s="64">
        <v>10000007</v>
      </c>
      <c r="AZ2161" s="18">
        <v>23000040</v>
      </c>
      <c r="BA2161" s="59" t="s">
        <v>200</v>
      </c>
      <c r="BB2161" s="60">
        <v>0</v>
      </c>
      <c r="BC2161" s="66">
        <v>0</v>
      </c>
      <c r="BD2161" s="27">
        <v>1</v>
      </c>
      <c r="BE2161" s="90" t="s">
        <v>4866</v>
      </c>
      <c r="BF2161" s="90" t="s">
        <v>4867</v>
      </c>
      <c r="BG2161" s="60">
        <v>0</v>
      </c>
      <c r="BH2161" s="16">
        <v>0</v>
      </c>
      <c r="BI2161" s="60">
        <v>0</v>
      </c>
      <c r="BJ2161" s="60">
        <v>0</v>
      </c>
      <c r="BK2161" s="60">
        <v>0</v>
      </c>
      <c r="BL2161" s="60">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67000270</v>
      </c>
      <c r="D2162" s="17" t="s">
        <v>4868</v>
      </c>
      <c r="E2162" s="17" t="s">
        <v>4869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1.5</v>
      </c>
      <c r="Y2162" s="12">
        <v>0</v>
      </c>
      <c r="Z2162" s="16">
        <v>0</v>
      </c>
      <c r="AA2162" s="16">
        <v>0</v>
      </c>
      <c r="AB2162" s="16">
        <v>0</v>
      </c>
      <c r="AC2162" s="16">
        <v>0</v>
      </c>
      <c r="AD2162" s="16">
        <v>0</v>
      </c>
      <c r="AE2162" s="16">
        <v>0</v>
      </c>
      <c r="AF2162" s="16">
        <v>3</v>
      </c>
      <c r="AG2162" s="16">
        <v>2</v>
      </c>
      <c r="AH2162" s="16" t="s">
        <v>213</v>
      </c>
      <c r="AI2162" s="12">
        <v>7</v>
      </c>
      <c r="AJ2162" s="12">
        <v>2</v>
      </c>
      <c r="AK2162" s="12">
        <v>0</v>
      </c>
      <c r="AL2162" s="12">
        <v>1.5</v>
      </c>
      <c r="AM2162" s="16">
        <v>0</v>
      </c>
      <c r="AN2162" s="16">
        <v>0</v>
      </c>
      <c r="AO2162" s="16">
        <v>0</v>
      </c>
      <c r="AP2162" s="16">
        <v>1</v>
      </c>
      <c r="AQ2162" s="16">
        <v>3000</v>
      </c>
      <c r="AR2162" s="16">
        <v>0.5</v>
      </c>
      <c r="AS2162" s="16">
        <v>0</v>
      </c>
      <c r="AT2162" s="12">
        <v>0</v>
      </c>
      <c r="AU2162" s="16" t="s">
        <v>4870</v>
      </c>
      <c r="AV2162" s="16"/>
      <c r="AW2162" s="17" t="s">
        <v>287</v>
      </c>
      <c r="AX2162" s="16">
        <v>0</v>
      </c>
      <c r="AY2162" s="18">
        <v>0</v>
      </c>
      <c r="AZ2162" s="18">
        <v>0</v>
      </c>
      <c r="BA2162" s="17" t="s">
        <v>200</v>
      </c>
      <c r="BB2162" s="16">
        <v>0</v>
      </c>
      <c r="BC2162" s="27">
        <v>0</v>
      </c>
      <c r="BD2162" s="27">
        <v>1</v>
      </c>
      <c r="BE2162" s="44" t="s">
        <v>4871</v>
      </c>
      <c r="BF2162" s="44" t="s">
        <v>4872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67000271</v>
      </c>
      <c r="D2163" s="17" t="s">
        <v>4873</v>
      </c>
      <c r="E2163" s="17" t="s">
        <v>4874</v>
      </c>
      <c r="F2163" s="16">
        <v>1</v>
      </c>
      <c r="G2163" s="16">
        <v>90002001</v>
      </c>
      <c r="H2163" s="16">
        <v>0</v>
      </c>
      <c r="I2163" s="27">
        <v>0</v>
      </c>
      <c r="J2163" s="18">
        <v>1</v>
      </c>
      <c r="K2163" s="18">
        <v>0</v>
      </c>
      <c r="L2163" s="18">
        <v>0</v>
      </c>
      <c r="M2163" s="16">
        <v>0</v>
      </c>
      <c r="N2163" s="16">
        <v>0</v>
      </c>
      <c r="O2163" s="16">
        <v>1</v>
      </c>
      <c r="P2163" s="16">
        <v>1</v>
      </c>
      <c r="Q2163" s="16">
        <v>0.1</v>
      </c>
      <c r="R2163" s="16">
        <v>0</v>
      </c>
      <c r="S2163" s="12">
        <v>0</v>
      </c>
      <c r="T2163" s="16">
        <v>0</v>
      </c>
      <c r="U2163" s="16">
        <v>1</v>
      </c>
      <c r="V2163" s="16">
        <v>2</v>
      </c>
      <c r="W2163" s="16">
        <v>0</v>
      </c>
      <c r="X2163" s="16">
        <v>1.5</v>
      </c>
      <c r="Y2163" s="12">
        <v>0</v>
      </c>
      <c r="Z2163" s="16">
        <v>0</v>
      </c>
      <c r="AA2163" s="16">
        <v>0</v>
      </c>
      <c r="AB2163" s="16">
        <v>0</v>
      </c>
      <c r="AC2163" s="16">
        <v>0</v>
      </c>
      <c r="AD2163" s="16">
        <v>0</v>
      </c>
      <c r="AE2163" s="16">
        <v>0</v>
      </c>
      <c r="AF2163" s="16">
        <v>3</v>
      </c>
      <c r="AG2163" s="16">
        <v>2</v>
      </c>
      <c r="AH2163" s="16" t="s">
        <v>213</v>
      </c>
      <c r="AI2163" s="12">
        <v>7</v>
      </c>
      <c r="AJ2163" s="12">
        <v>2</v>
      </c>
      <c r="AK2163" s="12">
        <v>0</v>
      </c>
      <c r="AL2163" s="12">
        <v>1.5</v>
      </c>
      <c r="AM2163" s="16">
        <v>0</v>
      </c>
      <c r="AN2163" s="16">
        <v>0</v>
      </c>
      <c r="AO2163" s="16">
        <v>0</v>
      </c>
      <c r="AP2163" s="16">
        <v>1</v>
      </c>
      <c r="AQ2163" s="16">
        <v>3000</v>
      </c>
      <c r="AR2163" s="16">
        <v>0.5</v>
      </c>
      <c r="AS2163" s="16">
        <v>0</v>
      </c>
      <c r="AT2163" s="12">
        <v>0</v>
      </c>
      <c r="AU2163" s="16" t="s">
        <v>4875</v>
      </c>
      <c r="AV2163" s="16"/>
      <c r="AW2163" s="17" t="s">
        <v>287</v>
      </c>
      <c r="AX2163" s="16">
        <v>0</v>
      </c>
      <c r="AY2163" s="18">
        <v>0</v>
      </c>
      <c r="AZ2163" s="18">
        <v>0</v>
      </c>
      <c r="BA2163" s="17" t="s">
        <v>200</v>
      </c>
      <c r="BB2163" s="16">
        <v>0</v>
      </c>
      <c r="BC2163" s="27">
        <v>0</v>
      </c>
      <c r="BD2163" s="27">
        <v>1</v>
      </c>
      <c r="BE2163" s="44" t="s">
        <v>4876</v>
      </c>
      <c r="BF2163" s="44" t="s">
        <v>4877</v>
      </c>
      <c r="BG2163" s="16">
        <v>0</v>
      </c>
      <c r="BH2163" s="16">
        <v>0</v>
      </c>
      <c r="BI2163" s="16">
        <v>0</v>
      </c>
      <c r="BJ2163" s="16">
        <v>0</v>
      </c>
      <c r="BK2163" s="16">
        <v>0</v>
      </c>
      <c r="BL2163" s="16">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67000272</v>
      </c>
      <c r="D2164" s="17" t="s">
        <v>4878</v>
      </c>
      <c r="E2164" s="17" t="s">
        <v>4879</v>
      </c>
      <c r="F2164" s="16">
        <v>1</v>
      </c>
      <c r="G2164" s="16">
        <v>90002001</v>
      </c>
      <c r="H2164" s="16">
        <v>0</v>
      </c>
      <c r="I2164" s="27">
        <v>0</v>
      </c>
      <c r="J2164" s="18">
        <v>1</v>
      </c>
      <c r="K2164" s="18">
        <v>0</v>
      </c>
      <c r="L2164" s="18">
        <v>0</v>
      </c>
      <c r="M2164" s="16">
        <v>0</v>
      </c>
      <c r="N2164" s="16">
        <v>0</v>
      </c>
      <c r="O2164" s="16">
        <v>1</v>
      </c>
      <c r="P2164" s="16">
        <v>1</v>
      </c>
      <c r="Q2164" s="16">
        <v>0.1</v>
      </c>
      <c r="R2164" s="16">
        <v>0</v>
      </c>
      <c r="S2164" s="12">
        <v>0</v>
      </c>
      <c r="T2164" s="16">
        <v>0</v>
      </c>
      <c r="U2164" s="16">
        <v>1</v>
      </c>
      <c r="V2164" s="16">
        <v>2</v>
      </c>
      <c r="W2164" s="16">
        <v>0</v>
      </c>
      <c r="X2164" s="16">
        <v>1.5</v>
      </c>
      <c r="Y2164" s="12">
        <v>0</v>
      </c>
      <c r="Z2164" s="16">
        <v>0</v>
      </c>
      <c r="AA2164" s="16">
        <v>0</v>
      </c>
      <c r="AB2164" s="16">
        <v>0</v>
      </c>
      <c r="AC2164" s="16">
        <v>0</v>
      </c>
      <c r="AD2164" s="16">
        <v>0</v>
      </c>
      <c r="AE2164" s="16">
        <v>0</v>
      </c>
      <c r="AF2164" s="16">
        <v>3</v>
      </c>
      <c r="AG2164" s="16">
        <v>2</v>
      </c>
      <c r="AH2164" s="16" t="s">
        <v>213</v>
      </c>
      <c r="AI2164" s="12">
        <v>7</v>
      </c>
      <c r="AJ2164" s="12">
        <v>2</v>
      </c>
      <c r="AK2164" s="12">
        <v>0</v>
      </c>
      <c r="AL2164" s="12">
        <v>1.5</v>
      </c>
      <c r="AM2164" s="16">
        <v>0</v>
      </c>
      <c r="AN2164" s="16">
        <v>0</v>
      </c>
      <c r="AO2164" s="16">
        <v>0</v>
      </c>
      <c r="AP2164" s="16">
        <v>1</v>
      </c>
      <c r="AQ2164" s="16">
        <v>3000</v>
      </c>
      <c r="AR2164" s="16">
        <v>0.5</v>
      </c>
      <c r="AS2164" s="16">
        <v>0</v>
      </c>
      <c r="AT2164" s="12">
        <v>0</v>
      </c>
      <c r="AU2164" s="16" t="s">
        <v>4880</v>
      </c>
      <c r="AV2164" s="16"/>
      <c r="AW2164" s="17" t="s">
        <v>287</v>
      </c>
      <c r="AX2164" s="16">
        <v>0</v>
      </c>
      <c r="AY2164" s="18">
        <v>0</v>
      </c>
      <c r="AZ2164" s="18">
        <v>0</v>
      </c>
      <c r="BA2164" s="17" t="s">
        <v>200</v>
      </c>
      <c r="BB2164" s="16">
        <v>0</v>
      </c>
      <c r="BC2164" s="27">
        <v>0</v>
      </c>
      <c r="BD2164" s="27">
        <v>1</v>
      </c>
      <c r="BE2164" s="44" t="s">
        <v>4881</v>
      </c>
      <c r="BF2164" s="44" t="s">
        <v>4882</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67000273</v>
      </c>
      <c r="D2165" s="17" t="s">
        <v>4883</v>
      </c>
      <c r="E2165" s="17" t="s">
        <v>4884</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2</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198</v>
      </c>
      <c r="AV2165" s="16"/>
      <c r="AW2165" s="17" t="s">
        <v>287</v>
      </c>
      <c r="AX2165" s="16">
        <v>0</v>
      </c>
      <c r="AY2165" s="18">
        <v>0</v>
      </c>
      <c r="AZ2165" s="18">
        <v>0</v>
      </c>
      <c r="BA2165" s="17" t="s">
        <v>200</v>
      </c>
      <c r="BB2165" s="16">
        <v>0</v>
      </c>
      <c r="BC2165" s="27">
        <v>0</v>
      </c>
      <c r="BD2165" s="27">
        <v>1</v>
      </c>
      <c r="BE2165" s="44" t="s">
        <v>4885</v>
      </c>
      <c r="BF2165" s="44" t="s">
        <v>4886</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67000274</v>
      </c>
      <c r="D2166" s="17" t="s">
        <v>4887</v>
      </c>
      <c r="E2166" s="17" t="s">
        <v>4888</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v>
      </c>
      <c r="Y2166" s="12">
        <v>0</v>
      </c>
      <c r="Z2166" s="16">
        <v>0</v>
      </c>
      <c r="AA2166" s="16">
        <v>0</v>
      </c>
      <c r="AB2166" s="16">
        <v>0</v>
      </c>
      <c r="AC2166" s="16">
        <v>0</v>
      </c>
      <c r="AD2166" s="16">
        <v>0</v>
      </c>
      <c r="AE2166" s="16">
        <v>0</v>
      </c>
      <c r="AF2166" s="16">
        <v>10</v>
      </c>
      <c r="AG2166" s="16">
        <v>2</v>
      </c>
      <c r="AH2166" s="16" t="s">
        <v>213</v>
      </c>
      <c r="AI2166" s="12">
        <v>0</v>
      </c>
      <c r="AJ2166" s="12">
        <v>0</v>
      </c>
      <c r="AK2166" s="12">
        <v>0</v>
      </c>
      <c r="AL2166" s="12">
        <v>1.5</v>
      </c>
      <c r="AM2166" s="16">
        <v>0</v>
      </c>
      <c r="AN2166" s="16">
        <v>0</v>
      </c>
      <c r="AO2166" s="16">
        <v>0</v>
      </c>
      <c r="AP2166" s="16">
        <v>1</v>
      </c>
      <c r="AQ2166" s="16">
        <v>3000</v>
      </c>
      <c r="AR2166" s="16">
        <v>0.5</v>
      </c>
      <c r="AS2166" s="16">
        <v>0</v>
      </c>
      <c r="AT2166" s="12">
        <v>0</v>
      </c>
      <c r="AU2166" s="16" t="s">
        <v>1465</v>
      </c>
      <c r="AV2166" s="16"/>
      <c r="AW2166" s="17" t="s">
        <v>287</v>
      </c>
      <c r="AX2166" s="16">
        <v>0</v>
      </c>
      <c r="AY2166" s="18">
        <v>10000007</v>
      </c>
      <c r="AZ2166" s="18">
        <v>23000070</v>
      </c>
      <c r="BA2166" s="17" t="s">
        <v>200</v>
      </c>
      <c r="BB2166" s="16">
        <v>0</v>
      </c>
      <c r="BC2166" s="27">
        <v>0</v>
      </c>
      <c r="BD2166" s="27">
        <v>1</v>
      </c>
      <c r="BE2166" s="44" t="s">
        <v>4889</v>
      </c>
      <c r="BF2166" s="44" t="s">
        <v>4890</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67000275</v>
      </c>
      <c r="D2167" s="59" t="s">
        <v>4891</v>
      </c>
      <c r="E2167" s="59" t="s">
        <v>4892</v>
      </c>
      <c r="F2167" s="16">
        <v>1</v>
      </c>
      <c r="G2167" s="16">
        <v>90002001</v>
      </c>
      <c r="H2167" s="60">
        <v>0</v>
      </c>
      <c r="I2167" s="27">
        <v>0</v>
      </c>
      <c r="J2167" s="18">
        <v>1</v>
      </c>
      <c r="K2167" s="18">
        <v>0</v>
      </c>
      <c r="L2167" s="18">
        <v>0</v>
      </c>
      <c r="M2167" s="60">
        <v>0</v>
      </c>
      <c r="N2167" s="60">
        <v>0</v>
      </c>
      <c r="O2167" s="60">
        <v>1</v>
      </c>
      <c r="P2167" s="60">
        <v>2</v>
      </c>
      <c r="Q2167" s="60">
        <v>1</v>
      </c>
      <c r="R2167" s="60">
        <v>0</v>
      </c>
      <c r="S2167" s="12">
        <v>0</v>
      </c>
      <c r="T2167" s="60">
        <v>0</v>
      </c>
      <c r="U2167" s="16">
        <v>1</v>
      </c>
      <c r="V2167" s="60">
        <v>2</v>
      </c>
      <c r="W2167" s="60">
        <v>0</v>
      </c>
      <c r="X2167" s="60">
        <v>0</v>
      </c>
      <c r="Y2167" s="12">
        <v>0</v>
      </c>
      <c r="Z2167" s="60">
        <v>0</v>
      </c>
      <c r="AA2167" s="60">
        <v>0</v>
      </c>
      <c r="AB2167" s="60">
        <v>0</v>
      </c>
      <c r="AC2167" s="60">
        <v>0</v>
      </c>
      <c r="AD2167" s="60">
        <v>0</v>
      </c>
      <c r="AE2167" s="60">
        <v>0</v>
      </c>
      <c r="AF2167" s="60">
        <v>20</v>
      </c>
      <c r="AG2167" s="60">
        <v>2</v>
      </c>
      <c r="AH2167" s="60" t="s">
        <v>213</v>
      </c>
      <c r="AI2167" s="12">
        <v>0</v>
      </c>
      <c r="AJ2167" s="12">
        <v>0</v>
      </c>
      <c r="AK2167" s="12">
        <v>0</v>
      </c>
      <c r="AL2167" s="68">
        <v>1.5</v>
      </c>
      <c r="AM2167" s="60">
        <v>0</v>
      </c>
      <c r="AN2167" s="60">
        <v>0</v>
      </c>
      <c r="AO2167" s="60">
        <v>0</v>
      </c>
      <c r="AP2167" s="60">
        <v>1</v>
      </c>
      <c r="AQ2167" s="60">
        <v>3000</v>
      </c>
      <c r="AR2167" s="60">
        <v>0.5</v>
      </c>
      <c r="AS2167" s="60">
        <v>0</v>
      </c>
      <c r="AT2167" s="12">
        <v>0</v>
      </c>
      <c r="AU2167" s="60" t="s">
        <v>4893</v>
      </c>
      <c r="AV2167" s="60"/>
      <c r="AW2167" s="59" t="s">
        <v>287</v>
      </c>
      <c r="AX2167" s="16">
        <v>0</v>
      </c>
      <c r="AY2167" s="64">
        <v>10000007</v>
      </c>
      <c r="AZ2167" s="18">
        <v>23000050</v>
      </c>
      <c r="BA2167" s="59" t="s">
        <v>200</v>
      </c>
      <c r="BB2167" s="60">
        <v>0</v>
      </c>
      <c r="BC2167" s="66">
        <v>0</v>
      </c>
      <c r="BD2167" s="27">
        <v>1</v>
      </c>
      <c r="BE2167" s="90" t="s">
        <v>4894</v>
      </c>
      <c r="BF2167" s="90" t="s">
        <v>4895</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67000276</v>
      </c>
      <c r="D2168" s="59" t="s">
        <v>4896</v>
      </c>
      <c r="E2168" s="59" t="s">
        <v>4897</v>
      </c>
      <c r="F2168" s="16">
        <v>1</v>
      </c>
      <c r="G2168" s="16">
        <v>90002001</v>
      </c>
      <c r="H2168" s="60">
        <v>0</v>
      </c>
      <c r="I2168" s="27">
        <v>0</v>
      </c>
      <c r="J2168" s="18">
        <v>1</v>
      </c>
      <c r="K2168" s="18">
        <v>0</v>
      </c>
      <c r="L2168" s="18">
        <v>0</v>
      </c>
      <c r="M2168" s="60">
        <v>0</v>
      </c>
      <c r="N2168" s="60">
        <v>0</v>
      </c>
      <c r="O2168" s="60">
        <v>1</v>
      </c>
      <c r="P2168" s="60">
        <v>2</v>
      </c>
      <c r="Q2168" s="60">
        <v>1</v>
      </c>
      <c r="R2168" s="60">
        <v>0</v>
      </c>
      <c r="S2168" s="12">
        <v>0</v>
      </c>
      <c r="T2168" s="60">
        <v>0</v>
      </c>
      <c r="U2168" s="16">
        <v>1</v>
      </c>
      <c r="V2168" s="60">
        <v>2</v>
      </c>
      <c r="W2168" s="60">
        <v>0</v>
      </c>
      <c r="X2168" s="60">
        <v>0</v>
      </c>
      <c r="Y2168" s="12">
        <v>0</v>
      </c>
      <c r="Z2168" s="60">
        <v>0</v>
      </c>
      <c r="AA2168" s="60">
        <v>0</v>
      </c>
      <c r="AB2168" s="60">
        <v>0</v>
      </c>
      <c r="AC2168" s="60">
        <v>0</v>
      </c>
      <c r="AD2168" s="60">
        <v>0</v>
      </c>
      <c r="AE2168" s="60">
        <v>0</v>
      </c>
      <c r="AF2168" s="60">
        <v>30</v>
      </c>
      <c r="AG2168" s="60">
        <v>2</v>
      </c>
      <c r="AH2168" s="60" t="s">
        <v>213</v>
      </c>
      <c r="AI2168" s="12">
        <v>0</v>
      </c>
      <c r="AJ2168" s="12">
        <v>0</v>
      </c>
      <c r="AK2168" s="12">
        <v>0</v>
      </c>
      <c r="AL2168" s="68">
        <v>1.5</v>
      </c>
      <c r="AM2168" s="60">
        <v>0</v>
      </c>
      <c r="AN2168" s="60">
        <v>0</v>
      </c>
      <c r="AO2168" s="60">
        <v>0</v>
      </c>
      <c r="AP2168" s="60">
        <v>1</v>
      </c>
      <c r="AQ2168" s="60">
        <v>3000</v>
      </c>
      <c r="AR2168" s="60">
        <v>0.5</v>
      </c>
      <c r="AS2168" s="60">
        <v>0</v>
      </c>
      <c r="AT2168" s="12">
        <v>0</v>
      </c>
      <c r="AU2168" s="60" t="s">
        <v>4898</v>
      </c>
      <c r="AV2168" s="60"/>
      <c r="AW2168" s="59" t="s">
        <v>287</v>
      </c>
      <c r="AX2168" s="16">
        <v>0</v>
      </c>
      <c r="AY2168" s="64">
        <v>10000007</v>
      </c>
      <c r="AZ2168" s="18">
        <v>23000060</v>
      </c>
      <c r="BA2168" s="59" t="s">
        <v>200</v>
      </c>
      <c r="BB2168" s="60">
        <v>0</v>
      </c>
      <c r="BC2168" s="66">
        <v>0</v>
      </c>
      <c r="BD2168" s="66">
        <v>0</v>
      </c>
      <c r="BE2168" s="90" t="s">
        <v>4899</v>
      </c>
      <c r="BF2168" s="90" t="s">
        <v>4900</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67000277</v>
      </c>
      <c r="D2169" s="59" t="s">
        <v>625</v>
      </c>
      <c r="E2169" s="59" t="s">
        <v>626</v>
      </c>
      <c r="F2169" s="16">
        <v>1</v>
      </c>
      <c r="G2169" s="16">
        <v>90002001</v>
      </c>
      <c r="H2169" s="60">
        <v>0</v>
      </c>
      <c r="I2169" s="27">
        <v>0</v>
      </c>
      <c r="J2169" s="18">
        <v>1</v>
      </c>
      <c r="K2169" s="18">
        <v>0</v>
      </c>
      <c r="L2169" s="18">
        <v>0</v>
      </c>
      <c r="M2169" s="60">
        <v>0</v>
      </c>
      <c r="N2169" s="60">
        <v>0</v>
      </c>
      <c r="O2169" s="60">
        <v>1</v>
      </c>
      <c r="P2169" s="60">
        <v>0</v>
      </c>
      <c r="Q2169" s="60">
        <v>0</v>
      </c>
      <c r="R2169" s="60">
        <v>0</v>
      </c>
      <c r="S2169" s="12">
        <v>0</v>
      </c>
      <c r="T2169" s="60">
        <v>0</v>
      </c>
      <c r="U2169" s="16">
        <v>1</v>
      </c>
      <c r="V2169" s="60">
        <v>2</v>
      </c>
      <c r="W2169" s="60">
        <v>0</v>
      </c>
      <c r="X2169" s="60">
        <v>1</v>
      </c>
      <c r="Y2169" s="12">
        <v>0</v>
      </c>
      <c r="Z2169" s="60">
        <v>0</v>
      </c>
      <c r="AA2169" s="60">
        <v>0</v>
      </c>
      <c r="AB2169" s="60">
        <v>0</v>
      </c>
      <c r="AC2169" s="60">
        <v>0</v>
      </c>
      <c r="AD2169" s="60">
        <v>0</v>
      </c>
      <c r="AE2169" s="60">
        <v>0</v>
      </c>
      <c r="AF2169" s="60">
        <v>30</v>
      </c>
      <c r="AG2169" s="60">
        <v>2</v>
      </c>
      <c r="AH2169" s="60" t="s">
        <v>627</v>
      </c>
      <c r="AI2169" s="12">
        <v>0</v>
      </c>
      <c r="AJ2169" s="12">
        <v>2</v>
      </c>
      <c r="AK2169" s="12">
        <v>0</v>
      </c>
      <c r="AL2169" s="68">
        <v>0</v>
      </c>
      <c r="AM2169" s="60">
        <v>0</v>
      </c>
      <c r="AN2169" s="60">
        <v>0</v>
      </c>
      <c r="AO2169" s="60">
        <v>0</v>
      </c>
      <c r="AP2169" s="60">
        <v>5</v>
      </c>
      <c r="AQ2169" s="60">
        <v>5000</v>
      </c>
      <c r="AR2169" s="60">
        <v>0</v>
      </c>
      <c r="AS2169" s="60">
        <v>0</v>
      </c>
      <c r="AT2169" s="12">
        <v>0</v>
      </c>
      <c r="AU2169" s="60">
        <v>0</v>
      </c>
      <c r="AV2169" s="60"/>
      <c r="AW2169" s="59" t="s">
        <v>287</v>
      </c>
      <c r="AX2169" s="16">
        <v>0</v>
      </c>
      <c r="AY2169" s="64">
        <v>0</v>
      </c>
      <c r="AZ2169" s="18">
        <v>21000010</v>
      </c>
      <c r="BA2169" s="59" t="s">
        <v>628</v>
      </c>
      <c r="BB2169" s="60" t="s">
        <v>4901</v>
      </c>
      <c r="BC2169" s="66">
        <v>0</v>
      </c>
      <c r="BD2169" s="66">
        <v>0</v>
      </c>
      <c r="BE2169" s="90" t="s">
        <v>4899</v>
      </c>
      <c r="BF2169" s="90" t="s">
        <v>4900</v>
      </c>
      <c r="BG2169" s="60">
        <v>0</v>
      </c>
      <c r="BH2169" s="16">
        <v>0</v>
      </c>
      <c r="BI2169" s="60">
        <v>0</v>
      </c>
      <c r="BJ2169" s="60">
        <v>0</v>
      </c>
      <c r="BK2169" s="60">
        <v>0</v>
      </c>
      <c r="BL2169" s="60">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67000278</v>
      </c>
      <c r="D2170" s="19" t="s">
        <v>4902</v>
      </c>
      <c r="E2170" s="19" t="s">
        <v>4903</v>
      </c>
      <c r="F2170" s="16">
        <v>1</v>
      </c>
      <c r="G2170" s="18">
        <v>63001001</v>
      </c>
      <c r="H2170" s="18">
        <v>0</v>
      </c>
      <c r="I2170" s="27">
        <v>0</v>
      </c>
      <c r="J2170" s="18">
        <v>1</v>
      </c>
      <c r="K2170" s="18">
        <v>0</v>
      </c>
      <c r="L2170" s="16">
        <v>0</v>
      </c>
      <c r="M2170" s="18">
        <v>0</v>
      </c>
      <c r="N2170" s="18">
        <v>0</v>
      </c>
      <c r="O2170" s="18">
        <v>1</v>
      </c>
      <c r="P2170" s="18">
        <v>0</v>
      </c>
      <c r="Q2170" s="18">
        <v>1</v>
      </c>
      <c r="R2170" s="18">
        <v>0</v>
      </c>
      <c r="S2170" s="12">
        <v>0</v>
      </c>
      <c r="T2170" s="27">
        <v>0</v>
      </c>
      <c r="U2170" s="16">
        <v>1</v>
      </c>
      <c r="V2170" s="18">
        <v>2</v>
      </c>
      <c r="W2170" s="18">
        <v>0</v>
      </c>
      <c r="X2170" s="18">
        <v>0</v>
      </c>
      <c r="Y2170" s="12">
        <v>0</v>
      </c>
      <c r="Z2170" s="18">
        <v>0</v>
      </c>
      <c r="AA2170" s="18">
        <v>0</v>
      </c>
      <c r="AB2170" s="18">
        <v>0</v>
      </c>
      <c r="AC2170" s="18">
        <v>0</v>
      </c>
      <c r="AD2170" s="18">
        <v>1</v>
      </c>
      <c r="AE2170" s="18">
        <v>0</v>
      </c>
      <c r="AF2170" s="18">
        <v>60</v>
      </c>
      <c r="AG2170" s="18">
        <v>2</v>
      </c>
      <c r="AH2170" s="18" t="s">
        <v>4904</v>
      </c>
      <c r="AI2170" s="12">
        <v>0</v>
      </c>
      <c r="AJ2170" s="12">
        <v>0</v>
      </c>
      <c r="AK2170" s="12">
        <v>0</v>
      </c>
      <c r="AL2170" s="12">
        <v>0</v>
      </c>
      <c r="AM2170" s="18">
        <v>0</v>
      </c>
      <c r="AN2170" s="18">
        <v>0</v>
      </c>
      <c r="AO2170" s="18">
        <v>0</v>
      </c>
      <c r="AP2170" s="18">
        <v>1</v>
      </c>
      <c r="AQ2170" s="18">
        <v>1800000</v>
      </c>
      <c r="AR2170" s="18">
        <v>0</v>
      </c>
      <c r="AS2170" s="18">
        <v>0</v>
      </c>
      <c r="AT2170" s="12">
        <v>0</v>
      </c>
      <c r="AU2170" s="18">
        <v>90106002</v>
      </c>
      <c r="AV2170" s="18"/>
      <c r="AW2170" s="19" t="s">
        <v>198</v>
      </c>
      <c r="AX2170" s="18">
        <v>0</v>
      </c>
      <c r="AY2170" s="18">
        <v>0</v>
      </c>
      <c r="AZ2170" s="18">
        <v>0</v>
      </c>
      <c r="BA2170" s="19" t="s">
        <v>2808</v>
      </c>
      <c r="BB2170" s="19">
        <v>0</v>
      </c>
      <c r="BC2170" s="27">
        <v>0</v>
      </c>
      <c r="BD2170" s="27">
        <v>0</v>
      </c>
      <c r="BE2170" s="183" t="s">
        <v>4905</v>
      </c>
      <c r="BF2170" s="183" t="s">
        <v>4906</v>
      </c>
      <c r="BG2170" s="18">
        <v>0</v>
      </c>
      <c r="BH2170" s="16">
        <v>0</v>
      </c>
      <c r="BI2170" s="18">
        <v>0</v>
      </c>
      <c r="BJ2170" s="18">
        <v>0</v>
      </c>
      <c r="BK2170" s="18">
        <v>0</v>
      </c>
      <c r="BL2170" s="18">
        <v>0</v>
      </c>
      <c r="BM2170" s="15">
        <v>0</v>
      </c>
      <c r="BN2170" s="12">
        <v>0</v>
      </c>
      <c r="BO2170" s="12">
        <v>0</v>
      </c>
      <c r="BP2170" s="12">
        <v>0</v>
      </c>
      <c r="BQ2170" s="12">
        <v>0</v>
      </c>
      <c r="BR2170" s="12">
        <v>0</v>
      </c>
      <c r="BS2170" s="12">
        <v>0</v>
      </c>
      <c r="BT2170" s="12">
        <v>0</v>
      </c>
      <c r="BU2170" s="47">
        <v>0</v>
      </c>
      <c r="BV2170" s="47"/>
      <c r="BW2170" s="47"/>
    </row>
    <row r="2171" spans="3:75" ht="19.5" customHeight="1">
      <c r="C2171" s="18">
        <v>67000279</v>
      </c>
      <c r="D2171" s="17" t="s">
        <v>4907</v>
      </c>
      <c r="E2171" s="17" t="s">
        <v>4908</v>
      </c>
      <c r="F2171" s="16">
        <v>1</v>
      </c>
      <c r="G2171" s="16">
        <v>62011201</v>
      </c>
      <c r="H2171" s="16">
        <v>0</v>
      </c>
      <c r="I2171" s="27">
        <v>0</v>
      </c>
      <c r="J2171" s="16">
        <v>5</v>
      </c>
      <c r="K2171" s="16">
        <v>3</v>
      </c>
      <c r="L2171" s="16">
        <v>0</v>
      </c>
      <c r="M2171" s="16">
        <v>0</v>
      </c>
      <c r="N2171" s="16">
        <v>0</v>
      </c>
      <c r="O2171" s="16">
        <v>1</v>
      </c>
      <c r="P2171" s="16">
        <v>0</v>
      </c>
      <c r="Q2171" s="16">
        <v>0</v>
      </c>
      <c r="R2171" s="16">
        <v>0</v>
      </c>
      <c r="S2171" s="12">
        <v>0</v>
      </c>
      <c r="T2171" s="16">
        <v>0</v>
      </c>
      <c r="U2171" s="16">
        <v>1</v>
      </c>
      <c r="V2171" s="16">
        <v>2</v>
      </c>
      <c r="W2171" s="16">
        <v>0</v>
      </c>
      <c r="X2171" s="16">
        <v>1.5</v>
      </c>
      <c r="Y2171" s="12">
        <v>0</v>
      </c>
      <c r="Z2171" s="16">
        <v>10</v>
      </c>
      <c r="AA2171" s="16">
        <v>1</v>
      </c>
      <c r="AB2171" s="16">
        <v>0</v>
      </c>
      <c r="AC2171" s="16">
        <v>0</v>
      </c>
      <c r="AD2171" s="16">
        <v>0</v>
      </c>
      <c r="AE2171" s="16">
        <v>0</v>
      </c>
      <c r="AF2171" s="16">
        <v>5</v>
      </c>
      <c r="AG2171" s="16">
        <v>1</v>
      </c>
      <c r="AH2171" s="16">
        <v>10</v>
      </c>
      <c r="AI2171" s="12">
        <v>0</v>
      </c>
      <c r="AJ2171" s="12">
        <v>0</v>
      </c>
      <c r="AK2171" s="12">
        <v>0</v>
      </c>
      <c r="AL2171" s="12">
        <v>0</v>
      </c>
      <c r="AM2171" s="16">
        <v>0</v>
      </c>
      <c r="AN2171" s="16">
        <v>0</v>
      </c>
      <c r="AO2171" s="16">
        <v>0</v>
      </c>
      <c r="AP2171" s="16">
        <v>0.5</v>
      </c>
      <c r="AQ2171" s="16">
        <v>3000</v>
      </c>
      <c r="AR2171" s="16">
        <v>0.2</v>
      </c>
      <c r="AS2171" s="16">
        <v>0</v>
      </c>
      <c r="AT2171" s="12">
        <v>0</v>
      </c>
      <c r="AU2171" s="16" t="s">
        <v>198</v>
      </c>
      <c r="AV2171" s="16"/>
      <c r="AW2171" s="17" t="s">
        <v>617</v>
      </c>
      <c r="AX2171" s="16" t="s">
        <v>534</v>
      </c>
      <c r="AY2171" s="18">
        <v>10000007</v>
      </c>
      <c r="AZ2171" s="18">
        <v>21000020</v>
      </c>
      <c r="BA2171" s="17" t="s">
        <v>1531</v>
      </c>
      <c r="BB2171" s="16">
        <v>0</v>
      </c>
      <c r="BC2171" s="27">
        <v>0</v>
      </c>
      <c r="BD2171" s="27">
        <v>0</v>
      </c>
      <c r="BE2171" s="183" t="s">
        <v>4909</v>
      </c>
      <c r="BF2171" s="183" t="s">
        <v>4910</v>
      </c>
      <c r="BG2171" s="16">
        <v>0</v>
      </c>
      <c r="BH2171" s="16">
        <v>0</v>
      </c>
      <c r="BI2171" s="16">
        <v>0</v>
      </c>
      <c r="BJ2171" s="16">
        <v>0</v>
      </c>
      <c r="BK2171" s="16">
        <v>0</v>
      </c>
      <c r="BL2171" s="16">
        <v>0</v>
      </c>
      <c r="BM2171" s="15">
        <v>0</v>
      </c>
      <c r="BN2171" s="12">
        <v>0</v>
      </c>
      <c r="BO2171" s="12">
        <v>0</v>
      </c>
      <c r="BP2171" s="12">
        <v>0</v>
      </c>
      <c r="BQ2171" s="12">
        <v>0</v>
      </c>
      <c r="BR2171" s="12">
        <v>0</v>
      </c>
      <c r="BS2171" s="12">
        <v>0</v>
      </c>
      <c r="BT2171" s="12">
        <v>0</v>
      </c>
      <c r="BU2171" s="47">
        <v>0</v>
      </c>
      <c r="BV2171" s="47"/>
      <c r="BW2171" s="47"/>
    </row>
    <row r="2172" spans="3:75" ht="20.100000000000001" customHeight="1">
      <c r="C2172" s="18">
        <v>67000280</v>
      </c>
      <c r="D2172" s="17" t="s">
        <v>4911</v>
      </c>
      <c r="E2172" s="17" t="s">
        <v>4912</v>
      </c>
      <c r="F2172" s="16">
        <v>1</v>
      </c>
      <c r="G2172" s="16">
        <v>62011201</v>
      </c>
      <c r="H2172" s="16">
        <v>0</v>
      </c>
      <c r="I2172" s="27">
        <v>0</v>
      </c>
      <c r="J2172" s="16">
        <v>5</v>
      </c>
      <c r="K2172" s="16">
        <v>3</v>
      </c>
      <c r="L2172" s="16">
        <v>0</v>
      </c>
      <c r="M2172" s="16">
        <v>0</v>
      </c>
      <c r="N2172" s="16">
        <v>0</v>
      </c>
      <c r="O2172" s="16">
        <v>1</v>
      </c>
      <c r="P2172" s="16">
        <v>0</v>
      </c>
      <c r="Q2172" s="16">
        <v>0</v>
      </c>
      <c r="R2172" s="16">
        <v>0</v>
      </c>
      <c r="S2172" s="12">
        <v>0</v>
      </c>
      <c r="T2172" s="16">
        <v>0</v>
      </c>
      <c r="U2172" s="16">
        <v>1</v>
      </c>
      <c r="V2172" s="16">
        <v>2</v>
      </c>
      <c r="W2172" s="16">
        <v>0</v>
      </c>
      <c r="X2172" s="16">
        <v>1.5</v>
      </c>
      <c r="Y2172" s="12">
        <v>0</v>
      </c>
      <c r="Z2172" s="16">
        <v>10</v>
      </c>
      <c r="AA2172" s="16">
        <v>1</v>
      </c>
      <c r="AB2172" s="16">
        <v>0</v>
      </c>
      <c r="AC2172" s="16">
        <v>0</v>
      </c>
      <c r="AD2172" s="16">
        <v>0</v>
      </c>
      <c r="AE2172" s="16">
        <v>0</v>
      </c>
      <c r="AF2172" s="16">
        <v>5</v>
      </c>
      <c r="AG2172" s="16">
        <v>1</v>
      </c>
      <c r="AH2172" s="60">
        <v>3</v>
      </c>
      <c r="AI2172" s="12">
        <v>2</v>
      </c>
      <c r="AJ2172" s="12">
        <v>1</v>
      </c>
      <c r="AK2172" s="12">
        <v>0</v>
      </c>
      <c r="AL2172" s="12">
        <v>8</v>
      </c>
      <c r="AM2172" s="16">
        <v>0</v>
      </c>
      <c r="AN2172" s="16">
        <v>0</v>
      </c>
      <c r="AO2172" s="16">
        <v>0</v>
      </c>
      <c r="AP2172" s="16">
        <v>0.5</v>
      </c>
      <c r="AQ2172" s="16">
        <v>10000</v>
      </c>
      <c r="AR2172" s="16">
        <v>0.2</v>
      </c>
      <c r="AS2172" s="16">
        <v>0</v>
      </c>
      <c r="AT2172" s="12">
        <v>0</v>
      </c>
      <c r="AU2172" s="16" t="s">
        <v>198</v>
      </c>
      <c r="AV2172" s="16"/>
      <c r="AW2172" s="17" t="s">
        <v>617</v>
      </c>
      <c r="AX2172" s="16" t="s">
        <v>534</v>
      </c>
      <c r="AY2172" s="18">
        <v>10000007</v>
      </c>
      <c r="AZ2172" s="18">
        <v>21102020</v>
      </c>
      <c r="BA2172" s="17" t="s">
        <v>1531</v>
      </c>
      <c r="BB2172" s="16">
        <v>0</v>
      </c>
      <c r="BC2172" s="27">
        <v>0</v>
      </c>
      <c r="BD2172" s="27">
        <v>0</v>
      </c>
      <c r="BE2172" s="183" t="s">
        <v>4913</v>
      </c>
      <c r="BF2172" s="183" t="s">
        <v>4914</v>
      </c>
      <c r="BG2172" s="16">
        <v>0</v>
      </c>
      <c r="BH2172" s="16">
        <v>0</v>
      </c>
      <c r="BI2172" s="16">
        <v>0</v>
      </c>
      <c r="BJ2172" s="16">
        <v>0</v>
      </c>
      <c r="BK2172" s="16">
        <v>0</v>
      </c>
      <c r="BL2172" s="16">
        <v>0</v>
      </c>
      <c r="BM2172" s="15">
        <v>0</v>
      </c>
      <c r="BN2172" s="12">
        <v>0</v>
      </c>
      <c r="BO2172" s="12">
        <v>0</v>
      </c>
      <c r="BP2172" s="12">
        <v>0</v>
      </c>
      <c r="BQ2172" s="12">
        <v>0</v>
      </c>
      <c r="BR2172" s="12">
        <v>0</v>
      </c>
      <c r="BS2172" s="12">
        <v>0</v>
      </c>
      <c r="BT2172" s="12">
        <v>0</v>
      </c>
      <c r="BU2172" s="47">
        <v>0</v>
      </c>
      <c r="BV2172" s="47"/>
      <c r="BW2172" s="47"/>
    </row>
    <row r="2173" spans="3:75" ht="20.100000000000001" customHeight="1">
      <c r="C2173" s="18">
        <v>67000281</v>
      </c>
      <c r="D2173" s="17" t="s">
        <v>4915</v>
      </c>
      <c r="E2173" s="17" t="s">
        <v>4916</v>
      </c>
      <c r="F2173" s="16">
        <v>1</v>
      </c>
      <c r="G2173" s="16">
        <v>62011201</v>
      </c>
      <c r="H2173" s="16">
        <v>0</v>
      </c>
      <c r="I2173" s="27">
        <v>0</v>
      </c>
      <c r="J2173" s="16">
        <v>5</v>
      </c>
      <c r="K2173" s="16">
        <v>3</v>
      </c>
      <c r="L2173" s="16">
        <v>0</v>
      </c>
      <c r="M2173" s="16">
        <v>0</v>
      </c>
      <c r="N2173" s="16">
        <v>0</v>
      </c>
      <c r="O2173" s="16">
        <v>1</v>
      </c>
      <c r="P2173" s="16">
        <v>0</v>
      </c>
      <c r="Q2173" s="16">
        <v>0</v>
      </c>
      <c r="R2173" s="16">
        <v>0</v>
      </c>
      <c r="S2173" s="12">
        <v>0</v>
      </c>
      <c r="T2173" s="16">
        <v>0</v>
      </c>
      <c r="U2173" s="16">
        <v>1</v>
      </c>
      <c r="V2173" s="16">
        <v>2</v>
      </c>
      <c r="W2173" s="16">
        <v>0</v>
      </c>
      <c r="X2173" s="16">
        <v>1.5</v>
      </c>
      <c r="Y2173" s="12">
        <v>0</v>
      </c>
      <c r="Z2173" s="16">
        <v>10</v>
      </c>
      <c r="AA2173" s="16">
        <v>1</v>
      </c>
      <c r="AB2173" s="16">
        <v>0</v>
      </c>
      <c r="AC2173" s="16">
        <v>0</v>
      </c>
      <c r="AD2173" s="16">
        <v>0</v>
      </c>
      <c r="AE2173" s="16">
        <v>0</v>
      </c>
      <c r="AF2173" s="16">
        <v>5</v>
      </c>
      <c r="AG2173" s="16">
        <v>1</v>
      </c>
      <c r="AH2173" s="60">
        <v>3</v>
      </c>
      <c r="AI2173" s="12">
        <v>0</v>
      </c>
      <c r="AJ2173" s="12">
        <v>2</v>
      </c>
      <c r="AK2173" s="12">
        <v>0</v>
      </c>
      <c r="AL2173" s="12">
        <v>3</v>
      </c>
      <c r="AM2173" s="16">
        <v>0</v>
      </c>
      <c r="AN2173" s="16">
        <v>0</v>
      </c>
      <c r="AO2173" s="16">
        <v>0</v>
      </c>
      <c r="AP2173" s="16">
        <v>0.5</v>
      </c>
      <c r="AQ2173" s="16">
        <v>10000</v>
      </c>
      <c r="AR2173" s="16">
        <v>0.2</v>
      </c>
      <c r="AS2173" s="16">
        <v>3</v>
      </c>
      <c r="AT2173" s="12">
        <v>0</v>
      </c>
      <c r="AU2173" s="16" t="s">
        <v>198</v>
      </c>
      <c r="AV2173" s="16"/>
      <c r="AW2173" s="17" t="s">
        <v>617</v>
      </c>
      <c r="AX2173" s="16" t="s">
        <v>534</v>
      </c>
      <c r="AY2173" s="18">
        <v>10000007</v>
      </c>
      <c r="AZ2173" s="18">
        <v>21102020</v>
      </c>
      <c r="BA2173" s="17" t="s">
        <v>1556</v>
      </c>
      <c r="BB2173" s="16">
        <v>0</v>
      </c>
      <c r="BC2173" s="27">
        <v>0</v>
      </c>
      <c r="BD2173" s="27">
        <v>0</v>
      </c>
      <c r="BE2173" s="183" t="s">
        <v>4917</v>
      </c>
      <c r="BF2173" s="183" t="s">
        <v>4918</v>
      </c>
      <c r="BG2173" s="16">
        <v>0</v>
      </c>
      <c r="BH2173" s="16">
        <v>0</v>
      </c>
      <c r="BI2173" s="16">
        <v>0</v>
      </c>
      <c r="BJ2173" s="16">
        <v>0</v>
      </c>
      <c r="BK2173" s="16">
        <v>0</v>
      </c>
      <c r="BL2173" s="16">
        <v>0</v>
      </c>
      <c r="BM2173" s="15">
        <v>0</v>
      </c>
      <c r="BN2173" s="12">
        <v>0</v>
      </c>
      <c r="BO2173" s="12">
        <v>0</v>
      </c>
      <c r="BP2173" s="12">
        <v>0</v>
      </c>
      <c r="BQ2173" s="12">
        <v>0</v>
      </c>
      <c r="BR2173" s="12">
        <v>0</v>
      </c>
      <c r="BS2173" s="12">
        <v>0</v>
      </c>
      <c r="BT2173" s="12">
        <v>0</v>
      </c>
      <c r="BU2173" s="47">
        <v>0</v>
      </c>
      <c r="BV2173" s="47"/>
      <c r="BW2173" s="47"/>
    </row>
    <row r="2174" spans="3:75" ht="19.5" customHeight="1">
      <c r="C2174" s="18">
        <v>67000282</v>
      </c>
      <c r="D2174" s="17" t="s">
        <v>4919</v>
      </c>
      <c r="E2174" s="17" t="s">
        <v>4920</v>
      </c>
      <c r="F2174" s="16">
        <v>1</v>
      </c>
      <c r="G2174" s="18">
        <v>61021201</v>
      </c>
      <c r="H2174" s="18">
        <v>0</v>
      </c>
      <c r="I2174" s="27">
        <v>0</v>
      </c>
      <c r="J2174" s="16">
        <f>J2168+5</f>
        <v>6</v>
      </c>
      <c r="K2174" s="16">
        <v>5</v>
      </c>
      <c r="L2174" s="16">
        <v>0</v>
      </c>
      <c r="M2174" s="18">
        <v>0</v>
      </c>
      <c r="N2174" s="18">
        <v>0</v>
      </c>
      <c r="O2174" s="18">
        <v>1</v>
      </c>
      <c r="P2174" s="18">
        <v>0</v>
      </c>
      <c r="Q2174" s="18">
        <v>0</v>
      </c>
      <c r="R2174" s="18">
        <v>0</v>
      </c>
      <c r="S2174" s="12">
        <v>0</v>
      </c>
      <c r="T2174" s="27">
        <v>0</v>
      </c>
      <c r="U2174" s="16">
        <v>1</v>
      </c>
      <c r="V2174" s="18">
        <v>2</v>
      </c>
      <c r="W2174" s="18">
        <v>0</v>
      </c>
      <c r="X2174" s="16">
        <v>3.5</v>
      </c>
      <c r="Y2174" s="12">
        <v>0</v>
      </c>
      <c r="Z2174" s="16">
        <v>500</v>
      </c>
      <c r="AA2174" s="18">
        <v>1</v>
      </c>
      <c r="AB2174" s="18">
        <v>0</v>
      </c>
      <c r="AC2174" s="18">
        <v>0</v>
      </c>
      <c r="AD2174" s="18">
        <v>0</v>
      </c>
      <c r="AE2174" s="18">
        <v>0</v>
      </c>
      <c r="AF2174" s="18">
        <v>7</v>
      </c>
      <c r="AG2174" s="18">
        <v>1</v>
      </c>
      <c r="AH2174" s="18">
        <v>3</v>
      </c>
      <c r="AI2174" s="12">
        <v>2</v>
      </c>
      <c r="AJ2174" s="12">
        <v>1</v>
      </c>
      <c r="AK2174" s="12">
        <v>0</v>
      </c>
      <c r="AL2174" s="12">
        <v>8</v>
      </c>
      <c r="AM2174" s="18">
        <v>0</v>
      </c>
      <c r="AN2174" s="18">
        <v>0.5</v>
      </c>
      <c r="AO2174" s="18">
        <v>0</v>
      </c>
      <c r="AP2174" s="18">
        <v>0.25</v>
      </c>
      <c r="AQ2174" s="18">
        <v>9000</v>
      </c>
      <c r="AR2174" s="18">
        <v>0.5</v>
      </c>
      <c r="AS2174" s="18">
        <v>0</v>
      </c>
      <c r="AT2174" s="12">
        <v>0</v>
      </c>
      <c r="AU2174" s="18">
        <v>0</v>
      </c>
      <c r="AV2174" s="18"/>
      <c r="AW2174" s="19" t="s">
        <v>1539</v>
      </c>
      <c r="AX2174" s="18" t="s">
        <v>1041</v>
      </c>
      <c r="AY2174" s="18">
        <v>10003002</v>
      </c>
      <c r="AZ2174" s="18">
        <v>21010020</v>
      </c>
      <c r="BA2174" s="19" t="s">
        <v>1556</v>
      </c>
      <c r="BB2174" s="19">
        <v>0</v>
      </c>
      <c r="BC2174" s="27">
        <v>0</v>
      </c>
      <c r="BD2174" s="27">
        <v>0</v>
      </c>
      <c r="BE2174" s="183" t="s">
        <v>4921</v>
      </c>
      <c r="BF2174" s="183" t="s">
        <v>4922</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20.100000000000001" customHeight="1">
      <c r="C2175" s="18">
        <v>67000283</v>
      </c>
      <c r="D2175" s="19" t="s">
        <v>4923</v>
      </c>
      <c r="E2175" s="19" t="s">
        <v>4924</v>
      </c>
      <c r="F2175" s="16">
        <v>1</v>
      </c>
      <c r="G2175" s="18">
        <v>63001001</v>
      </c>
      <c r="H2175" s="18">
        <v>0</v>
      </c>
      <c r="I2175" s="27">
        <v>0</v>
      </c>
      <c r="J2175" s="18">
        <v>1</v>
      </c>
      <c r="K2175" s="18">
        <v>0</v>
      </c>
      <c r="L2175" s="16">
        <v>0</v>
      </c>
      <c r="M2175" s="18">
        <v>0</v>
      </c>
      <c r="N2175" s="18">
        <v>0</v>
      </c>
      <c r="O2175" s="18">
        <v>1</v>
      </c>
      <c r="P2175" s="18">
        <v>0</v>
      </c>
      <c r="Q2175" s="18">
        <v>1</v>
      </c>
      <c r="R2175" s="18">
        <v>0</v>
      </c>
      <c r="S2175" s="12">
        <v>0</v>
      </c>
      <c r="T2175" s="27">
        <v>0</v>
      </c>
      <c r="U2175" s="16">
        <v>1</v>
      </c>
      <c r="V2175" s="18">
        <v>2</v>
      </c>
      <c r="W2175" s="18">
        <v>0</v>
      </c>
      <c r="X2175" s="18">
        <v>0</v>
      </c>
      <c r="Y2175" s="12">
        <v>0</v>
      </c>
      <c r="Z2175" s="18">
        <v>0</v>
      </c>
      <c r="AA2175" s="18">
        <v>0</v>
      </c>
      <c r="AB2175" s="18">
        <v>0</v>
      </c>
      <c r="AC2175" s="18">
        <v>0</v>
      </c>
      <c r="AD2175" s="18">
        <v>1</v>
      </c>
      <c r="AE2175" s="18">
        <v>0</v>
      </c>
      <c r="AF2175" s="18">
        <v>60</v>
      </c>
      <c r="AG2175" s="18">
        <v>2</v>
      </c>
      <c r="AH2175" s="18" t="s">
        <v>4925</v>
      </c>
      <c r="AI2175" s="12">
        <v>0</v>
      </c>
      <c r="AJ2175" s="12">
        <v>0</v>
      </c>
      <c r="AK2175" s="12">
        <v>0</v>
      </c>
      <c r="AL2175" s="12">
        <v>0</v>
      </c>
      <c r="AM2175" s="18">
        <v>0</v>
      </c>
      <c r="AN2175" s="18">
        <v>0</v>
      </c>
      <c r="AO2175" s="18">
        <v>0</v>
      </c>
      <c r="AP2175" s="18">
        <v>1</v>
      </c>
      <c r="AQ2175" s="18">
        <v>1800000</v>
      </c>
      <c r="AR2175" s="18">
        <v>0</v>
      </c>
      <c r="AS2175" s="18">
        <v>0</v>
      </c>
      <c r="AT2175" s="12">
        <v>0</v>
      </c>
      <c r="AU2175" s="18">
        <v>99002002</v>
      </c>
      <c r="AV2175" s="18"/>
      <c r="AW2175" s="19" t="s">
        <v>198</v>
      </c>
      <c r="AX2175" s="18">
        <v>0</v>
      </c>
      <c r="AY2175" s="18">
        <v>0</v>
      </c>
      <c r="AZ2175" s="18">
        <v>0</v>
      </c>
      <c r="BA2175" s="19" t="s">
        <v>2808</v>
      </c>
      <c r="BB2175" s="19">
        <v>0</v>
      </c>
      <c r="BC2175" s="27">
        <v>0</v>
      </c>
      <c r="BD2175" s="27">
        <v>0</v>
      </c>
      <c r="BE2175" s="183" t="s">
        <v>4905</v>
      </c>
      <c r="BF2175" s="183" t="s">
        <v>4906</v>
      </c>
      <c r="BG2175" s="18">
        <v>0</v>
      </c>
      <c r="BH2175" s="16">
        <v>0</v>
      </c>
      <c r="BI2175" s="18">
        <v>0</v>
      </c>
      <c r="BJ2175" s="18">
        <v>0</v>
      </c>
      <c r="BK2175" s="18">
        <v>0</v>
      </c>
      <c r="BL2175" s="18">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67000284</v>
      </c>
      <c r="D2176" s="19" t="s">
        <v>4926</v>
      </c>
      <c r="E2176" s="19" t="s">
        <v>4927</v>
      </c>
      <c r="F2176" s="16">
        <v>1</v>
      </c>
      <c r="G2176" s="18">
        <v>63001001</v>
      </c>
      <c r="H2176" s="18">
        <v>0</v>
      </c>
      <c r="I2176" s="27">
        <v>0</v>
      </c>
      <c r="J2176" s="18">
        <v>1</v>
      </c>
      <c r="K2176" s="18">
        <v>0</v>
      </c>
      <c r="L2176" s="16">
        <v>0</v>
      </c>
      <c r="M2176" s="18">
        <v>0</v>
      </c>
      <c r="N2176" s="18">
        <v>0</v>
      </c>
      <c r="O2176" s="18">
        <v>1</v>
      </c>
      <c r="P2176" s="18">
        <v>0</v>
      </c>
      <c r="Q2176" s="18">
        <v>1</v>
      </c>
      <c r="R2176" s="18">
        <v>0</v>
      </c>
      <c r="S2176" s="12">
        <v>0</v>
      </c>
      <c r="T2176" s="27">
        <v>0</v>
      </c>
      <c r="U2176" s="16">
        <v>1</v>
      </c>
      <c r="V2176" s="18">
        <v>2</v>
      </c>
      <c r="W2176" s="18">
        <v>0</v>
      </c>
      <c r="X2176" s="18">
        <v>0</v>
      </c>
      <c r="Y2176" s="12">
        <v>0</v>
      </c>
      <c r="Z2176" s="18">
        <v>0</v>
      </c>
      <c r="AA2176" s="18">
        <v>0</v>
      </c>
      <c r="AB2176" s="18">
        <v>0</v>
      </c>
      <c r="AC2176" s="18">
        <v>0</v>
      </c>
      <c r="AD2176" s="18">
        <v>1</v>
      </c>
      <c r="AE2176" s="18">
        <v>0</v>
      </c>
      <c r="AF2176" s="18">
        <v>60</v>
      </c>
      <c r="AG2176" s="18">
        <v>2</v>
      </c>
      <c r="AH2176" s="18" t="s">
        <v>711</v>
      </c>
      <c r="AI2176" s="12">
        <v>0</v>
      </c>
      <c r="AJ2176" s="12">
        <v>0</v>
      </c>
      <c r="AK2176" s="12">
        <v>0</v>
      </c>
      <c r="AL2176" s="12">
        <v>0</v>
      </c>
      <c r="AM2176" s="18">
        <v>0</v>
      </c>
      <c r="AN2176" s="18">
        <v>0</v>
      </c>
      <c r="AO2176" s="18">
        <v>0</v>
      </c>
      <c r="AP2176" s="18">
        <v>1</v>
      </c>
      <c r="AQ2176" s="18">
        <v>1800000</v>
      </c>
      <c r="AR2176" s="18">
        <v>0</v>
      </c>
      <c r="AS2176" s="18">
        <v>0</v>
      </c>
      <c r="AT2176" s="12">
        <v>0</v>
      </c>
      <c r="AU2176" s="18">
        <v>99002002</v>
      </c>
      <c r="AV2176" s="18"/>
      <c r="AW2176" s="19" t="s">
        <v>198</v>
      </c>
      <c r="AX2176" s="18">
        <v>0</v>
      </c>
      <c r="AY2176" s="18">
        <v>0</v>
      </c>
      <c r="AZ2176" s="18">
        <v>0</v>
      </c>
      <c r="BA2176" s="19" t="s">
        <v>2808</v>
      </c>
      <c r="BB2176" s="19">
        <v>0</v>
      </c>
      <c r="BC2176" s="27">
        <v>0</v>
      </c>
      <c r="BD2176" s="27">
        <v>0</v>
      </c>
      <c r="BE2176" s="183" t="s">
        <v>4905</v>
      </c>
      <c r="BF2176" s="183" t="s">
        <v>4906</v>
      </c>
      <c r="BG2176" s="18">
        <v>0</v>
      </c>
      <c r="BH2176" s="16">
        <v>0</v>
      </c>
      <c r="BI2176" s="18">
        <v>0</v>
      </c>
      <c r="BJ2176" s="18">
        <v>0</v>
      </c>
      <c r="BK2176" s="18">
        <v>0</v>
      </c>
      <c r="BL2176" s="18">
        <v>0</v>
      </c>
      <c r="BM2176" s="15">
        <v>0</v>
      </c>
      <c r="BN2176" s="12">
        <v>0</v>
      </c>
      <c r="BO2176" s="12">
        <v>0</v>
      </c>
      <c r="BP2176" s="12">
        <v>0</v>
      </c>
      <c r="BQ2176" s="12">
        <v>0</v>
      </c>
      <c r="BR2176" s="12">
        <v>0</v>
      </c>
      <c r="BS2176" s="12">
        <v>0</v>
      </c>
      <c r="BT2176" s="12">
        <v>0</v>
      </c>
      <c r="BU2176" s="47">
        <v>0</v>
      </c>
      <c r="BV2176" s="47"/>
      <c r="BW2176" s="47"/>
    </row>
    <row r="2177" spans="3:75" ht="21.75" customHeight="1">
      <c r="C2177" s="18">
        <v>90010301</v>
      </c>
      <c r="D2177" s="17" t="s">
        <v>532</v>
      </c>
      <c r="E2177" s="17" t="s">
        <v>255</v>
      </c>
      <c r="F2177" s="18">
        <v>1</v>
      </c>
      <c r="G2177" s="16">
        <v>60010100</v>
      </c>
      <c r="H2177" s="18">
        <v>0</v>
      </c>
      <c r="I2177" s="27">
        <v>0</v>
      </c>
      <c r="J2177" s="18">
        <v>1</v>
      </c>
      <c r="K2177" s="18">
        <v>0</v>
      </c>
      <c r="L2177" s="18">
        <v>0</v>
      </c>
      <c r="M2177" s="16">
        <v>0</v>
      </c>
      <c r="N2177" s="16">
        <v>0</v>
      </c>
      <c r="O2177" s="16">
        <v>2</v>
      </c>
      <c r="P2177" s="16">
        <v>3</v>
      </c>
      <c r="Q2177" s="16">
        <v>1</v>
      </c>
      <c r="R2177" s="16">
        <v>0</v>
      </c>
      <c r="S2177" s="12">
        <v>0</v>
      </c>
      <c r="T2177" s="16">
        <v>0</v>
      </c>
      <c r="U2177" s="16">
        <v>1</v>
      </c>
      <c r="V2177" s="16">
        <v>2</v>
      </c>
      <c r="W2177" s="16">
        <v>0</v>
      </c>
      <c r="X2177" s="16">
        <v>3</v>
      </c>
      <c r="Y2177" s="12">
        <v>0</v>
      </c>
      <c r="Z2177" s="16">
        <v>0</v>
      </c>
      <c r="AA2177" s="16">
        <v>1</v>
      </c>
      <c r="AB2177" s="16">
        <v>0</v>
      </c>
      <c r="AC2177" s="16">
        <v>0</v>
      </c>
      <c r="AD2177" s="16">
        <v>0</v>
      </c>
      <c r="AE2177" s="16">
        <v>0</v>
      </c>
      <c r="AF2177" s="16">
        <v>9</v>
      </c>
      <c r="AG2177" s="16">
        <v>1</v>
      </c>
      <c r="AH2177" s="16">
        <v>4</v>
      </c>
      <c r="AI2177" s="12">
        <v>0</v>
      </c>
      <c r="AJ2177" s="12">
        <v>1</v>
      </c>
      <c r="AK2177" s="12">
        <v>0</v>
      </c>
      <c r="AL2177" s="12">
        <v>2</v>
      </c>
      <c r="AM2177" s="16">
        <v>0</v>
      </c>
      <c r="AN2177" s="16">
        <v>0</v>
      </c>
      <c r="AO2177" s="16">
        <v>0</v>
      </c>
      <c r="AP2177" s="16">
        <v>3</v>
      </c>
      <c r="AQ2177" s="16">
        <v>5000</v>
      </c>
      <c r="AR2177" s="16">
        <v>1.1000000000000001</v>
      </c>
      <c r="AS2177" s="16">
        <v>0</v>
      </c>
      <c r="AT2177" s="12">
        <v>0</v>
      </c>
      <c r="AU2177" s="16">
        <v>90000002</v>
      </c>
      <c r="AV2177" s="16"/>
      <c r="AW2177" s="17" t="s">
        <v>287</v>
      </c>
      <c r="AX2177" s="16" t="s">
        <v>534</v>
      </c>
      <c r="AY2177" s="18">
        <v>10000007</v>
      </c>
      <c r="AZ2177" s="18">
        <v>90010301</v>
      </c>
      <c r="BA2177" s="17" t="s">
        <v>200</v>
      </c>
      <c r="BB2177" s="16" t="s">
        <v>4194</v>
      </c>
      <c r="BC2177" s="27">
        <v>0</v>
      </c>
      <c r="BD2177" s="27">
        <v>0</v>
      </c>
      <c r="BE2177" s="44" t="s">
        <v>536</v>
      </c>
      <c r="BF2177" s="44" t="s">
        <v>537</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20.100000000000001" customHeight="1">
      <c r="C2178" s="18">
        <v>90010302</v>
      </c>
      <c r="D2178" s="17" t="s">
        <v>543</v>
      </c>
      <c r="E2178" s="17" t="s">
        <v>544</v>
      </c>
      <c r="F2178" s="18">
        <v>1</v>
      </c>
      <c r="G2178" s="16">
        <v>60010300</v>
      </c>
      <c r="H2178" s="18">
        <v>0</v>
      </c>
      <c r="I2178" s="27">
        <v>0</v>
      </c>
      <c r="J2178" s="18">
        <v>1</v>
      </c>
      <c r="K2178" s="18">
        <v>0</v>
      </c>
      <c r="L2178" s="18">
        <v>0</v>
      </c>
      <c r="M2178" s="16">
        <v>0</v>
      </c>
      <c r="N2178" s="16">
        <v>0</v>
      </c>
      <c r="O2178" s="16">
        <v>2</v>
      </c>
      <c r="P2178" s="16">
        <v>1</v>
      </c>
      <c r="Q2178" s="16">
        <v>0.5</v>
      </c>
      <c r="R2178" s="16">
        <v>0</v>
      </c>
      <c r="S2178" s="12">
        <v>0</v>
      </c>
      <c r="T2178" s="16">
        <v>0</v>
      </c>
      <c r="U2178" s="16">
        <v>1</v>
      </c>
      <c r="V2178" s="16">
        <v>2</v>
      </c>
      <c r="W2178" s="16">
        <v>0</v>
      </c>
      <c r="X2178" s="16">
        <v>3</v>
      </c>
      <c r="Y2178" s="12">
        <v>0</v>
      </c>
      <c r="Z2178" s="16">
        <v>0</v>
      </c>
      <c r="AA2178" s="16">
        <v>0</v>
      </c>
      <c r="AB2178" s="16">
        <v>0</v>
      </c>
      <c r="AC2178" s="16">
        <v>0</v>
      </c>
      <c r="AD2178" s="16">
        <v>0</v>
      </c>
      <c r="AE2178" s="16">
        <v>0</v>
      </c>
      <c r="AF2178" s="16">
        <v>12</v>
      </c>
      <c r="AG2178" s="16">
        <v>2</v>
      </c>
      <c r="AH2178" s="16" t="s">
        <v>213</v>
      </c>
      <c r="AI2178" s="12">
        <v>0</v>
      </c>
      <c r="AJ2178" s="12">
        <v>2</v>
      </c>
      <c r="AK2178" s="12">
        <v>0</v>
      </c>
      <c r="AL2178" s="12">
        <v>1.5</v>
      </c>
      <c r="AM2178" s="16">
        <v>0</v>
      </c>
      <c r="AN2178" s="16">
        <v>0</v>
      </c>
      <c r="AO2178" s="16">
        <v>0</v>
      </c>
      <c r="AP2178" s="16">
        <v>1.1000000000000001</v>
      </c>
      <c r="AQ2178" s="16">
        <v>3000</v>
      </c>
      <c r="AR2178" s="16">
        <v>1.1000000000000001</v>
      </c>
      <c r="AS2178" s="16">
        <v>0</v>
      </c>
      <c r="AT2178" s="12">
        <v>0</v>
      </c>
      <c r="AU2178" s="16" t="s">
        <v>198</v>
      </c>
      <c r="AV2178" s="16"/>
      <c r="AW2178" s="19" t="s">
        <v>287</v>
      </c>
      <c r="AX2178" s="16" t="s">
        <v>545</v>
      </c>
      <c r="AY2178" s="18">
        <v>10001007</v>
      </c>
      <c r="AZ2178" s="18">
        <v>70103001</v>
      </c>
      <c r="BA2178" s="17" t="s">
        <v>200</v>
      </c>
      <c r="BB2178" s="16">
        <v>0</v>
      </c>
      <c r="BC2178" s="27">
        <v>0</v>
      </c>
      <c r="BD2178" s="27">
        <v>0</v>
      </c>
      <c r="BE2178" s="44" t="s">
        <v>546</v>
      </c>
      <c r="BF2178" s="44" t="s">
        <v>547</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90010303</v>
      </c>
      <c r="D2179" s="19" t="s">
        <v>538</v>
      </c>
      <c r="E2179" s="19" t="s">
        <v>539</v>
      </c>
      <c r="F2179" s="18">
        <v>1</v>
      </c>
      <c r="G2179" s="18">
        <v>60010500</v>
      </c>
      <c r="H2179" s="18">
        <v>0</v>
      </c>
      <c r="I2179" s="27">
        <v>0</v>
      </c>
      <c r="J2179" s="18">
        <v>1</v>
      </c>
      <c r="K2179" s="18">
        <v>0</v>
      </c>
      <c r="L2179" s="18">
        <v>0</v>
      </c>
      <c r="M2179" s="18">
        <v>0</v>
      </c>
      <c r="N2179" s="18">
        <v>0</v>
      </c>
      <c r="O2179" s="16">
        <v>2</v>
      </c>
      <c r="P2179" s="18">
        <v>2</v>
      </c>
      <c r="Q2179" s="18">
        <v>0.6</v>
      </c>
      <c r="R2179" s="18">
        <v>0</v>
      </c>
      <c r="S2179" s="12">
        <v>0</v>
      </c>
      <c r="T2179" s="27">
        <v>0</v>
      </c>
      <c r="U2179" s="16">
        <v>1</v>
      </c>
      <c r="V2179" s="18">
        <v>2</v>
      </c>
      <c r="W2179" s="18">
        <v>0</v>
      </c>
      <c r="X2179" s="18">
        <v>0</v>
      </c>
      <c r="Y2179" s="12">
        <v>0</v>
      </c>
      <c r="Z2179" s="18">
        <v>0</v>
      </c>
      <c r="AA2179" s="18">
        <v>0</v>
      </c>
      <c r="AB2179" s="18">
        <v>0</v>
      </c>
      <c r="AC2179" s="18">
        <v>0</v>
      </c>
      <c r="AD2179" s="18">
        <v>0</v>
      </c>
      <c r="AE2179" s="18">
        <v>0</v>
      </c>
      <c r="AF2179" s="18">
        <v>20</v>
      </c>
      <c r="AG2179" s="18">
        <v>0</v>
      </c>
      <c r="AH2179" s="18">
        <v>0</v>
      </c>
      <c r="AI2179" s="12">
        <v>0</v>
      </c>
      <c r="AJ2179" s="12">
        <v>0</v>
      </c>
      <c r="AK2179" s="12">
        <v>0</v>
      </c>
      <c r="AL2179" s="12">
        <v>0</v>
      </c>
      <c r="AM2179" s="18">
        <v>0</v>
      </c>
      <c r="AN2179" s="18">
        <v>0</v>
      </c>
      <c r="AO2179" s="18">
        <v>0</v>
      </c>
      <c r="AP2179" s="18">
        <v>0</v>
      </c>
      <c r="AQ2179" s="18">
        <v>1000</v>
      </c>
      <c r="AR2179" s="18">
        <v>0</v>
      </c>
      <c r="AS2179" s="18">
        <v>0</v>
      </c>
      <c r="AT2179" s="12">
        <v>90103001</v>
      </c>
      <c r="AU2179" s="18" t="s">
        <v>198</v>
      </c>
      <c r="AV2179" s="18"/>
      <c r="AW2179" s="19" t="s">
        <v>198</v>
      </c>
      <c r="AX2179" s="18" t="s">
        <v>348</v>
      </c>
      <c r="AY2179" s="18">
        <v>0</v>
      </c>
      <c r="AZ2179" s="18">
        <v>40000003</v>
      </c>
      <c r="BA2179" s="19" t="s">
        <v>200</v>
      </c>
      <c r="BB2179" s="19" t="s">
        <v>198</v>
      </c>
      <c r="BC2179" s="27">
        <v>0</v>
      </c>
      <c r="BD2179" s="27">
        <v>0</v>
      </c>
      <c r="BE2179" s="87" t="s">
        <v>548</v>
      </c>
      <c r="BF2179" s="87" t="s">
        <v>549</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90010401</v>
      </c>
      <c r="D2180" s="15" t="s">
        <v>4928</v>
      </c>
      <c r="E2180" s="15" t="s">
        <v>4929</v>
      </c>
      <c r="F2180" s="15">
        <v>1</v>
      </c>
      <c r="G2180" s="15">
        <v>0</v>
      </c>
      <c r="H2180" s="15">
        <v>0</v>
      </c>
      <c r="I2180" s="26">
        <v>0</v>
      </c>
      <c r="J2180" s="15">
        <v>1</v>
      </c>
      <c r="K2180" s="15">
        <v>0</v>
      </c>
      <c r="L2180" s="26">
        <v>0</v>
      </c>
      <c r="M2180" s="26">
        <v>0</v>
      </c>
      <c r="N2180" s="15">
        <v>0</v>
      </c>
      <c r="O2180" s="15">
        <v>2</v>
      </c>
      <c r="P2180" s="15">
        <v>1</v>
      </c>
      <c r="Q2180" s="15">
        <v>0.1</v>
      </c>
      <c r="R2180" s="15">
        <v>0</v>
      </c>
      <c r="S2180" s="12">
        <v>0</v>
      </c>
      <c r="T2180" s="15">
        <v>0</v>
      </c>
      <c r="U2180" s="16">
        <v>1</v>
      </c>
      <c r="V2180" s="15">
        <v>1</v>
      </c>
      <c r="W2180" s="26">
        <v>0</v>
      </c>
      <c r="X2180" s="15">
        <v>2.5</v>
      </c>
      <c r="Y2180" s="12">
        <v>0</v>
      </c>
      <c r="Z2180" s="15">
        <v>0</v>
      </c>
      <c r="AA2180" s="15">
        <v>1</v>
      </c>
      <c r="AB2180" s="15">
        <v>0</v>
      </c>
      <c r="AC2180" s="26">
        <v>0</v>
      </c>
      <c r="AD2180" s="15">
        <v>0</v>
      </c>
      <c r="AE2180" s="15">
        <v>0</v>
      </c>
      <c r="AF2180" s="15">
        <v>1</v>
      </c>
      <c r="AG2180" s="15">
        <v>0</v>
      </c>
      <c r="AH2180" s="15">
        <v>0</v>
      </c>
      <c r="AI2180" s="12">
        <v>0</v>
      </c>
      <c r="AJ2180" s="12">
        <v>0</v>
      </c>
      <c r="AK2180" s="12">
        <v>0</v>
      </c>
      <c r="AL2180" s="15">
        <v>0</v>
      </c>
      <c r="AM2180" s="33">
        <v>0</v>
      </c>
      <c r="AN2180" s="15">
        <v>0</v>
      </c>
      <c r="AO2180" s="15">
        <v>0</v>
      </c>
      <c r="AP2180" s="15">
        <v>0</v>
      </c>
      <c r="AQ2180" s="15">
        <v>3000</v>
      </c>
      <c r="AR2180" s="15">
        <v>0</v>
      </c>
      <c r="AS2180" s="15">
        <v>0</v>
      </c>
      <c r="AT2180" s="12">
        <v>0</v>
      </c>
      <c r="AU2180" s="15">
        <v>0</v>
      </c>
      <c r="AV2180" s="15"/>
      <c r="AW2180" s="15">
        <v>0</v>
      </c>
      <c r="AX2180" s="26">
        <v>0</v>
      </c>
      <c r="AY2180" s="26">
        <v>0</v>
      </c>
      <c r="AZ2180" s="26">
        <v>0</v>
      </c>
      <c r="BA2180" s="19" t="s">
        <v>200</v>
      </c>
      <c r="BB2180" s="7">
        <v>0</v>
      </c>
      <c r="BC2180" s="80">
        <v>0</v>
      </c>
      <c r="BD2180" s="80">
        <v>0</v>
      </c>
      <c r="BE2180" s="43" t="s">
        <v>634</v>
      </c>
      <c r="BF2180" s="43" t="s">
        <v>635</v>
      </c>
      <c r="BG2180" s="15">
        <v>0</v>
      </c>
      <c r="BH2180" s="15">
        <v>0</v>
      </c>
      <c r="BI2180" s="18">
        <v>0</v>
      </c>
      <c r="BJ2180" s="15">
        <v>0</v>
      </c>
      <c r="BK2180" s="15">
        <v>0</v>
      </c>
      <c r="BL2180" s="33">
        <v>0</v>
      </c>
      <c r="BM2180" s="15">
        <v>0</v>
      </c>
      <c r="BN2180" s="12">
        <v>0</v>
      </c>
      <c r="BO2180" s="12">
        <v>0</v>
      </c>
      <c r="BP2180" s="12">
        <v>0</v>
      </c>
      <c r="BQ2180" s="12">
        <v>0</v>
      </c>
      <c r="BR2180" s="12">
        <v>0</v>
      </c>
      <c r="BS2180" s="12">
        <v>0</v>
      </c>
      <c r="BT2180" s="12">
        <v>0</v>
      </c>
      <c r="BU2180" s="47">
        <v>0</v>
      </c>
      <c r="BV2180" s="47"/>
      <c r="BW2180" s="47"/>
    </row>
    <row r="2181" spans="3:75" ht="21.75" customHeight="1">
      <c r="C2181" s="18">
        <v>90010402</v>
      </c>
      <c r="D2181" s="17" t="s">
        <v>532</v>
      </c>
      <c r="E2181" s="17" t="s">
        <v>255</v>
      </c>
      <c r="F2181" s="18">
        <v>1</v>
      </c>
      <c r="G2181" s="16">
        <v>60010100</v>
      </c>
      <c r="H2181" s="18">
        <v>0</v>
      </c>
      <c r="I2181" s="27">
        <v>0</v>
      </c>
      <c r="J2181" s="18">
        <v>1</v>
      </c>
      <c r="K2181" s="18">
        <v>0</v>
      </c>
      <c r="L2181" s="18">
        <v>0</v>
      </c>
      <c r="M2181" s="16">
        <v>0</v>
      </c>
      <c r="N2181" s="16">
        <v>0</v>
      </c>
      <c r="O2181" s="16">
        <v>2</v>
      </c>
      <c r="P2181" s="16">
        <v>3</v>
      </c>
      <c r="Q2181" s="16">
        <v>1</v>
      </c>
      <c r="R2181" s="16">
        <v>0</v>
      </c>
      <c r="S2181" s="12">
        <v>0</v>
      </c>
      <c r="T2181" s="16">
        <v>0</v>
      </c>
      <c r="U2181" s="16">
        <v>1</v>
      </c>
      <c r="V2181" s="16">
        <v>2</v>
      </c>
      <c r="W2181" s="16">
        <v>0</v>
      </c>
      <c r="X2181" s="16">
        <v>3</v>
      </c>
      <c r="Y2181" s="12">
        <v>0</v>
      </c>
      <c r="Z2181" s="16">
        <v>0</v>
      </c>
      <c r="AA2181" s="16">
        <v>1</v>
      </c>
      <c r="AB2181" s="16">
        <v>0</v>
      </c>
      <c r="AC2181" s="16">
        <v>0</v>
      </c>
      <c r="AD2181" s="16">
        <v>0</v>
      </c>
      <c r="AE2181" s="16">
        <v>0</v>
      </c>
      <c r="AF2181" s="16">
        <v>9</v>
      </c>
      <c r="AG2181" s="16">
        <v>1</v>
      </c>
      <c r="AH2181" s="16">
        <v>5</v>
      </c>
      <c r="AI2181" s="12">
        <v>0</v>
      </c>
      <c r="AJ2181" s="12">
        <v>1</v>
      </c>
      <c r="AK2181" s="12">
        <v>0</v>
      </c>
      <c r="AL2181" s="12">
        <v>2.5</v>
      </c>
      <c r="AM2181" s="16">
        <v>0</v>
      </c>
      <c r="AN2181" s="16">
        <v>0</v>
      </c>
      <c r="AO2181" s="16">
        <v>0</v>
      </c>
      <c r="AP2181" s="16">
        <v>2.5</v>
      </c>
      <c r="AQ2181" s="16">
        <v>5000</v>
      </c>
      <c r="AR2181" s="16">
        <v>2</v>
      </c>
      <c r="AS2181" s="16">
        <v>0</v>
      </c>
      <c r="AT2181" s="12">
        <v>0</v>
      </c>
      <c r="AU2181" s="15">
        <v>91000005</v>
      </c>
      <c r="AV2181" s="15"/>
      <c r="AW2181" s="15" t="s">
        <v>256</v>
      </c>
      <c r="AX2181" s="16">
        <v>0</v>
      </c>
      <c r="AY2181" s="18">
        <v>10000007</v>
      </c>
      <c r="AZ2181" s="18">
        <v>90010402</v>
      </c>
      <c r="BA2181" s="17" t="s">
        <v>200</v>
      </c>
      <c r="BB2181" s="16" t="s">
        <v>4930</v>
      </c>
      <c r="BC2181" s="27">
        <v>0</v>
      </c>
      <c r="BD2181" s="27">
        <v>0</v>
      </c>
      <c r="BE2181" s="44" t="s">
        <v>536</v>
      </c>
      <c r="BF2181" s="44" t="s">
        <v>537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90010403</v>
      </c>
      <c r="D2182" s="15" t="s">
        <v>4931</v>
      </c>
      <c r="E2182" s="15" t="s">
        <v>4932</v>
      </c>
      <c r="F2182" s="15">
        <v>1</v>
      </c>
      <c r="G2182" s="15">
        <v>0</v>
      </c>
      <c r="H2182" s="15">
        <v>0</v>
      </c>
      <c r="I2182" s="26">
        <v>0</v>
      </c>
      <c r="J2182" s="15">
        <v>1</v>
      </c>
      <c r="K2182" s="15">
        <v>0</v>
      </c>
      <c r="L2182" s="26">
        <v>0</v>
      </c>
      <c r="M2182" s="26">
        <v>0</v>
      </c>
      <c r="N2182" s="15">
        <v>0</v>
      </c>
      <c r="O2182" s="15">
        <v>2</v>
      </c>
      <c r="P2182" s="15">
        <v>2</v>
      </c>
      <c r="Q2182" s="15">
        <v>0.95</v>
      </c>
      <c r="R2182" s="15">
        <v>0</v>
      </c>
      <c r="S2182" s="12">
        <v>0</v>
      </c>
      <c r="T2182" s="15">
        <v>0</v>
      </c>
      <c r="U2182" s="16">
        <v>1</v>
      </c>
      <c r="V2182" s="15">
        <v>1</v>
      </c>
      <c r="W2182" s="26">
        <v>0</v>
      </c>
      <c r="X2182" s="15">
        <v>2.5</v>
      </c>
      <c r="Y2182" s="12">
        <v>0</v>
      </c>
      <c r="Z2182" s="15">
        <v>0</v>
      </c>
      <c r="AA2182" s="15">
        <v>1</v>
      </c>
      <c r="AB2182" s="15">
        <v>0</v>
      </c>
      <c r="AC2182" s="26">
        <v>0</v>
      </c>
      <c r="AD2182" s="15">
        <v>0</v>
      </c>
      <c r="AE2182" s="15">
        <v>0</v>
      </c>
      <c r="AF2182" s="15">
        <v>6</v>
      </c>
      <c r="AG2182" s="15">
        <v>1</v>
      </c>
      <c r="AH2182" s="15">
        <v>3</v>
      </c>
      <c r="AI2182" s="12">
        <v>1</v>
      </c>
      <c r="AJ2182" s="12">
        <v>1</v>
      </c>
      <c r="AK2182" s="12">
        <v>0</v>
      </c>
      <c r="AL2182" s="15">
        <v>1.5</v>
      </c>
      <c r="AM2182" s="33">
        <v>0</v>
      </c>
      <c r="AN2182" s="15">
        <v>0</v>
      </c>
      <c r="AO2182" s="15">
        <v>0</v>
      </c>
      <c r="AP2182" s="15">
        <v>2</v>
      </c>
      <c r="AQ2182" s="15">
        <v>4000</v>
      </c>
      <c r="AR2182" s="15">
        <v>2</v>
      </c>
      <c r="AS2182" s="15">
        <v>0</v>
      </c>
      <c r="AT2182" s="12">
        <v>0</v>
      </c>
      <c r="AU2182" s="73" t="s">
        <v>559</v>
      </c>
      <c r="AV2182" s="73"/>
      <c r="AW2182" s="15" t="s">
        <v>199</v>
      </c>
      <c r="AX2182" s="26">
        <v>0</v>
      </c>
      <c r="AY2182" s="26">
        <v>0</v>
      </c>
      <c r="AZ2182" s="26">
        <v>90010403</v>
      </c>
      <c r="BA2182" s="19" t="s">
        <v>200</v>
      </c>
      <c r="BB2182" s="7">
        <v>0</v>
      </c>
      <c r="BC2182" s="80">
        <v>0</v>
      </c>
      <c r="BD2182" s="80">
        <v>0</v>
      </c>
      <c r="BE2182" s="43" t="s">
        <v>645</v>
      </c>
      <c r="BF2182" s="43" t="s">
        <v>646</v>
      </c>
      <c r="BG2182" s="15">
        <v>2</v>
      </c>
      <c r="BH2182" s="15">
        <v>0</v>
      </c>
      <c r="BI2182" s="18">
        <v>0</v>
      </c>
      <c r="BJ2182" s="15">
        <v>0</v>
      </c>
      <c r="BK2182" s="15">
        <v>3</v>
      </c>
      <c r="BL2182" s="33">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90010404</v>
      </c>
      <c r="D2183" s="15" t="s">
        <v>4933</v>
      </c>
      <c r="E2183" s="15" t="s">
        <v>4934</v>
      </c>
      <c r="F2183" s="15">
        <v>1</v>
      </c>
      <c r="G2183" s="15">
        <v>0</v>
      </c>
      <c r="H2183" s="15">
        <v>0</v>
      </c>
      <c r="I2183" s="26">
        <v>0</v>
      </c>
      <c r="J2183" s="15">
        <v>0</v>
      </c>
      <c r="K2183" s="15">
        <v>0</v>
      </c>
      <c r="L2183" s="26">
        <v>0</v>
      </c>
      <c r="M2183" s="26">
        <v>0</v>
      </c>
      <c r="N2183" s="15">
        <v>0</v>
      </c>
      <c r="O2183" s="15">
        <v>2</v>
      </c>
      <c r="P2183" s="15">
        <v>2</v>
      </c>
      <c r="Q2183" s="15">
        <v>0.9</v>
      </c>
      <c r="R2183" s="15">
        <v>0</v>
      </c>
      <c r="S2183" s="12">
        <v>0</v>
      </c>
      <c r="T2183" s="15">
        <v>0</v>
      </c>
      <c r="U2183" s="16">
        <v>1</v>
      </c>
      <c r="V2183" s="15">
        <v>1</v>
      </c>
      <c r="W2183" s="26">
        <v>0</v>
      </c>
      <c r="X2183" s="15">
        <v>1.5</v>
      </c>
      <c r="Y2183" s="12">
        <v>0</v>
      </c>
      <c r="Z2183" s="15">
        <v>0</v>
      </c>
      <c r="AA2183" s="15">
        <v>1</v>
      </c>
      <c r="AB2183" s="15">
        <v>0</v>
      </c>
      <c r="AC2183" s="26">
        <v>0</v>
      </c>
      <c r="AD2183" s="15">
        <v>0</v>
      </c>
      <c r="AE2183" s="15">
        <v>0</v>
      </c>
      <c r="AF2183" s="15">
        <v>8</v>
      </c>
      <c r="AG2183" s="15">
        <v>2</v>
      </c>
      <c r="AH2183" s="15" t="s">
        <v>564</v>
      </c>
      <c r="AI2183" s="12">
        <v>0</v>
      </c>
      <c r="AJ2183" s="12">
        <v>0</v>
      </c>
      <c r="AK2183" s="12">
        <v>0</v>
      </c>
      <c r="AL2183" s="15">
        <v>0</v>
      </c>
      <c r="AM2183" s="33">
        <v>0</v>
      </c>
      <c r="AN2183" s="15">
        <v>0</v>
      </c>
      <c r="AO2183" s="15">
        <v>0</v>
      </c>
      <c r="AP2183" s="15">
        <v>0.5</v>
      </c>
      <c r="AQ2183" s="15">
        <v>999000</v>
      </c>
      <c r="AR2183" s="15">
        <v>0</v>
      </c>
      <c r="AS2183" s="15">
        <v>0</v>
      </c>
      <c r="AT2183" s="12">
        <v>0</v>
      </c>
      <c r="AU2183" s="36" t="s">
        <v>198</v>
      </c>
      <c r="AV2183" s="36"/>
      <c r="AW2183" s="15" t="s">
        <v>287</v>
      </c>
      <c r="AX2183" s="26">
        <v>0</v>
      </c>
      <c r="AY2183" s="26">
        <v>0</v>
      </c>
      <c r="AZ2183" s="26">
        <v>20000021</v>
      </c>
      <c r="BA2183" s="19" t="s">
        <v>200</v>
      </c>
      <c r="BB2183" s="7">
        <v>0</v>
      </c>
      <c r="BC2183" s="80">
        <v>0</v>
      </c>
      <c r="BD2183" s="80">
        <v>0</v>
      </c>
      <c r="BE2183" s="43" t="s">
        <v>322</v>
      </c>
      <c r="BF2183" s="43" t="s">
        <v>323</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spans="3:75" ht="20.100000000000001" customHeight="1">
      <c r="C2184" s="18">
        <v>90010405</v>
      </c>
      <c r="D2184" s="19" t="s">
        <v>567</v>
      </c>
      <c r="E2184" s="19" t="s">
        <v>568</v>
      </c>
      <c r="F2184" s="18">
        <v>1</v>
      </c>
      <c r="G2184" s="18">
        <v>0</v>
      </c>
      <c r="H2184" s="18">
        <v>0</v>
      </c>
      <c r="I2184" s="27">
        <v>0</v>
      </c>
      <c r="J2184" s="18">
        <v>1</v>
      </c>
      <c r="K2184" s="18">
        <v>0</v>
      </c>
      <c r="L2184" s="18">
        <v>0</v>
      </c>
      <c r="M2184" s="18">
        <v>0</v>
      </c>
      <c r="N2184" s="18">
        <v>0</v>
      </c>
      <c r="O2184" s="15">
        <v>2</v>
      </c>
      <c r="P2184" s="18">
        <v>2</v>
      </c>
      <c r="Q2184" s="18">
        <v>0.6</v>
      </c>
      <c r="R2184" s="18">
        <v>0</v>
      </c>
      <c r="S2184" s="12">
        <v>0</v>
      </c>
      <c r="T2184" s="27">
        <v>0</v>
      </c>
      <c r="U2184" s="16">
        <v>1</v>
      </c>
      <c r="V2184" s="18">
        <v>2</v>
      </c>
      <c r="W2184" s="18">
        <v>0</v>
      </c>
      <c r="X2184" s="18">
        <v>0</v>
      </c>
      <c r="Y2184" s="12">
        <v>0</v>
      </c>
      <c r="Z2184" s="18">
        <v>0</v>
      </c>
      <c r="AA2184" s="18">
        <v>0</v>
      </c>
      <c r="AB2184" s="18">
        <v>0</v>
      </c>
      <c r="AC2184" s="18">
        <v>0</v>
      </c>
      <c r="AD2184" s="18">
        <v>0</v>
      </c>
      <c r="AE2184" s="18">
        <v>0</v>
      </c>
      <c r="AF2184" s="16">
        <v>99999</v>
      </c>
      <c r="AG2184" s="18">
        <v>0</v>
      </c>
      <c r="AH2184" s="18">
        <v>0</v>
      </c>
      <c r="AI2184" s="12">
        <v>2</v>
      </c>
      <c r="AJ2184" s="12">
        <v>0</v>
      </c>
      <c r="AK2184" s="12">
        <v>0</v>
      </c>
      <c r="AL2184" s="12">
        <v>0</v>
      </c>
      <c r="AM2184" s="18">
        <v>0</v>
      </c>
      <c r="AN2184" s="18">
        <v>0</v>
      </c>
      <c r="AO2184" s="18">
        <v>0</v>
      </c>
      <c r="AP2184" s="18">
        <v>0</v>
      </c>
      <c r="AQ2184" s="18">
        <v>1000</v>
      </c>
      <c r="AR2184" s="18">
        <v>0</v>
      </c>
      <c r="AS2184" s="18">
        <v>0</v>
      </c>
      <c r="AT2184" s="12">
        <v>90104002</v>
      </c>
      <c r="AU2184" s="18" t="s">
        <v>198</v>
      </c>
      <c r="AV2184" s="74"/>
      <c r="AW2184" s="15" t="s">
        <v>287</v>
      </c>
      <c r="AX2184" s="18" t="s">
        <v>348</v>
      </c>
      <c r="AY2184" s="18">
        <v>0</v>
      </c>
      <c r="AZ2184" s="18">
        <v>0</v>
      </c>
      <c r="BA2184" s="19" t="s">
        <v>200</v>
      </c>
      <c r="BB2184" s="19" t="s">
        <v>198</v>
      </c>
      <c r="BC2184" s="27">
        <v>0</v>
      </c>
      <c r="BD2184" s="27">
        <v>0</v>
      </c>
      <c r="BE2184" s="87" t="s">
        <v>675</v>
      </c>
      <c r="BF2184" s="87" t="s">
        <v>676</v>
      </c>
      <c r="BG2184" s="18">
        <v>0</v>
      </c>
      <c r="BH2184" s="16">
        <v>0</v>
      </c>
      <c r="BI2184" s="18">
        <v>0</v>
      </c>
      <c r="BJ2184" s="18">
        <v>0</v>
      </c>
      <c r="BK2184" s="18">
        <v>0</v>
      </c>
      <c r="BL2184" s="18">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90010406</v>
      </c>
      <c r="D2185" s="19" t="s">
        <v>4935</v>
      </c>
      <c r="E2185" s="19" t="s">
        <v>4936</v>
      </c>
      <c r="F2185" s="18">
        <v>1</v>
      </c>
      <c r="G2185" s="18">
        <v>60010500</v>
      </c>
      <c r="H2185" s="18">
        <v>0</v>
      </c>
      <c r="I2185" s="27">
        <v>0</v>
      </c>
      <c r="J2185" s="18">
        <v>1</v>
      </c>
      <c r="K2185" s="18">
        <v>0</v>
      </c>
      <c r="L2185" s="18">
        <v>0</v>
      </c>
      <c r="M2185" s="18">
        <v>0</v>
      </c>
      <c r="N2185" s="18">
        <v>0</v>
      </c>
      <c r="O2185" s="15">
        <v>2</v>
      </c>
      <c r="P2185" s="18">
        <v>2</v>
      </c>
      <c r="Q2185" s="18">
        <v>0.6</v>
      </c>
      <c r="R2185" s="18">
        <v>0</v>
      </c>
      <c r="S2185" s="12">
        <v>0</v>
      </c>
      <c r="T2185" s="27">
        <v>0</v>
      </c>
      <c r="U2185" s="16">
        <v>1</v>
      </c>
      <c r="V2185" s="18">
        <v>2</v>
      </c>
      <c r="W2185" s="18">
        <v>0</v>
      </c>
      <c r="X2185" s="18">
        <v>0</v>
      </c>
      <c r="Y2185" s="12">
        <v>0</v>
      </c>
      <c r="Z2185" s="18">
        <v>0</v>
      </c>
      <c r="AA2185" s="18">
        <v>0</v>
      </c>
      <c r="AB2185" s="18">
        <v>0</v>
      </c>
      <c r="AC2185" s="18">
        <v>0</v>
      </c>
      <c r="AD2185" s="18">
        <v>0</v>
      </c>
      <c r="AE2185" s="18">
        <v>0</v>
      </c>
      <c r="AF2185" s="18">
        <v>20</v>
      </c>
      <c r="AG2185" s="18">
        <v>0</v>
      </c>
      <c r="AH2185" s="18">
        <v>0</v>
      </c>
      <c r="AI2185" s="12">
        <v>2</v>
      </c>
      <c r="AJ2185" s="12">
        <v>0</v>
      </c>
      <c r="AK2185" s="12">
        <v>0</v>
      </c>
      <c r="AL2185" s="12">
        <v>0</v>
      </c>
      <c r="AM2185" s="18">
        <v>0</v>
      </c>
      <c r="AN2185" s="18">
        <v>0</v>
      </c>
      <c r="AO2185" s="18">
        <v>0</v>
      </c>
      <c r="AP2185" s="18">
        <v>0</v>
      </c>
      <c r="AQ2185" s="18">
        <v>1000</v>
      </c>
      <c r="AR2185" s="18">
        <v>0</v>
      </c>
      <c r="AS2185" s="18">
        <v>0</v>
      </c>
      <c r="AT2185" s="12">
        <v>90103001</v>
      </c>
      <c r="AU2185" s="18" t="s">
        <v>198</v>
      </c>
      <c r="AV2185" s="74"/>
      <c r="AW2185" s="15" t="s">
        <v>287</v>
      </c>
      <c r="AX2185" s="18" t="s">
        <v>348</v>
      </c>
      <c r="AY2185" s="18">
        <v>0</v>
      </c>
      <c r="AZ2185" s="18">
        <v>40000003</v>
      </c>
      <c r="BA2185" s="19" t="s">
        <v>200</v>
      </c>
      <c r="BB2185" s="19" t="s">
        <v>198</v>
      </c>
      <c r="BC2185" s="27">
        <v>0</v>
      </c>
      <c r="BD2185" s="27">
        <v>0</v>
      </c>
      <c r="BE2185" s="87" t="s">
        <v>4937</v>
      </c>
      <c r="BF2185" s="87" t="s">
        <v>4938</v>
      </c>
      <c r="BG2185" s="18">
        <v>0</v>
      </c>
      <c r="BH2185" s="16">
        <v>0</v>
      </c>
      <c r="BI2185" s="18">
        <v>0</v>
      </c>
      <c r="BJ2185" s="18">
        <v>0</v>
      </c>
      <c r="BK2185" s="18">
        <v>0</v>
      </c>
      <c r="BL2185" s="18">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90010501</v>
      </c>
      <c r="D2186" s="19" t="s">
        <v>573</v>
      </c>
      <c r="E2186" s="19" t="s">
        <v>574</v>
      </c>
      <c r="F2186" s="18">
        <v>1</v>
      </c>
      <c r="G2186" s="18">
        <v>60010300</v>
      </c>
      <c r="H2186" s="18">
        <v>0</v>
      </c>
      <c r="I2186" s="27">
        <v>0</v>
      </c>
      <c r="J2186" s="18">
        <v>1</v>
      </c>
      <c r="K2186" s="18">
        <v>0</v>
      </c>
      <c r="L2186" s="18">
        <v>0</v>
      </c>
      <c r="M2186" s="18">
        <v>0</v>
      </c>
      <c r="N2186" s="18">
        <v>0</v>
      </c>
      <c r="O2186" s="16">
        <v>2</v>
      </c>
      <c r="P2186" s="18">
        <v>1</v>
      </c>
      <c r="Q2186" s="18">
        <v>0.5</v>
      </c>
      <c r="R2186" s="18">
        <v>0</v>
      </c>
      <c r="S2186" s="12">
        <v>0</v>
      </c>
      <c r="T2186" s="27">
        <v>0</v>
      </c>
      <c r="U2186" s="16">
        <v>1</v>
      </c>
      <c r="V2186" s="18">
        <v>2</v>
      </c>
      <c r="W2186" s="18">
        <v>0</v>
      </c>
      <c r="X2186" s="18">
        <v>0.5</v>
      </c>
      <c r="Y2186" s="12">
        <v>0</v>
      </c>
      <c r="Z2186" s="18">
        <v>0</v>
      </c>
      <c r="AA2186" s="18">
        <v>0</v>
      </c>
      <c r="AB2186" s="18">
        <v>0</v>
      </c>
      <c r="AC2186" s="18">
        <v>0</v>
      </c>
      <c r="AD2186" s="18">
        <v>0</v>
      </c>
      <c r="AE2186" s="18">
        <v>0</v>
      </c>
      <c r="AF2186" s="18">
        <v>15</v>
      </c>
      <c r="AG2186" s="18">
        <v>1</v>
      </c>
      <c r="AH2186" s="18">
        <v>3</v>
      </c>
      <c r="AI2186" s="12">
        <v>1</v>
      </c>
      <c r="AJ2186" s="12">
        <v>0</v>
      </c>
      <c r="AK2186" s="12">
        <v>0</v>
      </c>
      <c r="AL2186" s="12">
        <v>1.5</v>
      </c>
      <c r="AM2186" s="18">
        <v>0</v>
      </c>
      <c r="AN2186" s="18">
        <v>0</v>
      </c>
      <c r="AO2186" s="18">
        <v>0</v>
      </c>
      <c r="AP2186" s="18">
        <v>1</v>
      </c>
      <c r="AQ2186" s="18">
        <v>360000</v>
      </c>
      <c r="AR2186" s="18">
        <v>0.5</v>
      </c>
      <c r="AS2186" s="18">
        <v>0</v>
      </c>
      <c r="AT2186" s="12">
        <v>0</v>
      </c>
      <c r="AU2186" s="18" t="s">
        <v>575</v>
      </c>
      <c r="AV2186" s="18"/>
      <c r="AW2186" s="19" t="s">
        <v>199</v>
      </c>
      <c r="AX2186" s="18" t="s">
        <v>545</v>
      </c>
      <c r="AY2186" s="18">
        <v>10002001</v>
      </c>
      <c r="AZ2186" s="18">
        <v>70106001</v>
      </c>
      <c r="BA2186" s="19" t="s">
        <v>315</v>
      </c>
      <c r="BB2186" s="19" t="s">
        <v>576</v>
      </c>
      <c r="BC2186" s="27">
        <v>0</v>
      </c>
      <c r="BD2186" s="27">
        <v>0</v>
      </c>
      <c r="BE2186" s="87" t="s">
        <v>577</v>
      </c>
      <c r="BF2186" s="87" t="s">
        <v>578</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90010502</v>
      </c>
      <c r="D2187" s="17" t="s">
        <v>579</v>
      </c>
      <c r="E2187" s="17" t="s">
        <v>580</v>
      </c>
      <c r="F2187" s="18">
        <v>1</v>
      </c>
      <c r="G2187" s="16">
        <v>60010100</v>
      </c>
      <c r="H2187" s="18">
        <v>0</v>
      </c>
      <c r="I2187" s="27">
        <v>0</v>
      </c>
      <c r="J2187" s="18">
        <v>1</v>
      </c>
      <c r="K2187" s="18">
        <v>0</v>
      </c>
      <c r="L2187" s="18">
        <v>0</v>
      </c>
      <c r="M2187" s="16">
        <v>0</v>
      </c>
      <c r="N2187" s="16">
        <v>0</v>
      </c>
      <c r="O2187" s="16">
        <v>2</v>
      </c>
      <c r="P2187" s="16">
        <v>1</v>
      </c>
      <c r="Q2187" s="16">
        <v>0.3</v>
      </c>
      <c r="R2187" s="16">
        <v>0</v>
      </c>
      <c r="S2187" s="12">
        <v>0</v>
      </c>
      <c r="T2187" s="16">
        <v>0</v>
      </c>
      <c r="U2187" s="16">
        <v>1</v>
      </c>
      <c r="V2187" s="16">
        <v>2</v>
      </c>
      <c r="W2187" s="16">
        <v>0</v>
      </c>
      <c r="X2187" s="16">
        <v>3</v>
      </c>
      <c r="Y2187" s="12">
        <v>0</v>
      </c>
      <c r="Z2187" s="16">
        <v>0</v>
      </c>
      <c r="AA2187" s="16">
        <v>0</v>
      </c>
      <c r="AB2187" s="16">
        <v>0</v>
      </c>
      <c r="AC2187" s="16">
        <v>0</v>
      </c>
      <c r="AD2187" s="16">
        <v>0</v>
      </c>
      <c r="AE2187" s="16">
        <v>0</v>
      </c>
      <c r="AF2187" s="16">
        <v>12</v>
      </c>
      <c r="AG2187" s="16">
        <v>1</v>
      </c>
      <c r="AH2187" s="16">
        <v>3</v>
      </c>
      <c r="AI2187" s="12">
        <v>6</v>
      </c>
      <c r="AJ2187" s="12">
        <v>1</v>
      </c>
      <c r="AK2187" s="12">
        <v>0</v>
      </c>
      <c r="AL2187" s="12">
        <v>1.5</v>
      </c>
      <c r="AM2187" s="16">
        <v>0</v>
      </c>
      <c r="AN2187" s="16">
        <v>0</v>
      </c>
      <c r="AO2187" s="16">
        <v>0</v>
      </c>
      <c r="AP2187" s="16">
        <v>3</v>
      </c>
      <c r="AQ2187" s="16">
        <v>5000</v>
      </c>
      <c r="AR2187" s="16">
        <v>2</v>
      </c>
      <c r="AS2187" s="16">
        <v>0</v>
      </c>
      <c r="AT2187" s="12">
        <v>0</v>
      </c>
      <c r="AU2187" s="16" t="s">
        <v>198</v>
      </c>
      <c r="AV2187" s="16"/>
      <c r="AW2187" s="19" t="s">
        <v>199</v>
      </c>
      <c r="AX2187" s="16" t="s">
        <v>534</v>
      </c>
      <c r="AY2187" s="18">
        <v>10000007</v>
      </c>
      <c r="AZ2187" s="18">
        <v>90010502</v>
      </c>
      <c r="BA2187" s="17" t="s">
        <v>200</v>
      </c>
      <c r="BB2187" s="16" t="s">
        <v>4939</v>
      </c>
      <c r="BC2187" s="27">
        <v>0</v>
      </c>
      <c r="BD2187" s="27">
        <v>0</v>
      </c>
      <c r="BE2187" s="44" t="s">
        <v>582</v>
      </c>
      <c r="BF2187" s="44" t="s">
        <v>583</v>
      </c>
      <c r="BG2187" s="16">
        <v>0</v>
      </c>
      <c r="BH2187" s="16">
        <v>0</v>
      </c>
      <c r="BI2187" s="16">
        <v>0</v>
      </c>
      <c r="BJ2187" s="16">
        <v>0</v>
      </c>
      <c r="BK2187" s="16">
        <v>0</v>
      </c>
      <c r="BL2187" s="16">
        <v>0</v>
      </c>
      <c r="BM2187" s="15">
        <v>0</v>
      </c>
      <c r="BN2187" s="12">
        <v>0</v>
      </c>
      <c r="BO2187" s="12">
        <v>0</v>
      </c>
      <c r="BP2187" s="12">
        <v>0</v>
      </c>
      <c r="BQ2187" s="12">
        <v>0</v>
      </c>
      <c r="BR2187" s="12">
        <v>0</v>
      </c>
      <c r="BS2187" s="12">
        <v>0</v>
      </c>
      <c r="BT2187" s="12">
        <v>0</v>
      </c>
      <c r="BU2187" s="47">
        <v>0</v>
      </c>
      <c r="BV2187" s="47"/>
      <c r="BW2187" s="47"/>
    </row>
    <row r="2188" spans="3:75" ht="19.5" customHeight="1">
      <c r="C2188" s="18">
        <v>90010503</v>
      </c>
      <c r="D2188" s="19" t="s">
        <v>584</v>
      </c>
      <c r="E2188" s="19" t="s">
        <v>585</v>
      </c>
      <c r="F2188" s="18">
        <v>1</v>
      </c>
      <c r="G2188" s="18">
        <v>60010300</v>
      </c>
      <c r="H2188" s="18">
        <v>0</v>
      </c>
      <c r="I2188" s="27">
        <v>0</v>
      </c>
      <c r="J2188" s="18">
        <v>1</v>
      </c>
      <c r="K2188" s="18">
        <v>0</v>
      </c>
      <c r="L2188" s="18">
        <v>0</v>
      </c>
      <c r="M2188" s="18">
        <v>0</v>
      </c>
      <c r="N2188" s="18">
        <v>0</v>
      </c>
      <c r="O2188" s="16">
        <v>2</v>
      </c>
      <c r="P2188" s="18">
        <v>1</v>
      </c>
      <c r="Q2188" s="18">
        <v>0.5</v>
      </c>
      <c r="R2188" s="18">
        <v>0</v>
      </c>
      <c r="S2188" s="12">
        <v>0</v>
      </c>
      <c r="T2188" s="27">
        <v>0</v>
      </c>
      <c r="U2188" s="16">
        <v>1</v>
      </c>
      <c r="V2188" s="18">
        <v>2</v>
      </c>
      <c r="W2188" s="18">
        <v>0</v>
      </c>
      <c r="X2188" s="18">
        <v>3</v>
      </c>
      <c r="Y2188" s="12">
        <v>0</v>
      </c>
      <c r="Z2188" s="18">
        <v>0</v>
      </c>
      <c r="AA2188" s="18">
        <v>0</v>
      </c>
      <c r="AB2188" s="18">
        <v>0</v>
      </c>
      <c r="AC2188" s="18">
        <v>0</v>
      </c>
      <c r="AD2188" s="18">
        <v>0</v>
      </c>
      <c r="AE2188" s="18">
        <v>0</v>
      </c>
      <c r="AF2188" s="18">
        <v>9</v>
      </c>
      <c r="AG2188" s="18">
        <v>1</v>
      </c>
      <c r="AH2188" s="18">
        <v>2</v>
      </c>
      <c r="AI2188" s="12">
        <v>2</v>
      </c>
      <c r="AJ2188" s="12">
        <v>2</v>
      </c>
      <c r="AK2188" s="12">
        <v>0</v>
      </c>
      <c r="AL2188" s="12">
        <v>3</v>
      </c>
      <c r="AM2188" s="18">
        <v>0</v>
      </c>
      <c r="AN2188" s="18">
        <v>0</v>
      </c>
      <c r="AO2188" s="18">
        <v>0</v>
      </c>
      <c r="AP2188" s="18">
        <v>2</v>
      </c>
      <c r="AQ2188" s="18">
        <v>30000</v>
      </c>
      <c r="AR2188" s="18">
        <v>2</v>
      </c>
      <c r="AS2188" s="18">
        <v>4</v>
      </c>
      <c r="AT2188" s="12">
        <v>0</v>
      </c>
      <c r="AU2188" s="18" t="s">
        <v>198</v>
      </c>
      <c r="AV2188" s="18"/>
      <c r="AW2188" s="19" t="s">
        <v>199</v>
      </c>
      <c r="AX2188" s="18" t="s">
        <v>545</v>
      </c>
      <c r="AY2188" s="18">
        <v>10003002</v>
      </c>
      <c r="AZ2188" s="18">
        <v>70106005</v>
      </c>
      <c r="BA2188" s="19" t="s">
        <v>586</v>
      </c>
      <c r="BB2188" s="19">
        <v>0</v>
      </c>
      <c r="BC2188" s="27">
        <v>0</v>
      </c>
      <c r="BD2188" s="27">
        <v>0</v>
      </c>
      <c r="BE2188" s="87" t="s">
        <v>577</v>
      </c>
      <c r="BF2188" s="87" t="s">
        <v>578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90010504</v>
      </c>
      <c r="D2189" s="19" t="s">
        <v>567</v>
      </c>
      <c r="E2189" s="19" t="s">
        <v>568</v>
      </c>
      <c r="F2189" s="18">
        <v>1</v>
      </c>
      <c r="G2189" s="18">
        <v>60010500</v>
      </c>
      <c r="H2189" s="18">
        <v>0</v>
      </c>
      <c r="I2189" s="27">
        <v>0</v>
      </c>
      <c r="J2189" s="18">
        <v>1</v>
      </c>
      <c r="K2189" s="18">
        <v>0</v>
      </c>
      <c r="L2189" s="18">
        <v>0</v>
      </c>
      <c r="M2189" s="18">
        <v>0</v>
      </c>
      <c r="N2189" s="18">
        <v>0</v>
      </c>
      <c r="O2189" s="16">
        <v>2</v>
      </c>
      <c r="P2189" s="18">
        <v>2</v>
      </c>
      <c r="Q2189" s="18">
        <v>0.6</v>
      </c>
      <c r="R2189" s="18">
        <v>0</v>
      </c>
      <c r="S2189" s="12">
        <v>0</v>
      </c>
      <c r="T2189" s="27">
        <v>0</v>
      </c>
      <c r="U2189" s="16">
        <v>1</v>
      </c>
      <c r="V2189" s="18">
        <v>2</v>
      </c>
      <c r="W2189" s="18">
        <v>0</v>
      </c>
      <c r="X2189" s="18">
        <v>0</v>
      </c>
      <c r="Y2189" s="12">
        <v>0</v>
      </c>
      <c r="Z2189" s="18">
        <v>0</v>
      </c>
      <c r="AA2189" s="18">
        <v>0</v>
      </c>
      <c r="AB2189" s="18">
        <v>0</v>
      </c>
      <c r="AC2189" s="18">
        <v>0</v>
      </c>
      <c r="AD2189" s="18">
        <v>0</v>
      </c>
      <c r="AE2189" s="18">
        <v>0</v>
      </c>
      <c r="AF2189" s="16">
        <v>30</v>
      </c>
      <c r="AG2189" s="18">
        <v>0</v>
      </c>
      <c r="AH2189" s="18">
        <v>0</v>
      </c>
      <c r="AI2189" s="12">
        <v>2</v>
      </c>
      <c r="AJ2189" s="12">
        <v>0</v>
      </c>
      <c r="AK2189" s="12">
        <v>0</v>
      </c>
      <c r="AL2189" s="12">
        <v>0</v>
      </c>
      <c r="AM2189" s="18">
        <v>0</v>
      </c>
      <c r="AN2189" s="18">
        <v>0</v>
      </c>
      <c r="AO2189" s="18">
        <v>0</v>
      </c>
      <c r="AP2189" s="18">
        <v>0</v>
      </c>
      <c r="AQ2189" s="18">
        <v>1000</v>
      </c>
      <c r="AR2189" s="18">
        <v>0</v>
      </c>
      <c r="AS2189" s="18">
        <v>0</v>
      </c>
      <c r="AT2189" s="12">
        <v>90104002</v>
      </c>
      <c r="AU2189" s="18" t="s">
        <v>198</v>
      </c>
      <c r="AV2189" s="18"/>
      <c r="AW2189" s="19" t="s">
        <v>199</v>
      </c>
      <c r="AX2189" s="18" t="s">
        <v>348</v>
      </c>
      <c r="AY2189" s="18">
        <v>0</v>
      </c>
      <c r="AZ2189" s="18">
        <v>0</v>
      </c>
      <c r="BA2189" s="19" t="s">
        <v>200</v>
      </c>
      <c r="BB2189" s="19" t="s">
        <v>198</v>
      </c>
      <c r="BC2189" s="27">
        <v>0</v>
      </c>
      <c r="BD2189" s="27">
        <v>0</v>
      </c>
      <c r="BE2189" s="87" t="s">
        <v>587</v>
      </c>
      <c r="BF2189" s="87" t="s">
        <v>588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90010505</v>
      </c>
      <c r="D2190" s="17" t="s">
        <v>589</v>
      </c>
      <c r="E2190" s="17" t="s">
        <v>590</v>
      </c>
      <c r="F2190" s="18">
        <v>1</v>
      </c>
      <c r="G2190" s="16">
        <v>60010300</v>
      </c>
      <c r="H2190" s="18">
        <v>0</v>
      </c>
      <c r="I2190" s="27">
        <v>0</v>
      </c>
      <c r="J2190" s="18">
        <v>1</v>
      </c>
      <c r="K2190" s="18">
        <v>0</v>
      </c>
      <c r="L2190" s="18">
        <v>0</v>
      </c>
      <c r="M2190" s="16">
        <v>0</v>
      </c>
      <c r="N2190" s="16">
        <v>0</v>
      </c>
      <c r="O2190" s="16">
        <v>2</v>
      </c>
      <c r="P2190" s="16">
        <v>1</v>
      </c>
      <c r="Q2190" s="16">
        <v>0.6</v>
      </c>
      <c r="R2190" s="16">
        <v>0</v>
      </c>
      <c r="S2190" s="12">
        <v>0</v>
      </c>
      <c r="T2190" s="16">
        <v>0</v>
      </c>
      <c r="U2190" s="16">
        <v>1</v>
      </c>
      <c r="V2190" s="16">
        <v>2</v>
      </c>
      <c r="W2190" s="16">
        <v>0</v>
      </c>
      <c r="X2190" s="16">
        <v>0</v>
      </c>
      <c r="Y2190" s="12">
        <v>0</v>
      </c>
      <c r="Z2190" s="16">
        <v>0</v>
      </c>
      <c r="AA2190" s="16">
        <v>0</v>
      </c>
      <c r="AB2190" s="16">
        <v>0</v>
      </c>
      <c r="AC2190" s="16">
        <v>0</v>
      </c>
      <c r="AD2190" s="16">
        <v>0</v>
      </c>
      <c r="AE2190" s="16">
        <v>0</v>
      </c>
      <c r="AF2190" s="16">
        <v>20</v>
      </c>
      <c r="AG2190" s="16">
        <v>0</v>
      </c>
      <c r="AH2190" s="16">
        <v>0</v>
      </c>
      <c r="AI2190" s="12">
        <v>2</v>
      </c>
      <c r="AJ2190" s="12">
        <v>2</v>
      </c>
      <c r="AK2190" s="12">
        <v>0</v>
      </c>
      <c r="AL2190" s="12">
        <v>1.5</v>
      </c>
      <c r="AM2190" s="16">
        <v>0</v>
      </c>
      <c r="AN2190" s="16">
        <v>0</v>
      </c>
      <c r="AO2190" s="16">
        <v>0</v>
      </c>
      <c r="AP2190" s="16">
        <v>1</v>
      </c>
      <c r="AQ2190" s="16">
        <v>3000</v>
      </c>
      <c r="AR2190" s="16">
        <v>0.5</v>
      </c>
      <c r="AS2190" s="16">
        <v>0</v>
      </c>
      <c r="AT2190" s="12">
        <v>0</v>
      </c>
      <c r="AU2190" s="16" t="s">
        <v>198</v>
      </c>
      <c r="AV2190" s="16"/>
      <c r="AW2190" s="19" t="s">
        <v>199</v>
      </c>
      <c r="AX2190" s="16" t="s">
        <v>545</v>
      </c>
      <c r="AY2190" s="18">
        <v>0</v>
      </c>
      <c r="AZ2190" s="18">
        <v>0</v>
      </c>
      <c r="BA2190" s="17" t="s">
        <v>528</v>
      </c>
      <c r="BB2190" s="16" t="s">
        <v>591</v>
      </c>
      <c r="BC2190" s="27">
        <v>0</v>
      </c>
      <c r="BD2190" s="27">
        <v>0</v>
      </c>
      <c r="BE2190" s="44" t="s">
        <v>592</v>
      </c>
      <c r="BF2190" s="44" t="s">
        <v>593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90010901</v>
      </c>
      <c r="D2191" s="269" t="s">
        <v>4940</v>
      </c>
      <c r="E2191" s="269" t="s">
        <v>4941</v>
      </c>
      <c r="F2191" s="16">
        <v>1</v>
      </c>
      <c r="G2191" s="16">
        <v>62021401</v>
      </c>
      <c r="H2191" s="18">
        <f>C2192</f>
        <v>90010902</v>
      </c>
      <c r="I2191" s="27">
        <v>0</v>
      </c>
      <c r="J2191" s="16">
        <v>27</v>
      </c>
      <c r="K2191" s="16">
        <v>2</v>
      </c>
      <c r="L2191" s="16">
        <v>0</v>
      </c>
      <c r="M2191" s="18">
        <v>0</v>
      </c>
      <c r="N2191" s="18">
        <v>0</v>
      </c>
      <c r="O2191" s="18">
        <v>2</v>
      </c>
      <c r="P2191" s="18">
        <v>2</v>
      </c>
      <c r="Q2191" s="18">
        <v>0.95</v>
      </c>
      <c r="R2191" s="18">
        <v>0</v>
      </c>
      <c r="S2191" s="12">
        <v>0</v>
      </c>
      <c r="T2191" s="27">
        <v>0</v>
      </c>
      <c r="U2191" s="16">
        <v>1</v>
      </c>
      <c r="V2191" s="18">
        <v>2</v>
      </c>
      <c r="W2191" s="18">
        <v>0</v>
      </c>
      <c r="X2191" s="18">
        <v>1.2</v>
      </c>
      <c r="Y2191" s="12">
        <v>0</v>
      </c>
      <c r="Z2191" s="18">
        <v>500</v>
      </c>
      <c r="AA2191" s="18">
        <v>0</v>
      </c>
      <c r="AB2191" s="18">
        <v>0</v>
      </c>
      <c r="AC2191" s="18">
        <v>0</v>
      </c>
      <c r="AD2191" s="18">
        <v>0</v>
      </c>
      <c r="AE2191" s="18">
        <v>0</v>
      </c>
      <c r="AF2191" s="18">
        <v>6</v>
      </c>
      <c r="AG2191" s="18">
        <v>1</v>
      </c>
      <c r="AH2191" s="18">
        <v>3</v>
      </c>
      <c r="AI2191" s="12">
        <v>2</v>
      </c>
      <c r="AJ2191" s="12">
        <v>1</v>
      </c>
      <c r="AK2191" s="12">
        <v>0</v>
      </c>
      <c r="AL2191" s="12">
        <v>7</v>
      </c>
      <c r="AM2191" s="18">
        <v>0</v>
      </c>
      <c r="AN2191" s="18">
        <v>0</v>
      </c>
      <c r="AO2191" s="18">
        <v>6</v>
      </c>
      <c r="AP2191" s="18">
        <v>0.25</v>
      </c>
      <c r="AQ2191" s="18">
        <v>6000</v>
      </c>
      <c r="AR2191" s="18">
        <v>0</v>
      </c>
      <c r="AS2191" s="18">
        <v>0</v>
      </c>
      <c r="AT2191" s="12">
        <v>0</v>
      </c>
      <c r="AU2191" s="18">
        <v>92014001</v>
      </c>
      <c r="AV2191" s="18"/>
      <c r="AW2191" s="19" t="s">
        <v>369</v>
      </c>
      <c r="AX2191" s="18" t="s">
        <v>370</v>
      </c>
      <c r="AY2191" s="18">
        <v>10002001</v>
      </c>
      <c r="AZ2191" s="18">
        <v>21101040</v>
      </c>
      <c r="BA2191" s="19" t="s">
        <v>315</v>
      </c>
      <c r="BB2191" s="19" t="s">
        <v>1738</v>
      </c>
      <c r="BC2191" s="27">
        <v>0</v>
      </c>
      <c r="BD2191" s="27">
        <v>0</v>
      </c>
      <c r="BE2191" s="183" t="str">
        <f t="shared" ref="BE2191" si="152">"对目标区域持续造成伤害,在此范围内的敌方目标每秒造成2次"&amp;X2191*100&amp;"%攻击伤害+"&amp;Z2191&amp;"点固定伤害,目标移动速度降低75%,持续6秒,当在施法过程中进行移动会中断此技能施放"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1" s="183" t="s">
        <v>4942</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19.5" customHeight="1">
      <c r="C2192" s="16">
        <v>90010902</v>
      </c>
      <c r="D2192" s="269" t="s">
        <v>4943</v>
      </c>
      <c r="E2192" s="269" t="s">
        <v>4944</v>
      </c>
      <c r="F2192" s="16">
        <v>1</v>
      </c>
      <c r="G2192" s="18">
        <v>62021301</v>
      </c>
      <c r="H2192" s="16">
        <v>62021203</v>
      </c>
      <c r="I2192" s="27">
        <v>0</v>
      </c>
      <c r="J2192" s="16">
        <v>32</v>
      </c>
      <c r="K2192" s="16">
        <v>2</v>
      </c>
      <c r="L2192" s="16">
        <v>0</v>
      </c>
      <c r="M2192" s="18">
        <v>0</v>
      </c>
      <c r="N2192" s="18">
        <v>0</v>
      </c>
      <c r="O2192" s="18">
        <v>2</v>
      </c>
      <c r="P2192" s="18">
        <v>2</v>
      </c>
      <c r="Q2192" s="18">
        <v>0.95</v>
      </c>
      <c r="R2192" s="18">
        <v>0</v>
      </c>
      <c r="S2192" s="12">
        <v>0</v>
      </c>
      <c r="T2192" s="27">
        <v>0</v>
      </c>
      <c r="U2192" s="16">
        <v>1</v>
      </c>
      <c r="V2192" s="18">
        <v>2</v>
      </c>
      <c r="W2192" s="18">
        <v>0</v>
      </c>
      <c r="X2192" s="18">
        <v>2.5</v>
      </c>
      <c r="Y2192" s="12">
        <v>0</v>
      </c>
      <c r="Z2192" s="18">
        <v>1500</v>
      </c>
      <c r="AA2192" s="18">
        <v>0</v>
      </c>
      <c r="AB2192" s="18">
        <v>0</v>
      </c>
      <c r="AC2192" s="18">
        <v>0</v>
      </c>
      <c r="AD2192" s="18">
        <v>0</v>
      </c>
      <c r="AE2192" s="18">
        <v>0</v>
      </c>
      <c r="AF2192" s="18">
        <v>12</v>
      </c>
      <c r="AG2192" s="18">
        <v>1</v>
      </c>
      <c r="AH2192" s="18">
        <v>3</v>
      </c>
      <c r="AI2192" s="12">
        <v>2</v>
      </c>
      <c r="AJ2192" s="12">
        <v>2</v>
      </c>
      <c r="AK2192" s="12">
        <v>0</v>
      </c>
      <c r="AL2192" s="12">
        <v>4</v>
      </c>
      <c r="AM2192" s="18">
        <v>0</v>
      </c>
      <c r="AN2192" s="18">
        <v>3</v>
      </c>
      <c r="AO2192" s="18">
        <v>0</v>
      </c>
      <c r="AP2192" s="18">
        <v>0.25</v>
      </c>
      <c r="AQ2192" s="18">
        <v>2000</v>
      </c>
      <c r="AR2192" s="18">
        <v>0</v>
      </c>
      <c r="AS2192" s="18">
        <v>10</v>
      </c>
      <c r="AT2192" s="12">
        <v>0</v>
      </c>
      <c r="AU2192" s="18">
        <v>92002001</v>
      </c>
      <c r="AV2192" s="18"/>
      <c r="AW2192" s="19" t="s">
        <v>199</v>
      </c>
      <c r="AX2192" s="18" t="s">
        <v>545</v>
      </c>
      <c r="AY2192" s="18">
        <v>10003002</v>
      </c>
      <c r="AZ2192" s="18">
        <v>21101030</v>
      </c>
      <c r="BA2192" s="19" t="s">
        <v>586</v>
      </c>
      <c r="BB2192" s="19">
        <v>0</v>
      </c>
      <c r="BC2192" s="27">
        <v>0</v>
      </c>
      <c r="BD2192" s="27">
        <v>0</v>
      </c>
      <c r="BE2192" s="183" t="str">
        <f t="shared" ref="BE2192" si="153">"立即对指定前方区域释放冲击波,冲击波对触碰的怪物造成"&amp;X2192*100&amp;"%攻击伤害+"&amp;Z2192&amp;"点固定伤害"</f>
        <v>立即对指定前方区域释放冲击波,冲击波对触碰的怪物造成250%攻击伤害+1500点固定伤害</v>
      </c>
      <c r="BF2192" s="183" t="s">
        <v>1765</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19.5" customHeight="1">
      <c r="C2193" s="18">
        <v>90010903</v>
      </c>
      <c r="D2193" s="269" t="s">
        <v>4945</v>
      </c>
      <c r="E2193" s="269" t="s">
        <v>4946</v>
      </c>
      <c r="F2193" s="16">
        <v>1</v>
      </c>
      <c r="G2193" s="18">
        <v>62021301</v>
      </c>
      <c r="H2193" s="16">
        <v>62021203</v>
      </c>
      <c r="I2193" s="27">
        <v>0</v>
      </c>
      <c r="J2193" s="16">
        <v>32</v>
      </c>
      <c r="K2193" s="16">
        <v>2</v>
      </c>
      <c r="L2193" s="16">
        <v>0</v>
      </c>
      <c r="M2193" s="18">
        <v>0</v>
      </c>
      <c r="N2193" s="18">
        <v>0</v>
      </c>
      <c r="O2193" s="18">
        <v>2</v>
      </c>
      <c r="P2193" s="18">
        <v>2</v>
      </c>
      <c r="Q2193" s="18">
        <v>0.95</v>
      </c>
      <c r="R2193" s="18">
        <v>0</v>
      </c>
      <c r="S2193" s="12">
        <v>0</v>
      </c>
      <c r="T2193" s="27">
        <v>0</v>
      </c>
      <c r="U2193" s="16">
        <v>1</v>
      </c>
      <c r="V2193" s="18">
        <v>2</v>
      </c>
      <c r="W2193" s="18">
        <v>0</v>
      </c>
      <c r="X2193" s="18">
        <v>2.5</v>
      </c>
      <c r="Y2193" s="12">
        <v>0</v>
      </c>
      <c r="Z2193" s="18">
        <v>1500</v>
      </c>
      <c r="AA2193" s="18">
        <v>0</v>
      </c>
      <c r="AB2193" s="18">
        <v>0</v>
      </c>
      <c r="AC2193" s="18">
        <v>0</v>
      </c>
      <c r="AD2193" s="18">
        <v>0</v>
      </c>
      <c r="AE2193" s="18">
        <v>0</v>
      </c>
      <c r="AF2193" s="18">
        <v>12</v>
      </c>
      <c r="AG2193" s="18">
        <v>1</v>
      </c>
      <c r="AH2193" s="18">
        <v>3</v>
      </c>
      <c r="AI2193" s="12">
        <v>2</v>
      </c>
      <c r="AJ2193" s="12">
        <v>2</v>
      </c>
      <c r="AK2193" s="12">
        <v>0</v>
      </c>
      <c r="AL2193" s="12">
        <v>4</v>
      </c>
      <c r="AM2193" s="18">
        <v>0</v>
      </c>
      <c r="AN2193" s="18">
        <v>3</v>
      </c>
      <c r="AO2193" s="18">
        <v>0</v>
      </c>
      <c r="AP2193" s="18">
        <v>0.25</v>
      </c>
      <c r="AQ2193" s="18">
        <v>2000</v>
      </c>
      <c r="AR2193" s="18">
        <v>0</v>
      </c>
      <c r="AS2193" s="18">
        <v>10</v>
      </c>
      <c r="AT2193" s="12">
        <v>0</v>
      </c>
      <c r="AU2193" s="18">
        <v>92002001</v>
      </c>
      <c r="AV2193" s="18"/>
      <c r="AW2193" s="19" t="s">
        <v>199</v>
      </c>
      <c r="AX2193" s="18" t="s">
        <v>545</v>
      </c>
      <c r="AY2193" s="18">
        <v>10003002</v>
      </c>
      <c r="AZ2193" s="18">
        <v>21101030</v>
      </c>
      <c r="BA2193" s="19" t="s">
        <v>586</v>
      </c>
      <c r="BB2193" s="19">
        <v>0</v>
      </c>
      <c r="BC2193" s="27">
        <v>0</v>
      </c>
      <c r="BD2193" s="27">
        <v>0</v>
      </c>
      <c r="BE2193" s="183" t="str">
        <f t="shared" ref="BE2193" si="154">"立即对指定前方区域释放冲击波,冲击波对触碰的怪物造成"&amp;X2193*100&amp;"%攻击伤害+"&amp;Z2193&amp;"点固定伤害"</f>
        <v>立即对指定前方区域释放冲击波,冲击波对触碰的怪物造成250%攻击伤害+1500点固定伤害</v>
      </c>
      <c r="BF2193" s="183" t="s">
        <v>1765</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19.5" customHeight="1">
      <c r="C2194" s="16">
        <v>90010904</v>
      </c>
      <c r="D2194" s="19" t="s">
        <v>4947</v>
      </c>
      <c r="E2194" s="19" t="s">
        <v>4948</v>
      </c>
      <c r="F2194" s="18">
        <v>1</v>
      </c>
      <c r="G2194" s="18">
        <v>60010300</v>
      </c>
      <c r="H2194" s="18">
        <v>0</v>
      </c>
      <c r="I2194" s="27">
        <v>0</v>
      </c>
      <c r="J2194" s="18">
        <v>1</v>
      </c>
      <c r="K2194" s="18">
        <v>0</v>
      </c>
      <c r="L2194" s="18">
        <v>0</v>
      </c>
      <c r="M2194" s="18">
        <v>0</v>
      </c>
      <c r="N2194" s="18">
        <v>0</v>
      </c>
      <c r="O2194" s="16">
        <v>1</v>
      </c>
      <c r="P2194" s="18">
        <v>0</v>
      </c>
      <c r="Q2194" s="18">
        <v>0</v>
      </c>
      <c r="R2194" s="18">
        <v>0</v>
      </c>
      <c r="S2194" s="12">
        <v>0</v>
      </c>
      <c r="T2194" s="27">
        <v>0</v>
      </c>
      <c r="U2194" s="16">
        <v>1</v>
      </c>
      <c r="V2194" s="18">
        <v>2</v>
      </c>
      <c r="W2194" s="18">
        <v>0</v>
      </c>
      <c r="X2194" s="18">
        <v>3</v>
      </c>
      <c r="Y2194" s="12">
        <v>0</v>
      </c>
      <c r="Z2194" s="18">
        <v>0</v>
      </c>
      <c r="AA2194" s="18">
        <v>0</v>
      </c>
      <c r="AB2194" s="18">
        <v>0</v>
      </c>
      <c r="AC2194" s="18">
        <v>0</v>
      </c>
      <c r="AD2194" s="18">
        <v>0</v>
      </c>
      <c r="AE2194" s="18">
        <v>0</v>
      </c>
      <c r="AF2194" s="18">
        <v>9</v>
      </c>
      <c r="AG2194" s="18">
        <v>1</v>
      </c>
      <c r="AH2194" s="18">
        <v>2</v>
      </c>
      <c r="AI2194" s="12">
        <v>2</v>
      </c>
      <c r="AJ2194" s="12">
        <v>2</v>
      </c>
      <c r="AK2194" s="12">
        <v>0</v>
      </c>
      <c r="AL2194" s="12">
        <v>3</v>
      </c>
      <c r="AM2194" s="18">
        <v>0</v>
      </c>
      <c r="AN2194" s="18">
        <v>0</v>
      </c>
      <c r="AO2194" s="18">
        <v>0</v>
      </c>
      <c r="AP2194" s="18">
        <v>0.5</v>
      </c>
      <c r="AQ2194" s="18">
        <v>2000</v>
      </c>
      <c r="AR2194" s="18">
        <v>0</v>
      </c>
      <c r="AS2194" s="18">
        <v>20</v>
      </c>
      <c r="AT2194" s="12">
        <v>0</v>
      </c>
      <c r="AU2194" s="18" t="s">
        <v>198</v>
      </c>
      <c r="AV2194" s="18"/>
      <c r="AW2194" s="19" t="s">
        <v>199</v>
      </c>
      <c r="AX2194" s="18" t="s">
        <v>545</v>
      </c>
      <c r="AY2194" s="18">
        <v>10003002</v>
      </c>
      <c r="AZ2194" s="18">
        <v>70106005</v>
      </c>
      <c r="BA2194" s="19" t="s">
        <v>1881</v>
      </c>
      <c r="BB2194" s="19">
        <v>0</v>
      </c>
      <c r="BC2194" s="27">
        <v>0</v>
      </c>
      <c r="BD2194" s="27">
        <v>0</v>
      </c>
      <c r="BE2194" s="87" t="s">
        <v>4949</v>
      </c>
      <c r="BF2194" s="87" t="s">
        <v>4950</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spans="3:75" ht="19.5" customHeight="1">
      <c r="C2195" s="18">
        <v>90010905</v>
      </c>
      <c r="D2195" s="19" t="s">
        <v>4951</v>
      </c>
      <c r="E2195" s="19" t="s">
        <v>4952</v>
      </c>
      <c r="F2195" s="18">
        <v>1</v>
      </c>
      <c r="G2195" s="18">
        <v>60010300</v>
      </c>
      <c r="H2195" s="18">
        <v>0</v>
      </c>
      <c r="I2195" s="27">
        <v>0</v>
      </c>
      <c r="J2195" s="18">
        <v>1</v>
      </c>
      <c r="K2195" s="18">
        <v>0</v>
      </c>
      <c r="L2195" s="18">
        <v>0</v>
      </c>
      <c r="M2195" s="18">
        <v>0</v>
      </c>
      <c r="N2195" s="18">
        <v>0</v>
      </c>
      <c r="O2195" s="16">
        <v>1</v>
      </c>
      <c r="P2195" s="18">
        <v>0</v>
      </c>
      <c r="Q2195" s="18">
        <v>0</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1</v>
      </c>
      <c r="AK2195" s="12">
        <v>0</v>
      </c>
      <c r="AL2195" s="12">
        <v>5</v>
      </c>
      <c r="AM2195" s="18">
        <v>0</v>
      </c>
      <c r="AN2195" s="18">
        <v>0</v>
      </c>
      <c r="AO2195" s="18">
        <v>0</v>
      </c>
      <c r="AP2195" s="18">
        <v>0.5</v>
      </c>
      <c r="AQ2195" s="18">
        <v>2000</v>
      </c>
      <c r="AR2195" s="18">
        <v>0</v>
      </c>
      <c r="AS2195" s="18">
        <v>20</v>
      </c>
      <c r="AT2195" s="12">
        <v>0</v>
      </c>
      <c r="AU2195" s="18" t="s">
        <v>198</v>
      </c>
      <c r="AV2195" s="18"/>
      <c r="AW2195" s="19" t="s">
        <v>199</v>
      </c>
      <c r="AX2195" s="18" t="s">
        <v>545</v>
      </c>
      <c r="AY2195" s="18">
        <v>0</v>
      </c>
      <c r="AZ2195" s="18">
        <v>70106005</v>
      </c>
      <c r="BA2195" s="19" t="s">
        <v>2021</v>
      </c>
      <c r="BB2195" s="366" t="s">
        <v>4953</v>
      </c>
      <c r="BC2195" s="27">
        <v>0</v>
      </c>
      <c r="BD2195" s="27">
        <v>0</v>
      </c>
      <c r="BE2195" s="87" t="s">
        <v>4954</v>
      </c>
      <c r="BF2195" s="87" t="s">
        <v>4955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6">
        <v>90010906</v>
      </c>
      <c r="D2196" s="17" t="s">
        <v>4956</v>
      </c>
      <c r="E2196" s="17" t="s">
        <v>4957</v>
      </c>
      <c r="F2196" s="16">
        <v>1</v>
      </c>
      <c r="G2196" s="16">
        <v>62011201</v>
      </c>
      <c r="H2196" s="16">
        <v>0</v>
      </c>
      <c r="I2196" s="27">
        <v>0</v>
      </c>
      <c r="J2196" s="16">
        <v>5</v>
      </c>
      <c r="K2196" s="16">
        <v>3</v>
      </c>
      <c r="L2196" s="16">
        <v>0</v>
      </c>
      <c r="M2196" s="16">
        <v>0</v>
      </c>
      <c r="N2196" s="16">
        <v>0</v>
      </c>
      <c r="O2196" s="16">
        <v>1</v>
      </c>
      <c r="P2196" s="16">
        <v>0</v>
      </c>
      <c r="Q2196" s="16">
        <v>0</v>
      </c>
      <c r="R2196" s="16">
        <v>0</v>
      </c>
      <c r="S2196" s="12">
        <v>0</v>
      </c>
      <c r="T2196" s="16">
        <v>0</v>
      </c>
      <c r="U2196" s="16">
        <v>1</v>
      </c>
      <c r="V2196" s="16">
        <v>2</v>
      </c>
      <c r="W2196" s="16">
        <v>0</v>
      </c>
      <c r="X2196" s="16">
        <v>1.5</v>
      </c>
      <c r="Y2196" s="12">
        <v>0</v>
      </c>
      <c r="Z2196" s="16">
        <v>10</v>
      </c>
      <c r="AA2196" s="16">
        <v>1</v>
      </c>
      <c r="AB2196" s="16">
        <v>0</v>
      </c>
      <c r="AC2196" s="16">
        <v>0</v>
      </c>
      <c r="AD2196" s="16">
        <v>0</v>
      </c>
      <c r="AE2196" s="16">
        <v>0</v>
      </c>
      <c r="AF2196" s="16">
        <v>5</v>
      </c>
      <c r="AG2196" s="16">
        <v>1</v>
      </c>
      <c r="AH2196" s="16">
        <v>2</v>
      </c>
      <c r="AI2196" s="12">
        <v>7</v>
      </c>
      <c r="AJ2196" s="12">
        <v>0</v>
      </c>
      <c r="AK2196" s="12">
        <v>0</v>
      </c>
      <c r="AL2196" s="12">
        <v>7</v>
      </c>
      <c r="AM2196" s="16">
        <v>0</v>
      </c>
      <c r="AN2196" s="16">
        <v>0</v>
      </c>
      <c r="AO2196" s="16">
        <v>0</v>
      </c>
      <c r="AP2196" s="16">
        <v>0.5</v>
      </c>
      <c r="AQ2196" s="16">
        <v>3000</v>
      </c>
      <c r="AR2196" s="16">
        <v>0</v>
      </c>
      <c r="AS2196" s="16">
        <v>0</v>
      </c>
      <c r="AT2196" s="12">
        <v>0</v>
      </c>
      <c r="AU2196" s="16" t="s">
        <v>198</v>
      </c>
      <c r="AV2196" s="16"/>
      <c r="AW2196" s="17" t="s">
        <v>617</v>
      </c>
      <c r="AX2196" s="16" t="s">
        <v>534</v>
      </c>
      <c r="AY2196" s="18">
        <v>10000007</v>
      </c>
      <c r="AZ2196" s="18">
        <v>21000020</v>
      </c>
      <c r="BA2196" s="17" t="s">
        <v>4802</v>
      </c>
      <c r="BB2196" s="16">
        <v>0</v>
      </c>
      <c r="BC2196" s="27">
        <v>0</v>
      </c>
      <c r="BD2196" s="27">
        <v>0</v>
      </c>
      <c r="BE2196" s="183" t="s">
        <v>4909</v>
      </c>
      <c r="BF2196" s="183" t="s">
        <v>4910</v>
      </c>
      <c r="BG2196" s="16">
        <v>0</v>
      </c>
      <c r="BH2196" s="16">
        <v>0</v>
      </c>
      <c r="BI2196" s="16">
        <v>0</v>
      </c>
      <c r="BJ2196" s="16">
        <v>0</v>
      </c>
      <c r="BK2196" s="16">
        <v>0</v>
      </c>
      <c r="BL2196" s="16">
        <v>0</v>
      </c>
      <c r="BM2196" s="15">
        <v>0</v>
      </c>
      <c r="BN2196" s="12">
        <v>0</v>
      </c>
      <c r="BO2196" s="12">
        <v>0</v>
      </c>
      <c r="BP2196" s="12">
        <v>0</v>
      </c>
      <c r="BQ2196" s="12">
        <v>0</v>
      </c>
      <c r="BR2196" s="12">
        <v>0</v>
      </c>
      <c r="BS2196" s="12">
        <v>0</v>
      </c>
      <c r="BT2196" s="12">
        <v>0</v>
      </c>
      <c r="BU2196" s="47">
        <v>0</v>
      </c>
      <c r="BV2196" s="47"/>
      <c r="BW2196" s="47"/>
    </row>
    <row r="2197" spans="3:75" ht="19.5" customHeight="1">
      <c r="C2197" s="16">
        <v>90010907</v>
      </c>
      <c r="D2197" s="17" t="s">
        <v>4958</v>
      </c>
      <c r="E2197" s="17" t="s">
        <v>4959</v>
      </c>
      <c r="F2197" s="16">
        <v>1</v>
      </c>
      <c r="G2197" s="16">
        <v>62011201</v>
      </c>
      <c r="H2197" s="16">
        <v>0</v>
      </c>
      <c r="I2197" s="27">
        <v>0</v>
      </c>
      <c r="J2197" s="16">
        <v>5</v>
      </c>
      <c r="K2197" s="16">
        <v>3</v>
      </c>
      <c r="L2197" s="16">
        <v>0</v>
      </c>
      <c r="M2197" s="16">
        <v>0</v>
      </c>
      <c r="N2197" s="16">
        <v>0</v>
      </c>
      <c r="O2197" s="16">
        <v>1</v>
      </c>
      <c r="P2197" s="16">
        <v>0</v>
      </c>
      <c r="Q2197" s="16">
        <v>0</v>
      </c>
      <c r="R2197" s="16">
        <v>0</v>
      </c>
      <c r="S2197" s="12">
        <v>0</v>
      </c>
      <c r="T2197" s="16">
        <v>0</v>
      </c>
      <c r="U2197" s="16">
        <v>1</v>
      </c>
      <c r="V2197" s="16">
        <v>2</v>
      </c>
      <c r="W2197" s="16">
        <v>0</v>
      </c>
      <c r="X2197" s="16">
        <v>1.5</v>
      </c>
      <c r="Y2197" s="12">
        <v>0</v>
      </c>
      <c r="Z2197" s="16">
        <v>10</v>
      </c>
      <c r="AA2197" s="16">
        <v>1</v>
      </c>
      <c r="AB2197" s="16">
        <v>0</v>
      </c>
      <c r="AC2197" s="16">
        <v>0</v>
      </c>
      <c r="AD2197" s="16">
        <v>0</v>
      </c>
      <c r="AE2197" s="16">
        <v>0</v>
      </c>
      <c r="AF2197" s="16">
        <v>5</v>
      </c>
      <c r="AG2197" s="16">
        <v>1</v>
      </c>
      <c r="AH2197" s="16">
        <v>3</v>
      </c>
      <c r="AI2197" s="12">
        <v>2</v>
      </c>
      <c r="AJ2197" s="12">
        <v>1</v>
      </c>
      <c r="AK2197" s="12">
        <v>0</v>
      </c>
      <c r="AL2197" s="12">
        <v>7</v>
      </c>
      <c r="AM2197" s="16">
        <v>0</v>
      </c>
      <c r="AN2197" s="16">
        <v>0</v>
      </c>
      <c r="AO2197" s="16">
        <v>0</v>
      </c>
      <c r="AP2197" s="16">
        <v>0.5</v>
      </c>
      <c r="AQ2197" s="16">
        <v>3000</v>
      </c>
      <c r="AR2197" s="16">
        <v>0</v>
      </c>
      <c r="AS2197" s="16">
        <v>0</v>
      </c>
      <c r="AT2197" s="12">
        <v>0</v>
      </c>
      <c r="AU2197" s="16" t="s">
        <v>198</v>
      </c>
      <c r="AV2197" s="16"/>
      <c r="AW2197" s="17" t="s">
        <v>617</v>
      </c>
      <c r="AX2197" s="16" t="s">
        <v>534</v>
      </c>
      <c r="AY2197" s="18">
        <v>10000007</v>
      </c>
      <c r="AZ2197" s="18">
        <v>21000020</v>
      </c>
      <c r="BA2197" s="17" t="s">
        <v>1042</v>
      </c>
      <c r="BB2197" s="16">
        <v>0</v>
      </c>
      <c r="BC2197" s="27">
        <v>0</v>
      </c>
      <c r="BD2197" s="27">
        <v>0</v>
      </c>
      <c r="BE2197" s="183" t="s">
        <v>4909</v>
      </c>
      <c r="BF2197" s="183" t="s">
        <v>4910</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60">
        <v>90010908</v>
      </c>
      <c r="D2198" s="63" t="s">
        <v>4960</v>
      </c>
      <c r="E2198" s="63" t="s">
        <v>4961</v>
      </c>
      <c r="F2198" s="64">
        <v>1</v>
      </c>
      <c r="G2198" s="93">
        <v>0</v>
      </c>
      <c r="H2198" s="64">
        <v>0</v>
      </c>
      <c r="I2198" s="66">
        <v>0</v>
      </c>
      <c r="J2198" s="64">
        <v>1</v>
      </c>
      <c r="K2198" s="64">
        <v>0</v>
      </c>
      <c r="L2198" s="64">
        <v>0</v>
      </c>
      <c r="M2198" s="64">
        <v>0</v>
      </c>
      <c r="N2198" s="64">
        <v>0</v>
      </c>
      <c r="O2198" s="64">
        <v>1</v>
      </c>
      <c r="P2198" s="64">
        <v>0</v>
      </c>
      <c r="Q2198" s="64">
        <v>0</v>
      </c>
      <c r="R2198" s="64">
        <v>0</v>
      </c>
      <c r="S2198" s="68">
        <v>0</v>
      </c>
      <c r="T2198" s="66">
        <v>0</v>
      </c>
      <c r="U2198" s="60">
        <v>1</v>
      </c>
      <c r="V2198" s="64">
        <v>1</v>
      </c>
      <c r="W2198" s="64">
        <v>0</v>
      </c>
      <c r="X2198" s="64">
        <v>1.5</v>
      </c>
      <c r="Y2198" s="12">
        <v>0</v>
      </c>
      <c r="Z2198" s="64">
        <v>0</v>
      </c>
      <c r="AA2198" s="64">
        <v>0</v>
      </c>
      <c r="AB2198" s="64">
        <v>0</v>
      </c>
      <c r="AC2198" s="64">
        <v>0</v>
      </c>
      <c r="AD2198" s="64">
        <v>1</v>
      </c>
      <c r="AE2198" s="64">
        <v>0</v>
      </c>
      <c r="AF2198" s="64">
        <v>5</v>
      </c>
      <c r="AG2198" s="64">
        <v>1</v>
      </c>
      <c r="AH2198" s="64">
        <v>3</v>
      </c>
      <c r="AI2198" s="68">
        <v>2</v>
      </c>
      <c r="AJ2198" s="68">
        <v>1</v>
      </c>
      <c r="AK2198" s="68">
        <v>0</v>
      </c>
      <c r="AL2198" s="68">
        <v>6</v>
      </c>
      <c r="AM2198" s="64">
        <v>0</v>
      </c>
      <c r="AN2198" s="64">
        <v>0</v>
      </c>
      <c r="AO2198" s="64">
        <v>0</v>
      </c>
      <c r="AP2198" s="64">
        <v>0</v>
      </c>
      <c r="AQ2198" s="64">
        <v>5000</v>
      </c>
      <c r="AR2198" s="64">
        <v>0.2</v>
      </c>
      <c r="AS2198" s="64">
        <v>0</v>
      </c>
      <c r="AT2198" s="68">
        <v>0</v>
      </c>
      <c r="AU2198" s="64" t="s">
        <v>198</v>
      </c>
      <c r="AV2198" s="64"/>
      <c r="AW2198" s="63" t="s">
        <v>198</v>
      </c>
      <c r="AX2198" s="64" t="s">
        <v>1590</v>
      </c>
      <c r="AY2198" s="64">
        <v>10000006</v>
      </c>
      <c r="AZ2198" s="125">
        <v>60000004</v>
      </c>
      <c r="BA2198" s="63" t="s">
        <v>1591</v>
      </c>
      <c r="BB2198" s="63" t="s">
        <v>198</v>
      </c>
      <c r="BC2198" s="66">
        <v>0</v>
      </c>
      <c r="BD2198" s="66">
        <v>0</v>
      </c>
      <c r="BE2198" s="92"/>
      <c r="BF2198" s="92"/>
      <c r="BG2198" s="64">
        <v>0</v>
      </c>
      <c r="BH2198" s="60">
        <v>0</v>
      </c>
      <c r="BI2198" s="64">
        <v>0</v>
      </c>
      <c r="BJ2198" s="64">
        <v>0</v>
      </c>
      <c r="BK2198" s="64">
        <v>0</v>
      </c>
      <c r="BL2198" s="64">
        <v>0</v>
      </c>
      <c r="BM2198" s="93">
        <v>0</v>
      </c>
      <c r="BN2198" s="68">
        <v>1</v>
      </c>
      <c r="BO2198" s="68">
        <v>0</v>
      </c>
      <c r="BP2198" s="68">
        <v>0</v>
      </c>
      <c r="BQ2198" s="68">
        <v>0</v>
      </c>
      <c r="BR2198" s="68">
        <v>0</v>
      </c>
      <c r="BS2198" s="68">
        <v>0</v>
      </c>
      <c r="BT2198" s="12">
        <v>0</v>
      </c>
      <c r="BU2198" s="47">
        <v>0</v>
      </c>
      <c r="BV2198" s="47"/>
      <c r="BW2198" s="47"/>
    </row>
    <row r="2199" spans="3:75" ht="20.100000000000001" customHeight="1">
      <c r="C2199" s="16">
        <v>90010909</v>
      </c>
      <c r="D2199" s="17" t="s">
        <v>4962</v>
      </c>
      <c r="E2199" s="17" t="s">
        <v>4963</v>
      </c>
      <c r="F2199" s="16">
        <v>0</v>
      </c>
      <c r="G2199" s="16">
        <v>61011301</v>
      </c>
      <c r="H2199" s="16">
        <v>0</v>
      </c>
      <c r="I2199" s="27">
        <v>0</v>
      </c>
      <c r="J2199" s="16">
        <v>10</v>
      </c>
      <c r="K2199" s="16">
        <v>3</v>
      </c>
      <c r="L2199" s="16">
        <v>0</v>
      </c>
      <c r="M2199" s="16">
        <v>0</v>
      </c>
      <c r="N2199" s="16">
        <v>0</v>
      </c>
      <c r="O2199" s="16">
        <v>2</v>
      </c>
      <c r="P2199" s="16">
        <v>1</v>
      </c>
      <c r="Q2199" s="16">
        <v>0.1</v>
      </c>
      <c r="R2199" s="16">
        <v>0</v>
      </c>
      <c r="S2199" s="12">
        <v>3</v>
      </c>
      <c r="T2199" s="16">
        <v>0</v>
      </c>
      <c r="U2199" s="16">
        <v>1</v>
      </c>
      <c r="V2199" s="16">
        <v>2</v>
      </c>
      <c r="W2199" s="16">
        <v>0</v>
      </c>
      <c r="X2199" s="16">
        <v>3</v>
      </c>
      <c r="Y2199" s="12">
        <v>0</v>
      </c>
      <c r="Z2199" s="16">
        <v>350</v>
      </c>
      <c r="AA2199" s="16">
        <v>1</v>
      </c>
      <c r="AB2199" s="16">
        <v>0</v>
      </c>
      <c r="AC2199" s="16">
        <v>0</v>
      </c>
      <c r="AD2199" s="16">
        <v>0</v>
      </c>
      <c r="AE2199" s="16">
        <v>0</v>
      </c>
      <c r="AF2199" s="16">
        <v>9</v>
      </c>
      <c r="AG2199" s="16">
        <v>1</v>
      </c>
      <c r="AH2199" s="16">
        <v>3</v>
      </c>
      <c r="AI2199" s="12">
        <v>2</v>
      </c>
      <c r="AJ2199" s="12">
        <v>1</v>
      </c>
      <c r="AK2199" s="12">
        <v>0</v>
      </c>
      <c r="AL2199" s="12">
        <v>6</v>
      </c>
      <c r="AM2199" s="16">
        <v>0</v>
      </c>
      <c r="AN2199" s="16">
        <v>0</v>
      </c>
      <c r="AO2199" s="16">
        <v>0</v>
      </c>
      <c r="AP2199" s="16">
        <v>1</v>
      </c>
      <c r="AQ2199" s="16">
        <v>3000</v>
      </c>
      <c r="AR2199" s="16">
        <v>4</v>
      </c>
      <c r="AS2199" s="16">
        <v>0</v>
      </c>
      <c r="AT2199" s="12">
        <v>0</v>
      </c>
      <c r="AU2199" s="16" t="s">
        <v>198</v>
      </c>
      <c r="AV2199" s="16"/>
      <c r="AW2199" s="17" t="s">
        <v>762</v>
      </c>
      <c r="AX2199" s="16" t="s">
        <v>215</v>
      </c>
      <c r="AY2199" s="18">
        <v>10000015</v>
      </c>
      <c r="AZ2199" s="18">
        <v>21000030</v>
      </c>
      <c r="BA2199" s="17" t="s">
        <v>771</v>
      </c>
      <c r="BB2199" s="16">
        <v>0</v>
      </c>
      <c r="BC2199" s="27">
        <v>0</v>
      </c>
      <c r="BD2199" s="27">
        <v>0</v>
      </c>
      <c r="BE2199" s="170" t="str">
        <f>"&lt;color=#D3FD3A&gt;冲锋击(剑类武器技能):\n&lt;/color&gt;"&amp;BE2223&amp;"\n\n&lt;color=#D3FD3A&gt;跳跃击(刀类武器技能):\n&lt;/color&gt;"&amp;BE2205</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99" s="170" t="s">
        <v>4964</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spans="3:75" ht="19.5" customHeight="1">
      <c r="C2200" s="16">
        <v>90010910</v>
      </c>
      <c r="D2200" s="19" t="s">
        <v>4965</v>
      </c>
      <c r="E2200" s="19" t="s">
        <v>4966</v>
      </c>
      <c r="F2200" s="18">
        <v>1</v>
      </c>
      <c r="G2200" s="18">
        <v>60010300</v>
      </c>
      <c r="H2200" s="18">
        <v>0</v>
      </c>
      <c r="I2200" s="27">
        <v>0</v>
      </c>
      <c r="J2200" s="18">
        <v>1</v>
      </c>
      <c r="K2200" s="18">
        <v>0</v>
      </c>
      <c r="L2200" s="18">
        <v>0</v>
      </c>
      <c r="M2200" s="18">
        <v>0</v>
      </c>
      <c r="N2200" s="18">
        <v>0</v>
      </c>
      <c r="O2200" s="16">
        <v>1</v>
      </c>
      <c r="P2200" s="18">
        <v>0</v>
      </c>
      <c r="Q2200" s="18">
        <v>0</v>
      </c>
      <c r="R2200" s="18">
        <v>0</v>
      </c>
      <c r="S2200" s="12">
        <v>0</v>
      </c>
      <c r="T2200" s="27">
        <v>0</v>
      </c>
      <c r="U2200" s="16">
        <v>1</v>
      </c>
      <c r="V2200" s="18">
        <v>2</v>
      </c>
      <c r="W2200" s="18">
        <v>0</v>
      </c>
      <c r="X2200" s="18">
        <v>3</v>
      </c>
      <c r="Y2200" s="12">
        <v>0</v>
      </c>
      <c r="Z2200" s="18">
        <v>0</v>
      </c>
      <c r="AA2200" s="18">
        <v>0</v>
      </c>
      <c r="AB2200" s="18">
        <v>0</v>
      </c>
      <c r="AC2200" s="18">
        <v>0</v>
      </c>
      <c r="AD2200" s="18">
        <v>0</v>
      </c>
      <c r="AE2200" s="18">
        <v>0</v>
      </c>
      <c r="AF2200" s="18">
        <v>9</v>
      </c>
      <c r="AG2200" s="18">
        <v>1</v>
      </c>
      <c r="AH2200" s="18">
        <v>2</v>
      </c>
      <c r="AI2200" s="12">
        <v>2</v>
      </c>
      <c r="AJ2200" s="12">
        <v>1</v>
      </c>
      <c r="AK2200" s="12">
        <v>0</v>
      </c>
      <c r="AL2200" s="12">
        <v>5</v>
      </c>
      <c r="AM2200" s="18">
        <v>0</v>
      </c>
      <c r="AN2200" s="18">
        <v>0</v>
      </c>
      <c r="AO2200" s="18">
        <v>0</v>
      </c>
      <c r="AP2200" s="18">
        <v>0.5</v>
      </c>
      <c r="AQ2200" s="18">
        <v>2000</v>
      </c>
      <c r="AR2200" s="18">
        <v>0</v>
      </c>
      <c r="AS2200" s="18">
        <v>20</v>
      </c>
      <c r="AT2200" s="12">
        <v>0</v>
      </c>
      <c r="AU2200" s="18" t="s">
        <v>198</v>
      </c>
      <c r="AV2200" s="18"/>
      <c r="AW2200" s="19" t="s">
        <v>199</v>
      </c>
      <c r="AX2200" s="18" t="s">
        <v>545</v>
      </c>
      <c r="AY2200" s="18">
        <v>0</v>
      </c>
      <c r="AZ2200" s="18">
        <v>70106005</v>
      </c>
      <c r="BA2200" s="19" t="s">
        <v>2021</v>
      </c>
      <c r="BB2200" s="366" t="s">
        <v>2022</v>
      </c>
      <c r="BC2200" s="27">
        <v>0</v>
      </c>
      <c r="BD2200" s="27">
        <v>0</v>
      </c>
      <c r="BE2200" s="87" t="s">
        <v>4954</v>
      </c>
      <c r="BF2200" s="87" t="s">
        <v>4955</v>
      </c>
      <c r="BG2200" s="18">
        <v>0</v>
      </c>
      <c r="BH2200" s="367" t="s">
        <v>4967</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20.100000000000001" customHeight="1">
      <c r="C2201" s="100">
        <v>90010911</v>
      </c>
      <c r="D2201" s="99" t="s">
        <v>4968</v>
      </c>
      <c r="E2201" s="99" t="s">
        <v>4969</v>
      </c>
      <c r="F2201" s="100">
        <v>1</v>
      </c>
      <c r="G2201" s="101">
        <v>60010100</v>
      </c>
      <c r="H2201" s="100">
        <v>0</v>
      </c>
      <c r="I2201" s="105">
        <v>0</v>
      </c>
      <c r="J2201" s="100">
        <v>1</v>
      </c>
      <c r="K2201" s="100">
        <v>0</v>
      </c>
      <c r="L2201" s="100">
        <v>0</v>
      </c>
      <c r="M2201" s="101">
        <v>0</v>
      </c>
      <c r="N2201" s="101">
        <v>0</v>
      </c>
      <c r="O2201" s="101">
        <v>2</v>
      </c>
      <c r="P2201" s="101">
        <v>10</v>
      </c>
      <c r="Q2201" s="101">
        <v>0.5</v>
      </c>
      <c r="R2201" s="101">
        <v>0</v>
      </c>
      <c r="S2201" s="106">
        <v>1</v>
      </c>
      <c r="T2201" s="101">
        <v>0</v>
      </c>
      <c r="U2201" s="101">
        <v>1</v>
      </c>
      <c r="V2201" s="101">
        <v>1</v>
      </c>
      <c r="W2201" s="101">
        <v>0</v>
      </c>
      <c r="X2201" s="101">
        <v>0</v>
      </c>
      <c r="Y2201" s="12">
        <v>0</v>
      </c>
      <c r="Z2201" s="101">
        <v>0</v>
      </c>
      <c r="AA2201" s="101">
        <v>0</v>
      </c>
      <c r="AB2201" s="101">
        <v>0</v>
      </c>
      <c r="AC2201" s="101">
        <v>0</v>
      </c>
      <c r="AD2201" s="101">
        <v>0</v>
      </c>
      <c r="AE2201" s="101">
        <v>1</v>
      </c>
      <c r="AF2201" s="101">
        <v>15</v>
      </c>
      <c r="AG2201" s="101">
        <v>1</v>
      </c>
      <c r="AH2201" s="101">
        <v>2</v>
      </c>
      <c r="AI2201" s="106">
        <v>1</v>
      </c>
      <c r="AJ2201" s="106">
        <v>0</v>
      </c>
      <c r="AK2201" s="106">
        <v>0</v>
      </c>
      <c r="AL2201" s="106">
        <v>0</v>
      </c>
      <c r="AM2201" s="101">
        <v>0</v>
      </c>
      <c r="AN2201" s="101">
        <v>0</v>
      </c>
      <c r="AO2201" s="101">
        <v>0</v>
      </c>
      <c r="AP2201" s="101">
        <v>0</v>
      </c>
      <c r="AQ2201" s="101">
        <v>2000</v>
      </c>
      <c r="AR2201" s="101">
        <v>0</v>
      </c>
      <c r="AS2201" s="101">
        <v>0</v>
      </c>
      <c r="AT2201" s="106">
        <v>90104051</v>
      </c>
      <c r="AU2201" s="114">
        <v>0</v>
      </c>
      <c r="AV2201" s="114"/>
      <c r="AW2201" s="102" t="s">
        <v>287</v>
      </c>
      <c r="AX2201" s="101">
        <v>0</v>
      </c>
      <c r="AY2201" s="100">
        <v>0</v>
      </c>
      <c r="AZ2201" s="100">
        <v>0</v>
      </c>
      <c r="BA2201" s="99" t="s">
        <v>528</v>
      </c>
      <c r="BB2201" s="101" t="s">
        <v>4970</v>
      </c>
      <c r="BC2201" s="105">
        <v>0</v>
      </c>
      <c r="BD2201" s="105">
        <v>0</v>
      </c>
      <c r="BE2201" s="119" t="s">
        <v>916</v>
      </c>
      <c r="BF2201" s="119" t="s">
        <v>917</v>
      </c>
      <c r="BG2201" s="101">
        <v>0</v>
      </c>
      <c r="BH2201" s="101">
        <v>0</v>
      </c>
      <c r="BI2201" s="101">
        <v>0</v>
      </c>
      <c r="BJ2201" s="101">
        <v>0</v>
      </c>
      <c r="BK2201" s="101">
        <v>0</v>
      </c>
      <c r="BL2201" s="101">
        <v>0</v>
      </c>
      <c r="BM2201" s="97">
        <v>0</v>
      </c>
      <c r="BN2201" s="106">
        <v>0</v>
      </c>
      <c r="BO2201" s="106">
        <v>0</v>
      </c>
      <c r="BP2201" s="106">
        <v>0</v>
      </c>
      <c r="BQ2201" s="106">
        <v>0</v>
      </c>
      <c r="BR2201" s="106">
        <v>0</v>
      </c>
      <c r="BS2201" s="106">
        <v>0</v>
      </c>
      <c r="BT2201" s="12">
        <v>0</v>
      </c>
      <c r="BU2201" s="47">
        <v>0</v>
      </c>
      <c r="BV2201" s="47"/>
      <c r="BW2201" s="47"/>
    </row>
    <row r="2202" spans="3:75" ht="20.100000000000001" customHeight="1">
      <c r="C2202" s="100">
        <v>90010912</v>
      </c>
      <c r="D2202" s="99" t="s">
        <v>562</v>
      </c>
      <c r="E2202" s="99" t="s">
        <v>563</v>
      </c>
      <c r="F2202" s="101">
        <v>1</v>
      </c>
      <c r="G2202" s="101">
        <v>61012201</v>
      </c>
      <c r="H2202" s="101">
        <v>0</v>
      </c>
      <c r="I2202" s="105">
        <v>0</v>
      </c>
      <c r="J2202" s="101">
        <v>3</v>
      </c>
      <c r="K2202" s="101">
        <v>0</v>
      </c>
      <c r="L2202" s="101">
        <v>0</v>
      </c>
      <c r="M2202" s="101">
        <v>0</v>
      </c>
      <c r="N2202" s="101">
        <v>0</v>
      </c>
      <c r="O2202" s="101">
        <v>2</v>
      </c>
      <c r="P2202" s="101">
        <v>2</v>
      </c>
      <c r="Q2202" s="101">
        <v>1</v>
      </c>
      <c r="R2202" s="101">
        <v>0</v>
      </c>
      <c r="S2202" s="106">
        <v>0</v>
      </c>
      <c r="T2202" s="101">
        <v>0</v>
      </c>
      <c r="U2202" s="101">
        <v>1</v>
      </c>
      <c r="V2202" s="101">
        <v>2</v>
      </c>
      <c r="W2202" s="101">
        <v>0</v>
      </c>
      <c r="X2202" s="101">
        <v>1.5</v>
      </c>
      <c r="Y2202" s="12">
        <v>0</v>
      </c>
      <c r="Z2202" s="101">
        <v>300</v>
      </c>
      <c r="AA2202" s="101">
        <v>1</v>
      </c>
      <c r="AB2202" s="101">
        <v>0</v>
      </c>
      <c r="AC2202" s="101">
        <v>0</v>
      </c>
      <c r="AD2202" s="101">
        <v>0</v>
      </c>
      <c r="AE2202" s="101">
        <v>0</v>
      </c>
      <c r="AF2202" s="101">
        <v>15</v>
      </c>
      <c r="AG2202" s="101">
        <v>1</v>
      </c>
      <c r="AH2202" s="101">
        <v>4</v>
      </c>
      <c r="AI2202" s="106">
        <v>2</v>
      </c>
      <c r="AJ2202" s="106">
        <v>0</v>
      </c>
      <c r="AK2202" s="106">
        <v>0</v>
      </c>
      <c r="AL2202" s="106">
        <v>0</v>
      </c>
      <c r="AM2202" s="101">
        <v>0</v>
      </c>
      <c r="AN2202" s="101">
        <v>0</v>
      </c>
      <c r="AO2202" s="101">
        <v>0</v>
      </c>
      <c r="AP2202" s="101">
        <v>0</v>
      </c>
      <c r="AQ2202" s="101">
        <v>60000</v>
      </c>
      <c r="AR2202" s="101">
        <v>0.1</v>
      </c>
      <c r="AS2202" s="101">
        <v>0</v>
      </c>
      <c r="AT2202" s="106">
        <v>0</v>
      </c>
      <c r="AU2202" s="337" t="s">
        <v>4971</v>
      </c>
      <c r="AV2202" s="101"/>
      <c r="AW2202" s="99" t="s">
        <v>762</v>
      </c>
      <c r="AX2202" s="101" t="s">
        <v>534</v>
      </c>
      <c r="AY2202" s="100">
        <v>10000001</v>
      </c>
      <c r="AZ2202" s="100">
        <v>62001701</v>
      </c>
      <c r="BA2202" s="99" t="s">
        <v>1165</v>
      </c>
      <c r="BB2202" s="101">
        <v>0</v>
      </c>
      <c r="BC2202" s="105">
        <v>0</v>
      </c>
      <c r="BD2202" s="105">
        <v>0</v>
      </c>
      <c r="BE2202" s="137" t="str">
        <f t="shared" ref="BE2202" si="155">"每秒对周围的怪物造成"&amp;X2202*100&amp;"%攻击伤害+"&amp;Z2202&amp;"点固定伤害.持续4秒并使自身免疫怪物攻击"</f>
        <v>每秒对周围的怪物造成150%攻击伤害+300点固定伤害.持续4秒并使自身免疫怪物攻击</v>
      </c>
      <c r="BF2202" s="137" t="s">
        <v>4972</v>
      </c>
      <c r="BG2202" s="101">
        <v>0</v>
      </c>
      <c r="BH2202" s="101">
        <v>0</v>
      </c>
      <c r="BI2202" s="101">
        <v>0</v>
      </c>
      <c r="BJ2202" s="101">
        <v>0</v>
      </c>
      <c r="BK2202" s="101">
        <v>0</v>
      </c>
      <c r="BL2202" s="101">
        <v>0</v>
      </c>
      <c r="BM2202" s="97">
        <v>0</v>
      </c>
      <c r="BN2202" s="106">
        <v>0</v>
      </c>
      <c r="BO2202" s="106">
        <v>0</v>
      </c>
      <c r="BP2202" s="106">
        <v>0</v>
      </c>
      <c r="BQ2202" s="106">
        <v>0</v>
      </c>
      <c r="BR2202" s="106">
        <v>0</v>
      </c>
      <c r="BS2202" s="106">
        <v>1</v>
      </c>
      <c r="BT2202" s="12">
        <v>0</v>
      </c>
      <c r="BU2202" s="47">
        <v>0</v>
      </c>
      <c r="BV2202" s="47"/>
      <c r="BW2202" s="47"/>
    </row>
    <row r="2203" spans="3:75" ht="20.100000000000001" customHeight="1">
      <c r="C2203" s="280">
        <v>90020002</v>
      </c>
      <c r="D2203" s="281" t="s">
        <v>4973</v>
      </c>
      <c r="E2203" s="281" t="s">
        <v>4974</v>
      </c>
      <c r="F2203" s="280">
        <v>1</v>
      </c>
      <c r="G2203" s="280">
        <v>80003005</v>
      </c>
      <c r="H2203" s="280">
        <v>0</v>
      </c>
      <c r="I2203" s="290">
        <v>0</v>
      </c>
      <c r="J2203" s="280">
        <v>1</v>
      </c>
      <c r="K2203" s="280">
        <v>0</v>
      </c>
      <c r="L2203" s="280">
        <v>0</v>
      </c>
      <c r="M2203" s="280">
        <v>0</v>
      </c>
      <c r="N2203" s="280">
        <v>0</v>
      </c>
      <c r="O2203" s="280">
        <v>1</v>
      </c>
      <c r="P2203" s="280">
        <v>0</v>
      </c>
      <c r="Q2203" s="280">
        <v>0</v>
      </c>
      <c r="R2203" s="280">
        <v>0</v>
      </c>
      <c r="S2203" s="292">
        <v>0</v>
      </c>
      <c r="T2203" s="290">
        <v>0</v>
      </c>
      <c r="U2203" s="293">
        <v>1</v>
      </c>
      <c r="V2203" s="280">
        <v>1</v>
      </c>
      <c r="W2203" s="280">
        <v>0</v>
      </c>
      <c r="X2203" s="280">
        <v>1.5</v>
      </c>
      <c r="Y2203" s="12">
        <v>0</v>
      </c>
      <c r="Z2203" s="280">
        <v>0</v>
      </c>
      <c r="AA2203" s="280">
        <v>0</v>
      </c>
      <c r="AB2203" s="280">
        <v>0</v>
      </c>
      <c r="AC2203" s="280">
        <v>0</v>
      </c>
      <c r="AD2203" s="280">
        <v>1</v>
      </c>
      <c r="AE2203" s="280">
        <v>1</v>
      </c>
      <c r="AF2203" s="280">
        <v>5</v>
      </c>
      <c r="AG2203" s="280">
        <v>1</v>
      </c>
      <c r="AH2203" s="280">
        <v>3</v>
      </c>
      <c r="AI2203" s="292">
        <v>2</v>
      </c>
      <c r="AJ2203" s="292">
        <v>1</v>
      </c>
      <c r="AK2203" s="292">
        <v>0</v>
      </c>
      <c r="AL2203" s="292">
        <v>6</v>
      </c>
      <c r="AM2203" s="280">
        <v>0</v>
      </c>
      <c r="AN2203" s="280">
        <v>0</v>
      </c>
      <c r="AO2203" s="280">
        <v>0</v>
      </c>
      <c r="AP2203" s="280">
        <v>0</v>
      </c>
      <c r="AQ2203" s="280">
        <v>5000</v>
      </c>
      <c r="AR2203" s="280">
        <v>0.2</v>
      </c>
      <c r="AS2203" s="280">
        <v>0</v>
      </c>
      <c r="AT2203" s="292">
        <v>0</v>
      </c>
      <c r="AU2203" s="280">
        <v>0</v>
      </c>
      <c r="AV2203" s="280"/>
      <c r="AW2203" s="281" t="s">
        <v>198</v>
      </c>
      <c r="AX2203" s="280" t="s">
        <v>1590</v>
      </c>
      <c r="AY2203" s="280">
        <v>10000006</v>
      </c>
      <c r="AZ2203" s="297">
        <v>91000307</v>
      </c>
      <c r="BA2203" s="281" t="s">
        <v>4975</v>
      </c>
      <c r="BB2203" s="281" t="s">
        <v>4976</v>
      </c>
      <c r="BC2203" s="290">
        <v>0</v>
      </c>
      <c r="BD2203" s="290">
        <v>0</v>
      </c>
      <c r="BE2203" s="300" t="s">
        <v>4977</v>
      </c>
      <c r="BF2203" s="300" t="s">
        <v>4978</v>
      </c>
      <c r="BG2203" s="280">
        <v>0</v>
      </c>
      <c r="BH2203" s="293">
        <v>0</v>
      </c>
      <c r="BI2203" s="280">
        <v>0</v>
      </c>
      <c r="BJ2203" s="280">
        <v>0</v>
      </c>
      <c r="BK2203" s="280">
        <v>0</v>
      </c>
      <c r="BL2203" s="280">
        <v>0</v>
      </c>
      <c r="BM2203" s="304">
        <v>0</v>
      </c>
      <c r="BN2203" s="292">
        <v>1</v>
      </c>
      <c r="BO2203" s="292">
        <v>0</v>
      </c>
      <c r="BP2203" s="292">
        <v>0</v>
      </c>
      <c r="BQ2203" s="292">
        <v>0</v>
      </c>
      <c r="BR2203" s="292">
        <v>0</v>
      </c>
      <c r="BS2203" s="292">
        <v>1</v>
      </c>
      <c r="BT2203" s="12">
        <v>0</v>
      </c>
      <c r="BU2203" s="47">
        <v>0</v>
      </c>
      <c r="BV2203" s="47"/>
      <c r="BW2203" s="47"/>
    </row>
    <row r="2204" spans="3:75" ht="20.100000000000001" customHeight="1">
      <c r="C2204" s="280">
        <v>90020003</v>
      </c>
      <c r="D2204" s="281" t="s">
        <v>4979</v>
      </c>
      <c r="E2204" s="281" t="s">
        <v>4980</v>
      </c>
      <c r="F2204" s="280">
        <v>1</v>
      </c>
      <c r="G2204" s="280">
        <v>80003005</v>
      </c>
      <c r="H2204" s="280">
        <v>0</v>
      </c>
      <c r="I2204" s="290">
        <v>0</v>
      </c>
      <c r="J2204" s="280">
        <v>1</v>
      </c>
      <c r="K2204" s="280">
        <v>0</v>
      </c>
      <c r="L2204" s="280">
        <v>0</v>
      </c>
      <c r="M2204" s="280">
        <v>0</v>
      </c>
      <c r="N2204" s="280">
        <v>0</v>
      </c>
      <c r="O2204" s="280">
        <v>1</v>
      </c>
      <c r="P2204" s="280">
        <v>0</v>
      </c>
      <c r="Q2204" s="280">
        <v>0</v>
      </c>
      <c r="R2204" s="280">
        <v>0</v>
      </c>
      <c r="S2204" s="292">
        <v>0</v>
      </c>
      <c r="T2204" s="290">
        <v>0</v>
      </c>
      <c r="U2204" s="293">
        <v>1</v>
      </c>
      <c r="V2204" s="280">
        <v>1</v>
      </c>
      <c r="W2204" s="280">
        <v>0</v>
      </c>
      <c r="X2204" s="280">
        <v>1.5</v>
      </c>
      <c r="Y2204" s="12">
        <v>0</v>
      </c>
      <c r="Z2204" s="280">
        <v>0</v>
      </c>
      <c r="AA2204" s="280">
        <v>0</v>
      </c>
      <c r="AB2204" s="280">
        <v>0</v>
      </c>
      <c r="AC2204" s="280">
        <v>0</v>
      </c>
      <c r="AD2204" s="280">
        <v>1</v>
      </c>
      <c r="AE2204" s="280">
        <v>1</v>
      </c>
      <c r="AF2204" s="280">
        <v>5</v>
      </c>
      <c r="AG2204" s="280">
        <v>1</v>
      </c>
      <c r="AH2204" s="280">
        <v>10</v>
      </c>
      <c r="AI2204" s="292">
        <v>2</v>
      </c>
      <c r="AJ2204" s="292">
        <v>1</v>
      </c>
      <c r="AK2204" s="292">
        <v>0</v>
      </c>
      <c r="AL2204" s="292">
        <v>6</v>
      </c>
      <c r="AM2204" s="280">
        <v>0</v>
      </c>
      <c r="AN2204" s="280">
        <v>0</v>
      </c>
      <c r="AO2204" s="280">
        <v>0</v>
      </c>
      <c r="AP2204" s="280">
        <v>0</v>
      </c>
      <c r="AQ2204" s="280">
        <v>5000</v>
      </c>
      <c r="AR2204" s="280">
        <v>1</v>
      </c>
      <c r="AS2204" s="280">
        <v>0</v>
      </c>
      <c r="AT2204" s="292">
        <v>0</v>
      </c>
      <c r="AU2204" s="280">
        <v>0</v>
      </c>
      <c r="AV2204" s="280"/>
      <c r="AW2204" s="281" t="s">
        <v>198</v>
      </c>
      <c r="AX2204" s="280" t="s">
        <v>1590</v>
      </c>
      <c r="AY2204" s="280">
        <v>10000006</v>
      </c>
      <c r="AZ2204" s="297">
        <v>91000315</v>
      </c>
      <c r="BA2204" s="281" t="s">
        <v>4981</v>
      </c>
      <c r="BB2204" s="281" t="s">
        <v>198</v>
      </c>
      <c r="BC2204" s="290">
        <v>0</v>
      </c>
      <c r="BD2204" s="290">
        <v>0</v>
      </c>
      <c r="BE2204" s="300" t="s">
        <v>4982</v>
      </c>
      <c r="BF2204" s="300" t="s">
        <v>4983</v>
      </c>
      <c r="BG2204" s="280">
        <v>0</v>
      </c>
      <c r="BH2204" s="293">
        <v>0</v>
      </c>
      <c r="BI2204" s="280">
        <v>0</v>
      </c>
      <c r="BJ2204" s="280">
        <v>0</v>
      </c>
      <c r="BK2204" s="280">
        <v>0</v>
      </c>
      <c r="BL2204" s="280">
        <v>0</v>
      </c>
      <c r="BM2204" s="304">
        <v>0</v>
      </c>
      <c r="BN2204" s="292">
        <v>1</v>
      </c>
      <c r="BO2204" s="292">
        <v>0</v>
      </c>
      <c r="BP2204" s="292">
        <v>0</v>
      </c>
      <c r="BQ2204" s="292">
        <v>0</v>
      </c>
      <c r="BR2204" s="292">
        <v>0</v>
      </c>
      <c r="BS2204" s="292">
        <v>1</v>
      </c>
      <c r="BT2204" s="12">
        <v>0</v>
      </c>
      <c r="BU2204" s="47">
        <v>0</v>
      </c>
      <c r="BV2204" s="47"/>
      <c r="BW2204" s="47"/>
    </row>
    <row r="2205" spans="3:75" ht="20.100000000000001" customHeight="1">
      <c r="C2205" s="280">
        <v>90020004</v>
      </c>
      <c r="D2205" s="19" t="s">
        <v>4984</v>
      </c>
      <c r="E2205" s="19" t="s">
        <v>4985</v>
      </c>
      <c r="F2205" s="16">
        <v>1</v>
      </c>
      <c r="G2205" s="16">
        <v>60010300</v>
      </c>
      <c r="H2205" s="16">
        <v>0</v>
      </c>
      <c r="I2205" s="27">
        <v>0</v>
      </c>
      <c r="J2205" s="16">
        <v>1</v>
      </c>
      <c r="K2205" s="16">
        <v>0</v>
      </c>
      <c r="L2205" s="16">
        <v>0</v>
      </c>
      <c r="M2205" s="16">
        <v>0</v>
      </c>
      <c r="N2205" s="16">
        <v>0</v>
      </c>
      <c r="O2205" s="16">
        <v>2</v>
      </c>
      <c r="P2205" s="16">
        <v>1</v>
      </c>
      <c r="Q2205" s="16">
        <v>1</v>
      </c>
      <c r="R2205" s="16">
        <v>0</v>
      </c>
      <c r="S2205" s="12">
        <v>0</v>
      </c>
      <c r="T2205" s="16">
        <v>0</v>
      </c>
      <c r="U2205" s="16">
        <v>0</v>
      </c>
      <c r="V2205" s="16">
        <v>1</v>
      </c>
      <c r="W2205" s="16">
        <v>0</v>
      </c>
      <c r="X2205" s="16">
        <v>1</v>
      </c>
      <c r="Y2205" s="12">
        <v>0</v>
      </c>
      <c r="Z2205" s="18">
        <v>0</v>
      </c>
      <c r="AA2205" s="16">
        <v>0</v>
      </c>
      <c r="AB2205" s="16">
        <v>0</v>
      </c>
      <c r="AC2205" s="16">
        <v>0</v>
      </c>
      <c r="AD2205" s="16">
        <v>1</v>
      </c>
      <c r="AE2205" s="16">
        <v>0</v>
      </c>
      <c r="AF2205" s="16">
        <v>5</v>
      </c>
      <c r="AG2205" s="16">
        <v>2</v>
      </c>
      <c r="AH2205" s="16" t="s">
        <v>231</v>
      </c>
      <c r="AI2205" s="12">
        <v>2</v>
      </c>
      <c r="AJ2205" s="12">
        <v>0</v>
      </c>
      <c r="AK2205" s="12">
        <v>0</v>
      </c>
      <c r="AL2205" s="12">
        <v>3</v>
      </c>
      <c r="AM2205" s="16">
        <v>0</v>
      </c>
      <c r="AN2205" s="16">
        <v>0</v>
      </c>
      <c r="AO2205" s="21">
        <v>0</v>
      </c>
      <c r="AP2205" s="16">
        <v>1.25</v>
      </c>
      <c r="AQ2205" s="16">
        <v>3000</v>
      </c>
      <c r="AR2205" s="16">
        <v>0.4</v>
      </c>
      <c r="AS2205" s="16">
        <v>0</v>
      </c>
      <c r="AT2205" s="12">
        <v>0</v>
      </c>
      <c r="AU2205" s="16" t="s">
        <v>198</v>
      </c>
      <c r="AV2205" s="16"/>
      <c r="AW2205" s="17" t="s">
        <v>232</v>
      </c>
      <c r="AX2205" s="16" t="s">
        <v>233</v>
      </c>
      <c r="AY2205" s="18">
        <v>12000001</v>
      </c>
      <c r="AZ2205" s="26">
        <v>20100010</v>
      </c>
      <c r="BA2205" s="17" t="s">
        <v>4986</v>
      </c>
      <c r="BB2205" s="16" t="s">
        <v>4987</v>
      </c>
      <c r="BC2205" s="27">
        <v>0</v>
      </c>
      <c r="BD2205" s="27">
        <v>0</v>
      </c>
      <c r="BE2205" s="44"/>
      <c r="BF2205" s="44"/>
      <c r="BG2205" s="16">
        <v>0</v>
      </c>
      <c r="BH2205" s="16">
        <v>0</v>
      </c>
      <c r="BI2205" s="16">
        <v>0</v>
      </c>
      <c r="BJ2205" s="16">
        <v>0</v>
      </c>
      <c r="BK2205" s="16">
        <v>0</v>
      </c>
      <c r="BL2205" s="16">
        <v>0</v>
      </c>
      <c r="BM2205" s="16">
        <v>0</v>
      </c>
      <c r="BN2205" s="12">
        <v>0</v>
      </c>
      <c r="BO2205" s="12">
        <v>0</v>
      </c>
      <c r="BP2205" s="12">
        <v>0</v>
      </c>
      <c r="BQ2205" s="12">
        <v>0</v>
      </c>
      <c r="BR2205" s="12">
        <v>0</v>
      </c>
      <c r="BS2205" s="12">
        <v>0</v>
      </c>
      <c r="BT2205" s="12">
        <v>0</v>
      </c>
      <c r="BU2205" s="47">
        <v>0</v>
      </c>
      <c r="BV2205" s="47"/>
      <c r="BW2205" s="47"/>
    </row>
    <row r="2206" spans="3:75" ht="20.100000000000001" customHeight="1">
      <c r="C2206" s="280">
        <v>90020005</v>
      </c>
      <c r="D2206" s="19" t="s">
        <v>4988</v>
      </c>
      <c r="E2206" s="19" t="s">
        <v>4989</v>
      </c>
      <c r="F2206" s="16">
        <v>1</v>
      </c>
      <c r="G2206" s="16">
        <v>60010300</v>
      </c>
      <c r="H2206" s="16">
        <v>0</v>
      </c>
      <c r="I2206" s="27">
        <v>0</v>
      </c>
      <c r="J2206" s="16">
        <v>1</v>
      </c>
      <c r="K2206" s="16">
        <v>0</v>
      </c>
      <c r="L2206" s="16">
        <v>0</v>
      </c>
      <c r="M2206" s="16">
        <v>0</v>
      </c>
      <c r="N2206" s="16">
        <v>0</v>
      </c>
      <c r="O2206" s="16">
        <v>1</v>
      </c>
      <c r="P2206" s="16">
        <v>0</v>
      </c>
      <c r="Q2206" s="16">
        <v>0</v>
      </c>
      <c r="R2206" s="16">
        <v>0</v>
      </c>
      <c r="S2206" s="12">
        <v>0</v>
      </c>
      <c r="T2206" s="16">
        <v>0</v>
      </c>
      <c r="U2206" s="16">
        <v>0</v>
      </c>
      <c r="V2206" s="16">
        <v>1</v>
      </c>
      <c r="W2206" s="16">
        <v>0</v>
      </c>
      <c r="X2206" s="16">
        <v>1</v>
      </c>
      <c r="Y2206" s="12">
        <v>0</v>
      </c>
      <c r="Z2206" s="18">
        <v>0</v>
      </c>
      <c r="AA2206" s="16">
        <v>0</v>
      </c>
      <c r="AB2206" s="16">
        <v>0</v>
      </c>
      <c r="AC2206" s="16">
        <v>0</v>
      </c>
      <c r="AD2206" s="16">
        <v>1</v>
      </c>
      <c r="AE2206" s="16">
        <v>0</v>
      </c>
      <c r="AF2206" s="16">
        <v>5</v>
      </c>
      <c r="AG2206" s="16">
        <v>2</v>
      </c>
      <c r="AH2206" s="16" t="s">
        <v>231</v>
      </c>
      <c r="AI2206" s="12">
        <v>2</v>
      </c>
      <c r="AJ2206" s="12">
        <v>0</v>
      </c>
      <c r="AK2206" s="12">
        <v>0</v>
      </c>
      <c r="AL2206" s="12">
        <v>3</v>
      </c>
      <c r="AM2206" s="16">
        <v>0</v>
      </c>
      <c r="AN2206" s="16">
        <v>0</v>
      </c>
      <c r="AO2206" s="21">
        <v>0</v>
      </c>
      <c r="AP2206" s="16">
        <v>1.25</v>
      </c>
      <c r="AQ2206" s="16">
        <v>3000</v>
      </c>
      <c r="AR2206" s="16">
        <v>0.4</v>
      </c>
      <c r="AS2206" s="16">
        <v>0</v>
      </c>
      <c r="AT2206" s="12">
        <v>99004003</v>
      </c>
      <c r="AU2206" s="16" t="s">
        <v>198</v>
      </c>
      <c r="AV2206" s="16"/>
      <c r="AW2206" s="17" t="s">
        <v>232</v>
      </c>
      <c r="AX2206" s="16" t="s">
        <v>233</v>
      </c>
      <c r="AY2206" s="18">
        <v>0</v>
      </c>
      <c r="AZ2206" s="26">
        <v>0</v>
      </c>
      <c r="BA2206" s="17" t="s">
        <v>200</v>
      </c>
      <c r="BB2206" s="16">
        <v>0</v>
      </c>
      <c r="BC2206" s="27">
        <v>0</v>
      </c>
      <c r="BD2206" s="27">
        <v>0</v>
      </c>
      <c r="BE2206" s="44"/>
      <c r="BF2206" s="44"/>
      <c r="BG2206" s="16">
        <v>0</v>
      </c>
      <c r="BH2206" s="16">
        <v>0</v>
      </c>
      <c r="BI2206" s="16">
        <v>0</v>
      </c>
      <c r="BJ2206" s="16">
        <v>0</v>
      </c>
      <c r="BK2206" s="16">
        <v>0</v>
      </c>
      <c r="BL2206" s="16">
        <v>0</v>
      </c>
      <c r="BM2206" s="16">
        <v>0</v>
      </c>
      <c r="BN2206" s="12">
        <v>0</v>
      </c>
      <c r="BO2206" s="12">
        <v>0</v>
      </c>
      <c r="BP2206" s="12">
        <v>0</v>
      </c>
      <c r="BQ2206" s="12">
        <v>0</v>
      </c>
      <c r="BR2206" s="12">
        <v>0</v>
      </c>
      <c r="BS2206" s="12">
        <v>0</v>
      </c>
      <c r="BT2206" s="12">
        <v>0</v>
      </c>
      <c r="BU2206" s="47">
        <v>0</v>
      </c>
      <c r="BV2206" s="47"/>
      <c r="BW2206" s="47"/>
    </row>
    <row r="2207" spans="3:75" ht="20.100000000000001" customHeight="1">
      <c r="C2207" s="282">
        <v>77001101</v>
      </c>
      <c r="D2207" s="283" t="s">
        <v>731</v>
      </c>
      <c r="E2207" s="283" t="s">
        <v>674</v>
      </c>
      <c r="F2207" s="93">
        <v>1</v>
      </c>
      <c r="G2207" s="60">
        <v>0</v>
      </c>
      <c r="H2207" s="93">
        <v>0</v>
      </c>
      <c r="I2207" s="93">
        <v>0</v>
      </c>
      <c r="J2207" s="93">
        <v>1</v>
      </c>
      <c r="K2207" s="93">
        <v>0</v>
      </c>
      <c r="L2207" s="125">
        <v>0</v>
      </c>
      <c r="M2207" s="125">
        <v>0</v>
      </c>
      <c r="N2207" s="93">
        <v>0</v>
      </c>
      <c r="O2207" s="93">
        <v>2</v>
      </c>
      <c r="P2207" s="93">
        <v>2</v>
      </c>
      <c r="Q2207" s="93">
        <v>0.6</v>
      </c>
      <c r="R2207" s="93">
        <v>0</v>
      </c>
      <c r="S2207" s="68">
        <v>0</v>
      </c>
      <c r="T2207" s="93">
        <v>0</v>
      </c>
      <c r="U2207" s="60">
        <v>1</v>
      </c>
      <c r="V2207" s="93">
        <v>1</v>
      </c>
      <c r="W2207" s="125">
        <v>0</v>
      </c>
      <c r="X2207" s="93">
        <v>3</v>
      </c>
      <c r="Y2207" s="12">
        <v>0</v>
      </c>
      <c r="Z2207" s="93">
        <v>0</v>
      </c>
      <c r="AA2207" s="93">
        <v>0</v>
      </c>
      <c r="AB2207" s="93">
        <v>0</v>
      </c>
      <c r="AC2207" s="125">
        <v>0</v>
      </c>
      <c r="AD2207" s="93">
        <v>0</v>
      </c>
      <c r="AE2207" s="93">
        <v>0</v>
      </c>
      <c r="AF2207" s="93">
        <v>20</v>
      </c>
      <c r="AG2207" s="93">
        <v>1</v>
      </c>
      <c r="AH2207" s="93">
        <v>5</v>
      </c>
      <c r="AI2207" s="126">
        <v>0</v>
      </c>
      <c r="AJ2207" s="126">
        <v>1</v>
      </c>
      <c r="AK2207" s="68">
        <v>0</v>
      </c>
      <c r="AL2207" s="93">
        <v>2.5</v>
      </c>
      <c r="AM2207" s="127">
        <v>0</v>
      </c>
      <c r="AN2207" s="93">
        <v>1</v>
      </c>
      <c r="AO2207" s="93">
        <v>0</v>
      </c>
      <c r="AP2207" s="93">
        <v>1</v>
      </c>
      <c r="AQ2207" s="93">
        <v>3000</v>
      </c>
      <c r="AR2207" s="93">
        <v>1</v>
      </c>
      <c r="AS2207" s="93">
        <v>0</v>
      </c>
      <c r="AT2207" s="339" t="s">
        <v>4990</v>
      </c>
      <c r="AU2207" s="331" t="s">
        <v>4991</v>
      </c>
      <c r="AV2207" s="79"/>
      <c r="AW2207" s="59" t="s">
        <v>287</v>
      </c>
      <c r="AX2207" s="125">
        <v>0</v>
      </c>
      <c r="AY2207" s="125">
        <v>0</v>
      </c>
      <c r="AZ2207" s="125">
        <v>77001101</v>
      </c>
      <c r="BA2207" s="63" t="s">
        <v>200</v>
      </c>
      <c r="BB2207" s="60">
        <v>0</v>
      </c>
      <c r="BC2207" s="66">
        <v>0</v>
      </c>
      <c r="BD2207" s="66">
        <v>0</v>
      </c>
      <c r="BE2207" s="301" t="s">
        <v>4992</v>
      </c>
      <c r="BF2207" s="301" t="s">
        <v>4993</v>
      </c>
      <c r="BG2207" s="93">
        <v>0</v>
      </c>
      <c r="BH2207" s="93">
        <v>0</v>
      </c>
      <c r="BI2207" s="64">
        <v>0</v>
      </c>
      <c r="BJ2207" s="93">
        <v>0</v>
      </c>
      <c r="BK2207" s="93">
        <v>0</v>
      </c>
      <c r="BL2207" s="127">
        <v>0</v>
      </c>
      <c r="BM2207" s="93">
        <v>0</v>
      </c>
      <c r="BN2207" s="68">
        <v>0</v>
      </c>
      <c r="BO2207" s="68">
        <v>0</v>
      </c>
      <c r="BP2207" s="68">
        <v>0</v>
      </c>
      <c r="BQ2207" s="68">
        <v>0</v>
      </c>
      <c r="BR2207" s="68">
        <v>0</v>
      </c>
      <c r="BS2207" s="68">
        <v>0</v>
      </c>
      <c r="BT2207" s="68">
        <v>0</v>
      </c>
      <c r="BU2207" s="47">
        <v>0</v>
      </c>
      <c r="BV2207" s="47"/>
      <c r="BW2207" s="47"/>
    </row>
    <row r="2208" spans="3:75" ht="20.100000000000001" customHeight="1">
      <c r="C2208" s="282">
        <v>77001102</v>
      </c>
      <c r="D2208" s="59" t="s">
        <v>598</v>
      </c>
      <c r="E2208" s="147" t="s">
        <v>1162</v>
      </c>
      <c r="F2208" s="93">
        <v>1</v>
      </c>
      <c r="G2208" s="93">
        <v>0</v>
      </c>
      <c r="H2208" s="64">
        <v>0</v>
      </c>
      <c r="I2208" s="66">
        <v>0</v>
      </c>
      <c r="J2208" s="64">
        <v>1</v>
      </c>
      <c r="K2208" s="64">
        <v>0</v>
      </c>
      <c r="L2208" s="64">
        <v>0</v>
      </c>
      <c r="M2208" s="60">
        <v>0</v>
      </c>
      <c r="N2208" s="60">
        <v>0</v>
      </c>
      <c r="O2208" s="60">
        <v>2</v>
      </c>
      <c r="P2208" s="60">
        <v>16</v>
      </c>
      <c r="Q2208" s="60">
        <v>5</v>
      </c>
      <c r="R2208" s="60">
        <v>0</v>
      </c>
      <c r="S2208" s="68">
        <v>0</v>
      </c>
      <c r="T2208" s="60">
        <v>0</v>
      </c>
      <c r="U2208" s="60">
        <v>1</v>
      </c>
      <c r="V2208" s="60">
        <v>2</v>
      </c>
      <c r="W2208" s="60">
        <v>0</v>
      </c>
      <c r="X2208" s="60">
        <v>1.5</v>
      </c>
      <c r="Y2208" s="12">
        <v>0</v>
      </c>
      <c r="Z2208" s="60">
        <v>0</v>
      </c>
      <c r="AA2208" s="60">
        <v>0</v>
      </c>
      <c r="AB2208" s="60">
        <v>0</v>
      </c>
      <c r="AC2208" s="60">
        <v>0</v>
      </c>
      <c r="AD2208" s="60">
        <v>0</v>
      </c>
      <c r="AE2208" s="60">
        <v>0</v>
      </c>
      <c r="AF2208" s="60">
        <v>0</v>
      </c>
      <c r="AG2208" s="60">
        <v>2</v>
      </c>
      <c r="AH2208" s="60" t="s">
        <v>213</v>
      </c>
      <c r="AI2208" s="68">
        <v>0</v>
      </c>
      <c r="AJ2208" s="68">
        <v>2</v>
      </c>
      <c r="AK2208" s="68">
        <v>0</v>
      </c>
      <c r="AL2208" s="68">
        <v>1.5</v>
      </c>
      <c r="AM2208" s="60">
        <v>0</v>
      </c>
      <c r="AN2208" s="60">
        <v>0</v>
      </c>
      <c r="AO2208" s="60">
        <v>0</v>
      </c>
      <c r="AP2208" s="60">
        <v>1</v>
      </c>
      <c r="AQ2208" s="60">
        <v>2000</v>
      </c>
      <c r="AR2208" s="60">
        <v>1</v>
      </c>
      <c r="AS2208" s="60">
        <v>0</v>
      </c>
      <c r="AT2208" s="68">
        <v>0</v>
      </c>
      <c r="AU2208" s="331" t="s">
        <v>4991</v>
      </c>
      <c r="AV2208" s="79"/>
      <c r="AW2208" s="63" t="s">
        <v>199</v>
      </c>
      <c r="AX2208" s="60" t="s">
        <v>545</v>
      </c>
      <c r="AY2208" s="64">
        <v>10001007</v>
      </c>
      <c r="AZ2208" s="64">
        <v>77001104</v>
      </c>
      <c r="BA2208" s="59" t="s">
        <v>200</v>
      </c>
      <c r="BB2208" s="60">
        <v>0</v>
      </c>
      <c r="BC2208" s="66">
        <v>0</v>
      </c>
      <c r="BD2208" s="66">
        <v>0</v>
      </c>
      <c r="BE2208" s="90" t="s">
        <v>4994</v>
      </c>
      <c r="BF2208" s="90" t="s">
        <v>4995</v>
      </c>
      <c r="BG2208" s="60">
        <v>0</v>
      </c>
      <c r="BH2208" s="60">
        <v>0</v>
      </c>
      <c r="BI2208" s="60">
        <v>0</v>
      </c>
      <c r="BJ2208" s="60">
        <v>0</v>
      </c>
      <c r="BK2208" s="60">
        <v>0</v>
      </c>
      <c r="BL2208" s="60">
        <v>0</v>
      </c>
      <c r="BM2208" s="93">
        <v>0</v>
      </c>
      <c r="BN2208" s="68">
        <v>0</v>
      </c>
      <c r="BO2208" s="68">
        <v>0</v>
      </c>
      <c r="BP2208" s="68">
        <v>0</v>
      </c>
      <c r="BQ2208" s="68">
        <v>0</v>
      </c>
      <c r="BR2208" s="68">
        <v>0</v>
      </c>
      <c r="BS2208" s="68">
        <v>0</v>
      </c>
      <c r="BT2208" s="68">
        <v>0</v>
      </c>
      <c r="BU2208" s="47">
        <v>0</v>
      </c>
      <c r="BV2208" s="47"/>
      <c r="BW2208" s="47"/>
    </row>
    <row r="2209" spans="3:75" ht="20.100000000000001" customHeight="1">
      <c r="C2209" s="282">
        <v>77001103</v>
      </c>
      <c r="D2209" s="59" t="s">
        <v>736</v>
      </c>
      <c r="E2209" s="147" t="s">
        <v>737</v>
      </c>
      <c r="F2209" s="93">
        <v>1</v>
      </c>
      <c r="G2209" s="93">
        <v>0</v>
      </c>
      <c r="H2209" s="64">
        <v>0</v>
      </c>
      <c r="I2209" s="66">
        <v>0</v>
      </c>
      <c r="J2209" s="64">
        <v>1</v>
      </c>
      <c r="K2209" s="64">
        <v>0</v>
      </c>
      <c r="L2209" s="64">
        <v>0</v>
      </c>
      <c r="M2209" s="60">
        <v>0</v>
      </c>
      <c r="N2209" s="60">
        <v>0</v>
      </c>
      <c r="O2209" s="60">
        <v>2</v>
      </c>
      <c r="P2209" s="60">
        <v>1</v>
      </c>
      <c r="Q2209" s="60">
        <v>0.2</v>
      </c>
      <c r="R2209" s="60">
        <v>0</v>
      </c>
      <c r="S2209" s="68">
        <v>0</v>
      </c>
      <c r="T2209" s="60">
        <v>0</v>
      </c>
      <c r="U2209" s="60">
        <v>1</v>
      </c>
      <c r="V2209" s="60">
        <v>2</v>
      </c>
      <c r="W2209" s="60">
        <v>0</v>
      </c>
      <c r="X2209" s="60">
        <v>0.8</v>
      </c>
      <c r="Y2209" s="12">
        <v>0</v>
      </c>
      <c r="Z2209" s="60">
        <v>0</v>
      </c>
      <c r="AA2209" s="60">
        <v>0</v>
      </c>
      <c r="AB2209" s="60">
        <v>0</v>
      </c>
      <c r="AC2209" s="60">
        <v>0</v>
      </c>
      <c r="AD2209" s="60">
        <v>0</v>
      </c>
      <c r="AE2209" s="60">
        <v>0</v>
      </c>
      <c r="AF2209" s="60">
        <v>0</v>
      </c>
      <c r="AG2209" s="60">
        <v>1</v>
      </c>
      <c r="AH2209" s="60">
        <v>3</v>
      </c>
      <c r="AI2209" s="68">
        <v>0</v>
      </c>
      <c r="AJ2209" s="68">
        <v>1</v>
      </c>
      <c r="AK2209" s="68">
        <v>0</v>
      </c>
      <c r="AL2209" s="68">
        <v>1.5</v>
      </c>
      <c r="AM2209" s="60">
        <v>0</v>
      </c>
      <c r="AN2209" s="60">
        <v>0</v>
      </c>
      <c r="AO2209" s="60">
        <v>0</v>
      </c>
      <c r="AP2209" s="60">
        <v>0.3</v>
      </c>
      <c r="AQ2209" s="60">
        <v>2000</v>
      </c>
      <c r="AR2209" s="60">
        <v>0.3</v>
      </c>
      <c r="AS2209" s="60">
        <v>0</v>
      </c>
      <c r="AT2209" s="68">
        <v>0</v>
      </c>
      <c r="AU2209" s="331" t="s">
        <v>4996</v>
      </c>
      <c r="AV2209" s="79"/>
      <c r="AW2209" s="63" t="s">
        <v>199</v>
      </c>
      <c r="AX2209" s="60" t="s">
        <v>545</v>
      </c>
      <c r="AY2209" s="64">
        <v>10001007</v>
      </c>
      <c r="AZ2209" s="64">
        <v>77001103</v>
      </c>
      <c r="BA2209" s="59" t="s">
        <v>200</v>
      </c>
      <c r="BB2209" s="60">
        <v>0</v>
      </c>
      <c r="BC2209" s="66">
        <v>0</v>
      </c>
      <c r="BD2209" s="66">
        <v>0</v>
      </c>
      <c r="BE2209" s="90" t="s">
        <v>4997</v>
      </c>
      <c r="BF2209" s="90" t="s">
        <v>4998</v>
      </c>
      <c r="BG2209" s="60">
        <v>0</v>
      </c>
      <c r="BH2209" s="60">
        <v>0</v>
      </c>
      <c r="BI2209" s="60">
        <v>0</v>
      </c>
      <c r="BJ2209" s="60">
        <v>0</v>
      </c>
      <c r="BK2209" s="60">
        <v>0</v>
      </c>
      <c r="BL2209" s="60">
        <v>0</v>
      </c>
      <c r="BM2209" s="93">
        <v>0</v>
      </c>
      <c r="BN2209" s="68">
        <v>0</v>
      </c>
      <c r="BO2209" s="68">
        <v>0</v>
      </c>
      <c r="BP2209" s="68">
        <v>0</v>
      </c>
      <c r="BQ2209" s="68">
        <v>0</v>
      </c>
      <c r="BR2209" s="68">
        <v>0</v>
      </c>
      <c r="BS2209" s="68">
        <v>0</v>
      </c>
      <c r="BT2209" s="68">
        <v>77001104</v>
      </c>
      <c r="BU2209" s="47">
        <v>0</v>
      </c>
      <c r="BV2209" s="47"/>
      <c r="BW2209" s="47"/>
    </row>
    <row r="2210" spans="3:75" ht="20.100000000000001" customHeight="1">
      <c r="C2210" s="282">
        <v>77001104</v>
      </c>
      <c r="D2210" s="59" t="s">
        <v>736</v>
      </c>
      <c r="E2210" s="147" t="s">
        <v>737</v>
      </c>
      <c r="F2210" s="93">
        <v>1</v>
      </c>
      <c r="G2210" s="93">
        <v>0</v>
      </c>
      <c r="H2210" s="64">
        <v>0</v>
      </c>
      <c r="I2210" s="66">
        <v>0</v>
      </c>
      <c r="J2210" s="64">
        <v>1</v>
      </c>
      <c r="K2210" s="64">
        <v>0</v>
      </c>
      <c r="L2210" s="64">
        <v>0</v>
      </c>
      <c r="M2210" s="60">
        <v>0</v>
      </c>
      <c r="N2210" s="60">
        <v>0</v>
      </c>
      <c r="O2210" s="60">
        <v>2</v>
      </c>
      <c r="P2210" s="60">
        <v>1</v>
      </c>
      <c r="Q2210" s="60">
        <v>0.2</v>
      </c>
      <c r="R2210" s="60">
        <v>0</v>
      </c>
      <c r="S2210" s="68">
        <v>0</v>
      </c>
      <c r="T2210" s="60">
        <v>0</v>
      </c>
      <c r="U2210" s="60">
        <v>1</v>
      </c>
      <c r="V2210" s="60">
        <v>2</v>
      </c>
      <c r="W2210" s="60">
        <v>0</v>
      </c>
      <c r="X2210" s="60">
        <v>0.8</v>
      </c>
      <c r="Y2210" s="12">
        <v>0</v>
      </c>
      <c r="Z2210" s="60">
        <v>0</v>
      </c>
      <c r="AA2210" s="60">
        <v>0</v>
      </c>
      <c r="AB2210" s="60">
        <v>0</v>
      </c>
      <c r="AC2210" s="60">
        <v>0</v>
      </c>
      <c r="AD2210" s="60">
        <v>0</v>
      </c>
      <c r="AE2210" s="60">
        <v>0</v>
      </c>
      <c r="AF2210" s="60">
        <v>0</v>
      </c>
      <c r="AG2210" s="60">
        <v>1</v>
      </c>
      <c r="AH2210" s="60">
        <v>3</v>
      </c>
      <c r="AI2210" s="68">
        <v>0</v>
      </c>
      <c r="AJ2210" s="68">
        <v>1</v>
      </c>
      <c r="AK2210" s="68">
        <v>0</v>
      </c>
      <c r="AL2210" s="68">
        <v>1.5</v>
      </c>
      <c r="AM2210" s="60">
        <v>0</v>
      </c>
      <c r="AN2210" s="60">
        <v>0</v>
      </c>
      <c r="AO2210" s="60">
        <v>0</v>
      </c>
      <c r="AP2210" s="60">
        <v>0</v>
      </c>
      <c r="AQ2210" s="60">
        <v>2000</v>
      </c>
      <c r="AR2210" s="60">
        <v>0.3</v>
      </c>
      <c r="AS2210" s="60">
        <v>0</v>
      </c>
      <c r="AT2210" s="68">
        <v>0</v>
      </c>
      <c r="AU2210" s="331" t="s">
        <v>4996</v>
      </c>
      <c r="AV2210" s="79"/>
      <c r="AW2210" s="63" t="s">
        <v>198</v>
      </c>
      <c r="AX2210" s="60" t="s">
        <v>545</v>
      </c>
      <c r="AY2210" s="64">
        <v>10001007</v>
      </c>
      <c r="AZ2210" s="64">
        <v>77001103</v>
      </c>
      <c r="BA2210" s="59" t="s">
        <v>200</v>
      </c>
      <c r="BB2210" s="60">
        <v>0</v>
      </c>
      <c r="BC2210" s="66">
        <v>0</v>
      </c>
      <c r="BD2210" s="66">
        <v>0</v>
      </c>
      <c r="BE2210" s="90" t="s">
        <v>4999</v>
      </c>
      <c r="BF2210" s="90" t="s">
        <v>5000</v>
      </c>
      <c r="BG2210" s="60">
        <v>0</v>
      </c>
      <c r="BH2210" s="60">
        <v>0</v>
      </c>
      <c r="BI2210" s="60">
        <v>0</v>
      </c>
      <c r="BJ2210" s="60">
        <v>0</v>
      </c>
      <c r="BK2210" s="60">
        <v>0</v>
      </c>
      <c r="BL2210" s="60">
        <v>0</v>
      </c>
      <c r="BM2210" s="93">
        <v>0</v>
      </c>
      <c r="BN2210" s="68">
        <v>0</v>
      </c>
      <c r="BO2210" s="68">
        <v>0</v>
      </c>
      <c r="BP2210" s="68">
        <v>0</v>
      </c>
      <c r="BQ2210" s="68">
        <v>0</v>
      </c>
      <c r="BR2210" s="68">
        <v>0</v>
      </c>
      <c r="BS2210" s="68">
        <v>0</v>
      </c>
      <c r="BT2210" s="68">
        <v>77001105</v>
      </c>
      <c r="BU2210" s="47">
        <v>0</v>
      </c>
      <c r="BV2210" s="47"/>
      <c r="BW2210" s="47"/>
    </row>
    <row r="2211" spans="3:75" ht="20.100000000000001" customHeight="1">
      <c r="C2211" s="282">
        <v>77001105</v>
      </c>
      <c r="D2211" s="59" t="s">
        <v>736</v>
      </c>
      <c r="E2211" s="147" t="s">
        <v>737</v>
      </c>
      <c r="F2211" s="93">
        <v>1</v>
      </c>
      <c r="G2211" s="93">
        <v>0</v>
      </c>
      <c r="H2211" s="64">
        <v>0</v>
      </c>
      <c r="I2211" s="66">
        <v>0</v>
      </c>
      <c r="J2211" s="64">
        <v>1</v>
      </c>
      <c r="K2211" s="64">
        <v>0</v>
      </c>
      <c r="L2211" s="64">
        <v>0</v>
      </c>
      <c r="M2211" s="60">
        <v>0</v>
      </c>
      <c r="N2211" s="60">
        <v>0</v>
      </c>
      <c r="O2211" s="60">
        <v>2</v>
      </c>
      <c r="P2211" s="60">
        <v>1</v>
      </c>
      <c r="Q2211" s="60">
        <v>0.2</v>
      </c>
      <c r="R2211" s="60">
        <v>0</v>
      </c>
      <c r="S2211" s="68">
        <v>0</v>
      </c>
      <c r="T2211" s="60">
        <v>0</v>
      </c>
      <c r="U2211" s="60">
        <v>1</v>
      </c>
      <c r="V2211" s="60">
        <v>2</v>
      </c>
      <c r="W2211" s="60">
        <v>0</v>
      </c>
      <c r="X2211" s="60">
        <v>0.8</v>
      </c>
      <c r="Y2211" s="12">
        <v>0</v>
      </c>
      <c r="Z2211" s="60">
        <v>0</v>
      </c>
      <c r="AA2211" s="60">
        <v>0</v>
      </c>
      <c r="AB2211" s="60">
        <v>0</v>
      </c>
      <c r="AC2211" s="60">
        <v>0</v>
      </c>
      <c r="AD2211" s="60">
        <v>0</v>
      </c>
      <c r="AE2211" s="60">
        <v>0</v>
      </c>
      <c r="AF2211" s="60">
        <v>0</v>
      </c>
      <c r="AG2211" s="60">
        <v>1</v>
      </c>
      <c r="AH2211" s="60">
        <v>3</v>
      </c>
      <c r="AI2211" s="68">
        <v>0</v>
      </c>
      <c r="AJ2211" s="68">
        <v>1</v>
      </c>
      <c r="AK2211" s="68">
        <v>0</v>
      </c>
      <c r="AL2211" s="68">
        <v>1.5</v>
      </c>
      <c r="AM2211" s="60">
        <v>0</v>
      </c>
      <c r="AN2211" s="60">
        <v>0</v>
      </c>
      <c r="AO2211" s="60">
        <v>0</v>
      </c>
      <c r="AP2211" s="60">
        <v>0.3</v>
      </c>
      <c r="AQ2211" s="60">
        <v>2000</v>
      </c>
      <c r="AR2211" s="60">
        <v>0.3</v>
      </c>
      <c r="AS2211" s="60">
        <v>0</v>
      </c>
      <c r="AT2211" s="68">
        <v>0</v>
      </c>
      <c r="AU2211" s="331" t="s">
        <v>4996</v>
      </c>
      <c r="AV2211" s="79"/>
      <c r="AW2211" s="63" t="s">
        <v>198</v>
      </c>
      <c r="AX2211" s="60" t="s">
        <v>545</v>
      </c>
      <c r="AY2211" s="64">
        <v>10001007</v>
      </c>
      <c r="AZ2211" s="64">
        <v>77001103</v>
      </c>
      <c r="BA2211" s="59" t="s">
        <v>200</v>
      </c>
      <c r="BB2211" s="60">
        <v>0</v>
      </c>
      <c r="BC2211" s="66">
        <v>0</v>
      </c>
      <c r="BD2211" s="66">
        <v>0</v>
      </c>
      <c r="BE2211" s="90" t="s">
        <v>4999</v>
      </c>
      <c r="BF2211" s="90" t="s">
        <v>5000</v>
      </c>
      <c r="BG2211" s="60">
        <v>0</v>
      </c>
      <c r="BH2211" s="60">
        <v>0</v>
      </c>
      <c r="BI2211" s="60">
        <v>0</v>
      </c>
      <c r="BJ2211" s="60">
        <v>0</v>
      </c>
      <c r="BK2211" s="60">
        <v>0</v>
      </c>
      <c r="BL2211" s="60">
        <v>0</v>
      </c>
      <c r="BM2211" s="93">
        <v>0</v>
      </c>
      <c r="BN2211" s="68">
        <v>0</v>
      </c>
      <c r="BO2211" s="68">
        <v>0</v>
      </c>
      <c r="BP2211" s="68">
        <v>0</v>
      </c>
      <c r="BQ2211" s="68">
        <v>0</v>
      </c>
      <c r="BR2211" s="68">
        <v>0</v>
      </c>
      <c r="BS2211" s="68">
        <v>0</v>
      </c>
      <c r="BT2211" s="68">
        <v>77001106</v>
      </c>
      <c r="BU2211" s="47">
        <v>0</v>
      </c>
      <c r="BV2211" s="47"/>
      <c r="BW2211" s="47"/>
    </row>
    <row r="2212" spans="3:75" ht="19.5" customHeight="1">
      <c r="C2212" s="282">
        <v>77001106</v>
      </c>
      <c r="D2212" s="59" t="s">
        <v>598</v>
      </c>
      <c r="E2212" s="147" t="s">
        <v>1162</v>
      </c>
      <c r="F2212" s="93">
        <v>1</v>
      </c>
      <c r="G2212" s="93">
        <v>0</v>
      </c>
      <c r="H2212" s="64">
        <v>0</v>
      </c>
      <c r="I2212" s="66">
        <v>0</v>
      </c>
      <c r="J2212" s="64">
        <v>1</v>
      </c>
      <c r="K2212" s="64">
        <v>0</v>
      </c>
      <c r="L2212" s="64">
        <v>0</v>
      </c>
      <c r="M2212" s="60">
        <v>0</v>
      </c>
      <c r="N2212" s="60">
        <v>0</v>
      </c>
      <c r="O2212" s="60">
        <v>2</v>
      </c>
      <c r="P2212" s="60">
        <v>16</v>
      </c>
      <c r="Q2212" s="60">
        <v>5</v>
      </c>
      <c r="R2212" s="60">
        <v>0</v>
      </c>
      <c r="S2212" s="68">
        <v>0</v>
      </c>
      <c r="T2212" s="60">
        <v>0</v>
      </c>
      <c r="U2212" s="60">
        <v>1</v>
      </c>
      <c r="V2212" s="60">
        <v>2</v>
      </c>
      <c r="W2212" s="60">
        <v>0</v>
      </c>
      <c r="X2212" s="60">
        <v>2</v>
      </c>
      <c r="Y2212" s="12">
        <v>0</v>
      </c>
      <c r="Z2212" s="60">
        <v>0</v>
      </c>
      <c r="AA2212" s="60">
        <v>0</v>
      </c>
      <c r="AB2212" s="60">
        <v>0</v>
      </c>
      <c r="AC2212" s="60">
        <v>0</v>
      </c>
      <c r="AD2212" s="60">
        <v>0</v>
      </c>
      <c r="AE2212" s="60">
        <v>0</v>
      </c>
      <c r="AF2212" s="60">
        <v>0</v>
      </c>
      <c r="AG2212" s="60">
        <v>2</v>
      </c>
      <c r="AH2212" s="60" t="s">
        <v>213</v>
      </c>
      <c r="AI2212" s="68">
        <v>0</v>
      </c>
      <c r="AJ2212" s="68">
        <v>2</v>
      </c>
      <c r="AK2212" s="68">
        <v>0</v>
      </c>
      <c r="AL2212" s="68">
        <v>1.5</v>
      </c>
      <c r="AM2212" s="60">
        <v>0</v>
      </c>
      <c r="AN2212" s="60">
        <v>0</v>
      </c>
      <c r="AO2212" s="60">
        <v>0</v>
      </c>
      <c r="AP2212" s="60">
        <v>0.5</v>
      </c>
      <c r="AQ2212" s="60">
        <v>2000</v>
      </c>
      <c r="AR2212" s="60">
        <v>0.5</v>
      </c>
      <c r="AS2212" s="60">
        <v>0</v>
      </c>
      <c r="AT2212" s="68">
        <v>0</v>
      </c>
      <c r="AU2212" s="331" t="s">
        <v>4991</v>
      </c>
      <c r="AV2212" s="79"/>
      <c r="AW2212" s="63" t="s">
        <v>198</v>
      </c>
      <c r="AX2212" s="60" t="s">
        <v>545</v>
      </c>
      <c r="AY2212" s="64">
        <v>10001007</v>
      </c>
      <c r="AZ2212" s="64">
        <v>77001105</v>
      </c>
      <c r="BA2212" s="59" t="s">
        <v>200</v>
      </c>
      <c r="BB2212" s="60">
        <v>0</v>
      </c>
      <c r="BC2212" s="66">
        <v>0</v>
      </c>
      <c r="BD2212" s="66">
        <v>0</v>
      </c>
      <c r="BE2212" s="90" t="s">
        <v>4999</v>
      </c>
      <c r="BF2212" s="90" t="s">
        <v>5000</v>
      </c>
      <c r="BG2212" s="60">
        <v>0</v>
      </c>
      <c r="BH2212" s="60">
        <v>0</v>
      </c>
      <c r="BI2212" s="60">
        <v>0</v>
      </c>
      <c r="BJ2212" s="60">
        <v>0</v>
      </c>
      <c r="BK2212" s="60">
        <v>0</v>
      </c>
      <c r="BL2212" s="60">
        <v>0</v>
      </c>
      <c r="BM2212" s="93">
        <v>0</v>
      </c>
      <c r="BN2212" s="68">
        <v>0</v>
      </c>
      <c r="BO2212" s="68">
        <v>0</v>
      </c>
      <c r="BP2212" s="68">
        <v>0</v>
      </c>
      <c r="BQ2212" s="68">
        <v>0</v>
      </c>
      <c r="BR2212" s="68">
        <v>0</v>
      </c>
      <c r="BS2212" s="68">
        <v>0</v>
      </c>
      <c r="BT2212" s="68">
        <v>0</v>
      </c>
      <c r="BU2212" s="47">
        <v>0</v>
      </c>
      <c r="BV2212" s="47"/>
      <c r="BW2212" s="47"/>
    </row>
    <row r="2213" spans="3:75" ht="19.5" customHeight="1">
      <c r="C2213" s="284">
        <v>77001201</v>
      </c>
      <c r="D2213" s="285" t="s">
        <v>5001</v>
      </c>
      <c r="E2213" s="285" t="s">
        <v>5002</v>
      </c>
      <c r="F2213" s="284">
        <v>1</v>
      </c>
      <c r="G2213" s="286">
        <v>0</v>
      </c>
      <c r="H2213" s="284">
        <v>0</v>
      </c>
      <c r="I2213" s="291">
        <v>0</v>
      </c>
      <c r="J2213" s="284">
        <v>1</v>
      </c>
      <c r="K2213" s="284">
        <v>0</v>
      </c>
      <c r="L2213" s="284">
        <v>0</v>
      </c>
      <c r="M2213" s="286">
        <v>0</v>
      </c>
      <c r="N2213" s="286">
        <v>0</v>
      </c>
      <c r="O2213" s="286">
        <v>2</v>
      </c>
      <c r="P2213" s="286">
        <v>3</v>
      </c>
      <c r="Q2213" s="286">
        <v>0.15</v>
      </c>
      <c r="R2213" s="286">
        <v>0</v>
      </c>
      <c r="S2213" s="294">
        <v>0</v>
      </c>
      <c r="T2213" s="286">
        <v>0</v>
      </c>
      <c r="U2213" s="286">
        <v>1</v>
      </c>
      <c r="V2213" s="286">
        <v>1</v>
      </c>
      <c r="W2213" s="286">
        <v>0</v>
      </c>
      <c r="X2213" s="286">
        <v>2</v>
      </c>
      <c r="Y2213" s="12">
        <v>0</v>
      </c>
      <c r="Z2213" s="286">
        <v>0</v>
      </c>
      <c r="AA2213" s="286">
        <v>1</v>
      </c>
      <c r="AB2213" s="286">
        <v>0</v>
      </c>
      <c r="AC2213" s="286">
        <v>0</v>
      </c>
      <c r="AD2213" s="286">
        <v>0</v>
      </c>
      <c r="AE2213" s="286">
        <v>1</v>
      </c>
      <c r="AF2213" s="286">
        <v>15</v>
      </c>
      <c r="AG2213" s="286">
        <v>1</v>
      </c>
      <c r="AH2213" s="286">
        <v>4</v>
      </c>
      <c r="AI2213" s="294">
        <v>0</v>
      </c>
      <c r="AJ2213" s="294">
        <v>1</v>
      </c>
      <c r="AK2213" s="294">
        <v>0</v>
      </c>
      <c r="AL2213" s="294">
        <v>3</v>
      </c>
      <c r="AM2213" s="286">
        <v>0</v>
      </c>
      <c r="AN2213" s="286">
        <v>0</v>
      </c>
      <c r="AO2213" s="286">
        <v>0</v>
      </c>
      <c r="AP2213" s="286">
        <v>1.2</v>
      </c>
      <c r="AQ2213" s="286">
        <v>2000</v>
      </c>
      <c r="AR2213" s="286">
        <v>1.2</v>
      </c>
      <c r="AS2213" s="286">
        <v>0</v>
      </c>
      <c r="AT2213" s="294">
        <v>97002003</v>
      </c>
      <c r="AU2213" s="286">
        <v>0</v>
      </c>
      <c r="AV2213" s="286"/>
      <c r="AW2213" s="298" t="s">
        <v>199</v>
      </c>
      <c r="AX2213" s="286" t="s">
        <v>534</v>
      </c>
      <c r="AY2213" s="284">
        <v>0</v>
      </c>
      <c r="AZ2213" s="284">
        <v>77001201</v>
      </c>
      <c r="BA2213" s="285" t="s">
        <v>200</v>
      </c>
      <c r="BB2213" s="286">
        <v>0</v>
      </c>
      <c r="BC2213" s="291">
        <v>0</v>
      </c>
      <c r="BD2213" s="291">
        <v>0</v>
      </c>
      <c r="BE2213" s="302" t="s">
        <v>5003</v>
      </c>
      <c r="BF2213" s="302" t="s">
        <v>5004</v>
      </c>
      <c r="BG2213" s="286">
        <v>0</v>
      </c>
      <c r="BH2213" s="286">
        <v>0</v>
      </c>
      <c r="BI2213" s="286">
        <v>0</v>
      </c>
      <c r="BJ2213" s="286">
        <v>0</v>
      </c>
      <c r="BK2213" s="286">
        <v>0</v>
      </c>
      <c r="BL2213" s="286">
        <v>0</v>
      </c>
      <c r="BM2213" s="289">
        <v>0</v>
      </c>
      <c r="BN2213" s="294">
        <v>0</v>
      </c>
      <c r="BO2213" s="294">
        <v>0</v>
      </c>
      <c r="BP2213" s="294">
        <v>0</v>
      </c>
      <c r="BQ2213" s="294">
        <v>0</v>
      </c>
      <c r="BR2213" s="294">
        <v>0</v>
      </c>
      <c r="BS2213" s="294">
        <v>0</v>
      </c>
      <c r="BT2213" s="294">
        <v>0</v>
      </c>
      <c r="BU2213" s="47">
        <v>0</v>
      </c>
      <c r="BV2213" s="47"/>
      <c r="BW2213" s="47"/>
    </row>
    <row r="2214" spans="3:75" ht="19.5" customHeight="1">
      <c r="C2214" s="284">
        <v>77001202</v>
      </c>
      <c r="D2214" s="285" t="s">
        <v>5005</v>
      </c>
      <c r="E2214" s="285" t="s">
        <v>674</v>
      </c>
      <c r="F2214" s="284">
        <v>1</v>
      </c>
      <c r="G2214" s="286">
        <v>0</v>
      </c>
      <c r="H2214" s="284">
        <v>0</v>
      </c>
      <c r="I2214" s="291">
        <v>0</v>
      </c>
      <c r="J2214" s="284">
        <v>1</v>
      </c>
      <c r="K2214" s="284">
        <v>0</v>
      </c>
      <c r="L2214" s="284">
        <v>0</v>
      </c>
      <c r="M2214" s="286">
        <v>0</v>
      </c>
      <c r="N2214" s="286">
        <v>0</v>
      </c>
      <c r="O2214" s="286">
        <v>2</v>
      </c>
      <c r="P2214" s="286">
        <v>3</v>
      </c>
      <c r="Q2214" s="286">
        <v>0.15</v>
      </c>
      <c r="R2214" s="286">
        <v>0</v>
      </c>
      <c r="S2214" s="294">
        <v>0</v>
      </c>
      <c r="T2214" s="286">
        <v>0</v>
      </c>
      <c r="U2214" s="286">
        <v>1</v>
      </c>
      <c r="V2214" s="286">
        <v>1</v>
      </c>
      <c r="W2214" s="286">
        <v>0</v>
      </c>
      <c r="X2214" s="286">
        <v>0.5</v>
      </c>
      <c r="Y2214" s="12">
        <v>0</v>
      </c>
      <c r="Z2214" s="286">
        <v>0</v>
      </c>
      <c r="AA2214" s="286">
        <v>1</v>
      </c>
      <c r="AB2214" s="286">
        <v>0</v>
      </c>
      <c r="AC2214" s="286">
        <v>0</v>
      </c>
      <c r="AD2214" s="286">
        <v>0</v>
      </c>
      <c r="AE2214" s="286">
        <v>1</v>
      </c>
      <c r="AF2214" s="286">
        <v>0</v>
      </c>
      <c r="AG2214" s="286">
        <v>1</v>
      </c>
      <c r="AH2214" s="286">
        <v>5</v>
      </c>
      <c r="AI2214" s="294">
        <v>0</v>
      </c>
      <c r="AJ2214" s="294">
        <v>1</v>
      </c>
      <c r="AK2214" s="294">
        <v>0</v>
      </c>
      <c r="AL2214" s="294">
        <v>3</v>
      </c>
      <c r="AM2214" s="286">
        <v>0</v>
      </c>
      <c r="AN2214" s="286">
        <v>0</v>
      </c>
      <c r="AO2214" s="286">
        <v>0</v>
      </c>
      <c r="AP2214" s="286">
        <v>0</v>
      </c>
      <c r="AQ2214" s="286">
        <v>1000</v>
      </c>
      <c r="AR2214" s="286">
        <v>0.2</v>
      </c>
      <c r="AS2214" s="286">
        <v>0</v>
      </c>
      <c r="AT2214" s="294">
        <v>0</v>
      </c>
      <c r="AU2214" s="368" t="s">
        <v>5006</v>
      </c>
      <c r="AV2214" s="295"/>
      <c r="AW2214" s="298" t="s">
        <v>198</v>
      </c>
      <c r="AX2214" s="286" t="s">
        <v>534</v>
      </c>
      <c r="AY2214" s="284">
        <v>0</v>
      </c>
      <c r="AZ2214" s="284">
        <v>77001202</v>
      </c>
      <c r="BA2214" s="285" t="s">
        <v>200</v>
      </c>
      <c r="BB2214" s="286">
        <v>0</v>
      </c>
      <c r="BC2214" s="291">
        <v>0</v>
      </c>
      <c r="BD2214" s="291">
        <v>0</v>
      </c>
      <c r="BE2214" s="302" t="s">
        <v>5007</v>
      </c>
      <c r="BF2214" s="302" t="s">
        <v>5008</v>
      </c>
      <c r="BG2214" s="286">
        <v>0</v>
      </c>
      <c r="BH2214" s="286">
        <v>0</v>
      </c>
      <c r="BI2214" s="286">
        <v>0</v>
      </c>
      <c r="BJ2214" s="286">
        <v>0</v>
      </c>
      <c r="BK2214" s="286">
        <v>0</v>
      </c>
      <c r="BL2214" s="286">
        <v>0</v>
      </c>
      <c r="BM2214" s="289">
        <v>0</v>
      </c>
      <c r="BN2214" s="294">
        <v>0</v>
      </c>
      <c r="BO2214" s="294">
        <v>0</v>
      </c>
      <c r="BP2214" s="294">
        <v>0</v>
      </c>
      <c r="BQ2214" s="294">
        <v>0</v>
      </c>
      <c r="BR2214" s="294">
        <v>0</v>
      </c>
      <c r="BS2214" s="294">
        <v>1</v>
      </c>
      <c r="BT2214" s="294">
        <v>0</v>
      </c>
      <c r="BU2214" s="47">
        <v>0</v>
      </c>
      <c r="BV2214" s="47"/>
      <c r="BW2214" s="47"/>
    </row>
    <row r="2215" spans="3:75" ht="19.5" customHeight="1">
      <c r="C2215" s="284">
        <v>77001203</v>
      </c>
      <c r="D2215" s="285" t="s">
        <v>5009</v>
      </c>
      <c r="E2215" s="285" t="s">
        <v>5010</v>
      </c>
      <c r="F2215" s="284">
        <v>1</v>
      </c>
      <c r="G2215" s="286">
        <v>0</v>
      </c>
      <c r="H2215" s="284">
        <v>0</v>
      </c>
      <c r="I2215" s="291">
        <v>0</v>
      </c>
      <c r="J2215" s="284">
        <v>1</v>
      </c>
      <c r="K2215" s="284">
        <v>0</v>
      </c>
      <c r="L2215" s="284">
        <v>0</v>
      </c>
      <c r="M2215" s="286">
        <v>0</v>
      </c>
      <c r="N2215" s="286">
        <v>0</v>
      </c>
      <c r="O2215" s="286">
        <v>2</v>
      </c>
      <c r="P2215" s="286">
        <v>3</v>
      </c>
      <c r="Q2215" s="286">
        <v>0.1</v>
      </c>
      <c r="R2215" s="286">
        <v>0</v>
      </c>
      <c r="S2215" s="294">
        <v>0</v>
      </c>
      <c r="T2215" s="286">
        <v>0</v>
      </c>
      <c r="U2215" s="286">
        <v>1</v>
      </c>
      <c r="V2215" s="286">
        <v>1</v>
      </c>
      <c r="W2215" s="286">
        <v>0</v>
      </c>
      <c r="X2215" s="286">
        <v>3</v>
      </c>
      <c r="Y2215" s="12">
        <v>0</v>
      </c>
      <c r="Z2215" s="286">
        <v>0</v>
      </c>
      <c r="AA2215" s="286">
        <v>1</v>
      </c>
      <c r="AB2215" s="286">
        <v>0</v>
      </c>
      <c r="AC2215" s="286">
        <v>0</v>
      </c>
      <c r="AD2215" s="286">
        <v>0</v>
      </c>
      <c r="AE2215" s="286">
        <v>1</v>
      </c>
      <c r="AF2215" s="286">
        <v>5</v>
      </c>
      <c r="AG2215" s="286">
        <v>1</v>
      </c>
      <c r="AH2215" s="286">
        <v>6</v>
      </c>
      <c r="AI2215" s="294">
        <v>1</v>
      </c>
      <c r="AJ2215" s="294">
        <v>1</v>
      </c>
      <c r="AK2215" s="294">
        <v>0</v>
      </c>
      <c r="AL2215" s="294">
        <v>3</v>
      </c>
      <c r="AM2215" s="286">
        <v>0</v>
      </c>
      <c r="AN2215" s="286">
        <v>0</v>
      </c>
      <c r="AO2215" s="286">
        <v>0</v>
      </c>
      <c r="AP2215" s="286">
        <v>1.8</v>
      </c>
      <c r="AQ2215" s="286">
        <v>2000</v>
      </c>
      <c r="AR2215" s="286">
        <v>2</v>
      </c>
      <c r="AS2215" s="286">
        <v>0</v>
      </c>
      <c r="AT2215" s="294">
        <v>0</v>
      </c>
      <c r="AU2215" s="286">
        <v>97002001</v>
      </c>
      <c r="AV2215" s="286"/>
      <c r="AW2215" s="298" t="s">
        <v>199</v>
      </c>
      <c r="AX2215" s="286" t="s">
        <v>534</v>
      </c>
      <c r="AY2215" s="284">
        <v>0</v>
      </c>
      <c r="AZ2215" s="284">
        <v>77001203</v>
      </c>
      <c r="BA2215" s="285" t="s">
        <v>771</v>
      </c>
      <c r="BB2215" s="286">
        <v>0</v>
      </c>
      <c r="BC2215" s="291">
        <v>0</v>
      </c>
      <c r="BD2215" s="291">
        <v>0</v>
      </c>
      <c r="BE2215" s="302" t="s">
        <v>5011</v>
      </c>
      <c r="BF2215" s="302" t="s">
        <v>5012</v>
      </c>
      <c r="BG2215" s="286">
        <v>0</v>
      </c>
      <c r="BH2215" s="286">
        <v>0</v>
      </c>
      <c r="BI2215" s="286">
        <v>0</v>
      </c>
      <c r="BJ2215" s="286">
        <v>0</v>
      </c>
      <c r="BK2215" s="286">
        <v>0</v>
      </c>
      <c r="BL2215" s="286">
        <v>0</v>
      </c>
      <c r="BM2215" s="289">
        <v>0</v>
      </c>
      <c r="BN2215" s="294">
        <v>0</v>
      </c>
      <c r="BO2215" s="294">
        <v>0</v>
      </c>
      <c r="BP2215" s="294">
        <v>0</v>
      </c>
      <c r="BQ2215" s="294">
        <v>0</v>
      </c>
      <c r="BR2215" s="294">
        <v>0</v>
      </c>
      <c r="BS2215" s="294">
        <v>0</v>
      </c>
      <c r="BT2215" s="294">
        <v>77001208</v>
      </c>
      <c r="BU2215" s="47">
        <v>0</v>
      </c>
      <c r="BV2215" s="47"/>
      <c r="BW2215" s="47"/>
    </row>
    <row r="2216" spans="3:75" ht="20.100000000000001" customHeight="1">
      <c r="C2216" s="284">
        <v>77001204</v>
      </c>
      <c r="D2216" s="285" t="s">
        <v>5013</v>
      </c>
      <c r="E2216" s="285" t="s">
        <v>5014</v>
      </c>
      <c r="F2216" s="286">
        <v>1</v>
      </c>
      <c r="G2216" s="286">
        <v>0</v>
      </c>
      <c r="H2216" s="284">
        <v>0</v>
      </c>
      <c r="I2216" s="291">
        <v>0</v>
      </c>
      <c r="J2216" s="284">
        <v>1</v>
      </c>
      <c r="K2216" s="284">
        <v>0</v>
      </c>
      <c r="L2216" s="284">
        <v>0</v>
      </c>
      <c r="M2216" s="286">
        <v>0</v>
      </c>
      <c r="N2216" s="286">
        <v>0</v>
      </c>
      <c r="O2216" s="286">
        <v>2</v>
      </c>
      <c r="P2216" s="286">
        <v>1</v>
      </c>
      <c r="Q2216" s="286">
        <v>0.3</v>
      </c>
      <c r="R2216" s="286">
        <v>0</v>
      </c>
      <c r="S2216" s="294">
        <v>3</v>
      </c>
      <c r="T2216" s="286">
        <v>0</v>
      </c>
      <c r="U2216" s="286">
        <v>1</v>
      </c>
      <c r="V2216" s="286">
        <v>2</v>
      </c>
      <c r="W2216" s="286">
        <v>0</v>
      </c>
      <c r="X2216" s="286">
        <v>1</v>
      </c>
      <c r="Y2216" s="12">
        <v>0</v>
      </c>
      <c r="Z2216" s="286">
        <v>0</v>
      </c>
      <c r="AA2216" s="286">
        <v>0</v>
      </c>
      <c r="AB2216" s="286">
        <v>0</v>
      </c>
      <c r="AC2216" s="286">
        <v>0</v>
      </c>
      <c r="AD2216" s="286">
        <v>0</v>
      </c>
      <c r="AE2216" s="286">
        <v>0</v>
      </c>
      <c r="AF2216" s="286">
        <v>12</v>
      </c>
      <c r="AG2216" s="286">
        <v>1</v>
      </c>
      <c r="AH2216" s="286">
        <v>3</v>
      </c>
      <c r="AI2216" s="294">
        <v>6</v>
      </c>
      <c r="AJ2216" s="294">
        <v>1</v>
      </c>
      <c r="AK2216" s="294">
        <v>0</v>
      </c>
      <c r="AL2216" s="294">
        <v>1.5</v>
      </c>
      <c r="AM2216" s="286">
        <v>0</v>
      </c>
      <c r="AN2216" s="286">
        <v>0</v>
      </c>
      <c r="AO2216" s="286">
        <v>0</v>
      </c>
      <c r="AP2216" s="286">
        <v>0.5</v>
      </c>
      <c r="AQ2216" s="286">
        <v>5000</v>
      </c>
      <c r="AR2216" s="286">
        <v>1</v>
      </c>
      <c r="AS2216" s="286">
        <v>0</v>
      </c>
      <c r="AT2216" s="294">
        <v>0</v>
      </c>
      <c r="AU2216" s="286">
        <v>97002002</v>
      </c>
      <c r="AV2216" s="286"/>
      <c r="AW2216" s="298" t="s">
        <v>199</v>
      </c>
      <c r="AX2216" s="286" t="s">
        <v>534</v>
      </c>
      <c r="AY2216" s="284">
        <v>10000007</v>
      </c>
      <c r="AZ2216" s="369" t="s">
        <v>5015</v>
      </c>
      <c r="BA2216" s="285" t="s">
        <v>200</v>
      </c>
      <c r="BB2216" s="286" t="s">
        <v>5016</v>
      </c>
      <c r="BC2216" s="291">
        <v>0</v>
      </c>
      <c r="BD2216" s="291">
        <v>0</v>
      </c>
      <c r="BE2216" s="302" t="s">
        <v>5017</v>
      </c>
      <c r="BF2216" s="302" t="s">
        <v>5018</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19.5" customHeight="1">
      <c r="C2217" s="284">
        <v>77001205</v>
      </c>
      <c r="D2217" s="285" t="s">
        <v>2276</v>
      </c>
      <c r="E2217" s="285" t="s">
        <v>2277</v>
      </c>
      <c r="F2217" s="284">
        <v>1</v>
      </c>
      <c r="G2217" s="286">
        <v>0</v>
      </c>
      <c r="H2217" s="284">
        <v>0</v>
      </c>
      <c r="I2217" s="291">
        <v>0</v>
      </c>
      <c r="J2217" s="284">
        <v>1</v>
      </c>
      <c r="K2217" s="284">
        <v>0</v>
      </c>
      <c r="L2217" s="284">
        <v>0</v>
      </c>
      <c r="M2217" s="286">
        <v>0</v>
      </c>
      <c r="N2217" s="286">
        <v>0</v>
      </c>
      <c r="O2217" s="286">
        <v>2</v>
      </c>
      <c r="P2217" s="286">
        <v>3</v>
      </c>
      <c r="Q2217" s="286">
        <v>0.15</v>
      </c>
      <c r="R2217" s="286">
        <v>0</v>
      </c>
      <c r="S2217" s="294">
        <v>0</v>
      </c>
      <c r="T2217" s="286">
        <v>0</v>
      </c>
      <c r="U2217" s="286">
        <v>1</v>
      </c>
      <c r="V2217" s="286">
        <v>1</v>
      </c>
      <c r="W2217" s="286">
        <v>0</v>
      </c>
      <c r="X2217" s="286">
        <v>0</v>
      </c>
      <c r="Y2217" s="12">
        <v>0</v>
      </c>
      <c r="Z2217" s="286">
        <v>0</v>
      </c>
      <c r="AA2217" s="286">
        <v>1</v>
      </c>
      <c r="AB2217" s="286">
        <v>0</v>
      </c>
      <c r="AC2217" s="286">
        <v>0</v>
      </c>
      <c r="AD2217" s="286">
        <v>0</v>
      </c>
      <c r="AE2217" s="286">
        <v>1</v>
      </c>
      <c r="AF2217" s="286">
        <v>0</v>
      </c>
      <c r="AG2217" s="286">
        <v>1</v>
      </c>
      <c r="AH2217" s="286">
        <v>5</v>
      </c>
      <c r="AI2217" s="294">
        <v>0</v>
      </c>
      <c r="AJ2217" s="294">
        <v>1</v>
      </c>
      <c r="AK2217" s="294">
        <v>0</v>
      </c>
      <c r="AL2217" s="294">
        <v>3</v>
      </c>
      <c r="AM2217" s="286">
        <v>0</v>
      </c>
      <c r="AN2217" s="286">
        <v>0</v>
      </c>
      <c r="AO2217" s="286">
        <v>0</v>
      </c>
      <c r="AP2217" s="286">
        <v>0</v>
      </c>
      <c r="AQ2217" s="286">
        <v>1000</v>
      </c>
      <c r="AR2217" s="286">
        <v>0</v>
      </c>
      <c r="AS2217" s="286">
        <v>0</v>
      </c>
      <c r="AT2217" s="294">
        <v>97002005</v>
      </c>
      <c r="AU2217" s="295">
        <v>0</v>
      </c>
      <c r="AV2217" s="295"/>
      <c r="AW2217" s="298" t="s">
        <v>198</v>
      </c>
      <c r="AX2217" s="286" t="s">
        <v>534</v>
      </c>
      <c r="AY2217" s="284">
        <v>0</v>
      </c>
      <c r="AZ2217" s="284">
        <v>0</v>
      </c>
      <c r="BA2217" s="285" t="s">
        <v>200</v>
      </c>
      <c r="BB2217" s="286">
        <v>0</v>
      </c>
      <c r="BC2217" s="291">
        <v>0</v>
      </c>
      <c r="BD2217" s="291">
        <v>0</v>
      </c>
      <c r="BE2217" s="302" t="s">
        <v>5007</v>
      </c>
      <c r="BF2217" s="302" t="s">
        <v>5008</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0</v>
      </c>
      <c r="BU2217" s="47">
        <v>0</v>
      </c>
      <c r="BV2217" s="47"/>
      <c r="BW2217" s="47"/>
    </row>
    <row r="2218" spans="3:75" ht="19.5" customHeight="1">
      <c r="C2218" s="284">
        <v>77001206</v>
      </c>
      <c r="D2218" s="285" t="s">
        <v>5019</v>
      </c>
      <c r="E2218" s="285" t="s">
        <v>3154</v>
      </c>
      <c r="F2218" s="284">
        <v>1</v>
      </c>
      <c r="G2218" s="286">
        <v>0</v>
      </c>
      <c r="H2218" s="284">
        <v>0</v>
      </c>
      <c r="I2218" s="291">
        <v>0</v>
      </c>
      <c r="J2218" s="284">
        <v>1</v>
      </c>
      <c r="K2218" s="284">
        <v>0</v>
      </c>
      <c r="L2218" s="284">
        <v>0</v>
      </c>
      <c r="M2218" s="286">
        <v>0</v>
      </c>
      <c r="N2218" s="286">
        <v>0</v>
      </c>
      <c r="O2218" s="286">
        <v>2</v>
      </c>
      <c r="P2218" s="286" t="s">
        <v>5020</v>
      </c>
      <c r="Q2218" s="286" t="s">
        <v>5021</v>
      </c>
      <c r="R2218" s="286">
        <v>0</v>
      </c>
      <c r="S2218" s="294">
        <v>0</v>
      </c>
      <c r="T2218" s="286">
        <v>0</v>
      </c>
      <c r="U2218" s="286">
        <v>1</v>
      </c>
      <c r="V2218" s="286">
        <v>2</v>
      </c>
      <c r="W2218" s="286">
        <v>0</v>
      </c>
      <c r="X2218" s="286">
        <v>1.5</v>
      </c>
      <c r="Y2218" s="12">
        <v>0</v>
      </c>
      <c r="Z2218" s="286">
        <v>0</v>
      </c>
      <c r="AA2218" s="286">
        <v>0</v>
      </c>
      <c r="AB2218" s="286">
        <v>0</v>
      </c>
      <c r="AC2218" s="286">
        <v>0</v>
      </c>
      <c r="AD2218" s="286">
        <v>0</v>
      </c>
      <c r="AE2218" s="286">
        <v>1</v>
      </c>
      <c r="AF2218" s="286">
        <v>18</v>
      </c>
      <c r="AG2218" s="286">
        <v>1</v>
      </c>
      <c r="AH2218" s="286">
        <v>2</v>
      </c>
      <c r="AI2218" s="294">
        <v>0</v>
      </c>
      <c r="AJ2218" s="294">
        <v>2</v>
      </c>
      <c r="AK2218" s="294">
        <v>0</v>
      </c>
      <c r="AL2218" s="294">
        <v>2</v>
      </c>
      <c r="AM2218" s="286">
        <v>0</v>
      </c>
      <c r="AN2218" s="286">
        <v>0</v>
      </c>
      <c r="AO2218" s="286">
        <v>0</v>
      </c>
      <c r="AP2218" s="286">
        <v>1</v>
      </c>
      <c r="AQ2218" s="286">
        <v>12000</v>
      </c>
      <c r="AR2218" s="286">
        <v>1</v>
      </c>
      <c r="AS2218" s="286">
        <v>10</v>
      </c>
      <c r="AT2218" s="296">
        <v>0</v>
      </c>
      <c r="AU2218" s="368" t="s">
        <v>5022</v>
      </c>
      <c r="AV2218" s="295"/>
      <c r="AW2218" s="285" t="s">
        <v>199</v>
      </c>
      <c r="AX2218" s="286" t="s">
        <v>534</v>
      </c>
      <c r="AY2218" s="284">
        <v>10000007</v>
      </c>
      <c r="AZ2218" s="369" t="s">
        <v>5023</v>
      </c>
      <c r="BA2218" s="285" t="s">
        <v>586</v>
      </c>
      <c r="BB2218" s="286" t="s">
        <v>5024</v>
      </c>
      <c r="BC2218" s="291">
        <v>0</v>
      </c>
      <c r="BD2218" s="291">
        <v>0</v>
      </c>
      <c r="BE2218" s="302" t="s">
        <v>5025</v>
      </c>
      <c r="BF2218" s="302" t="s">
        <v>5026</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0</v>
      </c>
      <c r="BU2218" s="47">
        <v>0</v>
      </c>
      <c r="BV2218" s="47"/>
      <c r="BW2218" s="47"/>
    </row>
    <row r="2219" spans="3:75" ht="19.5" customHeight="1">
      <c r="C2219" s="100">
        <v>77001301</v>
      </c>
      <c r="D2219" s="98" t="s">
        <v>1195</v>
      </c>
      <c r="E2219" s="98" t="s">
        <v>1196</v>
      </c>
      <c r="F2219" s="97">
        <v>1</v>
      </c>
      <c r="G2219" s="97">
        <v>0</v>
      </c>
      <c r="H2219" s="97">
        <v>0</v>
      </c>
      <c r="I2219" s="104">
        <v>0</v>
      </c>
      <c r="J2219" s="97">
        <v>1</v>
      </c>
      <c r="K2219" s="97">
        <v>0</v>
      </c>
      <c r="L2219" s="104">
        <v>0</v>
      </c>
      <c r="M2219" s="104">
        <v>0</v>
      </c>
      <c r="N2219" s="97">
        <v>0</v>
      </c>
      <c r="O2219" s="97">
        <v>2</v>
      </c>
      <c r="P2219" s="97">
        <v>2</v>
      </c>
      <c r="Q2219" s="97">
        <v>0.5</v>
      </c>
      <c r="R2219" s="97">
        <v>1</v>
      </c>
      <c r="S2219" s="106">
        <v>0</v>
      </c>
      <c r="T2219" s="97">
        <v>0</v>
      </c>
      <c r="U2219" s="101">
        <v>1</v>
      </c>
      <c r="V2219" s="97">
        <v>1</v>
      </c>
      <c r="W2219" s="104">
        <v>0</v>
      </c>
      <c r="X2219" s="97">
        <v>5</v>
      </c>
      <c r="Y2219" s="12">
        <v>0</v>
      </c>
      <c r="Z2219" s="97">
        <v>0</v>
      </c>
      <c r="AA2219" s="97">
        <v>0</v>
      </c>
      <c r="AB2219" s="97">
        <v>0</v>
      </c>
      <c r="AC2219" s="104">
        <v>0</v>
      </c>
      <c r="AD2219" s="97">
        <v>0</v>
      </c>
      <c r="AE2219" s="97">
        <v>0</v>
      </c>
      <c r="AF2219" s="97">
        <v>99999</v>
      </c>
      <c r="AG2219" s="97">
        <v>1</v>
      </c>
      <c r="AH2219" s="97">
        <v>5</v>
      </c>
      <c r="AI2219" s="107">
        <v>0</v>
      </c>
      <c r="AJ2219" s="107">
        <v>0</v>
      </c>
      <c r="AK2219" s="106">
        <v>0</v>
      </c>
      <c r="AL2219" s="97">
        <v>0</v>
      </c>
      <c r="AM2219" s="108">
        <v>0</v>
      </c>
      <c r="AN2219" s="97">
        <v>1.5</v>
      </c>
      <c r="AO2219" s="97">
        <v>0</v>
      </c>
      <c r="AP2219" s="97">
        <v>1</v>
      </c>
      <c r="AQ2219" s="97">
        <v>2000</v>
      </c>
      <c r="AR2219" s="97">
        <v>1</v>
      </c>
      <c r="AS2219" s="97">
        <v>0</v>
      </c>
      <c r="AT2219" s="332" t="s">
        <v>5027</v>
      </c>
      <c r="AU2219" s="97">
        <v>0</v>
      </c>
      <c r="AV2219" s="112"/>
      <c r="AW2219" s="102" t="s">
        <v>199</v>
      </c>
      <c r="AX2219" s="104">
        <v>0</v>
      </c>
      <c r="AY2219" s="104">
        <v>0</v>
      </c>
      <c r="AZ2219" s="104">
        <v>77001305</v>
      </c>
      <c r="BA2219" s="99" t="s">
        <v>528</v>
      </c>
      <c r="BB2219" s="97" t="s">
        <v>5028</v>
      </c>
      <c r="BC2219" s="115">
        <v>0</v>
      </c>
      <c r="BD2219" s="105">
        <v>0</v>
      </c>
      <c r="BE2219" s="118" t="s">
        <v>5029</v>
      </c>
      <c r="BF2219" s="118" t="s">
        <v>5030</v>
      </c>
      <c r="BG2219" s="97">
        <v>0</v>
      </c>
      <c r="BH2219" s="97">
        <v>0</v>
      </c>
      <c r="BI2219" s="100">
        <v>0</v>
      </c>
      <c r="BJ2219" s="97">
        <v>0</v>
      </c>
      <c r="BK2219" s="97">
        <v>0</v>
      </c>
      <c r="BL2219" s="108">
        <v>0</v>
      </c>
      <c r="BM2219" s="97">
        <v>0</v>
      </c>
      <c r="BN2219" s="106">
        <v>0</v>
      </c>
      <c r="BO2219" s="106">
        <v>0</v>
      </c>
      <c r="BP2219" s="106">
        <v>0</v>
      </c>
      <c r="BQ2219" s="106">
        <v>0</v>
      </c>
      <c r="BR2219" s="106">
        <v>0</v>
      </c>
      <c r="BS2219" s="106">
        <v>0</v>
      </c>
      <c r="BT2219" s="106">
        <v>0</v>
      </c>
      <c r="BU2219" s="47">
        <v>0</v>
      </c>
      <c r="BV2219" s="47"/>
      <c r="BW2219" s="47"/>
    </row>
    <row r="2220" spans="3:75" ht="19.5" hidden="1" customHeight="1">
      <c r="C2220" s="100">
        <v>77001302</v>
      </c>
      <c r="D2220" s="99" t="s">
        <v>804</v>
      </c>
      <c r="E2220" s="287" t="s">
        <v>805</v>
      </c>
      <c r="F2220" s="97">
        <v>1</v>
      </c>
      <c r="G2220" s="97">
        <v>0</v>
      </c>
      <c r="H2220" s="101">
        <v>0</v>
      </c>
      <c r="I2220" s="105">
        <v>0</v>
      </c>
      <c r="J2220" s="100">
        <v>1</v>
      </c>
      <c r="K2220" s="100">
        <v>0</v>
      </c>
      <c r="L2220" s="100">
        <v>0</v>
      </c>
      <c r="M2220" s="101">
        <v>0</v>
      </c>
      <c r="N2220" s="101">
        <v>0</v>
      </c>
      <c r="O2220" s="101">
        <v>2</v>
      </c>
      <c r="P2220" s="101">
        <v>1</v>
      </c>
      <c r="Q2220" s="101">
        <v>0.2</v>
      </c>
      <c r="R2220" s="101">
        <v>0</v>
      </c>
      <c r="S2220" s="106">
        <v>0</v>
      </c>
      <c r="T2220" s="101">
        <v>0</v>
      </c>
      <c r="U2220" s="101">
        <v>1</v>
      </c>
      <c r="V2220" s="97">
        <v>1</v>
      </c>
      <c r="W2220" s="101">
        <v>0</v>
      </c>
      <c r="X2220" s="101">
        <v>1</v>
      </c>
      <c r="Y2220" s="12">
        <v>0</v>
      </c>
      <c r="Z2220" s="101">
        <v>150</v>
      </c>
      <c r="AA2220" s="101">
        <v>1</v>
      </c>
      <c r="AB2220" s="101">
        <v>0</v>
      </c>
      <c r="AC2220" s="101">
        <v>0</v>
      </c>
      <c r="AD2220" s="101">
        <v>0</v>
      </c>
      <c r="AE2220" s="101">
        <v>1</v>
      </c>
      <c r="AF2220" s="101">
        <v>8</v>
      </c>
      <c r="AG2220" s="101">
        <v>2</v>
      </c>
      <c r="AH2220" s="101" t="s">
        <v>213</v>
      </c>
      <c r="AI2220" s="106">
        <v>0</v>
      </c>
      <c r="AJ2220" s="106">
        <v>2</v>
      </c>
      <c r="AK2220" s="106">
        <v>0</v>
      </c>
      <c r="AL2220" s="106">
        <v>1.5</v>
      </c>
      <c r="AM2220" s="101">
        <v>0</v>
      </c>
      <c r="AN2220" s="101">
        <v>0</v>
      </c>
      <c r="AO2220" s="101">
        <v>0</v>
      </c>
      <c r="AP2220" s="101">
        <v>1.5</v>
      </c>
      <c r="AQ2220" s="101">
        <v>1600</v>
      </c>
      <c r="AR2220" s="101">
        <v>1</v>
      </c>
      <c r="AS2220" s="101">
        <v>15</v>
      </c>
      <c r="AT2220" s="335" t="s">
        <v>5031</v>
      </c>
      <c r="AU2220" s="336" t="s">
        <v>5032</v>
      </c>
      <c r="AV2220" s="114"/>
      <c r="AW2220" s="99" t="s">
        <v>256</v>
      </c>
      <c r="AX2220" s="101" t="s">
        <v>215</v>
      </c>
      <c r="AY2220" s="100">
        <v>10000011</v>
      </c>
      <c r="AZ2220" s="100">
        <v>77001301</v>
      </c>
      <c r="BA2220" s="99" t="s">
        <v>216</v>
      </c>
      <c r="BB2220" s="101">
        <v>0</v>
      </c>
      <c r="BC2220" s="105">
        <v>0</v>
      </c>
      <c r="BD2220" s="105">
        <v>0</v>
      </c>
      <c r="BE2220" s="119" t="s">
        <v>5033</v>
      </c>
      <c r="BF2220" s="119" t="s">
        <v>5034</v>
      </c>
      <c r="BG2220" s="101">
        <v>0</v>
      </c>
      <c r="BH2220" s="101">
        <v>0</v>
      </c>
      <c r="BI2220" s="101">
        <v>0</v>
      </c>
      <c r="BJ2220" s="101">
        <v>0</v>
      </c>
      <c r="BK2220" s="101">
        <v>0</v>
      </c>
      <c r="BL2220" s="101">
        <v>0</v>
      </c>
      <c r="BM2220" s="97">
        <v>0</v>
      </c>
      <c r="BN2220" s="106">
        <v>0</v>
      </c>
      <c r="BO2220" s="106">
        <v>0</v>
      </c>
      <c r="BP2220" s="106">
        <v>0</v>
      </c>
      <c r="BQ2220" s="106">
        <v>0</v>
      </c>
      <c r="BR2220" s="106">
        <v>0</v>
      </c>
      <c r="BS2220" s="106">
        <v>0</v>
      </c>
      <c r="BT2220" s="106">
        <v>77001305</v>
      </c>
      <c r="BU2220" s="47">
        <v>0</v>
      </c>
      <c r="BV2220" s="47"/>
      <c r="BW2220" s="47"/>
    </row>
    <row r="2221" spans="3:75" ht="20.100000000000001" customHeight="1">
      <c r="C2221" s="100">
        <v>77001303</v>
      </c>
      <c r="D2221" s="99" t="s">
        <v>810</v>
      </c>
      <c r="E2221" s="287" t="s">
        <v>811</v>
      </c>
      <c r="F2221" s="97">
        <v>1</v>
      </c>
      <c r="G2221" s="97">
        <v>0</v>
      </c>
      <c r="H2221" s="101">
        <v>0</v>
      </c>
      <c r="I2221" s="105">
        <v>0</v>
      </c>
      <c r="J2221" s="100">
        <v>1</v>
      </c>
      <c r="K2221" s="100">
        <v>0</v>
      </c>
      <c r="L2221" s="100">
        <v>0</v>
      </c>
      <c r="M2221" s="101">
        <v>0</v>
      </c>
      <c r="N2221" s="101">
        <v>0</v>
      </c>
      <c r="O2221" s="101">
        <v>2</v>
      </c>
      <c r="P2221" s="101">
        <v>3</v>
      </c>
      <c r="Q2221" s="101">
        <v>0.2</v>
      </c>
      <c r="R2221" s="101">
        <v>0</v>
      </c>
      <c r="S2221" s="106">
        <v>0</v>
      </c>
      <c r="T2221" s="101">
        <v>0</v>
      </c>
      <c r="U2221" s="101">
        <v>1</v>
      </c>
      <c r="V2221" s="97">
        <v>1</v>
      </c>
      <c r="W2221" s="101">
        <v>0</v>
      </c>
      <c r="X2221" s="101">
        <v>3</v>
      </c>
      <c r="Y2221" s="12">
        <v>0</v>
      </c>
      <c r="Z2221" s="101">
        <v>0</v>
      </c>
      <c r="AA2221" s="101">
        <v>1</v>
      </c>
      <c r="AB2221" s="101">
        <v>0</v>
      </c>
      <c r="AC2221" s="101">
        <v>0</v>
      </c>
      <c r="AD2221" s="101">
        <v>0</v>
      </c>
      <c r="AE2221" s="101">
        <v>1</v>
      </c>
      <c r="AF2221" s="101">
        <v>5</v>
      </c>
      <c r="AG2221" s="101">
        <v>1</v>
      </c>
      <c r="AH2221" s="101">
        <v>6</v>
      </c>
      <c r="AI2221" s="106">
        <v>0</v>
      </c>
      <c r="AJ2221" s="106">
        <v>1</v>
      </c>
      <c r="AK2221" s="106">
        <v>0</v>
      </c>
      <c r="AL2221" s="106">
        <v>3</v>
      </c>
      <c r="AM2221" s="101">
        <v>0</v>
      </c>
      <c r="AN2221" s="101">
        <v>1</v>
      </c>
      <c r="AO2221" s="101">
        <v>0</v>
      </c>
      <c r="AP2221" s="101">
        <v>1</v>
      </c>
      <c r="AQ2221" s="101">
        <v>3000</v>
      </c>
      <c r="AR2221" s="101">
        <v>1</v>
      </c>
      <c r="AS2221" s="101">
        <v>0</v>
      </c>
      <c r="AT2221" s="106">
        <v>0</v>
      </c>
      <c r="AU2221" s="336" t="s">
        <v>5032</v>
      </c>
      <c r="AV2221" s="114"/>
      <c r="AW2221" s="99" t="s">
        <v>617</v>
      </c>
      <c r="AX2221" s="101" t="s">
        <v>215</v>
      </c>
      <c r="AY2221" s="100">
        <v>10000011</v>
      </c>
      <c r="AZ2221" s="100">
        <v>77001302</v>
      </c>
      <c r="BA2221" s="102" t="s">
        <v>200</v>
      </c>
      <c r="BB2221" s="101">
        <v>0</v>
      </c>
      <c r="BC2221" s="105">
        <v>0</v>
      </c>
      <c r="BD2221" s="105">
        <v>0</v>
      </c>
      <c r="BE2221" s="119" t="s">
        <v>812</v>
      </c>
      <c r="BF2221" s="119" t="s">
        <v>813</v>
      </c>
      <c r="BG2221" s="101">
        <v>0</v>
      </c>
      <c r="BH2221" s="101">
        <v>0</v>
      </c>
      <c r="BI2221" s="101">
        <v>0</v>
      </c>
      <c r="BJ2221" s="101">
        <v>0</v>
      </c>
      <c r="BK2221" s="101">
        <v>0</v>
      </c>
      <c r="BL2221" s="101">
        <v>0</v>
      </c>
      <c r="BM2221" s="97">
        <v>0</v>
      </c>
      <c r="BN2221" s="106">
        <v>0</v>
      </c>
      <c r="BO2221" s="106">
        <v>0</v>
      </c>
      <c r="BP2221" s="106">
        <v>0</v>
      </c>
      <c r="BQ2221" s="106">
        <v>0</v>
      </c>
      <c r="BR2221" s="106">
        <v>0</v>
      </c>
      <c r="BS2221" s="106">
        <v>0</v>
      </c>
      <c r="BT2221" s="106">
        <v>0</v>
      </c>
      <c r="BU2221" s="47">
        <v>0</v>
      </c>
      <c r="BV2221" s="47"/>
      <c r="BW2221" s="47"/>
    </row>
    <row r="2222" spans="3:75" ht="20.100000000000001" customHeight="1">
      <c r="C2222" s="100">
        <v>77001304</v>
      </c>
      <c r="D2222" s="103" t="s">
        <v>814</v>
      </c>
      <c r="E2222" s="103" t="s">
        <v>815</v>
      </c>
      <c r="F2222" s="97">
        <v>1</v>
      </c>
      <c r="G2222" s="97">
        <v>0</v>
      </c>
      <c r="H2222" s="97">
        <v>0</v>
      </c>
      <c r="I2222" s="104">
        <v>0</v>
      </c>
      <c r="J2222" s="97">
        <v>0</v>
      </c>
      <c r="K2222" s="97">
        <v>0</v>
      </c>
      <c r="L2222" s="104">
        <v>0</v>
      </c>
      <c r="M2222" s="104">
        <v>0</v>
      </c>
      <c r="N2222" s="97">
        <v>0</v>
      </c>
      <c r="O2222" s="101">
        <v>2</v>
      </c>
      <c r="P2222" s="101">
        <v>2</v>
      </c>
      <c r="Q2222" s="97">
        <v>0.8</v>
      </c>
      <c r="R2222" s="97">
        <v>0</v>
      </c>
      <c r="S2222" s="106">
        <v>0</v>
      </c>
      <c r="T2222" s="97">
        <v>0</v>
      </c>
      <c r="U2222" s="101">
        <v>1</v>
      </c>
      <c r="V2222" s="97">
        <v>1</v>
      </c>
      <c r="W2222" s="104">
        <v>0</v>
      </c>
      <c r="X2222" s="97">
        <v>3</v>
      </c>
      <c r="Y2222" s="12">
        <v>0</v>
      </c>
      <c r="Z2222" s="97">
        <v>0</v>
      </c>
      <c r="AA2222" s="97">
        <v>0</v>
      </c>
      <c r="AB2222" s="97">
        <v>0</v>
      </c>
      <c r="AC2222" s="104">
        <v>0</v>
      </c>
      <c r="AD2222" s="97">
        <v>0</v>
      </c>
      <c r="AE2222" s="97">
        <v>0</v>
      </c>
      <c r="AF2222" s="97">
        <v>12</v>
      </c>
      <c r="AG2222" s="97">
        <v>1</v>
      </c>
      <c r="AH2222" s="101">
        <v>2</v>
      </c>
      <c r="AI2222" s="107">
        <v>0</v>
      </c>
      <c r="AJ2222" s="107">
        <v>2</v>
      </c>
      <c r="AK2222" s="106">
        <v>0</v>
      </c>
      <c r="AL2222" s="97">
        <v>1.5</v>
      </c>
      <c r="AM2222" s="108">
        <v>0</v>
      </c>
      <c r="AN2222" s="97">
        <v>0</v>
      </c>
      <c r="AO2222" s="97">
        <v>0</v>
      </c>
      <c r="AP2222" s="97">
        <v>2.5</v>
      </c>
      <c r="AQ2222" s="101">
        <v>8000</v>
      </c>
      <c r="AR2222" s="97">
        <v>1.5</v>
      </c>
      <c r="AS2222" s="97">
        <v>10</v>
      </c>
      <c r="AT2222" s="106">
        <v>0</v>
      </c>
      <c r="AU2222" s="336" t="s">
        <v>5035</v>
      </c>
      <c r="AV2222" s="114"/>
      <c r="AW2222" s="102" t="s">
        <v>287</v>
      </c>
      <c r="AX2222" s="104">
        <v>0</v>
      </c>
      <c r="AY2222" s="104">
        <v>0</v>
      </c>
      <c r="AZ2222" s="100">
        <v>77001303</v>
      </c>
      <c r="BA2222" s="102" t="s">
        <v>586</v>
      </c>
      <c r="BB2222" s="101" t="s">
        <v>816</v>
      </c>
      <c r="BC2222" s="105">
        <v>0</v>
      </c>
      <c r="BD2222" s="105">
        <v>0</v>
      </c>
      <c r="BE2222" s="119" t="s">
        <v>5036</v>
      </c>
      <c r="BF2222" s="122" t="s">
        <v>5037</v>
      </c>
      <c r="BG2222" s="97">
        <v>2</v>
      </c>
      <c r="BH2222" s="97">
        <v>0</v>
      </c>
      <c r="BI2222" s="100">
        <v>0</v>
      </c>
      <c r="BJ2222" s="97">
        <v>1</v>
      </c>
      <c r="BK2222" s="97">
        <v>2</v>
      </c>
      <c r="BL2222" s="108">
        <v>0</v>
      </c>
      <c r="BM2222" s="97">
        <v>0</v>
      </c>
      <c r="BN2222" s="106">
        <v>0</v>
      </c>
      <c r="BO2222" s="106">
        <v>0</v>
      </c>
      <c r="BP2222" s="106">
        <v>0</v>
      </c>
      <c r="BQ2222" s="106">
        <v>0</v>
      </c>
      <c r="BR2222" s="106">
        <v>0</v>
      </c>
      <c r="BS2222" s="106">
        <v>0</v>
      </c>
      <c r="BT2222" s="106">
        <v>0</v>
      </c>
      <c r="BU2222" s="47">
        <v>0</v>
      </c>
      <c r="BV2222" s="47"/>
      <c r="BW2222" s="47"/>
    </row>
    <row r="2223" spans="3:75" ht="20.100000000000001" customHeight="1">
      <c r="C2223" s="100">
        <v>77001305</v>
      </c>
      <c r="D2223" s="99" t="s">
        <v>760</v>
      </c>
      <c r="E2223" s="287" t="s">
        <v>761</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12</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32" t="s">
        <v>5031</v>
      </c>
      <c r="AU2223" s="336" t="s">
        <v>5032</v>
      </c>
      <c r="AV2223" s="114"/>
      <c r="AW2223" s="99" t="s">
        <v>256</v>
      </c>
      <c r="AX2223" s="101" t="s">
        <v>215</v>
      </c>
      <c r="AY2223" s="100">
        <v>10000011</v>
      </c>
      <c r="AZ2223" s="100">
        <v>77001301</v>
      </c>
      <c r="BA2223" s="99" t="s">
        <v>216</v>
      </c>
      <c r="BB2223" s="101">
        <v>0</v>
      </c>
      <c r="BC2223" s="105">
        <v>0</v>
      </c>
      <c r="BD2223" s="105">
        <v>0</v>
      </c>
      <c r="BE2223" s="119" t="s">
        <v>5038</v>
      </c>
      <c r="BF2223" s="119" t="s">
        <v>5039</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77001306</v>
      </c>
      <c r="BU2223" s="47">
        <v>0</v>
      </c>
      <c r="BV2223" s="47"/>
      <c r="BW2223" s="47"/>
    </row>
    <row r="2224" spans="3:75" ht="20.100000000000001" customHeight="1">
      <c r="C2224" s="100">
        <v>77001306</v>
      </c>
      <c r="D2224" s="99" t="s">
        <v>760</v>
      </c>
      <c r="E2224" s="287" t="s">
        <v>761</v>
      </c>
      <c r="F2224" s="97">
        <v>1</v>
      </c>
      <c r="G2224" s="97">
        <v>0</v>
      </c>
      <c r="H2224" s="101">
        <v>0</v>
      </c>
      <c r="I2224" s="105">
        <v>0</v>
      </c>
      <c r="J2224" s="100">
        <v>1</v>
      </c>
      <c r="K2224" s="100">
        <v>0</v>
      </c>
      <c r="L2224" s="100">
        <v>0</v>
      </c>
      <c r="M2224" s="101">
        <v>0</v>
      </c>
      <c r="N2224" s="101">
        <v>0</v>
      </c>
      <c r="O2224" s="101">
        <v>2</v>
      </c>
      <c r="P2224" s="101">
        <v>1</v>
      </c>
      <c r="Q2224" s="101">
        <v>0.2</v>
      </c>
      <c r="R2224" s="101">
        <v>0</v>
      </c>
      <c r="S2224" s="106">
        <v>0</v>
      </c>
      <c r="T2224" s="101">
        <v>0</v>
      </c>
      <c r="U2224" s="101">
        <v>1</v>
      </c>
      <c r="V2224" s="97">
        <v>1</v>
      </c>
      <c r="W2224" s="101">
        <v>0</v>
      </c>
      <c r="X2224" s="101">
        <v>1</v>
      </c>
      <c r="Y2224" s="12">
        <v>0</v>
      </c>
      <c r="Z2224" s="101">
        <v>150</v>
      </c>
      <c r="AA2224" s="101">
        <v>1</v>
      </c>
      <c r="AB2224" s="101">
        <v>0</v>
      </c>
      <c r="AC2224" s="101">
        <v>0</v>
      </c>
      <c r="AD2224" s="101">
        <v>0</v>
      </c>
      <c r="AE2224" s="101">
        <v>1</v>
      </c>
      <c r="AF2224" s="101">
        <v>12</v>
      </c>
      <c r="AG2224" s="101">
        <v>2</v>
      </c>
      <c r="AH2224" s="101" t="s">
        <v>213</v>
      </c>
      <c r="AI2224" s="106">
        <v>0</v>
      </c>
      <c r="AJ2224" s="106">
        <v>2</v>
      </c>
      <c r="AK2224" s="106">
        <v>0</v>
      </c>
      <c r="AL2224" s="106">
        <v>1.5</v>
      </c>
      <c r="AM2224" s="101">
        <v>0</v>
      </c>
      <c r="AN2224" s="101">
        <v>0</v>
      </c>
      <c r="AO2224" s="101">
        <v>0</v>
      </c>
      <c r="AP2224" s="101">
        <v>1.5</v>
      </c>
      <c r="AQ2224" s="101">
        <v>1600</v>
      </c>
      <c r="AR2224" s="101">
        <v>1</v>
      </c>
      <c r="AS2224" s="101">
        <v>15</v>
      </c>
      <c r="AT2224" s="332" t="s">
        <v>5031</v>
      </c>
      <c r="AU2224" s="336" t="s">
        <v>5032</v>
      </c>
      <c r="AV2224" s="114"/>
      <c r="AW2224" s="99" t="s">
        <v>256</v>
      </c>
      <c r="AX2224" s="101" t="s">
        <v>215</v>
      </c>
      <c r="AY2224" s="100">
        <v>10000011</v>
      </c>
      <c r="AZ2224" s="100">
        <v>77001301</v>
      </c>
      <c r="BA2224" s="99" t="s">
        <v>216</v>
      </c>
      <c r="BB2224" s="101">
        <v>0</v>
      </c>
      <c r="BC2224" s="105">
        <v>0</v>
      </c>
      <c r="BD2224" s="105">
        <v>0</v>
      </c>
      <c r="BE2224" s="119" t="s">
        <v>5038</v>
      </c>
      <c r="BF2224" s="119" t="s">
        <v>5039</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77001304</v>
      </c>
      <c r="BU2224" s="47">
        <v>0</v>
      </c>
      <c r="BV2224" s="47"/>
      <c r="BW2224" s="47"/>
    </row>
    <row r="2225" spans="3:75" ht="20.100000000000001" customHeight="1">
      <c r="C2225" s="100">
        <v>77001307</v>
      </c>
      <c r="D2225" s="99" t="s">
        <v>5040</v>
      </c>
      <c r="E2225" s="287" t="s">
        <v>5041</v>
      </c>
      <c r="F2225" s="97">
        <v>1</v>
      </c>
      <c r="G2225" s="97">
        <v>0</v>
      </c>
      <c r="H2225" s="100">
        <v>0</v>
      </c>
      <c r="I2225" s="105">
        <v>0</v>
      </c>
      <c r="J2225" s="100">
        <v>1</v>
      </c>
      <c r="K2225" s="100">
        <v>0</v>
      </c>
      <c r="L2225" s="100">
        <v>0</v>
      </c>
      <c r="M2225" s="101">
        <v>0</v>
      </c>
      <c r="N2225" s="101">
        <v>0</v>
      </c>
      <c r="O2225" s="101">
        <v>2</v>
      </c>
      <c r="P2225" s="101">
        <v>16</v>
      </c>
      <c r="Q2225" s="101">
        <v>5</v>
      </c>
      <c r="R2225" s="101">
        <v>0</v>
      </c>
      <c r="S2225" s="106">
        <v>0</v>
      </c>
      <c r="T2225" s="101">
        <v>0</v>
      </c>
      <c r="U2225" s="101">
        <v>1</v>
      </c>
      <c r="V2225" s="97">
        <v>1</v>
      </c>
      <c r="W2225" s="101">
        <v>0</v>
      </c>
      <c r="X2225" s="101">
        <v>2</v>
      </c>
      <c r="Y2225" s="12">
        <v>0</v>
      </c>
      <c r="Z2225" s="101">
        <v>0</v>
      </c>
      <c r="AA2225" s="101">
        <v>0</v>
      </c>
      <c r="AB2225" s="101">
        <v>0</v>
      </c>
      <c r="AC2225" s="101">
        <v>0</v>
      </c>
      <c r="AD2225" s="101">
        <v>0</v>
      </c>
      <c r="AE2225" s="101">
        <v>0</v>
      </c>
      <c r="AF2225" s="101">
        <v>0</v>
      </c>
      <c r="AG2225" s="101">
        <v>2</v>
      </c>
      <c r="AH2225" s="101" t="s">
        <v>213</v>
      </c>
      <c r="AI2225" s="106">
        <v>0</v>
      </c>
      <c r="AJ2225" s="106">
        <v>2</v>
      </c>
      <c r="AK2225" s="106">
        <v>0</v>
      </c>
      <c r="AL2225" s="106">
        <v>1.5</v>
      </c>
      <c r="AM2225" s="101">
        <v>0</v>
      </c>
      <c r="AN2225" s="101">
        <v>0</v>
      </c>
      <c r="AO2225" s="101">
        <v>0</v>
      </c>
      <c r="AP2225" s="101">
        <v>1</v>
      </c>
      <c r="AQ2225" s="101">
        <v>2000</v>
      </c>
      <c r="AR2225" s="101">
        <v>1</v>
      </c>
      <c r="AS2225" s="101">
        <v>0</v>
      </c>
      <c r="AT2225" s="106">
        <v>0</v>
      </c>
      <c r="AU2225" s="336" t="s">
        <v>5032</v>
      </c>
      <c r="AV2225" s="114"/>
      <c r="AW2225" s="102" t="s">
        <v>198</v>
      </c>
      <c r="AX2225" s="101" t="s">
        <v>545</v>
      </c>
      <c r="AY2225" s="100">
        <v>10001007</v>
      </c>
      <c r="AZ2225" s="100">
        <v>77001304</v>
      </c>
      <c r="BA2225" s="99" t="s">
        <v>200</v>
      </c>
      <c r="BB2225" s="101">
        <v>0</v>
      </c>
      <c r="BC2225" s="105">
        <v>0</v>
      </c>
      <c r="BD2225" s="105">
        <v>0</v>
      </c>
      <c r="BE2225" s="119" t="s">
        <v>5042</v>
      </c>
      <c r="BF2225" s="119" t="s">
        <v>5043</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0</v>
      </c>
      <c r="BU2225" s="47">
        <v>0</v>
      </c>
      <c r="BV2225" s="47"/>
      <c r="BW2225" s="47"/>
    </row>
    <row r="2226" spans="3:75" ht="19.5" customHeight="1">
      <c r="C2226" s="64">
        <v>77001401</v>
      </c>
      <c r="D2226" s="59" t="s">
        <v>5044</v>
      </c>
      <c r="E2226" s="59" t="s">
        <v>5045</v>
      </c>
      <c r="F2226" s="64">
        <v>1</v>
      </c>
      <c r="G2226" s="64">
        <v>0</v>
      </c>
      <c r="H2226" s="64">
        <v>0</v>
      </c>
      <c r="I2226" s="66">
        <v>0</v>
      </c>
      <c r="J2226" s="64">
        <v>1</v>
      </c>
      <c r="K2226" s="64">
        <v>0</v>
      </c>
      <c r="L2226" s="64">
        <v>0</v>
      </c>
      <c r="M2226" s="60">
        <v>0</v>
      </c>
      <c r="N2226" s="60">
        <v>0</v>
      </c>
      <c r="O2226" s="60">
        <v>2</v>
      </c>
      <c r="P2226" s="60">
        <v>16</v>
      </c>
      <c r="Q2226" s="60">
        <v>5</v>
      </c>
      <c r="R2226" s="60">
        <v>0</v>
      </c>
      <c r="S2226" s="68">
        <v>0</v>
      </c>
      <c r="T2226" s="60">
        <v>0</v>
      </c>
      <c r="U2226" s="60">
        <v>1</v>
      </c>
      <c r="V2226" s="60">
        <v>2</v>
      </c>
      <c r="W2226" s="60">
        <v>0</v>
      </c>
      <c r="X2226" s="60">
        <v>1</v>
      </c>
      <c r="Y2226" s="12">
        <v>0</v>
      </c>
      <c r="Z2226" s="60">
        <v>0</v>
      </c>
      <c r="AA2226" s="60">
        <v>1</v>
      </c>
      <c r="AB2226" s="60">
        <v>0</v>
      </c>
      <c r="AC2226" s="60">
        <v>0</v>
      </c>
      <c r="AD2226" s="60">
        <v>0</v>
      </c>
      <c r="AE2226" s="60">
        <v>1</v>
      </c>
      <c r="AF2226" s="60">
        <v>0</v>
      </c>
      <c r="AG2226" s="60">
        <v>1</v>
      </c>
      <c r="AH2226" s="60">
        <v>2</v>
      </c>
      <c r="AI2226" s="68">
        <v>0</v>
      </c>
      <c r="AJ2226" s="68">
        <v>2</v>
      </c>
      <c r="AK2226" s="68">
        <v>0</v>
      </c>
      <c r="AL2226" s="68">
        <v>4</v>
      </c>
      <c r="AM2226" s="60">
        <v>0</v>
      </c>
      <c r="AN2226" s="60">
        <v>1</v>
      </c>
      <c r="AO2226" s="60">
        <v>0</v>
      </c>
      <c r="AP2226" s="60">
        <v>0</v>
      </c>
      <c r="AQ2226" s="60">
        <v>9000</v>
      </c>
      <c r="AR2226" s="60">
        <v>0</v>
      </c>
      <c r="AS2226" s="60">
        <v>10</v>
      </c>
      <c r="AT2226" s="78">
        <v>0</v>
      </c>
      <c r="AU2226" s="331" t="s">
        <v>5046</v>
      </c>
      <c r="AV2226" s="79"/>
      <c r="AW2226" s="59" t="s">
        <v>287</v>
      </c>
      <c r="AX2226" s="60" t="s">
        <v>534</v>
      </c>
      <c r="AY2226" s="64">
        <v>10000007</v>
      </c>
      <c r="AZ2226" s="64">
        <v>77001401</v>
      </c>
      <c r="BA2226" s="59" t="s">
        <v>586</v>
      </c>
      <c r="BB2226" s="60" t="s">
        <v>5047</v>
      </c>
      <c r="BC2226" s="66">
        <v>0</v>
      </c>
      <c r="BD2226" s="66">
        <v>1</v>
      </c>
      <c r="BE2226" s="90" t="s">
        <v>5048</v>
      </c>
      <c r="BF2226" s="90" t="s">
        <v>5049</v>
      </c>
      <c r="BG2226" s="60">
        <v>0</v>
      </c>
      <c r="BH2226" s="60">
        <v>0</v>
      </c>
      <c r="BI2226" s="60">
        <v>0</v>
      </c>
      <c r="BJ2226" s="60">
        <v>0</v>
      </c>
      <c r="BK2226" s="60">
        <v>0</v>
      </c>
      <c r="BL2226" s="60">
        <v>0</v>
      </c>
      <c r="BM2226" s="93">
        <v>0</v>
      </c>
      <c r="BN2226" s="68">
        <v>0</v>
      </c>
      <c r="BO2226" s="68">
        <v>0</v>
      </c>
      <c r="BP2226" s="68">
        <v>0</v>
      </c>
      <c r="BQ2226" s="68">
        <v>0</v>
      </c>
      <c r="BR2226" s="68">
        <v>0</v>
      </c>
      <c r="BS2226" s="68">
        <v>0</v>
      </c>
      <c r="BT2226" s="68">
        <v>0</v>
      </c>
      <c r="BU2226" s="47">
        <v>0</v>
      </c>
      <c r="BV2226" s="47"/>
      <c r="BW2226" s="47"/>
    </row>
    <row r="2227" spans="3:75" ht="19.5" customHeight="1">
      <c r="C2227" s="64">
        <v>77001402</v>
      </c>
      <c r="D2227" s="59" t="s">
        <v>2707</v>
      </c>
      <c r="E2227" s="59" t="s">
        <v>5050</v>
      </c>
      <c r="F2227" s="64">
        <v>1</v>
      </c>
      <c r="G2227" s="64">
        <v>0</v>
      </c>
      <c r="H2227" s="64">
        <v>0</v>
      </c>
      <c r="I2227" s="66">
        <v>0</v>
      </c>
      <c r="J2227" s="64">
        <v>1</v>
      </c>
      <c r="K2227" s="64">
        <v>0</v>
      </c>
      <c r="L2227" s="64">
        <v>0</v>
      </c>
      <c r="M2227" s="60">
        <v>0</v>
      </c>
      <c r="N2227" s="60">
        <v>0</v>
      </c>
      <c r="O2227" s="60">
        <v>2</v>
      </c>
      <c r="P2227" s="60">
        <v>3</v>
      </c>
      <c r="Q2227" s="60">
        <v>0.2</v>
      </c>
      <c r="R2227" s="60">
        <v>0</v>
      </c>
      <c r="S2227" s="68">
        <v>1</v>
      </c>
      <c r="T2227" s="60">
        <v>0</v>
      </c>
      <c r="U2227" s="60">
        <v>1</v>
      </c>
      <c r="V2227" s="60">
        <v>2</v>
      </c>
      <c r="W2227" s="60">
        <v>0</v>
      </c>
      <c r="X2227" s="60">
        <v>2</v>
      </c>
      <c r="Y2227" s="12">
        <v>0</v>
      </c>
      <c r="Z2227" s="60">
        <v>0</v>
      </c>
      <c r="AA2227" s="60">
        <v>1</v>
      </c>
      <c r="AB2227" s="60">
        <v>0</v>
      </c>
      <c r="AC2227" s="60">
        <v>0</v>
      </c>
      <c r="AD2227" s="60">
        <v>1</v>
      </c>
      <c r="AE2227" s="60">
        <v>1</v>
      </c>
      <c r="AF2227" s="60">
        <v>0</v>
      </c>
      <c r="AG2227" s="60">
        <v>1</v>
      </c>
      <c r="AH2227" s="60">
        <v>3</v>
      </c>
      <c r="AI2227" s="68">
        <v>1</v>
      </c>
      <c r="AJ2227" s="68">
        <v>1</v>
      </c>
      <c r="AK2227" s="68">
        <v>0</v>
      </c>
      <c r="AL2227" s="68">
        <v>3</v>
      </c>
      <c r="AM2227" s="60">
        <v>0</v>
      </c>
      <c r="AN2227" s="60">
        <v>0</v>
      </c>
      <c r="AO2227" s="60">
        <v>0</v>
      </c>
      <c r="AP2227" s="60">
        <v>0</v>
      </c>
      <c r="AQ2227" s="60">
        <v>500</v>
      </c>
      <c r="AR2227" s="60">
        <v>0.3</v>
      </c>
      <c r="AS2227" s="60">
        <v>0</v>
      </c>
      <c r="AT2227" s="339" t="s">
        <v>5051</v>
      </c>
      <c r="AU2227" s="331" t="s">
        <v>5052</v>
      </c>
      <c r="AV2227" s="79"/>
      <c r="AW2227" s="63" t="s">
        <v>198</v>
      </c>
      <c r="AX2227" s="60" t="s">
        <v>534</v>
      </c>
      <c r="AY2227" s="64">
        <v>0</v>
      </c>
      <c r="AZ2227" s="64">
        <v>77001403</v>
      </c>
      <c r="BA2227" s="59" t="s">
        <v>200</v>
      </c>
      <c r="BB2227" s="60">
        <v>0</v>
      </c>
      <c r="BC2227" s="66">
        <v>0</v>
      </c>
      <c r="BD2227" s="66">
        <v>0</v>
      </c>
      <c r="BE2227" s="90" t="s">
        <v>2229</v>
      </c>
      <c r="BF2227" s="90" t="s">
        <v>2230</v>
      </c>
      <c r="BG2227" s="60">
        <v>0</v>
      </c>
      <c r="BH2227" s="60">
        <v>0</v>
      </c>
      <c r="BI2227" s="60">
        <v>0</v>
      </c>
      <c r="BJ2227" s="60">
        <v>0</v>
      </c>
      <c r="BK2227" s="60">
        <v>0</v>
      </c>
      <c r="BL2227" s="60">
        <v>0</v>
      </c>
      <c r="BM2227" s="93">
        <v>0</v>
      </c>
      <c r="BN2227" s="68">
        <v>0</v>
      </c>
      <c r="BO2227" s="68">
        <v>0</v>
      </c>
      <c r="BP2227" s="68">
        <v>0</v>
      </c>
      <c r="BQ2227" s="68">
        <v>0</v>
      </c>
      <c r="BR2227" s="68">
        <v>0</v>
      </c>
      <c r="BS2227" s="68">
        <v>0</v>
      </c>
      <c r="BT2227" s="68">
        <v>0</v>
      </c>
      <c r="BU2227" s="47">
        <v>0</v>
      </c>
      <c r="BV2227" s="47"/>
      <c r="BW2227" s="47"/>
    </row>
    <row r="2228" spans="3:75" ht="19.5" customHeight="1">
      <c r="C2228" s="64">
        <v>77001403</v>
      </c>
      <c r="D2228" s="59" t="s">
        <v>2707</v>
      </c>
      <c r="E2228" s="59" t="s">
        <v>5050</v>
      </c>
      <c r="F2228" s="64">
        <v>1</v>
      </c>
      <c r="G2228" s="64">
        <v>0</v>
      </c>
      <c r="H2228" s="64">
        <v>0</v>
      </c>
      <c r="I2228" s="66">
        <v>0</v>
      </c>
      <c r="J2228" s="64">
        <v>1</v>
      </c>
      <c r="K2228" s="64">
        <v>0</v>
      </c>
      <c r="L2228" s="64">
        <v>0</v>
      </c>
      <c r="M2228" s="60">
        <v>0</v>
      </c>
      <c r="N2228" s="60">
        <v>0</v>
      </c>
      <c r="O2228" s="60">
        <v>2</v>
      </c>
      <c r="P2228" s="60">
        <v>3</v>
      </c>
      <c r="Q2228" s="60">
        <v>0.2</v>
      </c>
      <c r="R2228" s="60">
        <v>0</v>
      </c>
      <c r="S2228" s="68">
        <v>1</v>
      </c>
      <c r="T2228" s="60">
        <v>0</v>
      </c>
      <c r="U2228" s="60">
        <v>1</v>
      </c>
      <c r="V2228" s="60">
        <v>2</v>
      </c>
      <c r="W2228" s="60">
        <v>0</v>
      </c>
      <c r="X2228" s="60">
        <v>2</v>
      </c>
      <c r="Y2228" s="12">
        <v>0</v>
      </c>
      <c r="Z2228" s="60">
        <v>0</v>
      </c>
      <c r="AA2228" s="60">
        <v>1</v>
      </c>
      <c r="AB2228" s="60">
        <v>0</v>
      </c>
      <c r="AC2228" s="60">
        <v>0</v>
      </c>
      <c r="AD2228" s="60">
        <v>1</v>
      </c>
      <c r="AE2228" s="60">
        <v>1</v>
      </c>
      <c r="AF2228" s="60">
        <v>0</v>
      </c>
      <c r="AG2228" s="60">
        <v>1</v>
      </c>
      <c r="AH2228" s="60">
        <v>3</v>
      </c>
      <c r="AI2228" s="68">
        <v>1</v>
      </c>
      <c r="AJ2228" s="68">
        <v>1</v>
      </c>
      <c r="AK2228" s="68">
        <v>0</v>
      </c>
      <c r="AL2228" s="68">
        <v>3</v>
      </c>
      <c r="AM2228" s="60">
        <v>0</v>
      </c>
      <c r="AN2228" s="60">
        <v>0</v>
      </c>
      <c r="AO2228" s="60">
        <v>0</v>
      </c>
      <c r="AP2228" s="60">
        <v>0</v>
      </c>
      <c r="AQ2228" s="60">
        <v>500</v>
      </c>
      <c r="AR2228" s="60">
        <v>0.3</v>
      </c>
      <c r="AS2228" s="60">
        <v>0</v>
      </c>
      <c r="AT2228" s="68">
        <v>0</v>
      </c>
      <c r="AU2228" s="331" t="s">
        <v>5052</v>
      </c>
      <c r="AV2228" s="79"/>
      <c r="AW2228" s="63" t="s">
        <v>198</v>
      </c>
      <c r="AX2228" s="60" t="s">
        <v>534</v>
      </c>
      <c r="AY2228" s="64">
        <v>0</v>
      </c>
      <c r="AZ2228" s="64">
        <v>77001403</v>
      </c>
      <c r="BA2228" s="59" t="s">
        <v>200</v>
      </c>
      <c r="BB2228" s="60">
        <v>0</v>
      </c>
      <c r="BC2228" s="66">
        <v>0</v>
      </c>
      <c r="BD2228" s="66">
        <v>0</v>
      </c>
      <c r="BE2228" s="90" t="s">
        <v>2229</v>
      </c>
      <c r="BF2228" s="90" t="s">
        <v>2230</v>
      </c>
      <c r="BG2228" s="60">
        <v>0</v>
      </c>
      <c r="BH2228" s="60">
        <v>0</v>
      </c>
      <c r="BI2228" s="60">
        <v>0</v>
      </c>
      <c r="BJ2228" s="60">
        <v>0</v>
      </c>
      <c r="BK2228" s="60">
        <v>0</v>
      </c>
      <c r="BL2228" s="60">
        <v>0</v>
      </c>
      <c r="BM2228" s="93">
        <v>0</v>
      </c>
      <c r="BN2228" s="68">
        <v>0</v>
      </c>
      <c r="BO2228" s="68">
        <v>0</v>
      </c>
      <c r="BP2228" s="68">
        <v>0</v>
      </c>
      <c r="BQ2228" s="68">
        <v>0</v>
      </c>
      <c r="BR2228" s="68">
        <v>0</v>
      </c>
      <c r="BS2228" s="68">
        <v>0</v>
      </c>
      <c r="BT2228" s="68">
        <v>0</v>
      </c>
      <c r="BU2228" s="47">
        <v>0</v>
      </c>
      <c r="BV2228" s="47"/>
      <c r="BW2228" s="47"/>
    </row>
    <row r="2229" spans="3:75" ht="19.5" customHeight="1">
      <c r="C2229" s="64">
        <v>77001404</v>
      </c>
      <c r="D2229" s="59" t="s">
        <v>5053</v>
      </c>
      <c r="E2229" s="59" t="s">
        <v>5054</v>
      </c>
      <c r="F2229" s="64">
        <v>1</v>
      </c>
      <c r="G2229" s="64">
        <v>0</v>
      </c>
      <c r="H2229" s="64">
        <v>0</v>
      </c>
      <c r="I2229" s="66">
        <v>0</v>
      </c>
      <c r="J2229" s="64">
        <v>1</v>
      </c>
      <c r="K2229" s="64">
        <v>0</v>
      </c>
      <c r="L2229" s="64">
        <v>0</v>
      </c>
      <c r="M2229" s="60">
        <v>0</v>
      </c>
      <c r="N2229" s="60">
        <v>0</v>
      </c>
      <c r="O2229" s="60">
        <v>2</v>
      </c>
      <c r="P2229" s="60">
        <v>10</v>
      </c>
      <c r="Q2229" s="60">
        <v>0.3</v>
      </c>
      <c r="R2229" s="60">
        <v>0</v>
      </c>
      <c r="S2229" s="68">
        <v>3</v>
      </c>
      <c r="T2229" s="60">
        <v>0</v>
      </c>
      <c r="U2229" s="60">
        <v>1</v>
      </c>
      <c r="V2229" s="60">
        <v>2</v>
      </c>
      <c r="W2229" s="60">
        <v>0</v>
      </c>
      <c r="X2229" s="60">
        <v>1</v>
      </c>
      <c r="Y2229" s="12">
        <v>0</v>
      </c>
      <c r="Z2229" s="60">
        <v>0</v>
      </c>
      <c r="AA2229" s="60">
        <v>1</v>
      </c>
      <c r="AB2229" s="60">
        <v>0</v>
      </c>
      <c r="AC2229" s="60">
        <v>0</v>
      </c>
      <c r="AD2229" s="60">
        <v>0</v>
      </c>
      <c r="AE2229" s="60">
        <v>1</v>
      </c>
      <c r="AF2229" s="60">
        <v>2</v>
      </c>
      <c r="AG2229" s="60">
        <v>1</v>
      </c>
      <c r="AH2229" s="60">
        <v>2</v>
      </c>
      <c r="AI2229" s="68">
        <v>0</v>
      </c>
      <c r="AJ2229" s="68">
        <v>2</v>
      </c>
      <c r="AK2229" s="68">
        <v>0</v>
      </c>
      <c r="AL2229" s="68">
        <v>1</v>
      </c>
      <c r="AM2229" s="60">
        <v>0</v>
      </c>
      <c r="AN2229" s="60">
        <v>1</v>
      </c>
      <c r="AO2229" s="60">
        <v>0</v>
      </c>
      <c r="AP2229" s="60">
        <v>0</v>
      </c>
      <c r="AQ2229" s="60">
        <v>5000</v>
      </c>
      <c r="AR2229" s="60">
        <v>0</v>
      </c>
      <c r="AS2229" s="60">
        <v>20</v>
      </c>
      <c r="AT2229" s="78">
        <v>0</v>
      </c>
      <c r="AU2229" s="331" t="s">
        <v>5055</v>
      </c>
      <c r="AV2229" s="79"/>
      <c r="AW2229" s="59" t="s">
        <v>256</v>
      </c>
      <c r="AX2229" s="60" t="s">
        <v>534</v>
      </c>
      <c r="AY2229" s="64">
        <v>10000007</v>
      </c>
      <c r="AZ2229" s="64">
        <v>77001402</v>
      </c>
      <c r="BA2229" s="59" t="s">
        <v>586</v>
      </c>
      <c r="BB2229" s="60" t="s">
        <v>5056</v>
      </c>
      <c r="BC2229" s="66">
        <v>0</v>
      </c>
      <c r="BD2229" s="66">
        <v>1</v>
      </c>
      <c r="BE2229" s="90" t="s">
        <v>5057</v>
      </c>
      <c r="BF2229" s="90" t="s">
        <v>5058</v>
      </c>
      <c r="BG2229" s="60">
        <v>0</v>
      </c>
      <c r="BH2229" s="60">
        <v>0</v>
      </c>
      <c r="BI2229" s="60">
        <v>0</v>
      </c>
      <c r="BJ2229" s="60">
        <v>0</v>
      </c>
      <c r="BK2229" s="60">
        <v>0</v>
      </c>
      <c r="BL2229" s="60">
        <v>0</v>
      </c>
      <c r="BM2229" s="93">
        <v>0</v>
      </c>
      <c r="BN2229" s="68">
        <v>0</v>
      </c>
      <c r="BO2229" s="68">
        <v>0</v>
      </c>
      <c r="BP2229" s="68">
        <v>0</v>
      </c>
      <c r="BQ2229" s="68">
        <v>0</v>
      </c>
      <c r="BR2229" s="68">
        <v>0</v>
      </c>
      <c r="BS2229" s="68">
        <v>1</v>
      </c>
      <c r="BT2229" s="68">
        <v>0</v>
      </c>
      <c r="BU2229" s="47">
        <v>0</v>
      </c>
      <c r="BV2229" s="47"/>
      <c r="BW2229" s="47"/>
    </row>
    <row r="2230" spans="3:75" ht="19.5" customHeight="1">
      <c r="C2230" s="64">
        <v>77001405</v>
      </c>
      <c r="D2230" s="59" t="s">
        <v>1045</v>
      </c>
      <c r="E2230" s="59" t="s">
        <v>1046</v>
      </c>
      <c r="F2230" s="64">
        <v>1</v>
      </c>
      <c r="G2230" s="64">
        <v>0</v>
      </c>
      <c r="H2230" s="64">
        <v>0</v>
      </c>
      <c r="I2230" s="66">
        <v>0</v>
      </c>
      <c r="J2230" s="64">
        <v>1</v>
      </c>
      <c r="K2230" s="64">
        <v>0</v>
      </c>
      <c r="L2230" s="64">
        <v>0</v>
      </c>
      <c r="M2230" s="60">
        <v>0</v>
      </c>
      <c r="N2230" s="60">
        <v>0</v>
      </c>
      <c r="O2230" s="60">
        <v>2</v>
      </c>
      <c r="P2230" s="60">
        <v>3</v>
      </c>
      <c r="Q2230" s="60">
        <v>0.1</v>
      </c>
      <c r="R2230" s="60">
        <v>0</v>
      </c>
      <c r="S2230" s="68">
        <v>0</v>
      </c>
      <c r="T2230" s="60">
        <v>0</v>
      </c>
      <c r="U2230" s="60">
        <v>1</v>
      </c>
      <c r="V2230" s="60">
        <v>2</v>
      </c>
      <c r="W2230" s="60">
        <v>0</v>
      </c>
      <c r="X2230" s="60">
        <v>1</v>
      </c>
      <c r="Y2230" s="12">
        <v>0</v>
      </c>
      <c r="Z2230" s="60">
        <v>0</v>
      </c>
      <c r="AA2230" s="60">
        <v>1</v>
      </c>
      <c r="AB2230" s="60">
        <v>0</v>
      </c>
      <c r="AC2230" s="60">
        <v>0</v>
      </c>
      <c r="AD2230" s="60">
        <v>1</v>
      </c>
      <c r="AE2230" s="60">
        <v>0</v>
      </c>
      <c r="AF2230" s="60">
        <v>0</v>
      </c>
      <c r="AG2230" s="60">
        <v>1</v>
      </c>
      <c r="AH2230" s="60">
        <v>3</v>
      </c>
      <c r="AI2230" s="68">
        <v>4</v>
      </c>
      <c r="AJ2230" s="68">
        <v>1</v>
      </c>
      <c r="AK2230" s="68">
        <v>0</v>
      </c>
      <c r="AL2230" s="68">
        <v>1.5</v>
      </c>
      <c r="AM2230" s="60">
        <v>0</v>
      </c>
      <c r="AN2230" s="60">
        <v>0</v>
      </c>
      <c r="AO2230" s="60">
        <v>0</v>
      </c>
      <c r="AP2230" s="60">
        <v>0</v>
      </c>
      <c r="AQ2230" s="60">
        <v>6000</v>
      </c>
      <c r="AR2230" s="60">
        <v>0.8</v>
      </c>
      <c r="AS2230" s="60">
        <v>0</v>
      </c>
      <c r="AT2230" s="68">
        <v>0</v>
      </c>
      <c r="AU2230" s="331" t="s">
        <v>5052</v>
      </c>
      <c r="AV2230" s="79"/>
      <c r="AW2230" s="63" t="s">
        <v>199</v>
      </c>
      <c r="AX2230" s="60" t="s">
        <v>534</v>
      </c>
      <c r="AY2230" s="64">
        <v>0</v>
      </c>
      <c r="AZ2230" s="64">
        <v>77001404</v>
      </c>
      <c r="BA2230" s="59" t="s">
        <v>200</v>
      </c>
      <c r="BB2230" s="60" t="s">
        <v>5059</v>
      </c>
      <c r="BC2230" s="66">
        <v>0</v>
      </c>
      <c r="BD2230" s="66">
        <v>0</v>
      </c>
      <c r="BE2230" s="90" t="s">
        <v>5060</v>
      </c>
      <c r="BF2230" s="90" t="s">
        <v>5061</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20.100000000000001" customHeight="1">
      <c r="C2231" s="64">
        <v>77001406</v>
      </c>
      <c r="D2231" s="124" t="s">
        <v>1039</v>
      </c>
      <c r="E2231" s="124" t="s">
        <v>1040</v>
      </c>
      <c r="F2231" s="68">
        <v>1</v>
      </c>
      <c r="G2231" s="64">
        <v>0</v>
      </c>
      <c r="H2231" s="68">
        <v>0</v>
      </c>
      <c r="I2231" s="68">
        <v>0</v>
      </c>
      <c r="J2231" s="68">
        <v>1</v>
      </c>
      <c r="K2231" s="68">
        <v>0</v>
      </c>
      <c r="L2231" s="68">
        <v>0</v>
      </c>
      <c r="M2231" s="68">
        <v>0</v>
      </c>
      <c r="N2231" s="68">
        <v>0</v>
      </c>
      <c r="O2231" s="68">
        <v>2</v>
      </c>
      <c r="P2231" s="68">
        <v>2</v>
      </c>
      <c r="Q2231" s="68">
        <v>0.8</v>
      </c>
      <c r="R2231" s="68">
        <v>0</v>
      </c>
      <c r="S2231" s="68">
        <v>0</v>
      </c>
      <c r="T2231" s="68">
        <v>0</v>
      </c>
      <c r="U2231" s="68">
        <v>1</v>
      </c>
      <c r="V2231" s="68">
        <v>2</v>
      </c>
      <c r="W2231" s="68">
        <v>0</v>
      </c>
      <c r="X2231" s="68">
        <v>0</v>
      </c>
      <c r="Y2231" s="12">
        <v>0</v>
      </c>
      <c r="Z2231" s="68">
        <v>0</v>
      </c>
      <c r="AA2231" s="68">
        <v>1</v>
      </c>
      <c r="AB2231" s="68">
        <v>0</v>
      </c>
      <c r="AC2231" s="68">
        <v>0</v>
      </c>
      <c r="AD2231" s="68">
        <v>0</v>
      </c>
      <c r="AE2231" s="68">
        <v>0</v>
      </c>
      <c r="AF2231" s="68">
        <v>12</v>
      </c>
      <c r="AG2231" s="68">
        <v>1</v>
      </c>
      <c r="AH2231" s="68">
        <v>8</v>
      </c>
      <c r="AI2231" s="68">
        <v>0</v>
      </c>
      <c r="AJ2231" s="68">
        <v>1</v>
      </c>
      <c r="AK2231" s="68">
        <v>0</v>
      </c>
      <c r="AL2231" s="68">
        <v>4</v>
      </c>
      <c r="AM2231" s="68">
        <v>0</v>
      </c>
      <c r="AN2231" s="68">
        <v>0</v>
      </c>
      <c r="AO2231" s="68">
        <v>0</v>
      </c>
      <c r="AP2231" s="68">
        <v>0</v>
      </c>
      <c r="AQ2231" s="68">
        <v>2000</v>
      </c>
      <c r="AR2231" s="68">
        <v>1.5</v>
      </c>
      <c r="AS2231" s="68">
        <v>0</v>
      </c>
      <c r="AT2231" s="68">
        <v>0</v>
      </c>
      <c r="AU2231" s="68">
        <v>0</v>
      </c>
      <c r="AV2231" s="68"/>
      <c r="AW2231" s="124" t="s">
        <v>617</v>
      </c>
      <c r="AX2231" s="68" t="s">
        <v>1041</v>
      </c>
      <c r="AY2231" s="68">
        <v>0</v>
      </c>
      <c r="AZ2231" s="68">
        <v>77001405</v>
      </c>
      <c r="BA2231" s="124" t="s">
        <v>1042</v>
      </c>
      <c r="BB2231" s="68">
        <v>0</v>
      </c>
      <c r="BC2231" s="68">
        <v>0</v>
      </c>
      <c r="BD2231" s="68">
        <v>0</v>
      </c>
      <c r="BE2231" s="133" t="s">
        <v>1043</v>
      </c>
      <c r="BF2231" s="133" t="s">
        <v>1044</v>
      </c>
      <c r="BG2231" s="68">
        <v>0</v>
      </c>
      <c r="BH2231" s="68">
        <v>0</v>
      </c>
      <c r="BI2231" s="68">
        <v>0</v>
      </c>
      <c r="BJ2231" s="68">
        <v>0</v>
      </c>
      <c r="BK2231" s="68">
        <v>0</v>
      </c>
      <c r="BL2231" s="68">
        <v>0</v>
      </c>
      <c r="BM2231" s="134">
        <v>0</v>
      </c>
      <c r="BN2231" s="68">
        <v>0</v>
      </c>
      <c r="BO2231" s="68">
        <v>0</v>
      </c>
      <c r="BP2231" s="68">
        <v>1000</v>
      </c>
      <c r="BQ2231" s="68">
        <v>0</v>
      </c>
      <c r="BR2231" s="68">
        <v>0</v>
      </c>
      <c r="BS2231" s="68">
        <v>0</v>
      </c>
      <c r="BT2231" s="68">
        <v>0</v>
      </c>
      <c r="BU2231" s="47">
        <v>0</v>
      </c>
      <c r="BV2231" s="47"/>
      <c r="BW2231" s="47"/>
    </row>
    <row r="2232" spans="3:75" ht="19.5" customHeight="1">
      <c r="C2232" s="64">
        <v>77001407</v>
      </c>
      <c r="D2232" s="59" t="s">
        <v>5062</v>
      </c>
      <c r="E2232" s="59" t="s">
        <v>5063</v>
      </c>
      <c r="F2232" s="64">
        <v>1</v>
      </c>
      <c r="G2232" s="64">
        <v>0</v>
      </c>
      <c r="H2232" s="64">
        <v>0</v>
      </c>
      <c r="I2232" s="66">
        <v>0</v>
      </c>
      <c r="J2232" s="64">
        <v>1</v>
      </c>
      <c r="K2232" s="64">
        <v>0</v>
      </c>
      <c r="L2232" s="64">
        <v>0</v>
      </c>
      <c r="M2232" s="60">
        <v>0</v>
      </c>
      <c r="N2232" s="60">
        <v>0</v>
      </c>
      <c r="O2232" s="60">
        <v>2</v>
      </c>
      <c r="P2232" s="60">
        <v>10</v>
      </c>
      <c r="Q2232" s="60">
        <v>0.15</v>
      </c>
      <c r="R2232" s="60">
        <v>0</v>
      </c>
      <c r="S2232" s="68">
        <v>0</v>
      </c>
      <c r="T2232" s="60">
        <v>0</v>
      </c>
      <c r="U2232" s="60">
        <v>1</v>
      </c>
      <c r="V2232" s="60">
        <v>2</v>
      </c>
      <c r="W2232" s="60">
        <v>0</v>
      </c>
      <c r="X2232" s="60">
        <v>2</v>
      </c>
      <c r="Y2232" s="12">
        <v>0</v>
      </c>
      <c r="Z2232" s="60">
        <v>0</v>
      </c>
      <c r="AA2232" s="60">
        <v>1</v>
      </c>
      <c r="AB2232" s="60">
        <v>0</v>
      </c>
      <c r="AC2232" s="60">
        <v>0</v>
      </c>
      <c r="AD2232" s="60">
        <v>0</v>
      </c>
      <c r="AE2232" s="60">
        <v>1</v>
      </c>
      <c r="AF2232" s="60">
        <v>3</v>
      </c>
      <c r="AG2232" s="60">
        <v>1</v>
      </c>
      <c r="AH2232" s="60">
        <v>4</v>
      </c>
      <c r="AI2232" s="68">
        <v>1</v>
      </c>
      <c r="AJ2232" s="68">
        <v>1</v>
      </c>
      <c r="AK2232" s="68">
        <v>0</v>
      </c>
      <c r="AL2232" s="68">
        <v>3</v>
      </c>
      <c r="AM2232" s="60">
        <v>0</v>
      </c>
      <c r="AN2232" s="60">
        <v>1</v>
      </c>
      <c r="AO2232" s="60">
        <v>0</v>
      </c>
      <c r="AP2232" s="60">
        <v>1</v>
      </c>
      <c r="AQ2232" s="60">
        <v>3000</v>
      </c>
      <c r="AR2232" s="60">
        <v>1</v>
      </c>
      <c r="AS2232" s="60">
        <v>0</v>
      </c>
      <c r="AT2232" s="68">
        <v>0</v>
      </c>
      <c r="AU2232" s="331" t="s">
        <v>5055</v>
      </c>
      <c r="AV2232" s="79"/>
      <c r="AW2232" s="63" t="s">
        <v>287</v>
      </c>
      <c r="AX2232" s="60" t="s">
        <v>534</v>
      </c>
      <c r="AY2232" s="64">
        <v>0</v>
      </c>
      <c r="AZ2232" s="64">
        <v>77001407</v>
      </c>
      <c r="BA2232" s="59" t="s">
        <v>200</v>
      </c>
      <c r="BB2232" s="60">
        <v>0</v>
      </c>
      <c r="BC2232" s="66">
        <v>0</v>
      </c>
      <c r="BD2232" s="66">
        <v>0</v>
      </c>
      <c r="BE2232" s="90" t="s">
        <v>5064</v>
      </c>
      <c r="BF2232" s="90" t="s">
        <v>5065</v>
      </c>
      <c r="BG2232" s="60">
        <v>0</v>
      </c>
      <c r="BH2232" s="60">
        <v>0</v>
      </c>
      <c r="BI2232" s="60">
        <v>0</v>
      </c>
      <c r="BJ2232" s="60">
        <v>0</v>
      </c>
      <c r="BK2232" s="60">
        <v>0</v>
      </c>
      <c r="BL2232" s="60">
        <v>0</v>
      </c>
      <c r="BM2232" s="93">
        <v>0</v>
      </c>
      <c r="BN2232" s="68">
        <v>0</v>
      </c>
      <c r="BO2232" s="68">
        <v>0</v>
      </c>
      <c r="BP2232" s="68">
        <v>0</v>
      </c>
      <c r="BQ2232" s="68">
        <v>0</v>
      </c>
      <c r="BR2232" s="68">
        <v>0</v>
      </c>
      <c r="BS2232" s="68">
        <v>0</v>
      </c>
      <c r="BT2232" s="68">
        <v>0</v>
      </c>
      <c r="BU2232" s="47">
        <v>0</v>
      </c>
      <c r="BV2232" s="47"/>
      <c r="BW2232" s="47"/>
    </row>
    <row r="2233" spans="3:75" ht="19.5" customHeight="1">
      <c r="C2233" s="284">
        <v>77001501</v>
      </c>
      <c r="D2233" s="285" t="s">
        <v>5066</v>
      </c>
      <c r="E2233" s="285" t="s">
        <v>5067</v>
      </c>
      <c r="F2233" s="284">
        <v>1</v>
      </c>
      <c r="G2233" s="284">
        <v>0</v>
      </c>
      <c r="H2233" s="284">
        <v>0</v>
      </c>
      <c r="I2233" s="291">
        <v>0</v>
      </c>
      <c r="J2233" s="284">
        <v>1</v>
      </c>
      <c r="K2233" s="284">
        <v>0</v>
      </c>
      <c r="L2233" s="284">
        <v>0</v>
      </c>
      <c r="M2233" s="286">
        <v>0</v>
      </c>
      <c r="N2233" s="286">
        <v>0</v>
      </c>
      <c r="O2233" s="286">
        <v>2</v>
      </c>
      <c r="P2233" s="286">
        <v>2</v>
      </c>
      <c r="Q2233" s="286">
        <v>0.5</v>
      </c>
      <c r="R2233" s="286">
        <v>0</v>
      </c>
      <c r="S2233" s="294">
        <v>0</v>
      </c>
      <c r="T2233" s="286">
        <v>0</v>
      </c>
      <c r="U2233" s="286">
        <v>1</v>
      </c>
      <c r="V2233" s="286">
        <v>2</v>
      </c>
      <c r="W2233" s="286">
        <v>0</v>
      </c>
      <c r="X2233" s="286">
        <v>2</v>
      </c>
      <c r="Y2233" s="12">
        <v>0</v>
      </c>
      <c r="Z2233" s="286">
        <v>0</v>
      </c>
      <c r="AA2233" s="286">
        <v>1</v>
      </c>
      <c r="AB2233" s="286">
        <v>0</v>
      </c>
      <c r="AC2233" s="286">
        <v>0</v>
      </c>
      <c r="AD2233" s="286">
        <v>0</v>
      </c>
      <c r="AE2233" s="286">
        <v>1</v>
      </c>
      <c r="AF2233" s="286">
        <v>30</v>
      </c>
      <c r="AG2233" s="286">
        <v>1</v>
      </c>
      <c r="AH2233" s="286">
        <v>4</v>
      </c>
      <c r="AI2233" s="294">
        <v>0</v>
      </c>
      <c r="AJ2233" s="294">
        <v>1</v>
      </c>
      <c r="AK2233" s="294">
        <v>0</v>
      </c>
      <c r="AL2233" s="294">
        <v>3</v>
      </c>
      <c r="AM2233" s="286">
        <v>0</v>
      </c>
      <c r="AN2233" s="286">
        <v>1</v>
      </c>
      <c r="AO2233" s="286">
        <v>0</v>
      </c>
      <c r="AP2233" s="286">
        <v>1</v>
      </c>
      <c r="AQ2233" s="286">
        <v>3000</v>
      </c>
      <c r="AR2233" s="286">
        <v>1</v>
      </c>
      <c r="AS2233" s="286">
        <v>0</v>
      </c>
      <c r="AT2233" s="294">
        <v>97005001</v>
      </c>
      <c r="AU2233" s="368" t="s">
        <v>5068</v>
      </c>
      <c r="AV2233" s="295"/>
      <c r="AW2233" s="298" t="s">
        <v>287</v>
      </c>
      <c r="AX2233" s="286" t="s">
        <v>534</v>
      </c>
      <c r="AY2233" s="284">
        <v>0</v>
      </c>
      <c r="AZ2233" s="284">
        <v>77001501</v>
      </c>
      <c r="BA2233" s="285" t="s">
        <v>200</v>
      </c>
      <c r="BB2233" s="286">
        <v>0</v>
      </c>
      <c r="BC2233" s="291">
        <v>0</v>
      </c>
      <c r="BD2233" s="291">
        <v>0</v>
      </c>
      <c r="BE2233" s="302" t="s">
        <v>5069</v>
      </c>
      <c r="BF2233" s="302" t="s">
        <v>5070</v>
      </c>
      <c r="BG2233" s="286">
        <v>0</v>
      </c>
      <c r="BH2233" s="286">
        <v>0</v>
      </c>
      <c r="BI2233" s="286">
        <v>0</v>
      </c>
      <c r="BJ2233" s="286">
        <v>0</v>
      </c>
      <c r="BK2233" s="286">
        <v>0</v>
      </c>
      <c r="BL2233" s="286">
        <v>0</v>
      </c>
      <c r="BM2233" s="289">
        <v>0</v>
      </c>
      <c r="BN2233" s="294">
        <v>0</v>
      </c>
      <c r="BO2233" s="294">
        <v>0</v>
      </c>
      <c r="BP2233" s="294">
        <v>0</v>
      </c>
      <c r="BQ2233" s="294">
        <v>0</v>
      </c>
      <c r="BR2233" s="294">
        <v>0</v>
      </c>
      <c r="BS2233" s="294">
        <v>0</v>
      </c>
      <c r="BT2233" s="294">
        <v>0</v>
      </c>
      <c r="BU2233" s="47">
        <v>0</v>
      </c>
      <c r="BV2233" s="47"/>
      <c r="BW2233" s="47"/>
    </row>
    <row r="2234" spans="3:75" ht="20.100000000000001" customHeight="1">
      <c r="C2234" s="284">
        <v>77001502</v>
      </c>
      <c r="D2234" s="285" t="s">
        <v>5071</v>
      </c>
      <c r="E2234" s="285" t="s">
        <v>5072</v>
      </c>
      <c r="F2234" s="286">
        <v>1</v>
      </c>
      <c r="G2234" s="286">
        <v>0</v>
      </c>
      <c r="H2234" s="286">
        <v>0</v>
      </c>
      <c r="I2234" s="291">
        <v>0</v>
      </c>
      <c r="J2234" s="284">
        <v>1</v>
      </c>
      <c r="K2234" s="286">
        <v>0</v>
      </c>
      <c r="L2234" s="286">
        <v>0</v>
      </c>
      <c r="M2234" s="286">
        <v>0</v>
      </c>
      <c r="N2234" s="286">
        <v>0</v>
      </c>
      <c r="O2234" s="286">
        <v>2</v>
      </c>
      <c r="P2234" s="286">
        <v>3</v>
      </c>
      <c r="Q2234" s="286">
        <v>0.2</v>
      </c>
      <c r="R2234" s="286">
        <v>0</v>
      </c>
      <c r="S2234" s="294">
        <v>0</v>
      </c>
      <c r="T2234" s="286">
        <v>0</v>
      </c>
      <c r="U2234" s="286">
        <v>1</v>
      </c>
      <c r="V2234" s="286">
        <v>1</v>
      </c>
      <c r="W2234" s="286">
        <v>0</v>
      </c>
      <c r="X2234" s="286">
        <v>1</v>
      </c>
      <c r="Y2234" s="12">
        <v>0</v>
      </c>
      <c r="Z2234" s="286">
        <v>0</v>
      </c>
      <c r="AA2234" s="286">
        <v>1</v>
      </c>
      <c r="AB2234" s="286">
        <v>0</v>
      </c>
      <c r="AC2234" s="286">
        <v>0</v>
      </c>
      <c r="AD2234" s="286">
        <v>0</v>
      </c>
      <c r="AE2234" s="286">
        <v>1</v>
      </c>
      <c r="AF2234" s="286">
        <v>6</v>
      </c>
      <c r="AG2234" s="286">
        <v>1</v>
      </c>
      <c r="AH2234" s="286">
        <v>3</v>
      </c>
      <c r="AI2234" s="294">
        <v>0</v>
      </c>
      <c r="AJ2234" s="294">
        <v>1</v>
      </c>
      <c r="AK2234" s="294">
        <v>0</v>
      </c>
      <c r="AL2234" s="294">
        <v>2</v>
      </c>
      <c r="AM2234" s="286">
        <v>0</v>
      </c>
      <c r="AN2234" s="286">
        <v>0</v>
      </c>
      <c r="AO2234" s="286">
        <v>0</v>
      </c>
      <c r="AP2234" s="286">
        <v>1</v>
      </c>
      <c r="AQ2234" s="286">
        <v>1100</v>
      </c>
      <c r="AR2234" s="286">
        <v>1</v>
      </c>
      <c r="AS2234" s="286">
        <v>0</v>
      </c>
      <c r="AT2234" s="294">
        <v>0</v>
      </c>
      <c r="AU2234" s="286">
        <v>97005003</v>
      </c>
      <c r="AV2234" s="286"/>
      <c r="AW2234" s="285" t="s">
        <v>198</v>
      </c>
      <c r="AX2234" s="286" t="s">
        <v>534</v>
      </c>
      <c r="AY2234" s="284">
        <v>10000001</v>
      </c>
      <c r="AZ2234" s="284">
        <v>77001505</v>
      </c>
      <c r="BA2234" s="285" t="s">
        <v>771</v>
      </c>
      <c r="BB2234" s="286">
        <v>0</v>
      </c>
      <c r="BC2234" s="291">
        <v>0</v>
      </c>
      <c r="BD2234" s="291">
        <v>0</v>
      </c>
      <c r="BE2234" s="303" t="s">
        <v>5073</v>
      </c>
      <c r="BF2234" s="303" t="s">
        <v>5074</v>
      </c>
      <c r="BG2234" s="286">
        <v>0</v>
      </c>
      <c r="BH2234" s="286">
        <v>0</v>
      </c>
      <c r="BI2234" s="286">
        <v>0</v>
      </c>
      <c r="BJ2234" s="286">
        <v>0</v>
      </c>
      <c r="BK2234" s="286">
        <v>0</v>
      </c>
      <c r="BL2234" s="286">
        <v>0</v>
      </c>
      <c r="BM2234" s="289">
        <v>0</v>
      </c>
      <c r="BN2234" s="294">
        <v>0</v>
      </c>
      <c r="BO2234" s="294">
        <v>0</v>
      </c>
      <c r="BP2234" s="294">
        <v>0</v>
      </c>
      <c r="BQ2234" s="294">
        <v>0</v>
      </c>
      <c r="BR2234" s="294">
        <v>0</v>
      </c>
      <c r="BS2234" s="294">
        <v>0</v>
      </c>
      <c r="BT2234" s="294">
        <v>77001508</v>
      </c>
      <c r="BU2234" s="47">
        <v>0</v>
      </c>
      <c r="BV2234" s="47"/>
      <c r="BW2234" s="47"/>
    </row>
    <row r="2235" spans="3:75" ht="19.5" customHeight="1">
      <c r="C2235" s="284">
        <v>77001503</v>
      </c>
      <c r="D2235" s="285" t="s">
        <v>5075</v>
      </c>
      <c r="E2235" s="285" t="s">
        <v>5076</v>
      </c>
      <c r="F2235" s="284">
        <v>1</v>
      </c>
      <c r="G2235" s="286">
        <v>0</v>
      </c>
      <c r="H2235" s="284">
        <v>0</v>
      </c>
      <c r="I2235" s="291">
        <v>0</v>
      </c>
      <c r="J2235" s="284">
        <v>1</v>
      </c>
      <c r="K2235" s="284">
        <v>0</v>
      </c>
      <c r="L2235" s="284">
        <v>0</v>
      </c>
      <c r="M2235" s="286">
        <v>0</v>
      </c>
      <c r="N2235" s="286">
        <v>0</v>
      </c>
      <c r="O2235" s="286">
        <v>2</v>
      </c>
      <c r="P2235" s="286">
        <v>1</v>
      </c>
      <c r="Q2235" s="286">
        <v>0.2</v>
      </c>
      <c r="R2235" s="286">
        <v>0</v>
      </c>
      <c r="S2235" s="294">
        <v>0</v>
      </c>
      <c r="T2235" s="286">
        <v>0</v>
      </c>
      <c r="U2235" s="286">
        <v>1</v>
      </c>
      <c r="V2235" s="286">
        <v>2</v>
      </c>
      <c r="W2235" s="286">
        <v>0</v>
      </c>
      <c r="X2235" s="286">
        <v>0.8</v>
      </c>
      <c r="Y2235" s="12">
        <v>0</v>
      </c>
      <c r="Z2235" s="286">
        <v>0</v>
      </c>
      <c r="AA2235" s="286">
        <v>1</v>
      </c>
      <c r="AB2235" s="286">
        <v>0</v>
      </c>
      <c r="AC2235" s="286">
        <v>0</v>
      </c>
      <c r="AD2235" s="286">
        <v>0</v>
      </c>
      <c r="AE2235" s="286">
        <v>0</v>
      </c>
      <c r="AF2235" s="286">
        <v>14</v>
      </c>
      <c r="AG2235" s="286">
        <v>1</v>
      </c>
      <c r="AH2235" s="286">
        <v>3</v>
      </c>
      <c r="AI2235" s="294">
        <v>1</v>
      </c>
      <c r="AJ2235" s="294">
        <v>0</v>
      </c>
      <c r="AK2235" s="294">
        <v>0</v>
      </c>
      <c r="AL2235" s="294">
        <v>0</v>
      </c>
      <c r="AM2235" s="286">
        <v>0</v>
      </c>
      <c r="AN2235" s="286">
        <v>0</v>
      </c>
      <c r="AO2235" s="286">
        <v>0</v>
      </c>
      <c r="AP2235" s="286">
        <v>0</v>
      </c>
      <c r="AQ2235" s="286">
        <v>999999</v>
      </c>
      <c r="AR2235" s="286">
        <v>0</v>
      </c>
      <c r="AS2235" s="286">
        <v>0</v>
      </c>
      <c r="AT2235" s="294">
        <v>97005004</v>
      </c>
      <c r="AU2235" s="286">
        <v>97005002</v>
      </c>
      <c r="AV2235" s="286"/>
      <c r="AW2235" s="298" t="s">
        <v>287</v>
      </c>
      <c r="AX2235" s="286" t="s">
        <v>534</v>
      </c>
      <c r="AY2235" s="284">
        <v>10000007</v>
      </c>
      <c r="AZ2235" s="284">
        <v>77001503</v>
      </c>
      <c r="BA2235" s="298" t="s">
        <v>315</v>
      </c>
      <c r="BB2235" s="298" t="s">
        <v>371</v>
      </c>
      <c r="BC2235" s="291">
        <v>0</v>
      </c>
      <c r="BD2235" s="291">
        <v>0</v>
      </c>
      <c r="BE2235" s="302" t="s">
        <v>5077</v>
      </c>
      <c r="BF2235" s="302" t="s">
        <v>5078</v>
      </c>
      <c r="BG2235" s="286">
        <v>0</v>
      </c>
      <c r="BH2235" s="286">
        <v>0</v>
      </c>
      <c r="BI2235" s="286">
        <v>0</v>
      </c>
      <c r="BJ2235" s="286">
        <v>0</v>
      </c>
      <c r="BK2235" s="286">
        <v>0</v>
      </c>
      <c r="BL2235" s="286">
        <v>0</v>
      </c>
      <c r="BM2235" s="289">
        <v>0</v>
      </c>
      <c r="BN2235" s="294">
        <v>0</v>
      </c>
      <c r="BO2235" s="294">
        <v>0</v>
      </c>
      <c r="BP2235" s="294">
        <v>0</v>
      </c>
      <c r="BQ2235" s="294">
        <v>0</v>
      </c>
      <c r="BR2235" s="294">
        <v>0</v>
      </c>
      <c r="BS2235" s="294">
        <v>0</v>
      </c>
      <c r="BT2235" s="294">
        <v>0</v>
      </c>
      <c r="BU2235" s="47">
        <v>0</v>
      </c>
      <c r="BV2235" s="47"/>
      <c r="BW2235" s="47"/>
    </row>
    <row r="2236" spans="3:75" ht="20.100000000000001" customHeight="1">
      <c r="C2236" s="284">
        <v>77001504</v>
      </c>
      <c r="D2236" s="285" t="s">
        <v>5079</v>
      </c>
      <c r="E2236" s="288" t="s">
        <v>5080</v>
      </c>
      <c r="F2236" s="289">
        <v>1</v>
      </c>
      <c r="G2236" s="286">
        <v>0</v>
      </c>
      <c r="H2236" s="286">
        <v>0</v>
      </c>
      <c r="I2236" s="291">
        <v>0</v>
      </c>
      <c r="J2236" s="284">
        <v>1</v>
      </c>
      <c r="K2236" s="284">
        <v>0</v>
      </c>
      <c r="L2236" s="284">
        <v>0</v>
      </c>
      <c r="M2236" s="286">
        <v>0</v>
      </c>
      <c r="N2236" s="286">
        <v>0</v>
      </c>
      <c r="O2236" s="286">
        <v>2</v>
      </c>
      <c r="P2236" s="286">
        <v>1</v>
      </c>
      <c r="Q2236" s="286">
        <v>0.2</v>
      </c>
      <c r="R2236" s="286">
        <v>0</v>
      </c>
      <c r="S2236" s="294">
        <v>0</v>
      </c>
      <c r="T2236" s="286">
        <v>0</v>
      </c>
      <c r="U2236" s="286">
        <v>1</v>
      </c>
      <c r="V2236" s="289">
        <v>1</v>
      </c>
      <c r="W2236" s="286">
        <v>0</v>
      </c>
      <c r="X2236" s="286">
        <v>0</v>
      </c>
      <c r="Y2236" s="12">
        <v>0</v>
      </c>
      <c r="Z2236" s="286">
        <v>0</v>
      </c>
      <c r="AA2236" s="286">
        <v>1</v>
      </c>
      <c r="AB2236" s="286">
        <v>0</v>
      </c>
      <c r="AC2236" s="286">
        <v>0</v>
      </c>
      <c r="AD2236" s="286">
        <v>0</v>
      </c>
      <c r="AE2236" s="286">
        <v>1</v>
      </c>
      <c r="AF2236" s="286">
        <v>12</v>
      </c>
      <c r="AG2236" s="286">
        <v>2</v>
      </c>
      <c r="AH2236" s="286" t="s">
        <v>213</v>
      </c>
      <c r="AI2236" s="294">
        <v>0</v>
      </c>
      <c r="AJ2236" s="294">
        <v>2</v>
      </c>
      <c r="AK2236" s="294">
        <v>0</v>
      </c>
      <c r="AL2236" s="294">
        <v>1.5</v>
      </c>
      <c r="AM2236" s="286">
        <v>0</v>
      </c>
      <c r="AN2236" s="286">
        <v>0</v>
      </c>
      <c r="AO2236" s="286">
        <v>0</v>
      </c>
      <c r="AP2236" s="286">
        <v>0.5</v>
      </c>
      <c r="AQ2236" s="286">
        <v>500</v>
      </c>
      <c r="AR2236" s="286">
        <v>0</v>
      </c>
      <c r="AS2236" s="286">
        <v>18</v>
      </c>
      <c r="AT2236" s="294">
        <v>0</v>
      </c>
      <c r="AU2236" s="295">
        <v>0</v>
      </c>
      <c r="AV2236" s="295"/>
      <c r="AW2236" s="285" t="s">
        <v>287</v>
      </c>
      <c r="AX2236" s="286" t="s">
        <v>215</v>
      </c>
      <c r="AY2236" s="284">
        <v>0</v>
      </c>
      <c r="AZ2236" s="284">
        <v>0</v>
      </c>
      <c r="BA2236" s="285" t="s">
        <v>216</v>
      </c>
      <c r="BB2236" s="286">
        <v>0</v>
      </c>
      <c r="BC2236" s="291">
        <v>0</v>
      </c>
      <c r="BD2236" s="291">
        <v>0</v>
      </c>
      <c r="BE2236" s="302" t="s">
        <v>5081</v>
      </c>
      <c r="BF2236" s="302" t="s">
        <v>5082</v>
      </c>
      <c r="BG2236" s="286">
        <v>0</v>
      </c>
      <c r="BH2236" s="286">
        <v>0</v>
      </c>
      <c r="BI2236" s="286">
        <v>0</v>
      </c>
      <c r="BJ2236" s="286">
        <v>0</v>
      </c>
      <c r="BK2236" s="286">
        <v>0</v>
      </c>
      <c r="BL2236" s="286">
        <v>0</v>
      </c>
      <c r="BM2236" s="289">
        <v>0</v>
      </c>
      <c r="BN2236" s="294">
        <v>0</v>
      </c>
      <c r="BO2236" s="294">
        <v>0</v>
      </c>
      <c r="BP2236" s="294">
        <v>0</v>
      </c>
      <c r="BQ2236" s="294">
        <v>0</v>
      </c>
      <c r="BR2236" s="294">
        <v>0</v>
      </c>
      <c r="BS2236" s="294">
        <v>1</v>
      </c>
      <c r="BT2236" s="294">
        <v>77001505</v>
      </c>
      <c r="BU2236" s="47">
        <v>0</v>
      </c>
      <c r="BV2236" s="47"/>
      <c r="BW2236" s="47"/>
    </row>
    <row r="2237" spans="3:75" ht="19.5" customHeight="1">
      <c r="C2237" s="284">
        <v>77001505</v>
      </c>
      <c r="D2237" s="285" t="s">
        <v>5083</v>
      </c>
      <c r="E2237" s="285" t="s">
        <v>1266</v>
      </c>
      <c r="F2237" s="284">
        <v>1</v>
      </c>
      <c r="G2237" s="286">
        <v>0</v>
      </c>
      <c r="H2237" s="284">
        <v>0</v>
      </c>
      <c r="I2237" s="291">
        <v>0</v>
      </c>
      <c r="J2237" s="284">
        <v>1</v>
      </c>
      <c r="K2237" s="284">
        <v>0</v>
      </c>
      <c r="L2237" s="284">
        <v>0</v>
      </c>
      <c r="M2237" s="286">
        <v>0</v>
      </c>
      <c r="N2237" s="286">
        <v>0</v>
      </c>
      <c r="O2237" s="286">
        <v>2</v>
      </c>
      <c r="P2237" s="286">
        <v>16</v>
      </c>
      <c r="Q2237" s="286">
        <v>5</v>
      </c>
      <c r="R2237" s="286">
        <v>0</v>
      </c>
      <c r="S2237" s="294">
        <v>0</v>
      </c>
      <c r="T2237" s="286">
        <v>0</v>
      </c>
      <c r="U2237" s="286">
        <v>1</v>
      </c>
      <c r="V2237" s="286">
        <v>2</v>
      </c>
      <c r="W2237" s="286">
        <v>0</v>
      </c>
      <c r="X2237" s="286">
        <v>2</v>
      </c>
      <c r="Y2237" s="12">
        <v>0</v>
      </c>
      <c r="Z2237" s="286">
        <v>0</v>
      </c>
      <c r="AA2237" s="286">
        <v>0</v>
      </c>
      <c r="AB2237" s="286">
        <v>0</v>
      </c>
      <c r="AC2237" s="286">
        <v>0</v>
      </c>
      <c r="AD2237" s="286">
        <v>0</v>
      </c>
      <c r="AE2237" s="286">
        <v>1</v>
      </c>
      <c r="AF2237" s="286">
        <v>0</v>
      </c>
      <c r="AG2237" s="286">
        <v>1</v>
      </c>
      <c r="AH2237" s="286" t="s">
        <v>5084</v>
      </c>
      <c r="AI2237" s="294">
        <v>0</v>
      </c>
      <c r="AJ2237" s="294">
        <v>2</v>
      </c>
      <c r="AK2237" s="294">
        <v>0</v>
      </c>
      <c r="AL2237" s="294">
        <v>2</v>
      </c>
      <c r="AM2237" s="286">
        <v>0</v>
      </c>
      <c r="AN2237" s="286">
        <v>0</v>
      </c>
      <c r="AO2237" s="286">
        <v>0</v>
      </c>
      <c r="AP2237" s="286">
        <v>0.5</v>
      </c>
      <c r="AQ2237" s="286">
        <v>1000</v>
      </c>
      <c r="AR2237" s="286">
        <v>0.5</v>
      </c>
      <c r="AS2237" s="286">
        <v>0</v>
      </c>
      <c r="AT2237" s="296">
        <v>0</v>
      </c>
      <c r="AU2237" s="368" t="s">
        <v>5085</v>
      </c>
      <c r="AV2237" s="295"/>
      <c r="AW2237" s="285" t="s">
        <v>199</v>
      </c>
      <c r="AX2237" s="286" t="s">
        <v>534</v>
      </c>
      <c r="AY2237" s="284">
        <v>10000007</v>
      </c>
      <c r="AZ2237" s="369" t="s">
        <v>5086</v>
      </c>
      <c r="BA2237" s="285" t="s">
        <v>200</v>
      </c>
      <c r="BB2237" s="286">
        <v>0</v>
      </c>
      <c r="BC2237" s="291">
        <v>0</v>
      </c>
      <c r="BD2237" s="291">
        <v>1</v>
      </c>
      <c r="BE2237" s="302" t="s">
        <v>1306</v>
      </c>
      <c r="BF2237" s="302" t="s">
        <v>1307</v>
      </c>
      <c r="BG2237" s="286">
        <v>0</v>
      </c>
      <c r="BH2237" s="286">
        <v>0</v>
      </c>
      <c r="BI2237" s="286">
        <v>0</v>
      </c>
      <c r="BJ2237" s="286">
        <v>0</v>
      </c>
      <c r="BK2237" s="286">
        <v>0</v>
      </c>
      <c r="BL2237" s="286">
        <v>0</v>
      </c>
      <c r="BM2237" s="289">
        <v>0</v>
      </c>
      <c r="BN2237" s="294">
        <v>0</v>
      </c>
      <c r="BO2237" s="294">
        <v>0</v>
      </c>
      <c r="BP2237" s="294">
        <v>0</v>
      </c>
      <c r="BQ2237" s="294">
        <v>0</v>
      </c>
      <c r="BR2237" s="294">
        <v>0</v>
      </c>
      <c r="BS2237" s="294">
        <v>0</v>
      </c>
      <c r="BT2237" s="294">
        <v>77001508</v>
      </c>
      <c r="BU2237" s="47">
        <v>0</v>
      </c>
      <c r="BV2237" s="47"/>
      <c r="BW2237" s="47"/>
    </row>
    <row r="2238" spans="3:75" ht="19.5" customHeight="1">
      <c r="C2238" s="284">
        <v>77001506</v>
      </c>
      <c r="D2238" s="285" t="s">
        <v>5087</v>
      </c>
      <c r="E2238" s="285" t="s">
        <v>5088</v>
      </c>
      <c r="F2238" s="284">
        <v>1</v>
      </c>
      <c r="G2238" s="284">
        <v>0</v>
      </c>
      <c r="H2238" s="284">
        <v>0</v>
      </c>
      <c r="I2238" s="291">
        <v>0</v>
      </c>
      <c r="J2238" s="284">
        <v>1</v>
      </c>
      <c r="K2238" s="284">
        <v>0</v>
      </c>
      <c r="L2238" s="284">
        <v>0</v>
      </c>
      <c r="M2238" s="286">
        <v>0</v>
      </c>
      <c r="N2238" s="286">
        <v>0</v>
      </c>
      <c r="O2238" s="286">
        <v>2</v>
      </c>
      <c r="P2238" s="286">
        <v>2</v>
      </c>
      <c r="Q2238" s="286">
        <v>0.3</v>
      </c>
      <c r="R2238" s="286">
        <v>1</v>
      </c>
      <c r="S2238" s="294">
        <v>0</v>
      </c>
      <c r="T2238" s="286">
        <v>0</v>
      </c>
      <c r="U2238" s="286">
        <v>1</v>
      </c>
      <c r="V2238" s="286">
        <v>2</v>
      </c>
      <c r="W2238" s="286">
        <v>0</v>
      </c>
      <c r="X2238" s="286">
        <v>2.5</v>
      </c>
      <c r="Y2238" s="12">
        <v>0</v>
      </c>
      <c r="Z2238" s="286">
        <v>0</v>
      </c>
      <c r="AA2238" s="286">
        <v>1</v>
      </c>
      <c r="AB2238" s="286">
        <v>0</v>
      </c>
      <c r="AC2238" s="286">
        <v>0</v>
      </c>
      <c r="AD2238" s="286">
        <v>1</v>
      </c>
      <c r="AE2238" s="286">
        <v>0</v>
      </c>
      <c r="AF2238" s="286">
        <v>0</v>
      </c>
      <c r="AG2238" s="286">
        <v>1</v>
      </c>
      <c r="AH2238" s="286">
        <v>5</v>
      </c>
      <c r="AI2238" s="294">
        <v>0</v>
      </c>
      <c r="AJ2238" s="294">
        <v>1</v>
      </c>
      <c r="AK2238" s="294">
        <v>0</v>
      </c>
      <c r="AL2238" s="294">
        <v>1.5</v>
      </c>
      <c r="AM2238" s="286">
        <v>0</v>
      </c>
      <c r="AN2238" s="286">
        <v>0</v>
      </c>
      <c r="AO2238" s="286">
        <v>0</v>
      </c>
      <c r="AP2238" s="286">
        <v>1.5</v>
      </c>
      <c r="AQ2238" s="286">
        <v>2000</v>
      </c>
      <c r="AR2238" s="286">
        <v>1.5</v>
      </c>
      <c r="AS2238" s="286">
        <v>0</v>
      </c>
      <c r="AT2238" s="294">
        <v>97005007</v>
      </c>
      <c r="AU2238" s="368" t="s">
        <v>5085</v>
      </c>
      <c r="AV2238" s="295"/>
      <c r="AW2238" s="298" t="s">
        <v>617</v>
      </c>
      <c r="AX2238" s="286" t="s">
        <v>534</v>
      </c>
      <c r="AY2238" s="284">
        <v>0</v>
      </c>
      <c r="AZ2238" s="284">
        <v>77001506</v>
      </c>
      <c r="BA2238" s="285" t="s">
        <v>200</v>
      </c>
      <c r="BB2238" s="286">
        <v>0</v>
      </c>
      <c r="BC2238" s="291">
        <v>0</v>
      </c>
      <c r="BD2238" s="291">
        <v>0</v>
      </c>
      <c r="BE2238" s="302" t="s">
        <v>5089</v>
      </c>
      <c r="BF2238" s="302" t="s">
        <v>5090</v>
      </c>
      <c r="BG2238" s="286">
        <v>0</v>
      </c>
      <c r="BH2238" s="286">
        <v>0</v>
      </c>
      <c r="BI2238" s="286">
        <v>0</v>
      </c>
      <c r="BJ2238" s="286">
        <v>0</v>
      </c>
      <c r="BK2238" s="286">
        <v>0</v>
      </c>
      <c r="BL2238" s="286">
        <v>0</v>
      </c>
      <c r="BM2238" s="289">
        <v>0</v>
      </c>
      <c r="BN2238" s="294">
        <v>0</v>
      </c>
      <c r="BO2238" s="294">
        <v>0</v>
      </c>
      <c r="BP2238" s="294">
        <v>0</v>
      </c>
      <c r="BQ2238" s="294">
        <v>0</v>
      </c>
      <c r="BR2238" s="294">
        <v>0</v>
      </c>
      <c r="BS2238" s="294">
        <v>0</v>
      </c>
      <c r="BT2238" s="294">
        <v>0</v>
      </c>
      <c r="BU2238" s="47">
        <v>0</v>
      </c>
      <c r="BV2238" s="47"/>
      <c r="BW2238" s="47"/>
    </row>
    <row r="2239" spans="3:75" ht="19.5" customHeight="1">
      <c r="C2239" s="284">
        <v>77001507</v>
      </c>
      <c r="D2239" s="285" t="s">
        <v>5091</v>
      </c>
      <c r="E2239" s="285" t="s">
        <v>5092</v>
      </c>
      <c r="F2239" s="284">
        <v>1</v>
      </c>
      <c r="G2239" s="284">
        <v>0</v>
      </c>
      <c r="H2239" s="284">
        <v>0</v>
      </c>
      <c r="I2239" s="291">
        <v>0</v>
      </c>
      <c r="J2239" s="284">
        <v>1</v>
      </c>
      <c r="K2239" s="284">
        <v>0</v>
      </c>
      <c r="L2239" s="284">
        <v>0</v>
      </c>
      <c r="M2239" s="286">
        <v>0</v>
      </c>
      <c r="N2239" s="286">
        <v>0</v>
      </c>
      <c r="O2239" s="286">
        <v>2</v>
      </c>
      <c r="P2239" s="286">
        <v>3</v>
      </c>
      <c r="Q2239" s="286">
        <v>0.2</v>
      </c>
      <c r="R2239" s="286">
        <v>0</v>
      </c>
      <c r="S2239" s="294">
        <v>1</v>
      </c>
      <c r="T2239" s="286">
        <v>0</v>
      </c>
      <c r="U2239" s="286">
        <v>1</v>
      </c>
      <c r="V2239" s="286">
        <v>2</v>
      </c>
      <c r="W2239" s="286">
        <v>0</v>
      </c>
      <c r="X2239" s="286">
        <v>2</v>
      </c>
      <c r="Y2239" s="12">
        <v>0</v>
      </c>
      <c r="Z2239" s="286">
        <v>0</v>
      </c>
      <c r="AA2239" s="286">
        <v>1</v>
      </c>
      <c r="AB2239" s="286">
        <v>0</v>
      </c>
      <c r="AC2239" s="286">
        <v>0</v>
      </c>
      <c r="AD2239" s="286">
        <v>1</v>
      </c>
      <c r="AE2239" s="286">
        <v>1</v>
      </c>
      <c r="AF2239" s="286">
        <v>0</v>
      </c>
      <c r="AG2239" s="286">
        <v>1</v>
      </c>
      <c r="AH2239" s="286">
        <v>3</v>
      </c>
      <c r="AI2239" s="294">
        <v>0</v>
      </c>
      <c r="AJ2239" s="294">
        <v>1</v>
      </c>
      <c r="AK2239" s="294">
        <v>0</v>
      </c>
      <c r="AL2239" s="294">
        <v>3</v>
      </c>
      <c r="AM2239" s="286">
        <v>0</v>
      </c>
      <c r="AN2239" s="286">
        <v>0</v>
      </c>
      <c r="AO2239" s="286">
        <v>0</v>
      </c>
      <c r="AP2239" s="286">
        <v>0</v>
      </c>
      <c r="AQ2239" s="286">
        <v>500</v>
      </c>
      <c r="AR2239" s="286">
        <v>0.3</v>
      </c>
      <c r="AS2239" s="286">
        <v>0</v>
      </c>
      <c r="AT2239" s="294">
        <v>0</v>
      </c>
      <c r="AU2239" s="295">
        <v>0</v>
      </c>
      <c r="AV2239" s="295"/>
      <c r="AW2239" s="298" t="s">
        <v>198</v>
      </c>
      <c r="AX2239" s="286" t="s">
        <v>534</v>
      </c>
      <c r="AY2239" s="284">
        <v>0</v>
      </c>
      <c r="AZ2239" s="284">
        <v>77001507</v>
      </c>
      <c r="BA2239" s="285" t="s">
        <v>200</v>
      </c>
      <c r="BB2239" s="286">
        <v>0</v>
      </c>
      <c r="BC2239" s="291">
        <v>0</v>
      </c>
      <c r="BD2239" s="291">
        <v>0</v>
      </c>
      <c r="BE2239" s="302" t="s">
        <v>2229</v>
      </c>
      <c r="BF2239" s="302" t="s">
        <v>2230</v>
      </c>
      <c r="BG2239" s="286">
        <v>0</v>
      </c>
      <c r="BH2239" s="286">
        <v>0</v>
      </c>
      <c r="BI2239" s="286">
        <v>0</v>
      </c>
      <c r="BJ2239" s="286">
        <v>0</v>
      </c>
      <c r="BK2239" s="286">
        <v>0</v>
      </c>
      <c r="BL2239" s="286">
        <v>0</v>
      </c>
      <c r="BM2239" s="289">
        <v>0</v>
      </c>
      <c r="BN2239" s="294">
        <v>0</v>
      </c>
      <c r="BO2239" s="294">
        <v>0</v>
      </c>
      <c r="BP2239" s="294">
        <v>0</v>
      </c>
      <c r="BQ2239" s="294">
        <v>0</v>
      </c>
      <c r="BR2239" s="294">
        <v>0</v>
      </c>
      <c r="BS2239" s="294">
        <v>0</v>
      </c>
      <c r="BT2239" s="294">
        <v>0</v>
      </c>
      <c r="BU2239" s="47">
        <v>0</v>
      </c>
      <c r="BV2239" s="47"/>
      <c r="BW2239" s="47"/>
    </row>
    <row r="2240" spans="3:75" ht="19.5" customHeight="1">
      <c r="C2240" s="284">
        <v>77001508</v>
      </c>
      <c r="D2240" s="285" t="s">
        <v>562</v>
      </c>
      <c r="E2240" s="285" t="s">
        <v>563</v>
      </c>
      <c r="F2240" s="284">
        <v>1</v>
      </c>
      <c r="G2240" s="286">
        <v>0</v>
      </c>
      <c r="H2240" s="284">
        <v>0</v>
      </c>
      <c r="I2240" s="291">
        <v>0</v>
      </c>
      <c r="J2240" s="284">
        <v>1</v>
      </c>
      <c r="K2240" s="284">
        <v>0</v>
      </c>
      <c r="L2240" s="284">
        <v>0</v>
      </c>
      <c r="M2240" s="286">
        <v>0</v>
      </c>
      <c r="N2240" s="286">
        <v>0</v>
      </c>
      <c r="O2240" s="286">
        <v>2</v>
      </c>
      <c r="P2240" s="286">
        <v>1</v>
      </c>
      <c r="Q2240" s="286">
        <v>1</v>
      </c>
      <c r="R2240" s="286">
        <v>0</v>
      </c>
      <c r="S2240" s="294">
        <v>0</v>
      </c>
      <c r="T2240" s="286">
        <v>0</v>
      </c>
      <c r="U2240" s="286">
        <v>1</v>
      </c>
      <c r="V2240" s="286">
        <v>2</v>
      </c>
      <c r="W2240" s="286">
        <v>0</v>
      </c>
      <c r="X2240" s="286">
        <v>0.5</v>
      </c>
      <c r="Y2240" s="12">
        <v>0</v>
      </c>
      <c r="Z2240" s="286">
        <v>0</v>
      </c>
      <c r="AA2240" s="286">
        <v>1</v>
      </c>
      <c r="AB2240" s="286">
        <v>0</v>
      </c>
      <c r="AC2240" s="286">
        <v>0</v>
      </c>
      <c r="AD2240" s="286">
        <v>0</v>
      </c>
      <c r="AE2240" s="286">
        <v>0</v>
      </c>
      <c r="AF2240" s="286">
        <v>25</v>
      </c>
      <c r="AG2240" s="286">
        <v>1</v>
      </c>
      <c r="AH2240" s="286">
        <v>3</v>
      </c>
      <c r="AI2240" s="294">
        <v>0</v>
      </c>
      <c r="AJ2240" s="294">
        <v>0</v>
      </c>
      <c r="AK2240" s="294">
        <v>0</v>
      </c>
      <c r="AL2240" s="294">
        <v>0</v>
      </c>
      <c r="AM2240" s="286">
        <v>0</v>
      </c>
      <c r="AN2240" s="286">
        <v>0</v>
      </c>
      <c r="AO2240" s="286">
        <v>0</v>
      </c>
      <c r="AP2240" s="286">
        <v>0</v>
      </c>
      <c r="AQ2240" s="286">
        <v>300000</v>
      </c>
      <c r="AR2240" s="286">
        <v>0</v>
      </c>
      <c r="AS2240" s="286">
        <v>0</v>
      </c>
      <c r="AT2240" s="370" t="s">
        <v>5093</v>
      </c>
      <c r="AU2240" s="286">
        <v>97005002</v>
      </c>
      <c r="AV2240" s="286"/>
      <c r="AW2240" s="298" t="s">
        <v>198</v>
      </c>
      <c r="AX2240" s="286" t="s">
        <v>534</v>
      </c>
      <c r="AY2240" s="284">
        <v>10000007</v>
      </c>
      <c r="AZ2240" s="284">
        <v>77001503</v>
      </c>
      <c r="BA2240" s="298" t="s">
        <v>315</v>
      </c>
      <c r="BB2240" s="298" t="s">
        <v>371</v>
      </c>
      <c r="BC2240" s="291">
        <v>0</v>
      </c>
      <c r="BD2240" s="291">
        <v>0</v>
      </c>
      <c r="BE2240" s="302" t="s">
        <v>1226</v>
      </c>
      <c r="BF2240" s="302" t="s">
        <v>1227</v>
      </c>
      <c r="BG2240" s="286">
        <v>0</v>
      </c>
      <c r="BH2240" s="286">
        <v>0</v>
      </c>
      <c r="BI2240" s="286">
        <v>0</v>
      </c>
      <c r="BJ2240" s="286">
        <v>0</v>
      </c>
      <c r="BK2240" s="286">
        <v>0</v>
      </c>
      <c r="BL2240" s="286">
        <v>0</v>
      </c>
      <c r="BM2240" s="289">
        <v>0</v>
      </c>
      <c r="BN2240" s="294">
        <v>0</v>
      </c>
      <c r="BO2240" s="294">
        <v>0</v>
      </c>
      <c r="BP2240" s="294">
        <v>0</v>
      </c>
      <c r="BQ2240" s="294">
        <v>0</v>
      </c>
      <c r="BR2240" s="294">
        <v>0</v>
      </c>
      <c r="BS2240" s="294">
        <v>1</v>
      </c>
      <c r="BT2240" s="294">
        <v>0</v>
      </c>
      <c r="BU2240" s="47">
        <v>0</v>
      </c>
      <c r="BV2240" s="47"/>
      <c r="BW2240" s="47"/>
    </row>
    <row r="2241" spans="1:75" ht="20.100000000000001" customHeight="1">
      <c r="C2241" s="100">
        <v>77001601</v>
      </c>
      <c r="D2241" s="99" t="s">
        <v>5094</v>
      </c>
      <c r="E2241" s="99" t="s">
        <v>5095</v>
      </c>
      <c r="F2241" s="101">
        <v>1</v>
      </c>
      <c r="G2241" s="101">
        <v>0</v>
      </c>
      <c r="H2241" s="100">
        <v>0</v>
      </c>
      <c r="I2241" s="105">
        <v>0</v>
      </c>
      <c r="J2241" s="100">
        <v>1</v>
      </c>
      <c r="K2241" s="100">
        <v>0</v>
      </c>
      <c r="L2241" s="100">
        <v>0</v>
      </c>
      <c r="M2241" s="101">
        <v>0</v>
      </c>
      <c r="N2241" s="101">
        <v>0</v>
      </c>
      <c r="O2241" s="101">
        <v>2</v>
      </c>
      <c r="P2241" s="101">
        <v>16</v>
      </c>
      <c r="Q2241" s="101">
        <v>8</v>
      </c>
      <c r="R2241" s="101">
        <v>0</v>
      </c>
      <c r="S2241" s="106">
        <v>3</v>
      </c>
      <c r="T2241" s="101">
        <v>0</v>
      </c>
      <c r="U2241" s="101">
        <v>1</v>
      </c>
      <c r="V2241" s="101">
        <v>2</v>
      </c>
      <c r="W2241" s="101">
        <v>0</v>
      </c>
      <c r="X2241" s="101">
        <v>1.2</v>
      </c>
      <c r="Y2241" s="12">
        <v>0</v>
      </c>
      <c r="Z2241" s="101">
        <v>0</v>
      </c>
      <c r="AA2241" s="101">
        <v>0</v>
      </c>
      <c r="AB2241" s="101">
        <v>0</v>
      </c>
      <c r="AC2241" s="101">
        <v>0</v>
      </c>
      <c r="AD2241" s="101">
        <v>0</v>
      </c>
      <c r="AE2241" s="101">
        <v>0</v>
      </c>
      <c r="AF2241" s="101">
        <v>0</v>
      </c>
      <c r="AG2241" s="101">
        <v>1</v>
      </c>
      <c r="AH2241" s="101">
        <v>3</v>
      </c>
      <c r="AI2241" s="106">
        <v>6</v>
      </c>
      <c r="AJ2241" s="106">
        <v>1</v>
      </c>
      <c r="AK2241" s="106">
        <v>0</v>
      </c>
      <c r="AL2241" s="106">
        <v>1.5</v>
      </c>
      <c r="AM2241" s="101">
        <v>0</v>
      </c>
      <c r="AN2241" s="101">
        <v>0</v>
      </c>
      <c r="AO2241" s="101">
        <v>0</v>
      </c>
      <c r="AP2241" s="101">
        <v>1</v>
      </c>
      <c r="AQ2241" s="101">
        <v>5000</v>
      </c>
      <c r="AR2241" s="101">
        <v>1</v>
      </c>
      <c r="AS2241" s="101">
        <v>0</v>
      </c>
      <c r="AT2241" s="106">
        <v>0</v>
      </c>
      <c r="AU2241" s="336" t="s">
        <v>5096</v>
      </c>
      <c r="AV2241" s="114"/>
      <c r="AW2241" s="102" t="s">
        <v>256</v>
      </c>
      <c r="AX2241" s="101" t="s">
        <v>534</v>
      </c>
      <c r="AY2241" s="100">
        <v>10000007</v>
      </c>
      <c r="AZ2241" s="334" t="s">
        <v>5097</v>
      </c>
      <c r="BA2241" s="99" t="s">
        <v>200</v>
      </c>
      <c r="BB2241" s="101" t="s">
        <v>5098</v>
      </c>
      <c r="BC2241" s="105">
        <v>0</v>
      </c>
      <c r="BD2241" s="105">
        <v>0</v>
      </c>
      <c r="BE2241" s="119" t="s">
        <v>5099</v>
      </c>
      <c r="BF2241" s="119" t="s">
        <v>5100</v>
      </c>
      <c r="BG2241" s="101">
        <v>0</v>
      </c>
      <c r="BH2241" s="101">
        <v>0</v>
      </c>
      <c r="BI2241" s="101">
        <v>0</v>
      </c>
      <c r="BJ2241" s="101">
        <v>0</v>
      </c>
      <c r="BK2241" s="101">
        <v>0</v>
      </c>
      <c r="BL2241" s="101">
        <v>0</v>
      </c>
      <c r="BM2241" s="97">
        <v>0</v>
      </c>
      <c r="BN2241" s="106">
        <v>0</v>
      </c>
      <c r="BO2241" s="106">
        <v>0</v>
      </c>
      <c r="BP2241" s="106">
        <v>0</v>
      </c>
      <c r="BQ2241" s="106">
        <v>0</v>
      </c>
      <c r="BR2241" s="106">
        <v>0</v>
      </c>
      <c r="BS2241" s="106">
        <v>0</v>
      </c>
      <c r="BT2241" s="106">
        <v>0</v>
      </c>
      <c r="BU2241" s="47">
        <v>0</v>
      </c>
      <c r="BV2241" s="47"/>
      <c r="BW2241" s="47"/>
    </row>
    <row r="2242" spans="1:75" ht="20.100000000000001" customHeight="1">
      <c r="C2242" s="100">
        <v>77001602</v>
      </c>
      <c r="D2242" s="103" t="s">
        <v>814</v>
      </c>
      <c r="E2242" s="103" t="s">
        <v>815</v>
      </c>
      <c r="F2242" s="97">
        <v>1</v>
      </c>
      <c r="G2242" s="97">
        <v>0</v>
      </c>
      <c r="H2242" s="97">
        <v>0</v>
      </c>
      <c r="I2242" s="104">
        <v>0</v>
      </c>
      <c r="J2242" s="100">
        <v>1</v>
      </c>
      <c r="K2242" s="97">
        <v>0</v>
      </c>
      <c r="L2242" s="104">
        <v>0</v>
      </c>
      <c r="M2242" s="104">
        <v>0</v>
      </c>
      <c r="N2242" s="97">
        <v>0</v>
      </c>
      <c r="O2242" s="101">
        <v>2</v>
      </c>
      <c r="P2242" s="101">
        <v>2</v>
      </c>
      <c r="Q2242" s="97">
        <v>0.8</v>
      </c>
      <c r="R2242" s="97">
        <v>0</v>
      </c>
      <c r="S2242" s="106">
        <v>0</v>
      </c>
      <c r="T2242" s="97">
        <v>0</v>
      </c>
      <c r="U2242" s="101">
        <v>1</v>
      </c>
      <c r="V2242" s="97">
        <v>1</v>
      </c>
      <c r="W2242" s="104">
        <v>0</v>
      </c>
      <c r="X2242" s="97">
        <v>2</v>
      </c>
      <c r="Y2242" s="12">
        <v>0</v>
      </c>
      <c r="Z2242" s="97">
        <v>0</v>
      </c>
      <c r="AA2242" s="97">
        <v>0</v>
      </c>
      <c r="AB2242" s="97">
        <v>0</v>
      </c>
      <c r="AC2242" s="104">
        <v>0</v>
      </c>
      <c r="AD2242" s="97">
        <v>0</v>
      </c>
      <c r="AE2242" s="97">
        <v>0</v>
      </c>
      <c r="AF2242" s="97">
        <v>0</v>
      </c>
      <c r="AG2242" s="97">
        <v>1</v>
      </c>
      <c r="AH2242" s="101">
        <v>2</v>
      </c>
      <c r="AI2242" s="107">
        <v>0</v>
      </c>
      <c r="AJ2242" s="107">
        <v>2</v>
      </c>
      <c r="AK2242" s="106">
        <v>0</v>
      </c>
      <c r="AL2242" s="97">
        <v>1.5</v>
      </c>
      <c r="AM2242" s="108">
        <v>0</v>
      </c>
      <c r="AN2242" s="97">
        <v>0</v>
      </c>
      <c r="AO2242" s="97">
        <v>0</v>
      </c>
      <c r="AP2242" s="97">
        <v>0</v>
      </c>
      <c r="AQ2242" s="101">
        <v>7000</v>
      </c>
      <c r="AR2242" s="97">
        <v>0</v>
      </c>
      <c r="AS2242" s="97">
        <v>10</v>
      </c>
      <c r="AT2242" s="106">
        <v>0</v>
      </c>
      <c r="AU2242" s="101">
        <v>0</v>
      </c>
      <c r="AV2242" s="101"/>
      <c r="AW2242" s="102" t="s">
        <v>287</v>
      </c>
      <c r="AX2242" s="104">
        <v>0</v>
      </c>
      <c r="AY2242" s="104">
        <v>0</v>
      </c>
      <c r="AZ2242" s="100">
        <v>77001602</v>
      </c>
      <c r="BA2242" s="102" t="s">
        <v>586</v>
      </c>
      <c r="BB2242" s="101" t="s">
        <v>5101</v>
      </c>
      <c r="BC2242" s="105">
        <v>0</v>
      </c>
      <c r="BD2242" s="105">
        <v>0</v>
      </c>
      <c r="BE2242" s="119" t="s">
        <v>5102</v>
      </c>
      <c r="BF2242" s="122" t="s">
        <v>5103</v>
      </c>
      <c r="BG2242" s="97">
        <v>2</v>
      </c>
      <c r="BH2242" s="97">
        <v>0</v>
      </c>
      <c r="BI2242" s="100">
        <v>0</v>
      </c>
      <c r="BJ2242" s="97">
        <v>1</v>
      </c>
      <c r="BK2242" s="97">
        <v>2</v>
      </c>
      <c r="BL2242" s="108">
        <v>0</v>
      </c>
      <c r="BM2242" s="97">
        <v>0</v>
      </c>
      <c r="BN2242" s="106">
        <v>0</v>
      </c>
      <c r="BO2242" s="106">
        <v>0</v>
      </c>
      <c r="BP2242" s="106">
        <v>0</v>
      </c>
      <c r="BQ2242" s="106">
        <v>0</v>
      </c>
      <c r="BR2242" s="106">
        <v>0</v>
      </c>
      <c r="BS2242" s="106">
        <v>1</v>
      </c>
      <c r="BT2242" s="106">
        <v>0</v>
      </c>
      <c r="BU2242" s="47">
        <v>0</v>
      </c>
      <c r="BV2242" s="47"/>
      <c r="BW2242" s="47"/>
    </row>
    <row r="2243" spans="1:75" ht="19.5" customHeight="1">
      <c r="C2243" s="100">
        <v>77001603</v>
      </c>
      <c r="D2243" s="99" t="s">
        <v>5104</v>
      </c>
      <c r="E2243" s="99" t="s">
        <v>5105</v>
      </c>
      <c r="F2243" s="100">
        <v>1</v>
      </c>
      <c r="G2243" s="101">
        <v>0</v>
      </c>
      <c r="H2243" s="100">
        <v>0</v>
      </c>
      <c r="I2243" s="105">
        <v>0</v>
      </c>
      <c r="J2243" s="100">
        <v>1</v>
      </c>
      <c r="K2243" s="100">
        <v>0</v>
      </c>
      <c r="L2243" s="100">
        <v>0</v>
      </c>
      <c r="M2243" s="101">
        <v>0</v>
      </c>
      <c r="N2243" s="101">
        <v>0</v>
      </c>
      <c r="O2243" s="101">
        <v>2</v>
      </c>
      <c r="P2243" s="101">
        <v>2</v>
      </c>
      <c r="Q2243" s="101">
        <v>0.6</v>
      </c>
      <c r="R2243" s="101">
        <v>0</v>
      </c>
      <c r="S2243" s="106">
        <v>0</v>
      </c>
      <c r="T2243" s="101">
        <v>0</v>
      </c>
      <c r="U2243" s="101">
        <v>1</v>
      </c>
      <c r="V2243" s="101">
        <v>2</v>
      </c>
      <c r="W2243" s="101">
        <v>0</v>
      </c>
      <c r="X2243" s="101">
        <v>0.8</v>
      </c>
      <c r="Y2243" s="12">
        <v>0</v>
      </c>
      <c r="Z2243" s="101">
        <v>0</v>
      </c>
      <c r="AA2243" s="101">
        <v>1</v>
      </c>
      <c r="AB2243" s="101">
        <v>0</v>
      </c>
      <c r="AC2243" s="101">
        <v>0</v>
      </c>
      <c r="AD2243" s="101">
        <v>0</v>
      </c>
      <c r="AE2243" s="101">
        <v>0</v>
      </c>
      <c r="AF2243" s="101">
        <v>16</v>
      </c>
      <c r="AG2243" s="101">
        <v>1</v>
      </c>
      <c r="AH2243" s="101">
        <v>5</v>
      </c>
      <c r="AI2243" s="106">
        <v>0</v>
      </c>
      <c r="AJ2243" s="106">
        <v>0</v>
      </c>
      <c r="AK2243" s="106">
        <v>0</v>
      </c>
      <c r="AL2243" s="106">
        <v>0</v>
      </c>
      <c r="AM2243" s="101">
        <v>0</v>
      </c>
      <c r="AN2243" s="101">
        <v>0</v>
      </c>
      <c r="AO2243" s="101">
        <v>0</v>
      </c>
      <c r="AP2243" s="101">
        <v>0.8</v>
      </c>
      <c r="AQ2243" s="101">
        <v>15000</v>
      </c>
      <c r="AR2243" s="101">
        <v>0.8</v>
      </c>
      <c r="AS2243" s="101">
        <v>0</v>
      </c>
      <c r="AT2243" s="113">
        <v>0</v>
      </c>
      <c r="AU2243" s="336" t="s">
        <v>5106</v>
      </c>
      <c r="AV2243" s="114"/>
      <c r="AW2243" s="102" t="s">
        <v>199</v>
      </c>
      <c r="AX2243" s="101" t="s">
        <v>534</v>
      </c>
      <c r="AY2243" s="100">
        <v>10000007</v>
      </c>
      <c r="AZ2243" s="100">
        <v>77001603</v>
      </c>
      <c r="BA2243" s="102" t="s">
        <v>315</v>
      </c>
      <c r="BB2243" s="102" t="s">
        <v>371</v>
      </c>
      <c r="BC2243" s="105">
        <v>0</v>
      </c>
      <c r="BD2243" s="105">
        <v>0</v>
      </c>
      <c r="BE2243" s="119" t="s">
        <v>5107</v>
      </c>
      <c r="BF2243" s="119" t="s">
        <v>5108</v>
      </c>
      <c r="BG2243" s="101">
        <v>0</v>
      </c>
      <c r="BH2243" s="101">
        <v>0</v>
      </c>
      <c r="BI2243" s="101">
        <v>0</v>
      </c>
      <c r="BJ2243" s="101">
        <v>0</v>
      </c>
      <c r="BK2243" s="101">
        <v>0</v>
      </c>
      <c r="BL2243" s="101">
        <v>0</v>
      </c>
      <c r="BM2243" s="97">
        <v>0</v>
      </c>
      <c r="BN2243" s="106">
        <v>0</v>
      </c>
      <c r="BO2243" s="106">
        <v>0</v>
      </c>
      <c r="BP2243" s="106">
        <v>0</v>
      </c>
      <c r="BQ2243" s="106">
        <v>0</v>
      </c>
      <c r="BR2243" s="106">
        <v>0</v>
      </c>
      <c r="BS2243" s="106">
        <v>0</v>
      </c>
      <c r="BT2243" s="106">
        <v>0</v>
      </c>
      <c r="BU2243" s="47">
        <v>0</v>
      </c>
      <c r="BV2243" s="47"/>
      <c r="BW2243" s="47"/>
    </row>
    <row r="2244" spans="1:75" ht="20.100000000000001" customHeight="1">
      <c r="C2244" s="100">
        <v>77001604</v>
      </c>
      <c r="D2244" s="99" t="s">
        <v>5109</v>
      </c>
      <c r="E2244" s="99" t="s">
        <v>5110</v>
      </c>
      <c r="F2244" s="101">
        <v>1</v>
      </c>
      <c r="G2244" s="101">
        <v>0</v>
      </c>
      <c r="H2244" s="101">
        <v>0</v>
      </c>
      <c r="I2244" s="105">
        <v>0</v>
      </c>
      <c r="J2244" s="100">
        <v>1</v>
      </c>
      <c r="K2244" s="101">
        <v>0</v>
      </c>
      <c r="L2244" s="101">
        <v>0</v>
      </c>
      <c r="M2244" s="101">
        <v>0</v>
      </c>
      <c r="N2244" s="101">
        <v>0</v>
      </c>
      <c r="O2244" s="101">
        <v>2</v>
      </c>
      <c r="P2244" s="101">
        <v>3</v>
      </c>
      <c r="Q2244" s="101">
        <v>0.2</v>
      </c>
      <c r="R2244" s="101">
        <v>0</v>
      </c>
      <c r="S2244" s="106">
        <v>0</v>
      </c>
      <c r="T2244" s="101">
        <v>0</v>
      </c>
      <c r="U2244" s="101">
        <v>1</v>
      </c>
      <c r="V2244" s="101">
        <v>1</v>
      </c>
      <c r="W2244" s="101">
        <v>0</v>
      </c>
      <c r="X2244" s="101">
        <v>1.5</v>
      </c>
      <c r="Y2244" s="12">
        <v>0</v>
      </c>
      <c r="Z2244" s="101">
        <v>0</v>
      </c>
      <c r="AA2244" s="101">
        <v>1</v>
      </c>
      <c r="AB2244" s="101">
        <v>0</v>
      </c>
      <c r="AC2244" s="101">
        <v>0</v>
      </c>
      <c r="AD2244" s="101">
        <v>0</v>
      </c>
      <c r="AE2244" s="101">
        <v>1</v>
      </c>
      <c r="AF2244" s="101">
        <v>8</v>
      </c>
      <c r="AG2244" s="101">
        <v>1</v>
      </c>
      <c r="AH2244" s="101">
        <v>4</v>
      </c>
      <c r="AI2244" s="106">
        <v>0</v>
      </c>
      <c r="AJ2244" s="106">
        <v>1</v>
      </c>
      <c r="AK2244" s="106">
        <v>0</v>
      </c>
      <c r="AL2244" s="106">
        <v>2</v>
      </c>
      <c r="AM2244" s="101">
        <v>0</v>
      </c>
      <c r="AN2244" s="101">
        <v>0</v>
      </c>
      <c r="AO2244" s="101">
        <v>0</v>
      </c>
      <c r="AP2244" s="101">
        <v>0.5</v>
      </c>
      <c r="AQ2244" s="101">
        <v>600</v>
      </c>
      <c r="AR2244" s="101">
        <v>0.5</v>
      </c>
      <c r="AS2244" s="101">
        <v>0</v>
      </c>
      <c r="AT2244" s="106">
        <v>0</v>
      </c>
      <c r="AU2244" s="101">
        <v>97006001</v>
      </c>
      <c r="AV2244" s="101"/>
      <c r="AW2244" s="99" t="s">
        <v>198</v>
      </c>
      <c r="AX2244" s="101" t="s">
        <v>534</v>
      </c>
      <c r="AY2244" s="100">
        <v>10000001</v>
      </c>
      <c r="AZ2244" s="100">
        <v>77001604</v>
      </c>
      <c r="BA2244" s="99" t="s">
        <v>771</v>
      </c>
      <c r="BB2244" s="101">
        <v>0</v>
      </c>
      <c r="BC2244" s="105">
        <v>0</v>
      </c>
      <c r="BD2244" s="105">
        <v>0</v>
      </c>
      <c r="BE2244" s="137" t="s">
        <v>5111</v>
      </c>
      <c r="BF2244" s="137" t="s">
        <v>5112</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77001603</v>
      </c>
      <c r="BU2244" s="47">
        <v>0</v>
      </c>
      <c r="BV2244" s="47"/>
      <c r="BW2244" s="47"/>
    </row>
    <row r="2245" spans="1:75" ht="20.100000000000001" customHeight="1">
      <c r="C2245" s="100">
        <v>77001605</v>
      </c>
      <c r="D2245" s="99" t="s">
        <v>5113</v>
      </c>
      <c r="E2245" s="287" t="s">
        <v>5114</v>
      </c>
      <c r="F2245" s="97">
        <v>1</v>
      </c>
      <c r="G2245" s="97">
        <v>0</v>
      </c>
      <c r="H2245" s="101">
        <v>0</v>
      </c>
      <c r="I2245" s="105">
        <v>0</v>
      </c>
      <c r="J2245" s="100">
        <v>1</v>
      </c>
      <c r="K2245" s="100">
        <v>0</v>
      </c>
      <c r="L2245" s="100">
        <v>0</v>
      </c>
      <c r="M2245" s="101">
        <v>0</v>
      </c>
      <c r="N2245" s="101">
        <v>0</v>
      </c>
      <c r="O2245" s="101">
        <v>2</v>
      </c>
      <c r="P2245" s="101">
        <v>16</v>
      </c>
      <c r="Q2245" s="101">
        <v>30</v>
      </c>
      <c r="R2245" s="101">
        <v>0</v>
      </c>
      <c r="S2245" s="106">
        <v>0</v>
      </c>
      <c r="T2245" s="101">
        <v>0</v>
      </c>
      <c r="U2245" s="101">
        <v>1</v>
      </c>
      <c r="V2245" s="97">
        <v>1</v>
      </c>
      <c r="W2245" s="101">
        <v>0</v>
      </c>
      <c r="X2245" s="101">
        <v>0</v>
      </c>
      <c r="Y2245" s="12">
        <v>0</v>
      </c>
      <c r="Z2245" s="101">
        <v>0</v>
      </c>
      <c r="AA2245" s="101">
        <v>1</v>
      </c>
      <c r="AB2245" s="101">
        <v>0</v>
      </c>
      <c r="AC2245" s="101">
        <v>0</v>
      </c>
      <c r="AD2245" s="101">
        <v>0</v>
      </c>
      <c r="AE2245" s="101">
        <v>1</v>
      </c>
      <c r="AF2245" s="101">
        <v>0</v>
      </c>
      <c r="AG2245" s="101">
        <v>1</v>
      </c>
      <c r="AH2245" s="101">
        <v>15</v>
      </c>
      <c r="AI2245" s="106">
        <v>0</v>
      </c>
      <c r="AJ2245" s="106">
        <v>1</v>
      </c>
      <c r="AK2245" s="106">
        <v>0</v>
      </c>
      <c r="AL2245" s="106">
        <v>1.5</v>
      </c>
      <c r="AM2245" s="101">
        <v>0</v>
      </c>
      <c r="AN2245" s="101">
        <v>0</v>
      </c>
      <c r="AO2245" s="101">
        <v>0</v>
      </c>
      <c r="AP2245" s="101">
        <v>1</v>
      </c>
      <c r="AQ2245" s="101">
        <v>3000</v>
      </c>
      <c r="AR2245" s="101">
        <v>0.5</v>
      </c>
      <c r="AS2245" s="101">
        <v>0</v>
      </c>
      <c r="AT2245" s="332" t="s">
        <v>5115</v>
      </c>
      <c r="AU2245" s="114">
        <v>0</v>
      </c>
      <c r="AV2245" s="114"/>
      <c r="AW2245" s="99" t="s">
        <v>287</v>
      </c>
      <c r="AX2245" s="101" t="s">
        <v>215</v>
      </c>
      <c r="AY2245" s="100">
        <v>0</v>
      </c>
      <c r="AZ2245" s="100">
        <v>0</v>
      </c>
      <c r="BA2245" s="99" t="s">
        <v>200</v>
      </c>
      <c r="BB2245" s="101">
        <v>0</v>
      </c>
      <c r="BC2245" s="105">
        <v>0</v>
      </c>
      <c r="BD2245" s="105">
        <v>0</v>
      </c>
      <c r="BE2245" s="119" t="s">
        <v>5116</v>
      </c>
      <c r="BF2245" s="119" t="s">
        <v>5117</v>
      </c>
      <c r="BG2245" s="101">
        <v>0</v>
      </c>
      <c r="BH2245" s="101">
        <v>0</v>
      </c>
      <c r="BI2245" s="101">
        <v>0</v>
      </c>
      <c r="BJ2245" s="101">
        <v>0</v>
      </c>
      <c r="BK2245" s="101">
        <v>0</v>
      </c>
      <c r="BL2245" s="101">
        <v>0</v>
      </c>
      <c r="BM2245" s="97">
        <v>0</v>
      </c>
      <c r="BN2245" s="106">
        <v>0</v>
      </c>
      <c r="BO2245" s="106">
        <v>0</v>
      </c>
      <c r="BP2245" s="106">
        <v>0</v>
      </c>
      <c r="BQ2245" s="106">
        <v>0</v>
      </c>
      <c r="BR2245" s="106">
        <v>0</v>
      </c>
      <c r="BS2245" s="106">
        <v>1</v>
      </c>
      <c r="BT2245" s="106">
        <v>0</v>
      </c>
      <c r="BU2245" s="47">
        <v>0</v>
      </c>
      <c r="BV2245" s="47"/>
      <c r="BW2245" s="47"/>
    </row>
    <row r="2246" spans="1:75" ht="20.100000000000001" customHeight="1">
      <c r="C2246" s="100">
        <v>77001606</v>
      </c>
      <c r="D2246" s="99" t="s">
        <v>5118</v>
      </c>
      <c r="E2246" s="99" t="s">
        <v>5119</v>
      </c>
      <c r="F2246" s="101">
        <v>1</v>
      </c>
      <c r="G2246" s="101">
        <v>0</v>
      </c>
      <c r="H2246" s="100">
        <v>0</v>
      </c>
      <c r="I2246" s="105">
        <v>0</v>
      </c>
      <c r="J2246" s="100">
        <v>1</v>
      </c>
      <c r="K2246" s="100">
        <v>0</v>
      </c>
      <c r="L2246" s="100">
        <v>0</v>
      </c>
      <c r="M2246" s="101">
        <v>0</v>
      </c>
      <c r="N2246" s="101">
        <v>0</v>
      </c>
      <c r="O2246" s="101">
        <v>2</v>
      </c>
      <c r="P2246" s="101">
        <v>1</v>
      </c>
      <c r="Q2246" s="101">
        <v>0.2</v>
      </c>
      <c r="R2246" s="101">
        <v>0</v>
      </c>
      <c r="S2246" s="106">
        <v>3</v>
      </c>
      <c r="T2246" s="101">
        <v>0</v>
      </c>
      <c r="U2246" s="101">
        <v>1</v>
      </c>
      <c r="V2246" s="101">
        <v>2</v>
      </c>
      <c r="W2246" s="101">
        <v>0</v>
      </c>
      <c r="X2246" s="101">
        <v>1</v>
      </c>
      <c r="Y2246" s="12">
        <v>0</v>
      </c>
      <c r="Z2246" s="101">
        <v>0</v>
      </c>
      <c r="AA2246" s="101">
        <v>0</v>
      </c>
      <c r="AB2246" s="101">
        <v>0</v>
      </c>
      <c r="AC2246" s="101">
        <v>0</v>
      </c>
      <c r="AD2246" s="101">
        <v>0</v>
      </c>
      <c r="AE2246" s="101">
        <v>0</v>
      </c>
      <c r="AF2246" s="101">
        <v>18</v>
      </c>
      <c r="AG2246" s="101">
        <v>1</v>
      </c>
      <c r="AH2246" s="101">
        <v>3</v>
      </c>
      <c r="AI2246" s="106">
        <v>6</v>
      </c>
      <c r="AJ2246" s="106">
        <v>1</v>
      </c>
      <c r="AK2246" s="106">
        <v>0</v>
      </c>
      <c r="AL2246" s="106">
        <v>1.5</v>
      </c>
      <c r="AM2246" s="101">
        <v>0</v>
      </c>
      <c r="AN2246" s="101">
        <v>0</v>
      </c>
      <c r="AO2246" s="101">
        <v>0</v>
      </c>
      <c r="AP2246" s="101">
        <v>1</v>
      </c>
      <c r="AQ2246" s="101">
        <v>5000</v>
      </c>
      <c r="AR2246" s="101">
        <v>1</v>
      </c>
      <c r="AS2246" s="101">
        <v>0</v>
      </c>
      <c r="AT2246" s="106">
        <v>0</v>
      </c>
      <c r="AU2246" s="336" t="s">
        <v>5120</v>
      </c>
      <c r="AV2246" s="114"/>
      <c r="AW2246" s="102" t="s">
        <v>199</v>
      </c>
      <c r="AX2246" s="101" t="s">
        <v>534</v>
      </c>
      <c r="AY2246" s="100">
        <v>10000007</v>
      </c>
      <c r="AZ2246" s="334" t="s">
        <v>5097</v>
      </c>
      <c r="BA2246" s="99" t="s">
        <v>200</v>
      </c>
      <c r="BB2246" s="101" t="s">
        <v>5121</v>
      </c>
      <c r="BC2246" s="105">
        <v>0</v>
      </c>
      <c r="BD2246" s="105">
        <v>0</v>
      </c>
      <c r="BE2246" s="119" t="s">
        <v>5122</v>
      </c>
      <c r="BF2246" s="119" t="s">
        <v>5123</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spans="1:75" ht="20.100000000000001" customHeight="1">
      <c r="C2247" s="100">
        <v>77001607</v>
      </c>
      <c r="D2247" s="99" t="s">
        <v>5124</v>
      </c>
      <c r="E2247" s="99" t="s">
        <v>5125</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2</v>
      </c>
      <c r="Y2247" s="12">
        <v>0</v>
      </c>
      <c r="Z2247" s="101">
        <v>0</v>
      </c>
      <c r="AA2247" s="101">
        <v>1</v>
      </c>
      <c r="AB2247" s="101">
        <v>0</v>
      </c>
      <c r="AC2247" s="101">
        <v>0</v>
      </c>
      <c r="AD2247" s="101">
        <v>0</v>
      </c>
      <c r="AE2247" s="101">
        <v>1</v>
      </c>
      <c r="AF2247" s="101">
        <v>9</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5126</v>
      </c>
      <c r="BF2247" s="137" t="s">
        <v>5127</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0</v>
      </c>
      <c r="BU2247" s="47">
        <v>0</v>
      </c>
      <c r="BV2247" s="47"/>
      <c r="BW2247" s="47"/>
    </row>
    <row r="2248" spans="1:75" ht="19.5" customHeight="1">
      <c r="C2248" s="100">
        <v>77001608</v>
      </c>
      <c r="D2248" s="99" t="s">
        <v>5128</v>
      </c>
      <c r="E2248" s="99" t="s">
        <v>5129</v>
      </c>
      <c r="F2248" s="100">
        <v>1</v>
      </c>
      <c r="G2248" s="101">
        <v>0</v>
      </c>
      <c r="H2248" s="100">
        <v>0</v>
      </c>
      <c r="I2248" s="105">
        <v>0</v>
      </c>
      <c r="J2248" s="100">
        <v>1</v>
      </c>
      <c r="K2248" s="100">
        <v>0</v>
      </c>
      <c r="L2248" s="100">
        <v>0</v>
      </c>
      <c r="M2248" s="101">
        <v>0</v>
      </c>
      <c r="N2248" s="101">
        <v>0</v>
      </c>
      <c r="O2248" s="101">
        <v>2</v>
      </c>
      <c r="P2248" s="101">
        <v>2</v>
      </c>
      <c r="Q2248" s="101">
        <v>0.5</v>
      </c>
      <c r="R2248" s="101">
        <v>0</v>
      </c>
      <c r="S2248" s="106">
        <v>0</v>
      </c>
      <c r="T2248" s="101">
        <v>0</v>
      </c>
      <c r="U2248" s="101">
        <v>1</v>
      </c>
      <c r="V2248" s="101">
        <v>1</v>
      </c>
      <c r="W2248" s="101">
        <v>0</v>
      </c>
      <c r="X2248" s="101">
        <v>0</v>
      </c>
      <c r="Y2248" s="12">
        <v>0</v>
      </c>
      <c r="Z2248" s="101">
        <v>0</v>
      </c>
      <c r="AA2248" s="101">
        <v>0</v>
      </c>
      <c r="AB2248" s="101">
        <v>0</v>
      </c>
      <c r="AC2248" s="101">
        <v>0</v>
      </c>
      <c r="AD2248" s="101">
        <v>0</v>
      </c>
      <c r="AE2248" s="101">
        <v>1</v>
      </c>
      <c r="AF2248" s="101">
        <v>12</v>
      </c>
      <c r="AG2248" s="101">
        <v>1</v>
      </c>
      <c r="AH2248" s="101">
        <v>2</v>
      </c>
      <c r="AI2248" s="106">
        <v>0</v>
      </c>
      <c r="AJ2248" s="106">
        <v>1</v>
      </c>
      <c r="AK2248" s="106">
        <v>0</v>
      </c>
      <c r="AL2248" s="106">
        <v>3</v>
      </c>
      <c r="AM2248" s="101">
        <v>0</v>
      </c>
      <c r="AN2248" s="101">
        <v>0</v>
      </c>
      <c r="AO2248" s="101">
        <v>0</v>
      </c>
      <c r="AP2248" s="101">
        <v>0.3</v>
      </c>
      <c r="AQ2248" s="101">
        <v>300</v>
      </c>
      <c r="AR2248" s="101">
        <v>0</v>
      </c>
      <c r="AS2248" s="101">
        <v>0</v>
      </c>
      <c r="AT2248" s="106">
        <v>0</v>
      </c>
      <c r="AU2248" s="114">
        <v>0</v>
      </c>
      <c r="AV2248" s="114"/>
      <c r="AW2248" s="99" t="s">
        <v>198</v>
      </c>
      <c r="AX2248" s="101">
        <v>0</v>
      </c>
      <c r="AY2248" s="100">
        <v>0</v>
      </c>
      <c r="AZ2248" s="100">
        <v>0</v>
      </c>
      <c r="BA2248" s="99" t="s">
        <v>528</v>
      </c>
      <c r="BB2248" s="337" t="s">
        <v>5130</v>
      </c>
      <c r="BC2248" s="105">
        <v>0</v>
      </c>
      <c r="BD2248" s="105">
        <v>0</v>
      </c>
      <c r="BE2248" s="119" t="s">
        <v>5131</v>
      </c>
      <c r="BF2248" s="119" t="s">
        <v>5132</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spans="1:75" s="2" customFormat="1" ht="19.5" customHeight="1">
      <c r="A2249" s="6"/>
      <c r="B2249" s="6"/>
      <c r="C2249" s="100">
        <v>77001609</v>
      </c>
      <c r="D2249" s="99" t="s">
        <v>5133</v>
      </c>
      <c r="E2249" s="99" t="s">
        <v>5134</v>
      </c>
      <c r="F2249" s="100">
        <v>1</v>
      </c>
      <c r="G2249" s="101">
        <v>0</v>
      </c>
      <c r="H2249" s="100">
        <v>0</v>
      </c>
      <c r="I2249" s="105">
        <v>0</v>
      </c>
      <c r="J2249" s="100">
        <v>1</v>
      </c>
      <c r="K2249" s="100">
        <v>0</v>
      </c>
      <c r="L2249" s="100">
        <v>0</v>
      </c>
      <c r="M2249" s="101">
        <v>0</v>
      </c>
      <c r="N2249" s="101">
        <v>0</v>
      </c>
      <c r="O2249" s="101">
        <v>2</v>
      </c>
      <c r="P2249" s="101">
        <v>2</v>
      </c>
      <c r="Q2249" s="101">
        <v>1</v>
      </c>
      <c r="R2249" s="101">
        <v>1</v>
      </c>
      <c r="S2249" s="106">
        <v>0</v>
      </c>
      <c r="T2249" s="101">
        <v>0</v>
      </c>
      <c r="U2249" s="101">
        <v>1</v>
      </c>
      <c r="V2249" s="101">
        <v>2</v>
      </c>
      <c r="W2249" s="101">
        <v>0</v>
      </c>
      <c r="X2249" s="101">
        <v>1</v>
      </c>
      <c r="Y2249" s="12">
        <v>0</v>
      </c>
      <c r="Z2249" s="101">
        <v>0</v>
      </c>
      <c r="AA2249" s="101">
        <v>0</v>
      </c>
      <c r="AB2249" s="101">
        <v>0</v>
      </c>
      <c r="AC2249" s="101">
        <v>0</v>
      </c>
      <c r="AD2249" s="101">
        <v>0</v>
      </c>
      <c r="AE2249" s="101">
        <v>1</v>
      </c>
      <c r="AF2249" s="101">
        <v>18</v>
      </c>
      <c r="AG2249" s="101">
        <v>1</v>
      </c>
      <c r="AH2249" s="101">
        <v>2</v>
      </c>
      <c r="AI2249" s="106">
        <v>0</v>
      </c>
      <c r="AJ2249" s="106">
        <v>2</v>
      </c>
      <c r="AK2249" s="106">
        <v>0</v>
      </c>
      <c r="AL2249" s="106">
        <v>2</v>
      </c>
      <c r="AM2249" s="101">
        <v>0</v>
      </c>
      <c r="AN2249" s="101">
        <v>0</v>
      </c>
      <c r="AO2249" s="101">
        <v>0</v>
      </c>
      <c r="AP2249" s="101">
        <v>0</v>
      </c>
      <c r="AQ2249" s="101">
        <v>5000</v>
      </c>
      <c r="AR2249" s="101">
        <v>0.5</v>
      </c>
      <c r="AS2249" s="101">
        <v>15</v>
      </c>
      <c r="AT2249" s="113">
        <v>0</v>
      </c>
      <c r="AU2249" s="336" t="s">
        <v>5120</v>
      </c>
      <c r="AV2249" s="114"/>
      <c r="AW2249" s="99" t="s">
        <v>198</v>
      </c>
      <c r="AX2249" s="101" t="s">
        <v>534</v>
      </c>
      <c r="AY2249" s="100">
        <v>10000007</v>
      </c>
      <c r="AZ2249" s="334" t="s">
        <v>5135</v>
      </c>
      <c r="BA2249" s="99" t="s">
        <v>586</v>
      </c>
      <c r="BB2249" s="101" t="s">
        <v>5024</v>
      </c>
      <c r="BC2249" s="105">
        <v>0</v>
      </c>
      <c r="BD2249" s="105">
        <v>0</v>
      </c>
      <c r="BE2249" s="119" t="s">
        <v>5136</v>
      </c>
      <c r="BF2249" s="119" t="s">
        <v>5137</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106">
        <v>0</v>
      </c>
      <c r="BV2249" s="47"/>
      <c r="BW2249" s="47"/>
    </row>
    <row r="2250" spans="1:75" ht="20.100000000000001" customHeight="1">
      <c r="C2250" s="64">
        <v>77001701</v>
      </c>
      <c r="D2250" s="59" t="s">
        <v>5138</v>
      </c>
      <c r="E2250" s="147" t="s">
        <v>5139</v>
      </c>
      <c r="F2250" s="93">
        <v>1</v>
      </c>
      <c r="G2250" s="93">
        <v>0</v>
      </c>
      <c r="H2250" s="60">
        <v>0</v>
      </c>
      <c r="I2250" s="66">
        <v>0</v>
      </c>
      <c r="J2250" s="64">
        <v>1</v>
      </c>
      <c r="K2250" s="64">
        <v>0</v>
      </c>
      <c r="L2250" s="64">
        <v>0</v>
      </c>
      <c r="M2250" s="60">
        <v>0</v>
      </c>
      <c r="N2250" s="60">
        <v>0</v>
      </c>
      <c r="O2250" s="60">
        <v>2</v>
      </c>
      <c r="P2250" s="60">
        <v>1</v>
      </c>
      <c r="Q2250" s="60">
        <v>0.2</v>
      </c>
      <c r="R2250" s="60">
        <v>0</v>
      </c>
      <c r="S2250" s="68">
        <v>0</v>
      </c>
      <c r="T2250" s="60">
        <v>0</v>
      </c>
      <c r="U2250" s="60">
        <v>1</v>
      </c>
      <c r="V2250" s="93">
        <v>1</v>
      </c>
      <c r="W2250" s="60">
        <v>0</v>
      </c>
      <c r="X2250" s="60">
        <v>0</v>
      </c>
      <c r="Y2250" s="12">
        <v>0</v>
      </c>
      <c r="Z2250" s="60">
        <v>0</v>
      </c>
      <c r="AA2250" s="60">
        <v>1</v>
      </c>
      <c r="AB2250" s="60">
        <v>0</v>
      </c>
      <c r="AC2250" s="60">
        <v>0</v>
      </c>
      <c r="AD2250" s="60">
        <v>0</v>
      </c>
      <c r="AE2250" s="60">
        <v>1</v>
      </c>
      <c r="AF2250" s="60">
        <v>8</v>
      </c>
      <c r="AG2250" s="60">
        <v>2</v>
      </c>
      <c r="AH2250" s="60" t="s">
        <v>1036</v>
      </c>
      <c r="AI2250" s="68">
        <v>0</v>
      </c>
      <c r="AJ2250" s="68">
        <v>2</v>
      </c>
      <c r="AK2250" s="68">
        <v>0</v>
      </c>
      <c r="AL2250" s="68">
        <v>1.5</v>
      </c>
      <c r="AM2250" s="60">
        <v>0</v>
      </c>
      <c r="AN2250" s="60">
        <v>0</v>
      </c>
      <c r="AO2250" s="60">
        <v>0</v>
      </c>
      <c r="AP2250" s="60">
        <v>1.2</v>
      </c>
      <c r="AQ2250" s="60">
        <v>1200</v>
      </c>
      <c r="AR2250" s="60">
        <v>1</v>
      </c>
      <c r="AS2250" s="60">
        <v>15</v>
      </c>
      <c r="AT2250" s="339" t="s">
        <v>198</v>
      </c>
      <c r="AU2250" s="352" t="s">
        <v>5140</v>
      </c>
      <c r="AV2250" s="60"/>
      <c r="AW2250" s="59" t="s">
        <v>256</v>
      </c>
      <c r="AX2250" s="60" t="s">
        <v>215</v>
      </c>
      <c r="AY2250" s="64">
        <v>10000011</v>
      </c>
      <c r="AZ2250" s="64">
        <v>77001706</v>
      </c>
      <c r="BA2250" s="59" t="s">
        <v>216</v>
      </c>
      <c r="BB2250" s="60">
        <v>0</v>
      </c>
      <c r="BC2250" s="66">
        <v>0</v>
      </c>
      <c r="BD2250" s="66">
        <v>0</v>
      </c>
      <c r="BE2250" s="90" t="s">
        <v>5141</v>
      </c>
      <c r="BF2250" s="90" t="s">
        <v>5142</v>
      </c>
      <c r="BG2250" s="60">
        <v>0</v>
      </c>
      <c r="BH2250" s="60">
        <v>0</v>
      </c>
      <c r="BI2250" s="60">
        <v>0</v>
      </c>
      <c r="BJ2250" s="60">
        <v>0</v>
      </c>
      <c r="BK2250" s="60">
        <v>0</v>
      </c>
      <c r="BL2250" s="60">
        <v>0</v>
      </c>
      <c r="BM2250" s="93">
        <v>0</v>
      </c>
      <c r="BN2250" s="68">
        <v>0</v>
      </c>
      <c r="BO2250" s="68">
        <v>0</v>
      </c>
      <c r="BP2250" s="68">
        <v>0</v>
      </c>
      <c r="BQ2250" s="68">
        <v>0</v>
      </c>
      <c r="BR2250" s="68">
        <v>0</v>
      </c>
      <c r="BS2250" s="68">
        <v>0</v>
      </c>
      <c r="BT2250" s="68">
        <v>77001702</v>
      </c>
      <c r="BU2250" s="47">
        <v>0</v>
      </c>
      <c r="BV2250" s="47"/>
      <c r="BW2250" s="47"/>
    </row>
    <row r="2251" spans="1:75" ht="20.100000000000001" customHeight="1">
      <c r="C2251" s="64">
        <v>77001702</v>
      </c>
      <c r="D2251" s="59" t="s">
        <v>1265</v>
      </c>
      <c r="E2251" s="59" t="s">
        <v>1266</v>
      </c>
      <c r="F2251" s="60">
        <v>1</v>
      </c>
      <c r="G2251" s="60">
        <v>0</v>
      </c>
      <c r="H2251" s="60">
        <v>0</v>
      </c>
      <c r="I2251" s="66">
        <v>0</v>
      </c>
      <c r="J2251" s="64">
        <v>1</v>
      </c>
      <c r="K2251" s="60">
        <v>0</v>
      </c>
      <c r="L2251" s="60">
        <v>0</v>
      </c>
      <c r="M2251" s="60">
        <v>0</v>
      </c>
      <c r="N2251" s="60">
        <v>0</v>
      </c>
      <c r="O2251" s="60">
        <v>2</v>
      </c>
      <c r="P2251" s="60">
        <v>3</v>
      </c>
      <c r="Q2251" s="60">
        <v>0.2</v>
      </c>
      <c r="R2251" s="60">
        <v>0</v>
      </c>
      <c r="S2251" s="68">
        <v>0</v>
      </c>
      <c r="T2251" s="60">
        <v>0</v>
      </c>
      <c r="U2251" s="60">
        <v>1</v>
      </c>
      <c r="V2251" s="60">
        <v>1</v>
      </c>
      <c r="W2251" s="60">
        <v>0</v>
      </c>
      <c r="X2251" s="60">
        <v>1.5</v>
      </c>
      <c r="Y2251" s="12">
        <v>0</v>
      </c>
      <c r="Z2251" s="60">
        <v>0</v>
      </c>
      <c r="AA2251" s="60">
        <v>1</v>
      </c>
      <c r="AB2251" s="60">
        <v>0</v>
      </c>
      <c r="AC2251" s="60">
        <v>0</v>
      </c>
      <c r="AD2251" s="60">
        <v>0</v>
      </c>
      <c r="AE2251" s="60">
        <v>1</v>
      </c>
      <c r="AF2251" s="60">
        <v>6</v>
      </c>
      <c r="AG2251" s="60">
        <v>1</v>
      </c>
      <c r="AH2251" s="60">
        <v>4</v>
      </c>
      <c r="AI2251" s="68">
        <v>0</v>
      </c>
      <c r="AJ2251" s="68">
        <v>1</v>
      </c>
      <c r="AK2251" s="68">
        <v>0</v>
      </c>
      <c r="AL2251" s="68">
        <v>2</v>
      </c>
      <c r="AM2251" s="60">
        <v>0</v>
      </c>
      <c r="AN2251" s="60">
        <v>0</v>
      </c>
      <c r="AO2251" s="60">
        <v>0</v>
      </c>
      <c r="AP2251" s="60">
        <v>0.6</v>
      </c>
      <c r="AQ2251" s="60">
        <v>700</v>
      </c>
      <c r="AR2251" s="60">
        <v>0.6</v>
      </c>
      <c r="AS2251" s="60">
        <v>0</v>
      </c>
      <c r="AT2251" s="68">
        <v>0</v>
      </c>
      <c r="AU2251" s="352" t="s">
        <v>5140</v>
      </c>
      <c r="AV2251" s="60"/>
      <c r="AW2251" s="59" t="s">
        <v>198</v>
      </c>
      <c r="AX2251" s="60" t="s">
        <v>534</v>
      </c>
      <c r="AY2251" s="64">
        <v>10000001</v>
      </c>
      <c r="AZ2251" s="64">
        <v>77001701</v>
      </c>
      <c r="BA2251" s="59" t="s">
        <v>771</v>
      </c>
      <c r="BB2251" s="60">
        <v>0</v>
      </c>
      <c r="BC2251" s="66">
        <v>0</v>
      </c>
      <c r="BD2251" s="66">
        <v>0</v>
      </c>
      <c r="BE2251" s="121" t="s">
        <v>5143</v>
      </c>
      <c r="BF2251" s="121" t="s">
        <v>5144</v>
      </c>
      <c r="BG2251" s="60">
        <v>0</v>
      </c>
      <c r="BH2251" s="60">
        <v>0</v>
      </c>
      <c r="BI2251" s="60">
        <v>0</v>
      </c>
      <c r="BJ2251" s="60">
        <v>0</v>
      </c>
      <c r="BK2251" s="60">
        <v>0</v>
      </c>
      <c r="BL2251" s="60">
        <v>0</v>
      </c>
      <c r="BM2251" s="93">
        <v>0</v>
      </c>
      <c r="BN2251" s="68">
        <v>0</v>
      </c>
      <c r="BO2251" s="68">
        <v>0</v>
      </c>
      <c r="BP2251" s="68">
        <v>0</v>
      </c>
      <c r="BQ2251" s="68">
        <v>0</v>
      </c>
      <c r="BR2251" s="68">
        <v>0</v>
      </c>
      <c r="BS2251" s="68">
        <v>0</v>
      </c>
      <c r="BT2251" s="68">
        <v>77001706</v>
      </c>
      <c r="BU2251" s="47">
        <v>0</v>
      </c>
      <c r="BV2251" s="47"/>
      <c r="BW2251" s="47"/>
    </row>
    <row r="2252" spans="1:75" ht="20.100000000000001" customHeight="1">
      <c r="C2252" s="64">
        <v>77001703</v>
      </c>
      <c r="D2252" s="59" t="s">
        <v>5138</v>
      </c>
      <c r="E2252" s="59" t="s">
        <v>5139</v>
      </c>
      <c r="F2252" s="60">
        <v>1</v>
      </c>
      <c r="G2252" s="60">
        <v>0</v>
      </c>
      <c r="H2252" s="60">
        <v>0</v>
      </c>
      <c r="I2252" s="66">
        <v>0</v>
      </c>
      <c r="J2252" s="64">
        <v>1</v>
      </c>
      <c r="K2252" s="60">
        <v>0</v>
      </c>
      <c r="L2252" s="60">
        <v>0</v>
      </c>
      <c r="M2252" s="60">
        <v>0</v>
      </c>
      <c r="N2252" s="60">
        <v>0</v>
      </c>
      <c r="O2252" s="60">
        <v>2</v>
      </c>
      <c r="P2252" s="60">
        <v>3</v>
      </c>
      <c r="Q2252" s="60">
        <v>0.3</v>
      </c>
      <c r="R2252" s="60">
        <v>0</v>
      </c>
      <c r="S2252" s="68">
        <v>0</v>
      </c>
      <c r="T2252" s="60">
        <v>0</v>
      </c>
      <c r="U2252" s="60">
        <v>1</v>
      </c>
      <c r="V2252" s="60">
        <v>2</v>
      </c>
      <c r="W2252" s="60">
        <v>0</v>
      </c>
      <c r="X2252" s="60">
        <v>0</v>
      </c>
      <c r="Y2252" s="12">
        <v>0</v>
      </c>
      <c r="Z2252" s="60">
        <v>0</v>
      </c>
      <c r="AA2252" s="60">
        <v>1</v>
      </c>
      <c r="AB2252" s="60">
        <v>0</v>
      </c>
      <c r="AC2252" s="60">
        <v>0</v>
      </c>
      <c r="AD2252" s="60">
        <v>0</v>
      </c>
      <c r="AE2252" s="60">
        <v>0</v>
      </c>
      <c r="AF2252" s="60">
        <v>21</v>
      </c>
      <c r="AG2252" s="60">
        <v>1</v>
      </c>
      <c r="AH2252" s="60">
        <v>1</v>
      </c>
      <c r="AI2252" s="68">
        <v>0</v>
      </c>
      <c r="AJ2252" s="68">
        <v>1</v>
      </c>
      <c r="AK2252" s="68">
        <v>0</v>
      </c>
      <c r="AL2252" s="68">
        <v>1.5</v>
      </c>
      <c r="AM2252" s="60">
        <v>0</v>
      </c>
      <c r="AN2252" s="60">
        <v>0</v>
      </c>
      <c r="AO2252" s="60">
        <v>0</v>
      </c>
      <c r="AP2252" s="60">
        <v>0</v>
      </c>
      <c r="AQ2252" s="60">
        <v>300</v>
      </c>
      <c r="AR2252" s="60">
        <v>0</v>
      </c>
      <c r="AS2252" s="60">
        <v>0</v>
      </c>
      <c r="AT2252" s="339" t="s">
        <v>5145</v>
      </c>
      <c r="AU2252" s="60">
        <v>0</v>
      </c>
      <c r="AV2252" s="60"/>
      <c r="AW2252" s="59" t="s">
        <v>199</v>
      </c>
      <c r="AX2252" s="60" t="s">
        <v>534</v>
      </c>
      <c r="AY2252" s="64">
        <v>0</v>
      </c>
      <c r="AZ2252" s="64">
        <v>0</v>
      </c>
      <c r="BA2252" s="59" t="s">
        <v>771</v>
      </c>
      <c r="BB2252" s="60">
        <v>0</v>
      </c>
      <c r="BC2252" s="66">
        <v>0</v>
      </c>
      <c r="BD2252" s="66">
        <v>0</v>
      </c>
      <c r="BE2252" s="121" t="s">
        <v>5146</v>
      </c>
      <c r="BF2252" s="121" t="s">
        <v>5147</v>
      </c>
      <c r="BG2252" s="60">
        <v>0</v>
      </c>
      <c r="BH2252" s="60">
        <v>0</v>
      </c>
      <c r="BI2252" s="60">
        <v>0</v>
      </c>
      <c r="BJ2252" s="60">
        <v>0</v>
      </c>
      <c r="BK2252" s="60">
        <v>0</v>
      </c>
      <c r="BL2252" s="60">
        <v>0</v>
      </c>
      <c r="BM2252" s="93">
        <v>0</v>
      </c>
      <c r="BN2252" s="68">
        <v>0</v>
      </c>
      <c r="BO2252" s="68">
        <v>0</v>
      </c>
      <c r="BP2252" s="68">
        <v>0</v>
      </c>
      <c r="BQ2252" s="68">
        <v>0</v>
      </c>
      <c r="BR2252" s="68">
        <v>0</v>
      </c>
      <c r="BS2252" s="68">
        <v>1</v>
      </c>
      <c r="BT2252" s="68">
        <v>0</v>
      </c>
      <c r="BU2252" s="47">
        <v>0</v>
      </c>
      <c r="BV2252" s="47"/>
      <c r="BW2252" s="47"/>
    </row>
    <row r="2253" spans="1:75" ht="19.5" customHeight="1">
      <c r="C2253" s="64">
        <v>77001704</v>
      </c>
      <c r="D2253" s="59" t="s">
        <v>1265</v>
      </c>
      <c r="E2253" s="59" t="s">
        <v>1266</v>
      </c>
      <c r="F2253" s="60">
        <v>1</v>
      </c>
      <c r="G2253" s="60">
        <v>0</v>
      </c>
      <c r="H2253" s="60">
        <v>0</v>
      </c>
      <c r="I2253" s="66">
        <v>0</v>
      </c>
      <c r="J2253" s="64">
        <v>1</v>
      </c>
      <c r="K2253" s="64">
        <v>0</v>
      </c>
      <c r="L2253" s="64">
        <v>0</v>
      </c>
      <c r="M2253" s="60">
        <v>0</v>
      </c>
      <c r="N2253" s="60">
        <v>0</v>
      </c>
      <c r="O2253" s="60">
        <v>2</v>
      </c>
      <c r="P2253" s="60">
        <v>3</v>
      </c>
      <c r="Q2253" s="60">
        <v>0.2</v>
      </c>
      <c r="R2253" s="60">
        <v>0</v>
      </c>
      <c r="S2253" s="68">
        <v>0</v>
      </c>
      <c r="T2253" s="60">
        <v>0</v>
      </c>
      <c r="U2253" s="60">
        <v>1</v>
      </c>
      <c r="V2253" s="60">
        <v>1</v>
      </c>
      <c r="W2253" s="60">
        <v>0</v>
      </c>
      <c r="X2253" s="60">
        <v>0</v>
      </c>
      <c r="Y2253" s="12">
        <v>0</v>
      </c>
      <c r="Z2253" s="60">
        <v>0</v>
      </c>
      <c r="AA2253" s="60">
        <v>1</v>
      </c>
      <c r="AB2253" s="60">
        <v>0</v>
      </c>
      <c r="AC2253" s="60">
        <v>0</v>
      </c>
      <c r="AD2253" s="60">
        <v>0</v>
      </c>
      <c r="AE2253" s="60">
        <v>1</v>
      </c>
      <c r="AF2253" s="60">
        <v>8</v>
      </c>
      <c r="AG2253" s="60">
        <v>2</v>
      </c>
      <c r="AH2253" s="60" t="s">
        <v>213</v>
      </c>
      <c r="AI2253" s="68">
        <v>0</v>
      </c>
      <c r="AJ2253" s="68">
        <v>2</v>
      </c>
      <c r="AK2253" s="68">
        <v>0</v>
      </c>
      <c r="AL2253" s="68">
        <v>1.5</v>
      </c>
      <c r="AM2253" s="60">
        <v>0</v>
      </c>
      <c r="AN2253" s="60">
        <v>0</v>
      </c>
      <c r="AO2253" s="60">
        <v>0</v>
      </c>
      <c r="AP2253" s="60">
        <v>0.3</v>
      </c>
      <c r="AQ2253" s="60">
        <v>300</v>
      </c>
      <c r="AR2253" s="60">
        <v>0</v>
      </c>
      <c r="AS2253" s="60">
        <v>15</v>
      </c>
      <c r="AT2253" s="68">
        <v>0</v>
      </c>
      <c r="AU2253" s="79">
        <v>0</v>
      </c>
      <c r="AV2253" s="79"/>
      <c r="AW2253" s="59" t="s">
        <v>198</v>
      </c>
      <c r="AX2253" s="60" t="s">
        <v>215</v>
      </c>
      <c r="AY2253" s="64">
        <v>0</v>
      </c>
      <c r="AZ2253" s="64">
        <v>0</v>
      </c>
      <c r="BA2253" s="299" t="s">
        <v>216</v>
      </c>
      <c r="BB2253" s="60">
        <v>1</v>
      </c>
      <c r="BC2253" s="66">
        <v>0</v>
      </c>
      <c r="BD2253" s="66">
        <v>0</v>
      </c>
      <c r="BE2253" s="90" t="s">
        <v>5148</v>
      </c>
      <c r="BF2253" s="90" t="s">
        <v>5149</v>
      </c>
      <c r="BG2253" s="60">
        <v>0</v>
      </c>
      <c r="BH2253" s="60">
        <v>0</v>
      </c>
      <c r="BI2253" s="60">
        <v>0</v>
      </c>
      <c r="BJ2253" s="60">
        <v>0</v>
      </c>
      <c r="BK2253" s="60">
        <v>0</v>
      </c>
      <c r="BL2253" s="60">
        <v>0</v>
      </c>
      <c r="BM2253" s="93">
        <v>0</v>
      </c>
      <c r="BN2253" s="68">
        <v>0</v>
      </c>
      <c r="BO2253" s="68">
        <v>0</v>
      </c>
      <c r="BP2253" s="68">
        <v>0</v>
      </c>
      <c r="BQ2253" s="68">
        <v>0</v>
      </c>
      <c r="BR2253" s="68">
        <v>0</v>
      </c>
      <c r="BS2253" s="68">
        <v>1</v>
      </c>
      <c r="BT2253" s="68">
        <v>77001705</v>
      </c>
      <c r="BU2253" s="47">
        <v>0</v>
      </c>
      <c r="BV2253" s="47"/>
      <c r="BW2253" s="47"/>
    </row>
    <row r="2254" spans="1:75" ht="19.5" customHeight="1">
      <c r="C2254" s="64">
        <v>77001705</v>
      </c>
      <c r="D2254" s="63" t="s">
        <v>1265</v>
      </c>
      <c r="E2254" s="63" t="s">
        <v>1266</v>
      </c>
      <c r="F2254" s="60">
        <v>1</v>
      </c>
      <c r="G2254" s="60">
        <v>0</v>
      </c>
      <c r="H2254" s="64">
        <v>0</v>
      </c>
      <c r="I2254" s="66">
        <v>0</v>
      </c>
      <c r="J2254" s="60">
        <v>1</v>
      </c>
      <c r="K2254" s="60">
        <v>0</v>
      </c>
      <c r="L2254" s="60">
        <v>0</v>
      </c>
      <c r="M2254" s="64">
        <v>0</v>
      </c>
      <c r="N2254" s="64">
        <v>0</v>
      </c>
      <c r="O2254" s="64">
        <v>2</v>
      </c>
      <c r="P2254" s="64">
        <v>1</v>
      </c>
      <c r="Q2254" s="64">
        <v>1</v>
      </c>
      <c r="R2254" s="64">
        <v>0</v>
      </c>
      <c r="S2254" s="68">
        <v>0</v>
      </c>
      <c r="T2254" s="66">
        <v>0</v>
      </c>
      <c r="U2254" s="60">
        <v>1</v>
      </c>
      <c r="V2254" s="64">
        <v>1</v>
      </c>
      <c r="W2254" s="64">
        <v>0</v>
      </c>
      <c r="X2254" s="64">
        <v>1.5</v>
      </c>
      <c r="Y2254" s="12">
        <v>0</v>
      </c>
      <c r="Z2254" s="64">
        <v>0</v>
      </c>
      <c r="AA2254" s="64">
        <v>1</v>
      </c>
      <c r="AB2254" s="64">
        <v>0</v>
      </c>
      <c r="AC2254" s="64">
        <v>0</v>
      </c>
      <c r="AD2254" s="64">
        <v>0</v>
      </c>
      <c r="AE2254" s="64">
        <v>0</v>
      </c>
      <c r="AF2254" s="64">
        <v>0</v>
      </c>
      <c r="AG2254" s="64">
        <v>1</v>
      </c>
      <c r="AH2254" s="77">
        <v>4</v>
      </c>
      <c r="AI2254" s="68">
        <v>0</v>
      </c>
      <c r="AJ2254" s="68">
        <v>1</v>
      </c>
      <c r="AK2254" s="68">
        <v>0</v>
      </c>
      <c r="AL2254" s="68">
        <v>5</v>
      </c>
      <c r="AM2254" s="64">
        <v>0</v>
      </c>
      <c r="AN2254" s="64">
        <v>1</v>
      </c>
      <c r="AO2254" s="64">
        <v>0</v>
      </c>
      <c r="AP2254" s="64">
        <v>0.6</v>
      </c>
      <c r="AQ2254" s="64">
        <v>2000</v>
      </c>
      <c r="AR2254" s="64">
        <v>0.6</v>
      </c>
      <c r="AS2254" s="64">
        <v>0</v>
      </c>
      <c r="AT2254" s="68">
        <v>0</v>
      </c>
      <c r="AU2254" s="329" t="s">
        <v>5140</v>
      </c>
      <c r="AV2254" s="64"/>
      <c r="AW2254" s="63" t="s">
        <v>287</v>
      </c>
      <c r="AX2254" s="64" t="s">
        <v>545</v>
      </c>
      <c r="AY2254" s="64">
        <v>10001005</v>
      </c>
      <c r="AZ2254" s="64">
        <v>77001701</v>
      </c>
      <c r="BA2254" s="63" t="s">
        <v>200</v>
      </c>
      <c r="BB2254" s="63">
        <v>0</v>
      </c>
      <c r="BC2254" s="66">
        <v>0</v>
      </c>
      <c r="BD2254" s="66">
        <v>0</v>
      </c>
      <c r="BE2254" s="207" t="s">
        <v>1269</v>
      </c>
      <c r="BF2254" s="207" t="s">
        <v>1270</v>
      </c>
      <c r="BG2254" s="64">
        <v>0</v>
      </c>
      <c r="BH2254" s="60">
        <v>0</v>
      </c>
      <c r="BI2254" s="64">
        <v>0</v>
      </c>
      <c r="BJ2254" s="64">
        <v>0</v>
      </c>
      <c r="BK2254" s="64">
        <v>0</v>
      </c>
      <c r="BL2254" s="64">
        <v>0</v>
      </c>
      <c r="BM2254" s="93">
        <v>0</v>
      </c>
      <c r="BN2254" s="68">
        <v>0</v>
      </c>
      <c r="BO2254" s="68">
        <v>0</v>
      </c>
      <c r="BP2254" s="68">
        <v>0</v>
      </c>
      <c r="BQ2254" s="68">
        <v>0</v>
      </c>
      <c r="BR2254" s="68">
        <v>0</v>
      </c>
      <c r="BS2254" s="68">
        <v>0</v>
      </c>
      <c r="BT2254" s="68">
        <v>0</v>
      </c>
      <c r="BU2254" s="47">
        <v>0</v>
      </c>
      <c r="BV2254" s="47"/>
      <c r="BW2254" s="47"/>
    </row>
    <row r="2255" spans="1:75" ht="20.100000000000001" customHeight="1">
      <c r="C2255" s="64">
        <v>77001706</v>
      </c>
      <c r="D2255" s="63" t="s">
        <v>1265</v>
      </c>
      <c r="E2255" s="63" t="s">
        <v>1266</v>
      </c>
      <c r="F2255" s="60">
        <v>1</v>
      </c>
      <c r="G2255" s="60">
        <v>0</v>
      </c>
      <c r="H2255" s="64">
        <v>0</v>
      </c>
      <c r="I2255" s="66">
        <v>0</v>
      </c>
      <c r="J2255" s="60">
        <v>1</v>
      </c>
      <c r="K2255" s="60">
        <v>0</v>
      </c>
      <c r="L2255" s="60">
        <v>0</v>
      </c>
      <c r="M2255" s="64">
        <v>0</v>
      </c>
      <c r="N2255" s="64">
        <v>0</v>
      </c>
      <c r="O2255" s="64">
        <v>2</v>
      </c>
      <c r="P2255" s="64">
        <v>16</v>
      </c>
      <c r="Q2255" s="64">
        <v>10</v>
      </c>
      <c r="R2255" s="64">
        <v>0</v>
      </c>
      <c r="S2255" s="68">
        <v>0</v>
      </c>
      <c r="T2255" s="66">
        <v>0</v>
      </c>
      <c r="U2255" s="60">
        <v>1</v>
      </c>
      <c r="V2255" s="64">
        <v>2</v>
      </c>
      <c r="W2255" s="64">
        <v>0</v>
      </c>
      <c r="X2255" s="64">
        <v>2.6</v>
      </c>
      <c r="Y2255" s="12">
        <v>0</v>
      </c>
      <c r="Z2255" s="64">
        <v>0</v>
      </c>
      <c r="AA2255" s="64">
        <v>1</v>
      </c>
      <c r="AB2255" s="64">
        <v>0</v>
      </c>
      <c r="AC2255" s="64">
        <v>0</v>
      </c>
      <c r="AD2255" s="64">
        <v>0</v>
      </c>
      <c r="AE2255" s="64">
        <v>0</v>
      </c>
      <c r="AF2255" s="64">
        <v>0</v>
      </c>
      <c r="AG2255" s="64">
        <v>2</v>
      </c>
      <c r="AH2255" s="64" t="s">
        <v>213</v>
      </c>
      <c r="AI2255" s="68">
        <v>0</v>
      </c>
      <c r="AJ2255" s="68">
        <v>2</v>
      </c>
      <c r="AK2255" s="68">
        <v>0</v>
      </c>
      <c r="AL2255" s="68">
        <v>3</v>
      </c>
      <c r="AM2255" s="64">
        <v>0</v>
      </c>
      <c r="AN2255" s="64">
        <v>0</v>
      </c>
      <c r="AO2255" s="64">
        <v>0</v>
      </c>
      <c r="AP2255" s="64">
        <v>1</v>
      </c>
      <c r="AQ2255" s="64">
        <v>2000</v>
      </c>
      <c r="AR2255" s="64">
        <v>1</v>
      </c>
      <c r="AS2255" s="64">
        <v>0</v>
      </c>
      <c r="AT2255" s="68">
        <v>0</v>
      </c>
      <c r="AU2255" s="64">
        <v>97007001</v>
      </c>
      <c r="AV2255" s="64"/>
      <c r="AW2255" s="63" t="s">
        <v>287</v>
      </c>
      <c r="AX2255" s="64" t="s">
        <v>534</v>
      </c>
      <c r="AY2255" s="64">
        <v>10000015</v>
      </c>
      <c r="AZ2255" s="64">
        <v>77001702</v>
      </c>
      <c r="BA2255" s="59" t="s">
        <v>200</v>
      </c>
      <c r="BB2255" s="63">
        <v>0</v>
      </c>
      <c r="BC2255" s="66">
        <v>0</v>
      </c>
      <c r="BD2255" s="66">
        <v>0</v>
      </c>
      <c r="BE2255" s="207" t="s">
        <v>2374</v>
      </c>
      <c r="BF2255" s="207" t="s">
        <v>2375</v>
      </c>
      <c r="BG2255" s="64">
        <v>0</v>
      </c>
      <c r="BH2255" s="60">
        <v>0</v>
      </c>
      <c r="BI2255" s="64">
        <v>0</v>
      </c>
      <c r="BJ2255" s="64">
        <v>0</v>
      </c>
      <c r="BK2255" s="64">
        <v>0</v>
      </c>
      <c r="BL2255" s="64">
        <v>0</v>
      </c>
      <c r="BM2255" s="93">
        <v>0</v>
      </c>
      <c r="BN2255" s="68">
        <v>1</v>
      </c>
      <c r="BO2255" s="68">
        <v>0</v>
      </c>
      <c r="BP2255" s="68">
        <v>0</v>
      </c>
      <c r="BQ2255" s="68">
        <v>0</v>
      </c>
      <c r="BR2255" s="68">
        <v>0</v>
      </c>
      <c r="BS2255" s="68">
        <v>0</v>
      </c>
      <c r="BT2255" s="68">
        <v>0</v>
      </c>
      <c r="BU2255" s="47">
        <v>0</v>
      </c>
      <c r="BV2255" s="47"/>
      <c r="BW2255" s="47"/>
    </row>
    <row r="2256" spans="1:75" ht="20.100000000000001" customHeight="1">
      <c r="C2256" s="64">
        <v>77001707</v>
      </c>
      <c r="D2256" s="59" t="s">
        <v>5150</v>
      </c>
      <c r="E2256" s="147" t="s">
        <v>5151</v>
      </c>
      <c r="F2256" s="93">
        <v>1</v>
      </c>
      <c r="G2256" s="60">
        <v>0</v>
      </c>
      <c r="H2256" s="60">
        <v>0</v>
      </c>
      <c r="I2256" s="66">
        <v>0</v>
      </c>
      <c r="J2256" s="64">
        <v>1</v>
      </c>
      <c r="K2256" s="64">
        <v>0</v>
      </c>
      <c r="L2256" s="64">
        <v>0</v>
      </c>
      <c r="M2256" s="60">
        <v>0</v>
      </c>
      <c r="N2256" s="60">
        <v>0</v>
      </c>
      <c r="O2256" s="60">
        <v>2</v>
      </c>
      <c r="P2256" s="60">
        <v>2</v>
      </c>
      <c r="Q2256" s="60">
        <v>0.5</v>
      </c>
      <c r="R2256" s="60">
        <v>0</v>
      </c>
      <c r="S2256" s="68">
        <v>0</v>
      </c>
      <c r="T2256" s="60">
        <v>0</v>
      </c>
      <c r="U2256" s="60">
        <v>1</v>
      </c>
      <c r="V2256" s="93">
        <v>1</v>
      </c>
      <c r="W2256" s="60">
        <v>0</v>
      </c>
      <c r="X2256" s="60">
        <v>3</v>
      </c>
      <c r="Y2256" s="12">
        <v>0</v>
      </c>
      <c r="Z2256" s="60">
        <v>0</v>
      </c>
      <c r="AA2256" s="60">
        <v>1</v>
      </c>
      <c r="AB2256" s="60">
        <v>0</v>
      </c>
      <c r="AC2256" s="60">
        <v>0</v>
      </c>
      <c r="AD2256" s="60">
        <v>0</v>
      </c>
      <c r="AE2256" s="60">
        <v>1</v>
      </c>
      <c r="AF2256" s="60">
        <v>30</v>
      </c>
      <c r="AG2256" s="60">
        <v>1</v>
      </c>
      <c r="AH2256" s="60">
        <v>6</v>
      </c>
      <c r="AI2256" s="68">
        <v>0</v>
      </c>
      <c r="AJ2256" s="68">
        <v>1</v>
      </c>
      <c r="AK2256" s="68">
        <v>0</v>
      </c>
      <c r="AL2256" s="68">
        <v>3</v>
      </c>
      <c r="AM2256" s="60">
        <v>0</v>
      </c>
      <c r="AN2256" s="60">
        <v>1</v>
      </c>
      <c r="AO2256" s="60">
        <v>0</v>
      </c>
      <c r="AP2256" s="60">
        <v>1</v>
      </c>
      <c r="AQ2256" s="60">
        <v>3000</v>
      </c>
      <c r="AR2256" s="60">
        <v>1</v>
      </c>
      <c r="AS2256" s="60">
        <v>0</v>
      </c>
      <c r="AT2256" s="339" t="s">
        <v>5152</v>
      </c>
      <c r="AU2256" s="331" t="s">
        <v>5140</v>
      </c>
      <c r="AV2256" s="79"/>
      <c r="AW2256" s="59" t="s">
        <v>617</v>
      </c>
      <c r="AX2256" s="60" t="s">
        <v>215</v>
      </c>
      <c r="AY2256" s="64">
        <v>10000011</v>
      </c>
      <c r="AZ2256" s="64">
        <v>77001703</v>
      </c>
      <c r="BA2256" s="63" t="s">
        <v>200</v>
      </c>
      <c r="BB2256" s="60">
        <v>0</v>
      </c>
      <c r="BC2256" s="66">
        <v>0</v>
      </c>
      <c r="BD2256" s="66">
        <v>0</v>
      </c>
      <c r="BE2256" s="90" t="s">
        <v>5153</v>
      </c>
      <c r="BF2256" s="90" t="s">
        <v>5154</v>
      </c>
      <c r="BG2256" s="60">
        <v>0</v>
      </c>
      <c r="BH2256" s="60">
        <v>0</v>
      </c>
      <c r="BI2256" s="60">
        <v>0</v>
      </c>
      <c r="BJ2256" s="60">
        <v>0</v>
      </c>
      <c r="BK2256" s="60">
        <v>0</v>
      </c>
      <c r="BL2256" s="60">
        <v>0</v>
      </c>
      <c r="BM2256" s="93">
        <v>0</v>
      </c>
      <c r="BN2256" s="68">
        <v>0</v>
      </c>
      <c r="BO2256" s="68">
        <v>0</v>
      </c>
      <c r="BP2256" s="68">
        <v>0</v>
      </c>
      <c r="BQ2256" s="68">
        <v>0</v>
      </c>
      <c r="BR2256" s="68">
        <v>0</v>
      </c>
      <c r="BS2256" s="68">
        <v>0</v>
      </c>
      <c r="BT2256" s="68">
        <v>0</v>
      </c>
      <c r="BU2256" s="47">
        <v>0</v>
      </c>
      <c r="BV2256" s="47"/>
      <c r="BW2256" s="47"/>
    </row>
    <row r="2257" spans="3:75" ht="19.5" customHeight="1">
      <c r="C2257" s="64">
        <v>77001708</v>
      </c>
      <c r="D2257" s="59" t="s">
        <v>5155</v>
      </c>
      <c r="E2257" s="59" t="s">
        <v>5156</v>
      </c>
      <c r="F2257" s="64">
        <v>1</v>
      </c>
      <c r="G2257" s="60">
        <v>0</v>
      </c>
      <c r="H2257" s="64">
        <v>0</v>
      </c>
      <c r="I2257" s="66">
        <v>0</v>
      </c>
      <c r="J2257" s="64">
        <v>1</v>
      </c>
      <c r="K2257" s="64">
        <v>0</v>
      </c>
      <c r="L2257" s="64">
        <v>0</v>
      </c>
      <c r="M2257" s="60">
        <v>0</v>
      </c>
      <c r="N2257" s="60">
        <v>0</v>
      </c>
      <c r="O2257" s="60">
        <v>2</v>
      </c>
      <c r="P2257" s="60">
        <v>3</v>
      </c>
      <c r="Q2257" s="60">
        <v>0.4</v>
      </c>
      <c r="R2257" s="60">
        <v>0</v>
      </c>
      <c r="S2257" s="68">
        <v>0</v>
      </c>
      <c r="T2257" s="60">
        <v>0</v>
      </c>
      <c r="U2257" s="60">
        <v>1</v>
      </c>
      <c r="V2257" s="60">
        <v>1</v>
      </c>
      <c r="W2257" s="60">
        <v>0</v>
      </c>
      <c r="X2257" s="60">
        <v>0</v>
      </c>
      <c r="Y2257" s="12">
        <v>0</v>
      </c>
      <c r="Z2257" s="60">
        <v>0</v>
      </c>
      <c r="AA2257" s="60">
        <v>0</v>
      </c>
      <c r="AB2257" s="60">
        <v>0</v>
      </c>
      <c r="AC2257" s="60">
        <v>0</v>
      </c>
      <c r="AD2257" s="60">
        <v>0</v>
      </c>
      <c r="AE2257" s="60">
        <v>1</v>
      </c>
      <c r="AF2257" s="60">
        <v>0</v>
      </c>
      <c r="AG2257" s="60">
        <v>1</v>
      </c>
      <c r="AH2257" s="60">
        <v>2</v>
      </c>
      <c r="AI2257" s="68">
        <v>0</v>
      </c>
      <c r="AJ2257" s="68">
        <v>1</v>
      </c>
      <c r="AK2257" s="68">
        <v>0</v>
      </c>
      <c r="AL2257" s="68">
        <v>3</v>
      </c>
      <c r="AM2257" s="60">
        <v>0</v>
      </c>
      <c r="AN2257" s="60">
        <v>0</v>
      </c>
      <c r="AO2257" s="60">
        <v>0</v>
      </c>
      <c r="AP2257" s="60">
        <v>0.3</v>
      </c>
      <c r="AQ2257" s="60">
        <v>300</v>
      </c>
      <c r="AR2257" s="60">
        <v>0</v>
      </c>
      <c r="AS2257" s="60">
        <v>0</v>
      </c>
      <c r="AT2257" s="68">
        <v>0</v>
      </c>
      <c r="AU2257" s="79">
        <v>0</v>
      </c>
      <c r="AV2257" s="79"/>
      <c r="AW2257" s="59" t="s">
        <v>198</v>
      </c>
      <c r="AX2257" s="60">
        <v>0</v>
      </c>
      <c r="AY2257" s="64">
        <v>0</v>
      </c>
      <c r="AZ2257" s="64">
        <v>0</v>
      </c>
      <c r="BA2257" s="59" t="s">
        <v>528</v>
      </c>
      <c r="BB2257" s="352" t="s">
        <v>5157</v>
      </c>
      <c r="BC2257" s="66">
        <v>0</v>
      </c>
      <c r="BD2257" s="66">
        <v>0</v>
      </c>
      <c r="BE2257" s="90" t="s">
        <v>5158</v>
      </c>
      <c r="BF2257" s="90" t="s">
        <v>5159</v>
      </c>
      <c r="BG2257" s="60">
        <v>0</v>
      </c>
      <c r="BH2257" s="60">
        <v>0</v>
      </c>
      <c r="BI2257" s="60">
        <v>0</v>
      </c>
      <c r="BJ2257" s="60">
        <v>0</v>
      </c>
      <c r="BK2257" s="60">
        <v>0</v>
      </c>
      <c r="BL2257" s="60">
        <v>0</v>
      </c>
      <c r="BM2257" s="93">
        <v>0</v>
      </c>
      <c r="BN2257" s="68">
        <v>0</v>
      </c>
      <c r="BO2257" s="68">
        <v>0</v>
      </c>
      <c r="BP2257" s="68">
        <v>0</v>
      </c>
      <c r="BQ2257" s="68">
        <v>0</v>
      </c>
      <c r="BR2257" s="68">
        <v>0</v>
      </c>
      <c r="BS2257" s="68">
        <v>1</v>
      </c>
      <c r="BT2257" s="68">
        <v>0</v>
      </c>
      <c r="BU2257" s="47">
        <v>0</v>
      </c>
      <c r="BV2257" s="47"/>
      <c r="BW2257" s="47"/>
    </row>
    <row r="2258" spans="3:75" ht="19.5" customHeight="1">
      <c r="C2258" s="64">
        <v>77001709</v>
      </c>
      <c r="D2258" s="59" t="s">
        <v>5160</v>
      </c>
      <c r="E2258" s="59" t="s">
        <v>5161</v>
      </c>
      <c r="F2258" s="64">
        <v>1</v>
      </c>
      <c r="G2258" s="64">
        <v>0</v>
      </c>
      <c r="H2258" s="64">
        <v>0</v>
      </c>
      <c r="I2258" s="66">
        <v>0</v>
      </c>
      <c r="J2258" s="64">
        <v>1</v>
      </c>
      <c r="K2258" s="64">
        <v>0</v>
      </c>
      <c r="L2258" s="64">
        <v>0</v>
      </c>
      <c r="M2258" s="60">
        <v>0</v>
      </c>
      <c r="N2258" s="60">
        <v>0</v>
      </c>
      <c r="O2258" s="60">
        <v>2</v>
      </c>
      <c r="P2258" s="60">
        <v>2</v>
      </c>
      <c r="Q2258" s="60">
        <v>0.7</v>
      </c>
      <c r="R2258" s="60">
        <v>0</v>
      </c>
      <c r="S2258" s="68">
        <v>0</v>
      </c>
      <c r="T2258" s="60">
        <v>0</v>
      </c>
      <c r="U2258" s="60">
        <v>1</v>
      </c>
      <c r="V2258" s="60">
        <v>2</v>
      </c>
      <c r="W2258" s="60">
        <v>0</v>
      </c>
      <c r="X2258" s="60">
        <v>1.5</v>
      </c>
      <c r="Y2258" s="12">
        <v>0</v>
      </c>
      <c r="Z2258" s="60">
        <v>0</v>
      </c>
      <c r="AA2258" s="60">
        <v>1</v>
      </c>
      <c r="AB2258" s="60">
        <v>0</v>
      </c>
      <c r="AC2258" s="60">
        <v>0</v>
      </c>
      <c r="AD2258" s="60">
        <v>1</v>
      </c>
      <c r="AE2258" s="60">
        <v>0</v>
      </c>
      <c r="AF2258" s="60">
        <v>9</v>
      </c>
      <c r="AG2258" s="60">
        <v>1</v>
      </c>
      <c r="AH2258" s="60">
        <v>3</v>
      </c>
      <c r="AI2258" s="68">
        <v>4</v>
      </c>
      <c r="AJ2258" s="68">
        <v>1</v>
      </c>
      <c r="AK2258" s="68">
        <v>0</v>
      </c>
      <c r="AL2258" s="68">
        <v>1.5</v>
      </c>
      <c r="AM2258" s="60">
        <v>0</v>
      </c>
      <c r="AN2258" s="60">
        <v>0</v>
      </c>
      <c r="AO2258" s="60">
        <v>0</v>
      </c>
      <c r="AP2258" s="60">
        <v>0</v>
      </c>
      <c r="AQ2258" s="60">
        <v>6000</v>
      </c>
      <c r="AR2258" s="60">
        <v>1</v>
      </c>
      <c r="AS2258" s="60">
        <v>0</v>
      </c>
      <c r="AT2258" s="68">
        <v>0</v>
      </c>
      <c r="AU2258" s="331" t="s">
        <v>5162</v>
      </c>
      <c r="AV2258" s="79"/>
      <c r="AW2258" s="63" t="s">
        <v>199</v>
      </c>
      <c r="AX2258" s="60" t="s">
        <v>534</v>
      </c>
      <c r="AY2258" s="64">
        <v>0</v>
      </c>
      <c r="AZ2258" s="329" t="s">
        <v>5163</v>
      </c>
      <c r="BA2258" s="59" t="s">
        <v>200</v>
      </c>
      <c r="BB2258" s="60" t="s">
        <v>5164</v>
      </c>
      <c r="BC2258" s="66">
        <v>0</v>
      </c>
      <c r="BD2258" s="66">
        <v>0</v>
      </c>
      <c r="BE2258" s="90" t="s">
        <v>5165</v>
      </c>
      <c r="BF2258" s="90" t="s">
        <v>5166</v>
      </c>
      <c r="BG2258" s="60">
        <v>0</v>
      </c>
      <c r="BH2258" s="60">
        <v>0</v>
      </c>
      <c r="BI2258" s="60">
        <v>0</v>
      </c>
      <c r="BJ2258" s="60">
        <v>0</v>
      </c>
      <c r="BK2258" s="60">
        <v>0</v>
      </c>
      <c r="BL2258" s="60">
        <v>0</v>
      </c>
      <c r="BM2258" s="93">
        <v>0</v>
      </c>
      <c r="BN2258" s="68">
        <v>0</v>
      </c>
      <c r="BO2258" s="68">
        <v>0</v>
      </c>
      <c r="BP2258" s="68">
        <v>0</v>
      </c>
      <c r="BQ2258" s="68">
        <v>0</v>
      </c>
      <c r="BR2258" s="68">
        <v>0</v>
      </c>
      <c r="BS2258" s="68">
        <v>0</v>
      </c>
      <c r="BT2258" s="68">
        <v>0</v>
      </c>
      <c r="BU2258" s="47">
        <v>0</v>
      </c>
      <c r="BV2258" s="47"/>
      <c r="BW2258" s="47"/>
    </row>
    <row r="2259" spans="3:75" ht="20.100000000000001" customHeight="1">
      <c r="C2259" s="64">
        <v>77001710</v>
      </c>
      <c r="D2259" s="59" t="s">
        <v>1265</v>
      </c>
      <c r="E2259" s="59" t="s">
        <v>1266</v>
      </c>
      <c r="F2259" s="60">
        <v>1</v>
      </c>
      <c r="G2259" s="60">
        <v>0</v>
      </c>
      <c r="H2259" s="60">
        <v>0</v>
      </c>
      <c r="I2259" s="66">
        <v>0</v>
      </c>
      <c r="J2259" s="64">
        <v>1</v>
      </c>
      <c r="K2259" s="60">
        <v>0</v>
      </c>
      <c r="L2259" s="60">
        <v>0</v>
      </c>
      <c r="M2259" s="60">
        <v>0</v>
      </c>
      <c r="N2259" s="60">
        <v>0</v>
      </c>
      <c r="O2259" s="60">
        <v>2</v>
      </c>
      <c r="P2259" s="60">
        <v>3</v>
      </c>
      <c r="Q2259" s="60">
        <v>0.2</v>
      </c>
      <c r="R2259" s="60">
        <v>0</v>
      </c>
      <c r="S2259" s="68">
        <v>0</v>
      </c>
      <c r="T2259" s="60">
        <v>0</v>
      </c>
      <c r="U2259" s="60">
        <v>1</v>
      </c>
      <c r="V2259" s="60">
        <v>1</v>
      </c>
      <c r="W2259" s="60">
        <v>0</v>
      </c>
      <c r="X2259" s="60">
        <v>2</v>
      </c>
      <c r="Y2259" s="12">
        <v>0</v>
      </c>
      <c r="Z2259" s="60">
        <v>0</v>
      </c>
      <c r="AA2259" s="60">
        <v>1</v>
      </c>
      <c r="AB2259" s="60">
        <v>0</v>
      </c>
      <c r="AC2259" s="60">
        <v>0</v>
      </c>
      <c r="AD2259" s="60">
        <v>0</v>
      </c>
      <c r="AE2259" s="60">
        <v>1</v>
      </c>
      <c r="AF2259" s="60">
        <v>6</v>
      </c>
      <c r="AG2259" s="60">
        <v>1</v>
      </c>
      <c r="AH2259" s="60">
        <v>4</v>
      </c>
      <c r="AI2259" s="68">
        <v>0</v>
      </c>
      <c r="AJ2259" s="68">
        <v>1</v>
      </c>
      <c r="AK2259" s="68">
        <v>0</v>
      </c>
      <c r="AL2259" s="68">
        <v>2</v>
      </c>
      <c r="AM2259" s="60">
        <v>0</v>
      </c>
      <c r="AN2259" s="60">
        <v>0</v>
      </c>
      <c r="AO2259" s="60">
        <v>0</v>
      </c>
      <c r="AP2259" s="60">
        <v>0.6</v>
      </c>
      <c r="AQ2259" s="60">
        <v>600</v>
      </c>
      <c r="AR2259" s="60">
        <v>0.6</v>
      </c>
      <c r="AS2259" s="60">
        <v>0</v>
      </c>
      <c r="AT2259" s="68">
        <v>97007009</v>
      </c>
      <c r="AU2259" s="60">
        <v>97007001</v>
      </c>
      <c r="AV2259" s="60"/>
      <c r="AW2259" s="59" t="s">
        <v>198</v>
      </c>
      <c r="AX2259" s="60" t="s">
        <v>534</v>
      </c>
      <c r="AY2259" s="64">
        <v>10000001</v>
      </c>
      <c r="AZ2259" s="64">
        <v>77001701</v>
      </c>
      <c r="BA2259" s="59" t="s">
        <v>771</v>
      </c>
      <c r="BB2259" s="60">
        <v>0</v>
      </c>
      <c r="BC2259" s="66">
        <v>0</v>
      </c>
      <c r="BD2259" s="66">
        <v>0</v>
      </c>
      <c r="BE2259" s="121" t="s">
        <v>5167</v>
      </c>
      <c r="BF2259" s="121" t="s">
        <v>5168</v>
      </c>
      <c r="BG2259" s="60">
        <v>0</v>
      </c>
      <c r="BH2259" s="60">
        <v>0</v>
      </c>
      <c r="BI2259" s="60">
        <v>0</v>
      </c>
      <c r="BJ2259" s="60">
        <v>0</v>
      </c>
      <c r="BK2259" s="60">
        <v>0</v>
      </c>
      <c r="BL2259" s="60">
        <v>0</v>
      </c>
      <c r="BM2259" s="93">
        <v>0</v>
      </c>
      <c r="BN2259" s="68">
        <v>0</v>
      </c>
      <c r="BO2259" s="68">
        <v>0</v>
      </c>
      <c r="BP2259" s="68">
        <v>0</v>
      </c>
      <c r="BQ2259" s="68">
        <v>0</v>
      </c>
      <c r="BR2259" s="68">
        <v>0</v>
      </c>
      <c r="BS2259" s="68">
        <v>0</v>
      </c>
      <c r="BT2259" s="68">
        <v>77001709</v>
      </c>
      <c r="BU2259" s="47">
        <v>0</v>
      </c>
      <c r="BV2259" s="47"/>
      <c r="BW2259" s="47"/>
    </row>
    <row r="2260" spans="3:75" ht="19.5" customHeight="1">
      <c r="C2260" s="64">
        <v>77001711</v>
      </c>
      <c r="D2260" s="59" t="s">
        <v>5160</v>
      </c>
      <c r="E2260" s="59" t="s">
        <v>5161</v>
      </c>
      <c r="F2260" s="64">
        <v>1</v>
      </c>
      <c r="G2260" s="64">
        <v>0</v>
      </c>
      <c r="H2260" s="64">
        <v>0</v>
      </c>
      <c r="I2260" s="66">
        <v>0</v>
      </c>
      <c r="J2260" s="64">
        <v>1</v>
      </c>
      <c r="K2260" s="64">
        <v>0</v>
      </c>
      <c r="L2260" s="64">
        <v>0</v>
      </c>
      <c r="M2260" s="60">
        <v>0</v>
      </c>
      <c r="N2260" s="60">
        <v>0</v>
      </c>
      <c r="O2260" s="60">
        <v>2</v>
      </c>
      <c r="P2260" s="60">
        <v>2</v>
      </c>
      <c r="Q2260" s="60">
        <v>0.7</v>
      </c>
      <c r="R2260" s="60">
        <v>0</v>
      </c>
      <c r="S2260" s="68">
        <v>0</v>
      </c>
      <c r="T2260" s="60">
        <v>0</v>
      </c>
      <c r="U2260" s="60">
        <v>1</v>
      </c>
      <c r="V2260" s="60">
        <v>2</v>
      </c>
      <c r="W2260" s="60">
        <v>0</v>
      </c>
      <c r="X2260" s="60">
        <v>1.5</v>
      </c>
      <c r="Y2260" s="12">
        <v>0</v>
      </c>
      <c r="Z2260" s="60">
        <v>0</v>
      </c>
      <c r="AA2260" s="60">
        <v>1</v>
      </c>
      <c r="AB2260" s="60">
        <v>0</v>
      </c>
      <c r="AC2260" s="60">
        <v>0</v>
      </c>
      <c r="AD2260" s="60">
        <v>1</v>
      </c>
      <c r="AE2260" s="60">
        <v>0</v>
      </c>
      <c r="AF2260" s="60">
        <v>9</v>
      </c>
      <c r="AG2260" s="60">
        <v>1</v>
      </c>
      <c r="AH2260" s="60">
        <v>3</v>
      </c>
      <c r="AI2260" s="68">
        <v>4</v>
      </c>
      <c r="AJ2260" s="68">
        <v>1</v>
      </c>
      <c r="AK2260" s="68">
        <v>0</v>
      </c>
      <c r="AL2260" s="68">
        <v>1.5</v>
      </c>
      <c r="AM2260" s="60">
        <v>0</v>
      </c>
      <c r="AN2260" s="60">
        <v>0</v>
      </c>
      <c r="AO2260" s="60">
        <v>0</v>
      </c>
      <c r="AP2260" s="60">
        <v>0</v>
      </c>
      <c r="AQ2260" s="60">
        <v>6000</v>
      </c>
      <c r="AR2260" s="60">
        <v>1</v>
      </c>
      <c r="AS2260" s="60">
        <v>0</v>
      </c>
      <c r="AT2260" s="68">
        <v>0</v>
      </c>
      <c r="AU2260" s="331" t="s">
        <v>5162</v>
      </c>
      <c r="AV2260" s="79"/>
      <c r="AW2260" s="63" t="s">
        <v>199</v>
      </c>
      <c r="AX2260" s="60" t="s">
        <v>534</v>
      </c>
      <c r="AY2260" s="64">
        <v>0</v>
      </c>
      <c r="AZ2260" s="329" t="s">
        <v>5163</v>
      </c>
      <c r="BA2260" s="59" t="s">
        <v>200</v>
      </c>
      <c r="BB2260" s="60" t="s">
        <v>5169</v>
      </c>
      <c r="BC2260" s="66">
        <v>0</v>
      </c>
      <c r="BD2260" s="66">
        <v>0</v>
      </c>
      <c r="BE2260" s="90" t="s">
        <v>5170</v>
      </c>
      <c r="BF2260" s="90" t="s">
        <v>5171</v>
      </c>
      <c r="BG2260" s="60">
        <v>0</v>
      </c>
      <c r="BH2260" s="60">
        <v>0</v>
      </c>
      <c r="BI2260" s="60">
        <v>0</v>
      </c>
      <c r="BJ2260" s="60">
        <v>0</v>
      </c>
      <c r="BK2260" s="60">
        <v>0</v>
      </c>
      <c r="BL2260" s="60">
        <v>0</v>
      </c>
      <c r="BM2260" s="93">
        <v>0</v>
      </c>
      <c r="BN2260" s="68">
        <v>0</v>
      </c>
      <c r="BO2260" s="68">
        <v>0</v>
      </c>
      <c r="BP2260" s="68">
        <v>0</v>
      </c>
      <c r="BQ2260" s="68">
        <v>0</v>
      </c>
      <c r="BR2260" s="68">
        <v>0</v>
      </c>
      <c r="BS2260" s="68">
        <v>0</v>
      </c>
      <c r="BT2260" s="68">
        <v>0</v>
      </c>
      <c r="BU2260" s="47">
        <v>0</v>
      </c>
      <c r="BV2260" s="47"/>
      <c r="BW2260" s="47"/>
    </row>
    <row r="2261" spans="3:75" ht="18.75" customHeight="1">
      <c r="C2261" s="284">
        <v>77001801</v>
      </c>
      <c r="D2261" s="285" t="s">
        <v>5172</v>
      </c>
      <c r="E2261" s="285" t="s">
        <v>5173</v>
      </c>
      <c r="F2261" s="284">
        <v>1</v>
      </c>
      <c r="G2261" s="286">
        <v>0</v>
      </c>
      <c r="H2261" s="284">
        <v>0</v>
      </c>
      <c r="I2261" s="291">
        <v>0</v>
      </c>
      <c r="J2261" s="284">
        <v>1</v>
      </c>
      <c r="K2261" s="284">
        <v>0</v>
      </c>
      <c r="L2261" s="284">
        <v>0</v>
      </c>
      <c r="M2261" s="286">
        <v>0</v>
      </c>
      <c r="N2261" s="286">
        <v>0</v>
      </c>
      <c r="O2261" s="286">
        <v>2</v>
      </c>
      <c r="P2261" s="286">
        <v>2</v>
      </c>
      <c r="Q2261" s="286">
        <v>0.99</v>
      </c>
      <c r="R2261" s="286">
        <v>0</v>
      </c>
      <c r="S2261" s="294">
        <v>0</v>
      </c>
      <c r="T2261" s="286">
        <v>0</v>
      </c>
      <c r="U2261" s="286">
        <v>1</v>
      </c>
      <c r="V2261" s="286">
        <v>2</v>
      </c>
      <c r="W2261" s="286">
        <v>0</v>
      </c>
      <c r="X2261" s="286">
        <v>1.5</v>
      </c>
      <c r="Y2261" s="12">
        <v>0</v>
      </c>
      <c r="Z2261" s="286">
        <v>0</v>
      </c>
      <c r="AA2261" s="286">
        <v>1</v>
      </c>
      <c r="AB2261" s="286">
        <v>0</v>
      </c>
      <c r="AC2261" s="286">
        <v>0</v>
      </c>
      <c r="AD2261" s="286">
        <v>1</v>
      </c>
      <c r="AE2261" s="286">
        <v>0</v>
      </c>
      <c r="AF2261" s="286">
        <v>8</v>
      </c>
      <c r="AG2261" s="286">
        <v>1</v>
      </c>
      <c r="AH2261" s="286">
        <v>3</v>
      </c>
      <c r="AI2261" s="294">
        <v>3</v>
      </c>
      <c r="AJ2261" s="294">
        <v>1</v>
      </c>
      <c r="AK2261" s="294">
        <v>0</v>
      </c>
      <c r="AL2261" s="294">
        <v>1.5</v>
      </c>
      <c r="AM2261" s="286">
        <v>0</v>
      </c>
      <c r="AN2261" s="286">
        <v>0</v>
      </c>
      <c r="AO2261" s="286">
        <v>0</v>
      </c>
      <c r="AP2261" s="286">
        <v>0.8</v>
      </c>
      <c r="AQ2261" s="286">
        <v>6000</v>
      </c>
      <c r="AR2261" s="286">
        <v>0.8</v>
      </c>
      <c r="AS2261" s="286">
        <v>0</v>
      </c>
      <c r="AT2261" s="294">
        <v>0</v>
      </c>
      <c r="AU2261" s="368" t="s">
        <v>5174</v>
      </c>
      <c r="AV2261" s="295"/>
      <c r="AW2261" s="298" t="s">
        <v>199</v>
      </c>
      <c r="AX2261" s="286" t="s">
        <v>534</v>
      </c>
      <c r="AY2261" s="284">
        <v>0</v>
      </c>
      <c r="AZ2261" s="284">
        <v>77001801</v>
      </c>
      <c r="BA2261" s="285" t="s">
        <v>200</v>
      </c>
      <c r="BB2261" s="286" t="s">
        <v>5175</v>
      </c>
      <c r="BC2261" s="291">
        <v>0</v>
      </c>
      <c r="BD2261" s="291">
        <v>0</v>
      </c>
      <c r="BE2261" s="302" t="s">
        <v>5176</v>
      </c>
      <c r="BF2261" s="302" t="s">
        <v>5177</v>
      </c>
      <c r="BG2261" s="286">
        <v>0</v>
      </c>
      <c r="BH2261" s="286">
        <v>0</v>
      </c>
      <c r="BI2261" s="286">
        <v>0</v>
      </c>
      <c r="BJ2261" s="286">
        <v>0</v>
      </c>
      <c r="BK2261" s="286">
        <v>0</v>
      </c>
      <c r="BL2261" s="286">
        <v>0</v>
      </c>
      <c r="BM2261" s="289">
        <v>0</v>
      </c>
      <c r="BN2261" s="294">
        <v>0</v>
      </c>
      <c r="BO2261" s="294">
        <v>0</v>
      </c>
      <c r="BP2261" s="294">
        <v>0</v>
      </c>
      <c r="BQ2261" s="294">
        <v>0</v>
      </c>
      <c r="BR2261" s="294">
        <v>0</v>
      </c>
      <c r="BS2261" s="294">
        <v>0</v>
      </c>
      <c r="BT2261" s="294">
        <v>0</v>
      </c>
      <c r="BU2261" s="47">
        <v>0</v>
      </c>
      <c r="BV2261" s="47"/>
      <c r="BW2261" s="47"/>
    </row>
    <row r="2262" spans="3:75" ht="19.5" customHeight="1">
      <c r="C2262" s="284">
        <v>77001802</v>
      </c>
      <c r="D2262" s="285" t="s">
        <v>5178</v>
      </c>
      <c r="E2262" s="285" t="s">
        <v>5179</v>
      </c>
      <c r="F2262" s="284">
        <v>1</v>
      </c>
      <c r="G2262" s="286">
        <v>0</v>
      </c>
      <c r="H2262" s="284">
        <v>0</v>
      </c>
      <c r="I2262" s="291">
        <v>0</v>
      </c>
      <c r="J2262" s="284">
        <v>1</v>
      </c>
      <c r="K2262" s="284">
        <v>0</v>
      </c>
      <c r="L2262" s="284">
        <v>0</v>
      </c>
      <c r="M2262" s="286">
        <v>0</v>
      </c>
      <c r="N2262" s="286">
        <v>0</v>
      </c>
      <c r="O2262" s="289">
        <v>2</v>
      </c>
      <c r="P2262" s="286">
        <v>2</v>
      </c>
      <c r="Q2262" s="286">
        <v>0.7</v>
      </c>
      <c r="R2262" s="286">
        <v>0</v>
      </c>
      <c r="S2262" s="294">
        <v>0</v>
      </c>
      <c r="T2262" s="286">
        <v>0</v>
      </c>
      <c r="U2262" s="286">
        <v>1</v>
      </c>
      <c r="V2262" s="286">
        <v>1</v>
      </c>
      <c r="W2262" s="286">
        <v>0</v>
      </c>
      <c r="X2262" s="286">
        <v>0</v>
      </c>
      <c r="Y2262" s="12">
        <v>0</v>
      </c>
      <c r="Z2262" s="286">
        <v>0</v>
      </c>
      <c r="AA2262" s="286">
        <v>0</v>
      </c>
      <c r="AB2262" s="286">
        <v>0</v>
      </c>
      <c r="AC2262" s="286">
        <v>0</v>
      </c>
      <c r="AD2262" s="289">
        <v>0</v>
      </c>
      <c r="AE2262" s="286">
        <v>1</v>
      </c>
      <c r="AF2262" s="286">
        <v>20</v>
      </c>
      <c r="AG2262" s="286">
        <v>1</v>
      </c>
      <c r="AH2262" s="286">
        <v>2</v>
      </c>
      <c r="AI2262" s="294">
        <v>0</v>
      </c>
      <c r="AJ2262" s="294">
        <v>1</v>
      </c>
      <c r="AK2262" s="294">
        <v>0</v>
      </c>
      <c r="AL2262" s="294">
        <v>0</v>
      </c>
      <c r="AM2262" s="286">
        <v>0</v>
      </c>
      <c r="AN2262" s="286">
        <v>0</v>
      </c>
      <c r="AO2262" s="286">
        <v>0</v>
      </c>
      <c r="AP2262" s="286">
        <v>0</v>
      </c>
      <c r="AQ2262" s="286">
        <v>1000</v>
      </c>
      <c r="AR2262" s="286">
        <v>0</v>
      </c>
      <c r="AS2262" s="286">
        <v>0</v>
      </c>
      <c r="AT2262" s="294">
        <v>0</v>
      </c>
      <c r="AU2262" s="286">
        <v>0</v>
      </c>
      <c r="AV2262" s="286"/>
      <c r="AW2262" s="298" t="s">
        <v>287</v>
      </c>
      <c r="AX2262" s="286" t="s">
        <v>545</v>
      </c>
      <c r="AY2262" s="284">
        <v>0</v>
      </c>
      <c r="AZ2262" s="284">
        <v>0</v>
      </c>
      <c r="BA2262" s="285" t="s">
        <v>528</v>
      </c>
      <c r="BB2262" s="286" t="s">
        <v>5180</v>
      </c>
      <c r="BC2262" s="291">
        <v>0</v>
      </c>
      <c r="BD2262" s="291">
        <v>0</v>
      </c>
      <c r="BE2262" s="302" t="s">
        <v>5181</v>
      </c>
      <c r="BF2262" s="302" t="s">
        <v>5182</v>
      </c>
      <c r="BG2262" s="286">
        <v>0</v>
      </c>
      <c r="BH2262" s="286">
        <v>0</v>
      </c>
      <c r="BI2262" s="286">
        <v>0</v>
      </c>
      <c r="BJ2262" s="286">
        <v>0</v>
      </c>
      <c r="BK2262" s="286">
        <v>0</v>
      </c>
      <c r="BL2262" s="286">
        <v>0</v>
      </c>
      <c r="BM2262" s="289">
        <v>0</v>
      </c>
      <c r="BN2262" s="294">
        <v>0</v>
      </c>
      <c r="BO2262" s="294">
        <v>0</v>
      </c>
      <c r="BP2262" s="294">
        <v>0</v>
      </c>
      <c r="BQ2262" s="294">
        <v>0</v>
      </c>
      <c r="BR2262" s="294">
        <v>0</v>
      </c>
      <c r="BS2262" s="294">
        <v>0</v>
      </c>
      <c r="BT2262" s="294">
        <v>0</v>
      </c>
      <c r="BU2262" s="47">
        <v>0</v>
      </c>
      <c r="BV2262" s="47"/>
      <c r="BW2262" s="47"/>
    </row>
    <row r="2263" spans="3:75" ht="19.5" customHeight="1">
      <c r="C2263" s="284">
        <v>77001803</v>
      </c>
      <c r="D2263" s="285" t="s">
        <v>5183</v>
      </c>
      <c r="E2263" s="285" t="s">
        <v>5184</v>
      </c>
      <c r="F2263" s="284">
        <v>1</v>
      </c>
      <c r="G2263" s="286">
        <v>0</v>
      </c>
      <c r="H2263" s="284">
        <v>0</v>
      </c>
      <c r="I2263" s="291">
        <v>0</v>
      </c>
      <c r="J2263" s="284">
        <v>1</v>
      </c>
      <c r="K2263" s="284">
        <v>0</v>
      </c>
      <c r="L2263" s="284">
        <v>0</v>
      </c>
      <c r="M2263" s="286">
        <v>0</v>
      </c>
      <c r="N2263" s="286">
        <v>0</v>
      </c>
      <c r="O2263" s="286">
        <v>2</v>
      </c>
      <c r="P2263" s="286" t="s">
        <v>5020</v>
      </c>
      <c r="Q2263" s="286" t="s">
        <v>5021</v>
      </c>
      <c r="R2263" s="286">
        <v>0</v>
      </c>
      <c r="S2263" s="294">
        <v>0</v>
      </c>
      <c r="T2263" s="286">
        <v>0</v>
      </c>
      <c r="U2263" s="286">
        <v>1</v>
      </c>
      <c r="V2263" s="286">
        <v>2</v>
      </c>
      <c r="W2263" s="286">
        <v>0</v>
      </c>
      <c r="X2263" s="286">
        <v>2</v>
      </c>
      <c r="Y2263" s="12">
        <v>0</v>
      </c>
      <c r="Z2263" s="286">
        <v>0</v>
      </c>
      <c r="AA2263" s="286">
        <v>0</v>
      </c>
      <c r="AB2263" s="286">
        <v>0</v>
      </c>
      <c r="AC2263" s="286">
        <v>0</v>
      </c>
      <c r="AD2263" s="286">
        <v>0</v>
      </c>
      <c r="AE2263" s="286">
        <v>1</v>
      </c>
      <c r="AF2263" s="286">
        <v>24</v>
      </c>
      <c r="AG2263" s="286">
        <v>1</v>
      </c>
      <c r="AH2263" s="286">
        <v>2</v>
      </c>
      <c r="AI2263" s="294">
        <v>0</v>
      </c>
      <c r="AJ2263" s="294">
        <v>2</v>
      </c>
      <c r="AK2263" s="294">
        <v>0</v>
      </c>
      <c r="AL2263" s="294">
        <v>2</v>
      </c>
      <c r="AM2263" s="286">
        <v>0</v>
      </c>
      <c r="AN2263" s="286">
        <v>0</v>
      </c>
      <c r="AO2263" s="286">
        <v>0</v>
      </c>
      <c r="AP2263" s="286">
        <v>3</v>
      </c>
      <c r="AQ2263" s="286">
        <v>12000</v>
      </c>
      <c r="AR2263" s="286">
        <v>1</v>
      </c>
      <c r="AS2263" s="286">
        <v>2</v>
      </c>
      <c r="AT2263" s="370" t="s">
        <v>5185</v>
      </c>
      <c r="AU2263" s="368" t="s">
        <v>5186</v>
      </c>
      <c r="AV2263" s="295"/>
      <c r="AW2263" s="285" t="s">
        <v>199</v>
      </c>
      <c r="AX2263" s="286" t="s">
        <v>534</v>
      </c>
      <c r="AY2263" s="284">
        <v>10000007</v>
      </c>
      <c r="AZ2263" s="369" t="s">
        <v>5187</v>
      </c>
      <c r="BA2263" s="285" t="s">
        <v>586</v>
      </c>
      <c r="BB2263" s="286" t="s">
        <v>5188</v>
      </c>
      <c r="BC2263" s="291">
        <v>0</v>
      </c>
      <c r="BD2263" s="291">
        <v>0</v>
      </c>
      <c r="BE2263" s="302" t="s">
        <v>5189</v>
      </c>
      <c r="BF2263" s="302" t="s">
        <v>5190</v>
      </c>
      <c r="BG2263" s="286">
        <v>0</v>
      </c>
      <c r="BH2263" s="286">
        <v>0</v>
      </c>
      <c r="BI2263" s="286">
        <v>0</v>
      </c>
      <c r="BJ2263" s="286">
        <v>0</v>
      </c>
      <c r="BK2263" s="286">
        <v>0</v>
      </c>
      <c r="BL2263" s="286">
        <v>0</v>
      </c>
      <c r="BM2263" s="289">
        <v>0</v>
      </c>
      <c r="BN2263" s="294">
        <v>0</v>
      </c>
      <c r="BO2263" s="294">
        <v>0</v>
      </c>
      <c r="BP2263" s="294">
        <v>0</v>
      </c>
      <c r="BQ2263" s="294">
        <v>0</v>
      </c>
      <c r="BR2263" s="294">
        <v>0</v>
      </c>
      <c r="BS2263" s="294">
        <v>0</v>
      </c>
      <c r="BT2263" s="294">
        <v>0</v>
      </c>
      <c r="BU2263" s="47">
        <v>0</v>
      </c>
      <c r="BV2263" s="47"/>
      <c r="BW2263" s="47"/>
    </row>
    <row r="2264" spans="3:75" ht="19.5" customHeight="1">
      <c r="C2264" s="284">
        <v>77001804</v>
      </c>
      <c r="D2264" s="285" t="s">
        <v>5191</v>
      </c>
      <c r="E2264" s="285" t="s">
        <v>5192</v>
      </c>
      <c r="F2264" s="284">
        <v>1</v>
      </c>
      <c r="G2264" s="286">
        <v>0</v>
      </c>
      <c r="H2264" s="284">
        <v>0</v>
      </c>
      <c r="I2264" s="291">
        <v>0</v>
      </c>
      <c r="J2264" s="284">
        <v>1</v>
      </c>
      <c r="K2264" s="284">
        <v>0</v>
      </c>
      <c r="L2264" s="284">
        <v>0</v>
      </c>
      <c r="M2264" s="286">
        <v>0</v>
      </c>
      <c r="N2264" s="286">
        <v>0</v>
      </c>
      <c r="O2264" s="286">
        <v>2</v>
      </c>
      <c r="P2264" s="286">
        <v>2</v>
      </c>
      <c r="Q2264" s="286">
        <v>0.5</v>
      </c>
      <c r="R2264" s="286">
        <v>1</v>
      </c>
      <c r="S2264" s="294">
        <v>1</v>
      </c>
      <c r="T2264" s="286">
        <v>0</v>
      </c>
      <c r="U2264" s="286">
        <v>1</v>
      </c>
      <c r="V2264" s="286">
        <v>2</v>
      </c>
      <c r="W2264" s="286">
        <v>0</v>
      </c>
      <c r="X2264" s="286">
        <v>2.5</v>
      </c>
      <c r="Y2264" s="12">
        <v>0</v>
      </c>
      <c r="Z2264" s="286">
        <v>0</v>
      </c>
      <c r="AA2264" s="286">
        <v>1</v>
      </c>
      <c r="AB2264" s="286">
        <v>0</v>
      </c>
      <c r="AC2264" s="286">
        <v>0</v>
      </c>
      <c r="AD2264" s="286">
        <v>0</v>
      </c>
      <c r="AE2264" s="286">
        <v>1</v>
      </c>
      <c r="AF2264" s="286">
        <v>0</v>
      </c>
      <c r="AG2264" s="286">
        <v>1</v>
      </c>
      <c r="AH2264" s="286">
        <v>4</v>
      </c>
      <c r="AI2264" s="294">
        <v>1</v>
      </c>
      <c r="AJ2264" s="294">
        <v>1</v>
      </c>
      <c r="AK2264" s="294">
        <v>0</v>
      </c>
      <c r="AL2264" s="294">
        <v>3</v>
      </c>
      <c r="AM2264" s="286">
        <v>0</v>
      </c>
      <c r="AN2264" s="286">
        <v>0</v>
      </c>
      <c r="AO2264" s="286">
        <v>0</v>
      </c>
      <c r="AP2264" s="286">
        <v>0</v>
      </c>
      <c r="AQ2264" s="286">
        <v>3000</v>
      </c>
      <c r="AR2264" s="286">
        <v>1</v>
      </c>
      <c r="AS2264" s="286">
        <v>0</v>
      </c>
      <c r="AT2264" s="294">
        <v>0</v>
      </c>
      <c r="AU2264" s="368" t="s">
        <v>5193</v>
      </c>
      <c r="AV2264" s="295"/>
      <c r="AW2264" s="298" t="s">
        <v>287</v>
      </c>
      <c r="AX2264" s="286" t="s">
        <v>534</v>
      </c>
      <c r="AY2264" s="284">
        <v>0</v>
      </c>
      <c r="AZ2264" s="284">
        <v>77001803</v>
      </c>
      <c r="BA2264" s="285" t="s">
        <v>200</v>
      </c>
      <c r="BB2264" s="286">
        <v>0</v>
      </c>
      <c r="BC2264" s="291">
        <v>0</v>
      </c>
      <c r="BD2264" s="291">
        <v>0</v>
      </c>
      <c r="BE2264" s="302" t="s">
        <v>5194</v>
      </c>
      <c r="BF2264" s="302" t="s">
        <v>5195</v>
      </c>
      <c r="BG2264" s="286">
        <v>0</v>
      </c>
      <c r="BH2264" s="286">
        <v>0</v>
      </c>
      <c r="BI2264" s="286">
        <v>0</v>
      </c>
      <c r="BJ2264" s="286">
        <v>0</v>
      </c>
      <c r="BK2264" s="286">
        <v>0</v>
      </c>
      <c r="BL2264" s="286">
        <v>0</v>
      </c>
      <c r="BM2264" s="289">
        <v>0</v>
      </c>
      <c r="BN2264" s="294">
        <v>0</v>
      </c>
      <c r="BO2264" s="294">
        <v>0</v>
      </c>
      <c r="BP2264" s="294">
        <v>0</v>
      </c>
      <c r="BQ2264" s="294">
        <v>0</v>
      </c>
      <c r="BR2264" s="294">
        <v>0</v>
      </c>
      <c r="BS2264" s="294">
        <v>0</v>
      </c>
      <c r="BT2264" s="294">
        <v>77001806</v>
      </c>
      <c r="BU2264" s="47">
        <v>0</v>
      </c>
      <c r="BV2264" s="47"/>
      <c r="BW2264" s="47"/>
    </row>
    <row r="2265" spans="3:75" ht="19.5" customHeight="1">
      <c r="C2265" s="284">
        <v>77001805</v>
      </c>
      <c r="D2265" s="285" t="s">
        <v>5183</v>
      </c>
      <c r="E2265" s="285" t="s">
        <v>5184</v>
      </c>
      <c r="F2265" s="284">
        <v>1</v>
      </c>
      <c r="G2265" s="286">
        <v>0</v>
      </c>
      <c r="H2265" s="284">
        <v>0</v>
      </c>
      <c r="I2265" s="291">
        <v>0</v>
      </c>
      <c r="J2265" s="284">
        <v>1</v>
      </c>
      <c r="K2265" s="284">
        <v>0</v>
      </c>
      <c r="L2265" s="284">
        <v>0</v>
      </c>
      <c r="M2265" s="286">
        <v>0</v>
      </c>
      <c r="N2265" s="286">
        <v>0</v>
      </c>
      <c r="O2265" s="286">
        <v>2</v>
      </c>
      <c r="P2265" s="286">
        <v>1</v>
      </c>
      <c r="Q2265" s="286">
        <v>1</v>
      </c>
      <c r="R2265" s="286">
        <v>1</v>
      </c>
      <c r="S2265" s="294">
        <v>0</v>
      </c>
      <c r="T2265" s="286">
        <v>0</v>
      </c>
      <c r="U2265" s="286">
        <v>1</v>
      </c>
      <c r="V2265" s="286">
        <v>2</v>
      </c>
      <c r="W2265" s="286">
        <v>0</v>
      </c>
      <c r="X2265" s="286">
        <v>1.5</v>
      </c>
      <c r="Y2265" s="12">
        <v>0</v>
      </c>
      <c r="Z2265" s="286">
        <v>0</v>
      </c>
      <c r="AA2265" s="286">
        <v>0</v>
      </c>
      <c r="AB2265" s="286">
        <v>0</v>
      </c>
      <c r="AC2265" s="286">
        <v>0</v>
      </c>
      <c r="AD2265" s="286">
        <v>0</v>
      </c>
      <c r="AE2265" s="286">
        <v>1</v>
      </c>
      <c r="AF2265" s="286">
        <v>35</v>
      </c>
      <c r="AG2265" s="286">
        <v>1</v>
      </c>
      <c r="AH2265" s="286">
        <v>2</v>
      </c>
      <c r="AI2265" s="294">
        <v>0</v>
      </c>
      <c r="AJ2265" s="294">
        <v>2</v>
      </c>
      <c r="AK2265" s="294">
        <v>0</v>
      </c>
      <c r="AL2265" s="294">
        <v>2</v>
      </c>
      <c r="AM2265" s="286">
        <v>0</v>
      </c>
      <c r="AN2265" s="286">
        <v>0</v>
      </c>
      <c r="AO2265" s="286">
        <v>0</v>
      </c>
      <c r="AP2265" s="286">
        <v>0</v>
      </c>
      <c r="AQ2265" s="286">
        <v>12000</v>
      </c>
      <c r="AR2265" s="286">
        <v>1</v>
      </c>
      <c r="AS2265" s="286">
        <v>2</v>
      </c>
      <c r="AT2265" s="296">
        <v>0</v>
      </c>
      <c r="AU2265" s="368" t="s">
        <v>5196</v>
      </c>
      <c r="AV2265" s="295"/>
      <c r="AW2265" s="285" t="s">
        <v>199</v>
      </c>
      <c r="AX2265" s="286" t="s">
        <v>534</v>
      </c>
      <c r="AY2265" s="284">
        <v>10000007</v>
      </c>
      <c r="AZ2265" s="369" t="s">
        <v>5187</v>
      </c>
      <c r="BA2265" s="285" t="s">
        <v>586</v>
      </c>
      <c r="BB2265" s="286" t="s">
        <v>5197</v>
      </c>
      <c r="BC2265" s="291">
        <v>0</v>
      </c>
      <c r="BD2265" s="291">
        <v>0</v>
      </c>
      <c r="BE2265" s="302" t="s">
        <v>5198</v>
      </c>
      <c r="BF2265" s="302" t="s">
        <v>5199</v>
      </c>
      <c r="BG2265" s="286">
        <v>0</v>
      </c>
      <c r="BH2265" s="286">
        <v>0</v>
      </c>
      <c r="BI2265" s="286">
        <v>0</v>
      </c>
      <c r="BJ2265" s="286">
        <v>0</v>
      </c>
      <c r="BK2265" s="286">
        <v>0</v>
      </c>
      <c r="BL2265" s="286">
        <v>0</v>
      </c>
      <c r="BM2265" s="289">
        <v>0</v>
      </c>
      <c r="BN2265" s="294">
        <v>0</v>
      </c>
      <c r="BO2265" s="294">
        <v>0</v>
      </c>
      <c r="BP2265" s="294">
        <v>0</v>
      </c>
      <c r="BQ2265" s="294">
        <v>0</v>
      </c>
      <c r="BR2265" s="294">
        <v>0</v>
      </c>
      <c r="BS2265" s="294">
        <v>0</v>
      </c>
      <c r="BT2265" s="294">
        <v>0</v>
      </c>
      <c r="BU2265" s="47">
        <v>0</v>
      </c>
      <c r="BV2265" s="47"/>
      <c r="BW2265" s="47"/>
    </row>
    <row r="2266" spans="3:75" ht="19.5" customHeight="1">
      <c r="C2266" s="284">
        <v>77001806</v>
      </c>
      <c r="D2266" s="285" t="s">
        <v>5200</v>
      </c>
      <c r="E2266" s="285" t="s">
        <v>5201</v>
      </c>
      <c r="F2266" s="284">
        <v>1</v>
      </c>
      <c r="G2266" s="286">
        <v>0</v>
      </c>
      <c r="H2266" s="284">
        <v>0</v>
      </c>
      <c r="I2266" s="291">
        <v>0</v>
      </c>
      <c r="J2266" s="284">
        <v>1</v>
      </c>
      <c r="K2266" s="284">
        <v>0</v>
      </c>
      <c r="L2266" s="284">
        <v>0</v>
      </c>
      <c r="M2266" s="286">
        <v>0</v>
      </c>
      <c r="N2266" s="286">
        <v>0</v>
      </c>
      <c r="O2266" s="289">
        <v>2</v>
      </c>
      <c r="P2266" s="286">
        <v>2</v>
      </c>
      <c r="Q2266" s="286">
        <v>0.7</v>
      </c>
      <c r="R2266" s="286">
        <v>0</v>
      </c>
      <c r="S2266" s="294">
        <v>0</v>
      </c>
      <c r="T2266" s="286">
        <v>0</v>
      </c>
      <c r="U2266" s="286">
        <v>1</v>
      </c>
      <c r="V2266" s="286">
        <v>1</v>
      </c>
      <c r="W2266" s="286">
        <v>0</v>
      </c>
      <c r="X2266" s="286">
        <v>0</v>
      </c>
      <c r="Y2266" s="12">
        <v>0</v>
      </c>
      <c r="Z2266" s="286">
        <v>0</v>
      </c>
      <c r="AA2266" s="286">
        <v>0</v>
      </c>
      <c r="AB2266" s="286">
        <v>0</v>
      </c>
      <c r="AC2266" s="286">
        <v>0</v>
      </c>
      <c r="AD2266" s="289">
        <v>0</v>
      </c>
      <c r="AE2266" s="286">
        <v>1</v>
      </c>
      <c r="AF2266" s="286">
        <v>40</v>
      </c>
      <c r="AG2266" s="286">
        <v>1</v>
      </c>
      <c r="AH2266" s="286">
        <v>2</v>
      </c>
      <c r="AI2266" s="294">
        <v>0</v>
      </c>
      <c r="AJ2266" s="294">
        <v>1</v>
      </c>
      <c r="AK2266" s="294">
        <v>0</v>
      </c>
      <c r="AL2266" s="294">
        <v>0</v>
      </c>
      <c r="AM2266" s="286">
        <v>0</v>
      </c>
      <c r="AN2266" s="286">
        <v>0</v>
      </c>
      <c r="AO2266" s="286">
        <v>0</v>
      </c>
      <c r="AP2266" s="286">
        <v>0</v>
      </c>
      <c r="AQ2266" s="286">
        <v>1000</v>
      </c>
      <c r="AR2266" s="286">
        <v>0</v>
      </c>
      <c r="AS2266" s="286">
        <v>0</v>
      </c>
      <c r="AT2266" s="294">
        <v>0</v>
      </c>
      <c r="AU2266" s="286" t="s">
        <v>198</v>
      </c>
      <c r="AV2266" s="286"/>
      <c r="AW2266" s="298" t="s">
        <v>287</v>
      </c>
      <c r="AX2266" s="286" t="s">
        <v>545</v>
      </c>
      <c r="AY2266" s="284">
        <v>0</v>
      </c>
      <c r="AZ2266" s="284">
        <v>0</v>
      </c>
      <c r="BA2266" s="285" t="s">
        <v>528</v>
      </c>
      <c r="BB2266" s="286" t="s">
        <v>5202</v>
      </c>
      <c r="BC2266" s="291">
        <v>0</v>
      </c>
      <c r="BD2266" s="291">
        <v>0</v>
      </c>
      <c r="BE2266" s="302" t="s">
        <v>5203</v>
      </c>
      <c r="BF2266" s="302" t="s">
        <v>5204</v>
      </c>
      <c r="BG2266" s="286">
        <v>0</v>
      </c>
      <c r="BH2266" s="286">
        <v>0</v>
      </c>
      <c r="BI2266" s="286">
        <v>0</v>
      </c>
      <c r="BJ2266" s="286">
        <v>0</v>
      </c>
      <c r="BK2266" s="286">
        <v>0</v>
      </c>
      <c r="BL2266" s="286">
        <v>0</v>
      </c>
      <c r="BM2266" s="289">
        <v>0</v>
      </c>
      <c r="BN2266" s="294">
        <v>0</v>
      </c>
      <c r="BO2266" s="294">
        <v>0</v>
      </c>
      <c r="BP2266" s="294">
        <v>0</v>
      </c>
      <c r="BQ2266" s="294">
        <v>0</v>
      </c>
      <c r="BR2266" s="294">
        <v>0</v>
      </c>
      <c r="BS2266" s="294">
        <v>0</v>
      </c>
      <c r="BT2266" s="294">
        <v>0</v>
      </c>
      <c r="BU2266" s="47">
        <v>0</v>
      </c>
      <c r="BV2266" s="47"/>
      <c r="BW2266" s="47"/>
    </row>
    <row r="2267" spans="3:75" ht="19.5" customHeight="1">
      <c r="C2267" s="284">
        <v>77001807</v>
      </c>
      <c r="D2267" s="285" t="s">
        <v>5205</v>
      </c>
      <c r="E2267" s="285" t="s">
        <v>5206</v>
      </c>
      <c r="F2267" s="286">
        <v>1</v>
      </c>
      <c r="G2267" s="286">
        <v>0</v>
      </c>
      <c r="H2267" s="286">
        <v>0</v>
      </c>
      <c r="I2267" s="291">
        <v>0</v>
      </c>
      <c r="J2267" s="284">
        <v>1</v>
      </c>
      <c r="K2267" s="284">
        <v>0</v>
      </c>
      <c r="L2267" s="284">
        <v>0</v>
      </c>
      <c r="M2267" s="286">
        <v>0</v>
      </c>
      <c r="N2267" s="286">
        <v>0</v>
      </c>
      <c r="O2267" s="286">
        <v>2</v>
      </c>
      <c r="P2267" s="286" t="s">
        <v>5207</v>
      </c>
      <c r="Q2267" s="286" t="s">
        <v>5208</v>
      </c>
      <c r="R2267" s="286">
        <v>0</v>
      </c>
      <c r="S2267" s="294">
        <v>0</v>
      </c>
      <c r="T2267" s="286">
        <v>0</v>
      </c>
      <c r="U2267" s="286">
        <v>1</v>
      </c>
      <c r="V2267" s="286">
        <v>1</v>
      </c>
      <c r="W2267" s="286">
        <v>0</v>
      </c>
      <c r="X2267" s="286">
        <v>0</v>
      </c>
      <c r="Y2267" s="12">
        <v>0</v>
      </c>
      <c r="Z2267" s="286">
        <v>0</v>
      </c>
      <c r="AA2267" s="286">
        <v>0</v>
      </c>
      <c r="AB2267" s="286">
        <v>0</v>
      </c>
      <c r="AC2267" s="286">
        <v>0</v>
      </c>
      <c r="AD2267" s="286">
        <v>0</v>
      </c>
      <c r="AE2267" s="286">
        <v>1</v>
      </c>
      <c r="AF2267" s="286">
        <v>0</v>
      </c>
      <c r="AG2267" s="286">
        <v>2</v>
      </c>
      <c r="AH2267" s="286" t="s">
        <v>213</v>
      </c>
      <c r="AI2267" s="294">
        <v>0</v>
      </c>
      <c r="AJ2267" s="294">
        <v>2</v>
      </c>
      <c r="AK2267" s="294">
        <v>0</v>
      </c>
      <c r="AL2267" s="294">
        <v>1.5</v>
      </c>
      <c r="AM2267" s="286">
        <v>0</v>
      </c>
      <c r="AN2267" s="286">
        <v>0</v>
      </c>
      <c r="AO2267" s="286">
        <v>0</v>
      </c>
      <c r="AP2267" s="286">
        <v>0.3</v>
      </c>
      <c r="AQ2267" s="286">
        <v>300</v>
      </c>
      <c r="AR2267" s="286">
        <v>0</v>
      </c>
      <c r="AS2267" s="286">
        <v>15</v>
      </c>
      <c r="AT2267" s="294">
        <v>0</v>
      </c>
      <c r="AU2267" s="295">
        <v>0</v>
      </c>
      <c r="AV2267" s="295"/>
      <c r="AW2267" s="285" t="s">
        <v>199</v>
      </c>
      <c r="AX2267" s="286" t="s">
        <v>215</v>
      </c>
      <c r="AY2267" s="284">
        <v>0</v>
      </c>
      <c r="AZ2267" s="284">
        <v>0</v>
      </c>
      <c r="BA2267" s="313" t="s">
        <v>216</v>
      </c>
      <c r="BB2267" s="286">
        <v>1</v>
      </c>
      <c r="BC2267" s="291">
        <v>0</v>
      </c>
      <c r="BD2267" s="291">
        <v>0</v>
      </c>
      <c r="BE2267" s="302" t="s">
        <v>5209</v>
      </c>
      <c r="BF2267" s="302" t="s">
        <v>5210</v>
      </c>
      <c r="BG2267" s="286">
        <v>0</v>
      </c>
      <c r="BH2267" s="286">
        <v>0</v>
      </c>
      <c r="BI2267" s="286">
        <v>0</v>
      </c>
      <c r="BJ2267" s="286">
        <v>0</v>
      </c>
      <c r="BK2267" s="286">
        <v>0</v>
      </c>
      <c r="BL2267" s="286">
        <v>0</v>
      </c>
      <c r="BM2267" s="289">
        <v>0</v>
      </c>
      <c r="BN2267" s="294">
        <v>0</v>
      </c>
      <c r="BO2267" s="294">
        <v>0</v>
      </c>
      <c r="BP2267" s="294">
        <v>0</v>
      </c>
      <c r="BQ2267" s="294">
        <v>0</v>
      </c>
      <c r="BR2267" s="294">
        <v>0</v>
      </c>
      <c r="BS2267" s="294">
        <v>1</v>
      </c>
      <c r="BT2267" s="294">
        <v>77001808</v>
      </c>
      <c r="BU2267" s="47">
        <v>0</v>
      </c>
      <c r="BV2267" s="47"/>
      <c r="BW2267" s="47"/>
    </row>
    <row r="2268" spans="3:75" ht="20.100000000000001" customHeight="1">
      <c r="C2268" s="284">
        <v>77001808</v>
      </c>
      <c r="D2268" s="285" t="s">
        <v>5205</v>
      </c>
      <c r="E2268" s="285" t="s">
        <v>5206</v>
      </c>
      <c r="F2268" s="286">
        <v>1</v>
      </c>
      <c r="G2268" s="286">
        <v>0</v>
      </c>
      <c r="H2268" s="286">
        <v>0</v>
      </c>
      <c r="I2268" s="291">
        <v>0</v>
      </c>
      <c r="J2268" s="284">
        <v>1</v>
      </c>
      <c r="K2268" s="284">
        <v>0</v>
      </c>
      <c r="L2268" s="284">
        <v>0</v>
      </c>
      <c r="M2268" s="286">
        <v>0</v>
      </c>
      <c r="N2268" s="286">
        <v>0</v>
      </c>
      <c r="O2268" s="286">
        <v>2</v>
      </c>
      <c r="P2268" s="286">
        <v>3</v>
      </c>
      <c r="Q2268" s="286">
        <v>0.2</v>
      </c>
      <c r="R2268" s="286">
        <v>0</v>
      </c>
      <c r="S2268" s="294">
        <v>0</v>
      </c>
      <c r="T2268" s="286">
        <v>0</v>
      </c>
      <c r="U2268" s="286">
        <v>1</v>
      </c>
      <c r="V2268" s="286">
        <v>2</v>
      </c>
      <c r="W2268" s="286">
        <v>0</v>
      </c>
      <c r="X2268" s="286">
        <v>1.5</v>
      </c>
      <c r="Y2268" s="12">
        <v>0</v>
      </c>
      <c r="Z2268" s="286">
        <v>0</v>
      </c>
      <c r="AA2268" s="286">
        <v>1</v>
      </c>
      <c r="AB2268" s="286">
        <v>0</v>
      </c>
      <c r="AC2268" s="286">
        <v>0</v>
      </c>
      <c r="AD2268" s="286">
        <v>0</v>
      </c>
      <c r="AE2268" s="286">
        <v>1</v>
      </c>
      <c r="AF2268" s="286">
        <v>0</v>
      </c>
      <c r="AG2268" s="286">
        <v>1</v>
      </c>
      <c r="AH2268" s="286">
        <v>3</v>
      </c>
      <c r="AI2268" s="294">
        <v>0</v>
      </c>
      <c r="AJ2268" s="294">
        <v>1</v>
      </c>
      <c r="AK2268" s="294">
        <v>0</v>
      </c>
      <c r="AL2268" s="294">
        <v>3</v>
      </c>
      <c r="AM2268" s="286">
        <v>0</v>
      </c>
      <c r="AN2268" s="286">
        <v>0</v>
      </c>
      <c r="AO2268" s="286">
        <v>0</v>
      </c>
      <c r="AP2268" s="286">
        <v>0.8</v>
      </c>
      <c r="AQ2268" s="286">
        <v>2000</v>
      </c>
      <c r="AR2268" s="286">
        <v>0.8</v>
      </c>
      <c r="AS2268" s="286">
        <v>0</v>
      </c>
      <c r="AT2268" s="294">
        <v>0</v>
      </c>
      <c r="AU2268" s="368" t="s">
        <v>5211</v>
      </c>
      <c r="AV2268" s="295"/>
      <c r="AW2268" s="285" t="s">
        <v>198</v>
      </c>
      <c r="AX2268" s="286" t="s">
        <v>215</v>
      </c>
      <c r="AY2268" s="284">
        <v>10000011</v>
      </c>
      <c r="AZ2268" s="284">
        <v>77001801</v>
      </c>
      <c r="BA2268" s="298" t="s">
        <v>200</v>
      </c>
      <c r="BB2268" s="286">
        <v>0</v>
      </c>
      <c r="BC2268" s="291">
        <v>0</v>
      </c>
      <c r="BD2268" s="291">
        <v>0</v>
      </c>
      <c r="BE2268" s="302" t="s">
        <v>5212</v>
      </c>
      <c r="BF2268" s="302" t="s">
        <v>5213</v>
      </c>
      <c r="BG2268" s="286">
        <v>0</v>
      </c>
      <c r="BH2268" s="286">
        <v>0</v>
      </c>
      <c r="BI2268" s="286">
        <v>0</v>
      </c>
      <c r="BJ2268" s="286">
        <v>0</v>
      </c>
      <c r="BK2268" s="286">
        <v>0</v>
      </c>
      <c r="BL2268" s="286">
        <v>0</v>
      </c>
      <c r="BM2268" s="289">
        <v>0</v>
      </c>
      <c r="BN2268" s="294">
        <v>0</v>
      </c>
      <c r="BO2268" s="294">
        <v>0</v>
      </c>
      <c r="BP2268" s="294">
        <v>0</v>
      </c>
      <c r="BQ2268" s="294">
        <v>0</v>
      </c>
      <c r="BR2268" s="294">
        <v>0</v>
      </c>
      <c r="BS2268" s="294">
        <v>0</v>
      </c>
      <c r="BT2268" s="294">
        <v>0</v>
      </c>
      <c r="BU2268" s="47">
        <v>0</v>
      </c>
      <c r="BV2268" s="47"/>
      <c r="BW2268" s="47"/>
    </row>
    <row r="2269" spans="3:75" ht="19.5" customHeight="1">
      <c r="C2269" s="284">
        <v>77001809</v>
      </c>
      <c r="D2269" s="285" t="s">
        <v>5214</v>
      </c>
      <c r="E2269" s="285" t="s">
        <v>5215</v>
      </c>
      <c r="F2269" s="284">
        <v>1</v>
      </c>
      <c r="G2269" s="284">
        <v>80004009</v>
      </c>
      <c r="H2269" s="284">
        <v>0</v>
      </c>
      <c r="I2269" s="291">
        <v>0</v>
      </c>
      <c r="J2269" s="284">
        <v>1</v>
      </c>
      <c r="K2269" s="284">
        <v>0</v>
      </c>
      <c r="L2269" s="284">
        <v>0</v>
      </c>
      <c r="M2269" s="286">
        <v>0</v>
      </c>
      <c r="N2269" s="286">
        <v>0</v>
      </c>
      <c r="O2269" s="286">
        <v>2</v>
      </c>
      <c r="P2269" s="286">
        <v>16</v>
      </c>
      <c r="Q2269" s="286">
        <v>5</v>
      </c>
      <c r="R2269" s="286">
        <v>0</v>
      </c>
      <c r="S2269" s="294">
        <v>0</v>
      </c>
      <c r="T2269" s="286">
        <v>0</v>
      </c>
      <c r="U2269" s="286">
        <v>1</v>
      </c>
      <c r="V2269" s="286">
        <v>2</v>
      </c>
      <c r="W2269" s="286">
        <v>0</v>
      </c>
      <c r="X2269" s="286">
        <v>1</v>
      </c>
      <c r="Y2269" s="12">
        <v>0</v>
      </c>
      <c r="Z2269" s="286">
        <v>0</v>
      </c>
      <c r="AA2269" s="286">
        <v>0</v>
      </c>
      <c r="AB2269" s="286">
        <v>0</v>
      </c>
      <c r="AC2269" s="286">
        <v>0</v>
      </c>
      <c r="AD2269" s="286">
        <v>0</v>
      </c>
      <c r="AE2269" s="286">
        <v>1</v>
      </c>
      <c r="AF2269" s="286">
        <v>0</v>
      </c>
      <c r="AG2269" s="286">
        <v>1</v>
      </c>
      <c r="AH2269" s="286">
        <v>2</v>
      </c>
      <c r="AI2269" s="294">
        <v>0</v>
      </c>
      <c r="AJ2269" s="294">
        <v>2</v>
      </c>
      <c r="AK2269" s="294">
        <v>0</v>
      </c>
      <c r="AL2269" s="294">
        <v>2</v>
      </c>
      <c r="AM2269" s="286">
        <v>0</v>
      </c>
      <c r="AN2269" s="286">
        <v>0</v>
      </c>
      <c r="AO2269" s="286">
        <v>0</v>
      </c>
      <c r="AP2269" s="286">
        <v>3</v>
      </c>
      <c r="AQ2269" s="286">
        <v>5000</v>
      </c>
      <c r="AR2269" s="286">
        <v>1</v>
      </c>
      <c r="AS2269" s="286">
        <v>10</v>
      </c>
      <c r="AT2269" s="296">
        <v>0</v>
      </c>
      <c r="AU2269" s="368" t="s">
        <v>5216</v>
      </c>
      <c r="AV2269" s="295"/>
      <c r="AW2269" s="285" t="s">
        <v>199</v>
      </c>
      <c r="AX2269" s="286" t="s">
        <v>534</v>
      </c>
      <c r="AY2269" s="284">
        <v>10000007</v>
      </c>
      <c r="AZ2269" s="369" t="s">
        <v>5187</v>
      </c>
      <c r="BA2269" s="285" t="s">
        <v>586</v>
      </c>
      <c r="BB2269" s="286" t="s">
        <v>5217</v>
      </c>
      <c r="BC2269" s="291">
        <v>0</v>
      </c>
      <c r="BD2269" s="291">
        <v>1</v>
      </c>
      <c r="BE2269" s="302" t="s">
        <v>5218</v>
      </c>
      <c r="BF2269" s="302" t="s">
        <v>5219</v>
      </c>
      <c r="BG2269" s="286">
        <v>0</v>
      </c>
      <c r="BH2269" s="286">
        <v>0</v>
      </c>
      <c r="BI2269" s="286">
        <v>0</v>
      </c>
      <c r="BJ2269" s="286">
        <v>0</v>
      </c>
      <c r="BK2269" s="286">
        <v>0</v>
      </c>
      <c r="BL2269" s="286">
        <v>0</v>
      </c>
      <c r="BM2269" s="289">
        <v>0</v>
      </c>
      <c r="BN2269" s="294">
        <v>0</v>
      </c>
      <c r="BO2269" s="294">
        <v>0</v>
      </c>
      <c r="BP2269" s="294">
        <v>0</v>
      </c>
      <c r="BQ2269" s="294">
        <v>0</v>
      </c>
      <c r="BR2269" s="294">
        <v>0</v>
      </c>
      <c r="BS2269" s="294">
        <v>0</v>
      </c>
      <c r="BT2269" s="294">
        <v>0</v>
      </c>
      <c r="BU2269" s="47">
        <v>0</v>
      </c>
      <c r="BV2269" s="47"/>
      <c r="BW2269" s="47"/>
    </row>
    <row r="2270" spans="3:75" ht="19.5" customHeight="1">
      <c r="C2270" s="64">
        <v>77001901</v>
      </c>
      <c r="D2270" s="59" t="s">
        <v>5220</v>
      </c>
      <c r="E2270" s="59" t="s">
        <v>5221</v>
      </c>
      <c r="F2270" s="60">
        <v>1</v>
      </c>
      <c r="G2270" s="60">
        <v>0</v>
      </c>
      <c r="H2270" s="60">
        <v>0</v>
      </c>
      <c r="I2270" s="66">
        <v>0</v>
      </c>
      <c r="J2270" s="64">
        <v>1</v>
      </c>
      <c r="K2270" s="60">
        <v>0</v>
      </c>
      <c r="L2270" s="60">
        <v>0</v>
      </c>
      <c r="M2270" s="60">
        <v>0</v>
      </c>
      <c r="N2270" s="60">
        <v>0</v>
      </c>
      <c r="O2270" s="60">
        <v>2</v>
      </c>
      <c r="P2270" s="60">
        <v>3</v>
      </c>
      <c r="Q2270" s="60">
        <v>0.4</v>
      </c>
      <c r="R2270" s="60">
        <v>0</v>
      </c>
      <c r="S2270" s="68">
        <v>0</v>
      </c>
      <c r="T2270" s="60">
        <v>0</v>
      </c>
      <c r="U2270" s="60">
        <v>1</v>
      </c>
      <c r="V2270" s="60">
        <v>1</v>
      </c>
      <c r="W2270" s="60">
        <v>0</v>
      </c>
      <c r="X2270" s="60">
        <v>0</v>
      </c>
      <c r="Y2270" s="12">
        <v>0</v>
      </c>
      <c r="Z2270" s="60">
        <v>0</v>
      </c>
      <c r="AA2270" s="60">
        <v>1</v>
      </c>
      <c r="AB2270" s="60">
        <v>0</v>
      </c>
      <c r="AC2270" s="60">
        <v>0</v>
      </c>
      <c r="AD2270" s="60">
        <v>0</v>
      </c>
      <c r="AE2270" s="60">
        <v>0</v>
      </c>
      <c r="AF2270" s="60">
        <v>14</v>
      </c>
      <c r="AG2270" s="60">
        <v>1</v>
      </c>
      <c r="AH2270" s="60">
        <v>3</v>
      </c>
      <c r="AI2270" s="68">
        <v>0</v>
      </c>
      <c r="AJ2270" s="68">
        <v>1</v>
      </c>
      <c r="AK2270" s="68">
        <v>0</v>
      </c>
      <c r="AL2270" s="68">
        <v>1.5</v>
      </c>
      <c r="AM2270" s="60">
        <v>0</v>
      </c>
      <c r="AN2270" s="60">
        <v>0</v>
      </c>
      <c r="AO2270" s="60">
        <v>0</v>
      </c>
      <c r="AP2270" s="60">
        <v>0.2</v>
      </c>
      <c r="AQ2270" s="60">
        <v>300</v>
      </c>
      <c r="AR2270" s="60">
        <v>0</v>
      </c>
      <c r="AS2270" s="60">
        <v>0</v>
      </c>
      <c r="AT2270" s="339" t="s">
        <v>5222</v>
      </c>
      <c r="AU2270" s="60">
        <v>0</v>
      </c>
      <c r="AV2270" s="60"/>
      <c r="AW2270" s="59" t="s">
        <v>198</v>
      </c>
      <c r="AX2270" s="60" t="s">
        <v>534</v>
      </c>
      <c r="AY2270" s="64">
        <v>0</v>
      </c>
      <c r="AZ2270" s="64">
        <v>77001901</v>
      </c>
      <c r="BA2270" s="59" t="s">
        <v>771</v>
      </c>
      <c r="BB2270" s="60">
        <v>0</v>
      </c>
      <c r="BC2270" s="66">
        <v>0</v>
      </c>
      <c r="BD2270" s="66">
        <v>0</v>
      </c>
      <c r="BE2270" s="121" t="s">
        <v>5223</v>
      </c>
      <c r="BF2270" s="121" t="s">
        <v>5224</v>
      </c>
      <c r="BG2270" s="60">
        <v>0</v>
      </c>
      <c r="BH2270" s="60">
        <v>0</v>
      </c>
      <c r="BI2270" s="60">
        <v>0</v>
      </c>
      <c r="BJ2270" s="60">
        <v>0</v>
      </c>
      <c r="BK2270" s="60">
        <v>0</v>
      </c>
      <c r="BL2270" s="60">
        <v>0</v>
      </c>
      <c r="BM2270" s="93">
        <v>0</v>
      </c>
      <c r="BN2270" s="68">
        <v>0</v>
      </c>
      <c r="BO2270" s="68">
        <v>0</v>
      </c>
      <c r="BP2270" s="68">
        <v>0</v>
      </c>
      <c r="BQ2270" s="68">
        <v>0</v>
      </c>
      <c r="BR2270" s="68">
        <v>0</v>
      </c>
      <c r="BS2270" s="68">
        <v>1</v>
      </c>
      <c r="BT2270" s="68">
        <v>77001902</v>
      </c>
      <c r="BU2270" s="47">
        <v>0</v>
      </c>
      <c r="BV2270" s="47"/>
      <c r="BW2270" s="47"/>
    </row>
    <row r="2271" spans="3:75" ht="19.5" customHeight="1">
      <c r="C2271" s="64">
        <v>77001902</v>
      </c>
      <c r="D2271" s="59" t="s">
        <v>600</v>
      </c>
      <c r="E2271" s="59" t="s">
        <v>601</v>
      </c>
      <c r="F2271" s="64">
        <v>1</v>
      </c>
      <c r="G2271" s="60">
        <v>0</v>
      </c>
      <c r="H2271" s="64">
        <v>0</v>
      </c>
      <c r="I2271" s="66">
        <v>0</v>
      </c>
      <c r="J2271" s="64">
        <v>1</v>
      </c>
      <c r="K2271" s="64">
        <v>0</v>
      </c>
      <c r="L2271" s="64">
        <v>0</v>
      </c>
      <c r="M2271" s="60">
        <v>0</v>
      </c>
      <c r="N2271" s="60">
        <v>0</v>
      </c>
      <c r="O2271" s="60">
        <v>2</v>
      </c>
      <c r="P2271" s="60">
        <v>3</v>
      </c>
      <c r="Q2271" s="60">
        <v>0.2</v>
      </c>
      <c r="R2271" s="60">
        <v>0</v>
      </c>
      <c r="S2271" s="68">
        <v>0</v>
      </c>
      <c r="T2271" s="60">
        <v>0</v>
      </c>
      <c r="U2271" s="60">
        <v>1</v>
      </c>
      <c r="V2271" s="60">
        <v>1</v>
      </c>
      <c r="W2271" s="60">
        <v>0</v>
      </c>
      <c r="X2271" s="60">
        <v>0</v>
      </c>
      <c r="Y2271" s="12">
        <v>0</v>
      </c>
      <c r="Z2271" s="60">
        <v>0</v>
      </c>
      <c r="AA2271" s="60">
        <v>0</v>
      </c>
      <c r="AB2271" s="60">
        <v>0</v>
      </c>
      <c r="AC2271" s="60">
        <v>0</v>
      </c>
      <c r="AD2271" s="60">
        <v>0</v>
      </c>
      <c r="AE2271" s="60">
        <v>1</v>
      </c>
      <c r="AF2271" s="60">
        <v>0</v>
      </c>
      <c r="AG2271" s="60">
        <v>1</v>
      </c>
      <c r="AH2271" s="60">
        <v>2</v>
      </c>
      <c r="AI2271" s="68">
        <v>0</v>
      </c>
      <c r="AJ2271" s="68">
        <v>1</v>
      </c>
      <c r="AK2271" s="68">
        <v>0</v>
      </c>
      <c r="AL2271" s="68">
        <v>3</v>
      </c>
      <c r="AM2271" s="60">
        <v>0</v>
      </c>
      <c r="AN2271" s="60">
        <v>0</v>
      </c>
      <c r="AO2271" s="60">
        <v>0</v>
      </c>
      <c r="AP2271" s="60">
        <v>0.3</v>
      </c>
      <c r="AQ2271" s="60">
        <v>300</v>
      </c>
      <c r="AR2271" s="60">
        <v>0</v>
      </c>
      <c r="AS2271" s="60">
        <v>0</v>
      </c>
      <c r="AT2271" s="68">
        <v>0</v>
      </c>
      <c r="AU2271" s="79">
        <v>0</v>
      </c>
      <c r="AV2271" s="79"/>
      <c r="AW2271" s="59" t="s">
        <v>198</v>
      </c>
      <c r="AX2271" s="60">
        <v>0</v>
      </c>
      <c r="AY2271" s="64">
        <v>0</v>
      </c>
      <c r="AZ2271" s="64">
        <v>0</v>
      </c>
      <c r="BA2271" s="59" t="s">
        <v>528</v>
      </c>
      <c r="BB2271" s="352" t="s">
        <v>5225</v>
      </c>
      <c r="BC2271" s="66">
        <v>0</v>
      </c>
      <c r="BD2271" s="66">
        <v>0</v>
      </c>
      <c r="BE2271" s="90" t="s">
        <v>5226</v>
      </c>
      <c r="BF2271" s="90" t="s">
        <v>5227</v>
      </c>
      <c r="BG2271" s="60">
        <v>0</v>
      </c>
      <c r="BH2271" s="60">
        <v>0</v>
      </c>
      <c r="BI2271" s="60">
        <v>0</v>
      </c>
      <c r="BJ2271" s="60">
        <v>0</v>
      </c>
      <c r="BK2271" s="60">
        <v>0</v>
      </c>
      <c r="BL2271" s="60">
        <v>0</v>
      </c>
      <c r="BM2271" s="93">
        <v>0</v>
      </c>
      <c r="BN2271" s="68">
        <v>0</v>
      </c>
      <c r="BO2271" s="68">
        <v>0</v>
      </c>
      <c r="BP2271" s="68">
        <v>0</v>
      </c>
      <c r="BQ2271" s="68">
        <v>0</v>
      </c>
      <c r="BR2271" s="68">
        <v>0</v>
      </c>
      <c r="BS2271" s="68">
        <v>1</v>
      </c>
      <c r="BT2271" s="68">
        <v>77001904</v>
      </c>
      <c r="BU2271" s="47">
        <v>0</v>
      </c>
      <c r="BV2271" s="47"/>
      <c r="BW2271" s="47"/>
    </row>
    <row r="2272" spans="3:75" ht="19.5" customHeight="1">
      <c r="C2272" s="64">
        <v>77001903</v>
      </c>
      <c r="D2272" s="59" t="s">
        <v>760</v>
      </c>
      <c r="E2272" s="59" t="s">
        <v>761</v>
      </c>
      <c r="F2272" s="60">
        <v>1</v>
      </c>
      <c r="G2272" s="60">
        <v>0</v>
      </c>
      <c r="H2272" s="60">
        <v>0</v>
      </c>
      <c r="I2272" s="66">
        <v>0</v>
      </c>
      <c r="J2272" s="64">
        <v>1</v>
      </c>
      <c r="K2272" s="64">
        <v>0</v>
      </c>
      <c r="L2272" s="64">
        <v>0</v>
      </c>
      <c r="M2272" s="60">
        <v>0</v>
      </c>
      <c r="N2272" s="60">
        <v>0</v>
      </c>
      <c r="O2272" s="60">
        <v>2</v>
      </c>
      <c r="P2272" s="60">
        <v>1</v>
      </c>
      <c r="Q2272" s="60">
        <v>1</v>
      </c>
      <c r="R2272" s="60">
        <v>1</v>
      </c>
      <c r="S2272" s="68">
        <v>1</v>
      </c>
      <c r="T2272" s="60">
        <v>0</v>
      </c>
      <c r="U2272" s="60">
        <v>1</v>
      </c>
      <c r="V2272" s="60">
        <v>1</v>
      </c>
      <c r="W2272" s="60">
        <v>0</v>
      </c>
      <c r="X2272" s="60">
        <v>0.8</v>
      </c>
      <c r="Y2272" s="12">
        <v>0</v>
      </c>
      <c r="Z2272" s="60">
        <v>0</v>
      </c>
      <c r="AA2272" s="60">
        <v>0</v>
      </c>
      <c r="AB2272" s="60">
        <v>0</v>
      </c>
      <c r="AC2272" s="60">
        <v>0</v>
      </c>
      <c r="AD2272" s="60">
        <v>0</v>
      </c>
      <c r="AE2272" s="60">
        <v>1</v>
      </c>
      <c r="AF2272" s="60">
        <v>10</v>
      </c>
      <c r="AG2272" s="60">
        <v>2</v>
      </c>
      <c r="AH2272" s="60" t="s">
        <v>1036</v>
      </c>
      <c r="AI2272" s="68">
        <v>0</v>
      </c>
      <c r="AJ2272" s="68">
        <v>2</v>
      </c>
      <c r="AK2272" s="68">
        <v>0</v>
      </c>
      <c r="AL2272" s="68">
        <v>1.5</v>
      </c>
      <c r="AM2272" s="60">
        <v>0</v>
      </c>
      <c r="AN2272" s="60">
        <v>0.5</v>
      </c>
      <c r="AO2272" s="60">
        <v>0</v>
      </c>
      <c r="AP2272" s="60">
        <v>0.5</v>
      </c>
      <c r="AQ2272" s="60">
        <v>500</v>
      </c>
      <c r="AR2272" s="60">
        <v>0</v>
      </c>
      <c r="AS2272" s="60">
        <v>15</v>
      </c>
      <c r="AT2272" s="68">
        <v>0</v>
      </c>
      <c r="AU2272" s="331" t="s">
        <v>5228</v>
      </c>
      <c r="AV2272" s="79"/>
      <c r="AW2272" s="59" t="s">
        <v>199</v>
      </c>
      <c r="AX2272" s="60" t="s">
        <v>215</v>
      </c>
      <c r="AY2272" s="64">
        <v>0</v>
      </c>
      <c r="AZ2272" s="64">
        <v>0</v>
      </c>
      <c r="BA2272" s="299" t="s">
        <v>216</v>
      </c>
      <c r="BB2272" s="60">
        <v>0</v>
      </c>
      <c r="BC2272" s="66">
        <v>0</v>
      </c>
      <c r="BD2272" s="66">
        <v>0</v>
      </c>
      <c r="BE2272" s="90" t="s">
        <v>2274</v>
      </c>
      <c r="BF2272" s="90" t="s">
        <v>2275</v>
      </c>
      <c r="BG2272" s="60">
        <v>0</v>
      </c>
      <c r="BH2272" s="60">
        <v>0</v>
      </c>
      <c r="BI2272" s="60">
        <v>0</v>
      </c>
      <c r="BJ2272" s="60">
        <v>0</v>
      </c>
      <c r="BK2272" s="60">
        <v>0</v>
      </c>
      <c r="BL2272" s="60">
        <v>0</v>
      </c>
      <c r="BM2272" s="93">
        <v>0</v>
      </c>
      <c r="BN2272" s="68">
        <v>0</v>
      </c>
      <c r="BO2272" s="68">
        <v>0</v>
      </c>
      <c r="BP2272" s="68">
        <v>0</v>
      </c>
      <c r="BQ2272" s="68">
        <v>0</v>
      </c>
      <c r="BR2272" s="68">
        <v>0</v>
      </c>
      <c r="BS2272" s="68">
        <v>0</v>
      </c>
      <c r="BT2272" s="68">
        <v>0</v>
      </c>
      <c r="BU2272" s="47">
        <v>0</v>
      </c>
      <c r="BV2272" s="47"/>
      <c r="BW2272" s="47"/>
    </row>
    <row r="2273" spans="3:75" ht="20.100000000000001" customHeight="1">
      <c r="C2273" s="64">
        <v>77001904</v>
      </c>
      <c r="D2273" s="59" t="s">
        <v>2707</v>
      </c>
      <c r="E2273" s="59" t="s">
        <v>5050</v>
      </c>
      <c r="F2273" s="60">
        <v>1</v>
      </c>
      <c r="G2273" s="60">
        <v>0</v>
      </c>
      <c r="H2273" s="60">
        <v>0</v>
      </c>
      <c r="I2273" s="66">
        <v>0</v>
      </c>
      <c r="J2273" s="64">
        <v>1</v>
      </c>
      <c r="K2273" s="64">
        <v>0</v>
      </c>
      <c r="L2273" s="64">
        <v>0</v>
      </c>
      <c r="M2273" s="60">
        <v>0</v>
      </c>
      <c r="N2273" s="60">
        <v>0</v>
      </c>
      <c r="O2273" s="60">
        <v>2</v>
      </c>
      <c r="P2273" s="60">
        <v>3</v>
      </c>
      <c r="Q2273" s="60">
        <v>0.2</v>
      </c>
      <c r="R2273" s="60">
        <v>0</v>
      </c>
      <c r="S2273" s="68">
        <v>0</v>
      </c>
      <c r="T2273" s="60">
        <v>0</v>
      </c>
      <c r="U2273" s="60">
        <v>1</v>
      </c>
      <c r="V2273" s="60">
        <v>1</v>
      </c>
      <c r="W2273" s="60">
        <v>0</v>
      </c>
      <c r="X2273" s="60">
        <v>2</v>
      </c>
      <c r="Y2273" s="12">
        <v>0</v>
      </c>
      <c r="Z2273" s="60">
        <v>0</v>
      </c>
      <c r="AA2273" s="60">
        <v>1</v>
      </c>
      <c r="AB2273" s="60">
        <v>0</v>
      </c>
      <c r="AC2273" s="60">
        <v>0</v>
      </c>
      <c r="AD2273" s="60">
        <v>0</v>
      </c>
      <c r="AE2273" s="60">
        <v>1</v>
      </c>
      <c r="AF2273" s="60">
        <v>0</v>
      </c>
      <c r="AG2273" s="60">
        <v>1</v>
      </c>
      <c r="AH2273" s="60">
        <v>5</v>
      </c>
      <c r="AI2273" s="68">
        <v>0</v>
      </c>
      <c r="AJ2273" s="68">
        <v>1</v>
      </c>
      <c r="AK2273" s="68">
        <v>0</v>
      </c>
      <c r="AL2273" s="68">
        <v>3</v>
      </c>
      <c r="AM2273" s="60">
        <v>0</v>
      </c>
      <c r="AN2273" s="60">
        <v>2.1</v>
      </c>
      <c r="AO2273" s="60">
        <v>0</v>
      </c>
      <c r="AP2273" s="60">
        <v>0.9</v>
      </c>
      <c r="AQ2273" s="60">
        <v>3000</v>
      </c>
      <c r="AR2273" s="60">
        <v>1</v>
      </c>
      <c r="AS2273" s="60">
        <v>0</v>
      </c>
      <c r="AT2273" s="68">
        <v>0</v>
      </c>
      <c r="AU2273" s="331" t="s">
        <v>5229</v>
      </c>
      <c r="AV2273" s="79"/>
      <c r="AW2273" s="59" t="s">
        <v>287</v>
      </c>
      <c r="AX2273" s="60" t="s">
        <v>215</v>
      </c>
      <c r="AY2273" s="64">
        <v>0</v>
      </c>
      <c r="AZ2273" s="64">
        <v>77001902</v>
      </c>
      <c r="BA2273" s="63" t="s">
        <v>200</v>
      </c>
      <c r="BB2273" s="60">
        <v>0</v>
      </c>
      <c r="BC2273" s="66">
        <v>0</v>
      </c>
      <c r="BD2273" s="66">
        <v>0</v>
      </c>
      <c r="BE2273" s="90" t="s">
        <v>5230</v>
      </c>
      <c r="BF2273" s="90" t="s">
        <v>5231</v>
      </c>
      <c r="BG2273" s="60">
        <v>0</v>
      </c>
      <c r="BH2273" s="60">
        <v>0</v>
      </c>
      <c r="BI2273" s="60">
        <v>0</v>
      </c>
      <c r="BJ2273" s="60">
        <v>0</v>
      </c>
      <c r="BK2273" s="60">
        <v>0</v>
      </c>
      <c r="BL2273" s="60">
        <v>0</v>
      </c>
      <c r="BM2273" s="93">
        <v>0</v>
      </c>
      <c r="BN2273" s="68">
        <v>0</v>
      </c>
      <c r="BO2273" s="68">
        <v>0</v>
      </c>
      <c r="BP2273" s="68">
        <v>0</v>
      </c>
      <c r="BQ2273" s="68">
        <v>0</v>
      </c>
      <c r="BR2273" s="68">
        <v>0</v>
      </c>
      <c r="BS2273" s="68">
        <v>0</v>
      </c>
      <c r="BT2273" s="68">
        <v>0</v>
      </c>
      <c r="BU2273" s="47">
        <v>0</v>
      </c>
      <c r="BV2273" s="47"/>
      <c r="BW2273" s="47"/>
    </row>
    <row r="2274" spans="3:75" ht="19.5" customHeight="1">
      <c r="C2274" s="64">
        <v>77001905</v>
      </c>
      <c r="D2274" s="59" t="s">
        <v>5232</v>
      </c>
      <c r="E2274" s="59" t="s">
        <v>5233</v>
      </c>
      <c r="F2274" s="64">
        <v>1</v>
      </c>
      <c r="G2274" s="60">
        <v>0</v>
      </c>
      <c r="H2274" s="64">
        <v>0</v>
      </c>
      <c r="I2274" s="66">
        <v>0</v>
      </c>
      <c r="J2274" s="64">
        <v>1</v>
      </c>
      <c r="K2274" s="64">
        <v>0</v>
      </c>
      <c r="L2274" s="64">
        <v>0</v>
      </c>
      <c r="M2274" s="60">
        <v>0</v>
      </c>
      <c r="N2274" s="60">
        <v>0</v>
      </c>
      <c r="O2274" s="93">
        <v>2</v>
      </c>
      <c r="P2274" s="60">
        <v>2</v>
      </c>
      <c r="Q2274" s="60">
        <v>0.6</v>
      </c>
      <c r="R2274" s="60">
        <v>0</v>
      </c>
      <c r="S2274" s="68">
        <v>0</v>
      </c>
      <c r="T2274" s="60">
        <v>0</v>
      </c>
      <c r="U2274" s="60">
        <v>1</v>
      </c>
      <c r="V2274" s="60">
        <v>1</v>
      </c>
      <c r="W2274" s="60">
        <v>0</v>
      </c>
      <c r="X2274" s="60">
        <v>0</v>
      </c>
      <c r="Y2274" s="12">
        <v>0</v>
      </c>
      <c r="Z2274" s="60">
        <v>0</v>
      </c>
      <c r="AA2274" s="60">
        <v>0</v>
      </c>
      <c r="AB2274" s="60">
        <v>0</v>
      </c>
      <c r="AC2274" s="60">
        <v>0</v>
      </c>
      <c r="AD2274" s="93">
        <v>0</v>
      </c>
      <c r="AE2274" s="60">
        <v>1</v>
      </c>
      <c r="AF2274" s="60">
        <v>60</v>
      </c>
      <c r="AG2274" s="60">
        <v>1</v>
      </c>
      <c r="AH2274" s="60">
        <v>2</v>
      </c>
      <c r="AI2274" s="68">
        <v>1</v>
      </c>
      <c r="AJ2274" s="68">
        <v>1</v>
      </c>
      <c r="AK2274" s="68">
        <v>0</v>
      </c>
      <c r="AL2274" s="68">
        <v>0</v>
      </c>
      <c r="AM2274" s="60">
        <v>0</v>
      </c>
      <c r="AN2274" s="60">
        <v>0</v>
      </c>
      <c r="AO2274" s="60">
        <v>0</v>
      </c>
      <c r="AP2274" s="60">
        <v>0</v>
      </c>
      <c r="AQ2274" s="60">
        <v>1000</v>
      </c>
      <c r="AR2274" s="60">
        <v>0</v>
      </c>
      <c r="AS2274" s="60">
        <v>0</v>
      </c>
      <c r="AT2274" s="68">
        <v>0</v>
      </c>
      <c r="AU2274" s="331" t="s">
        <v>5234</v>
      </c>
      <c r="AV2274" s="79"/>
      <c r="AW2274" s="63" t="s">
        <v>287</v>
      </c>
      <c r="AX2274" s="60" t="s">
        <v>545</v>
      </c>
      <c r="AY2274" s="64">
        <v>0</v>
      </c>
      <c r="AZ2274" s="64">
        <v>0</v>
      </c>
      <c r="BA2274" s="59" t="s">
        <v>528</v>
      </c>
      <c r="BB2274" s="60" t="s">
        <v>5235</v>
      </c>
      <c r="BC2274" s="66">
        <v>0</v>
      </c>
      <c r="BD2274" s="66">
        <v>0</v>
      </c>
      <c r="BE2274" s="90" t="s">
        <v>5236</v>
      </c>
      <c r="BF2274" s="90" t="s">
        <v>5237</v>
      </c>
      <c r="BG2274" s="60">
        <v>0</v>
      </c>
      <c r="BH2274" s="60">
        <v>0</v>
      </c>
      <c r="BI2274" s="60">
        <v>0</v>
      </c>
      <c r="BJ2274" s="60">
        <v>0</v>
      </c>
      <c r="BK2274" s="60">
        <v>0</v>
      </c>
      <c r="BL2274" s="60">
        <v>0</v>
      </c>
      <c r="BM2274" s="93">
        <v>0</v>
      </c>
      <c r="BN2274" s="68">
        <v>0</v>
      </c>
      <c r="BO2274" s="68">
        <v>0</v>
      </c>
      <c r="BP2274" s="68">
        <v>0</v>
      </c>
      <c r="BQ2274" s="68">
        <v>0</v>
      </c>
      <c r="BR2274" s="68">
        <v>0</v>
      </c>
      <c r="BS2274" s="68">
        <v>0</v>
      </c>
      <c r="BT2274" s="68">
        <v>0</v>
      </c>
      <c r="BU2274" s="47">
        <v>0</v>
      </c>
      <c r="BV2274" s="47"/>
      <c r="BW2274" s="47"/>
    </row>
    <row r="2275" spans="3:75" ht="20.100000000000001" customHeight="1">
      <c r="C2275" s="64">
        <v>77001906</v>
      </c>
      <c r="D2275" s="59" t="s">
        <v>5238</v>
      </c>
      <c r="E2275" s="59" t="s">
        <v>5239</v>
      </c>
      <c r="F2275" s="60">
        <v>1</v>
      </c>
      <c r="G2275" s="60">
        <v>0</v>
      </c>
      <c r="H2275" s="60">
        <v>0</v>
      </c>
      <c r="I2275" s="66">
        <v>0</v>
      </c>
      <c r="J2275" s="64">
        <v>1</v>
      </c>
      <c r="K2275" s="64">
        <v>0</v>
      </c>
      <c r="L2275" s="64">
        <v>0</v>
      </c>
      <c r="M2275" s="60">
        <v>0</v>
      </c>
      <c r="N2275" s="60">
        <v>0</v>
      </c>
      <c r="O2275" s="60">
        <v>2</v>
      </c>
      <c r="P2275" s="60">
        <v>1</v>
      </c>
      <c r="Q2275" s="60">
        <v>0.2</v>
      </c>
      <c r="R2275" s="60">
        <v>0</v>
      </c>
      <c r="S2275" s="68">
        <v>0</v>
      </c>
      <c r="T2275" s="60">
        <v>0</v>
      </c>
      <c r="U2275" s="60">
        <v>1</v>
      </c>
      <c r="V2275" s="60">
        <v>1</v>
      </c>
      <c r="W2275" s="60">
        <v>0</v>
      </c>
      <c r="X2275" s="60">
        <v>0</v>
      </c>
      <c r="Y2275" s="12">
        <v>0</v>
      </c>
      <c r="Z2275" s="60">
        <v>0</v>
      </c>
      <c r="AA2275" s="60">
        <v>1</v>
      </c>
      <c r="AB2275" s="60">
        <v>0</v>
      </c>
      <c r="AC2275" s="60">
        <v>0</v>
      </c>
      <c r="AD2275" s="60">
        <v>0</v>
      </c>
      <c r="AE2275" s="60">
        <v>1</v>
      </c>
      <c r="AF2275" s="60">
        <v>24</v>
      </c>
      <c r="AG2275" s="60">
        <v>1</v>
      </c>
      <c r="AH2275" s="60">
        <v>3</v>
      </c>
      <c r="AI2275" s="68">
        <v>0</v>
      </c>
      <c r="AJ2275" s="68">
        <v>1</v>
      </c>
      <c r="AK2275" s="68">
        <v>0</v>
      </c>
      <c r="AL2275" s="68">
        <v>3</v>
      </c>
      <c r="AM2275" s="60">
        <v>0</v>
      </c>
      <c r="AN2275" s="60">
        <v>0</v>
      </c>
      <c r="AO2275" s="60">
        <v>0</v>
      </c>
      <c r="AP2275" s="60">
        <v>0</v>
      </c>
      <c r="AQ2275" s="60">
        <v>0</v>
      </c>
      <c r="AR2275" s="60">
        <v>0</v>
      </c>
      <c r="AS2275" s="60">
        <v>0</v>
      </c>
      <c r="AT2275" s="330" t="s">
        <v>5240</v>
      </c>
      <c r="AU2275" s="79">
        <v>0</v>
      </c>
      <c r="AV2275" s="79"/>
      <c r="AW2275" s="59" t="s">
        <v>198</v>
      </c>
      <c r="AX2275" s="60" t="s">
        <v>215</v>
      </c>
      <c r="AY2275" s="64">
        <v>0</v>
      </c>
      <c r="AZ2275" s="64">
        <v>77001901</v>
      </c>
      <c r="BA2275" s="63" t="s">
        <v>200</v>
      </c>
      <c r="BB2275" s="60">
        <v>0</v>
      </c>
      <c r="BC2275" s="66">
        <v>0</v>
      </c>
      <c r="BD2275" s="66">
        <v>0</v>
      </c>
      <c r="BE2275" s="90" t="s">
        <v>5241</v>
      </c>
      <c r="BF2275" s="90" t="s">
        <v>5242</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spans="3:75" ht="19.5" customHeight="1">
      <c r="C2276" s="64">
        <v>77001907</v>
      </c>
      <c r="D2276" s="59" t="s">
        <v>5243</v>
      </c>
      <c r="E2276" s="59" t="s">
        <v>5244</v>
      </c>
      <c r="F2276" s="60">
        <v>1</v>
      </c>
      <c r="G2276" s="60">
        <v>0</v>
      </c>
      <c r="H2276" s="60">
        <v>0</v>
      </c>
      <c r="I2276" s="66">
        <v>0</v>
      </c>
      <c r="J2276" s="64">
        <v>1</v>
      </c>
      <c r="K2276" s="64">
        <v>0</v>
      </c>
      <c r="L2276" s="64">
        <v>0</v>
      </c>
      <c r="M2276" s="60">
        <v>0</v>
      </c>
      <c r="N2276" s="60">
        <v>0</v>
      </c>
      <c r="O2276" s="60">
        <v>2</v>
      </c>
      <c r="P2276" s="60">
        <v>16</v>
      </c>
      <c r="Q2276" s="60">
        <v>6</v>
      </c>
      <c r="R2276" s="60">
        <v>0</v>
      </c>
      <c r="S2276" s="68">
        <v>0</v>
      </c>
      <c r="T2276" s="60">
        <v>0</v>
      </c>
      <c r="U2276" s="60">
        <v>1</v>
      </c>
      <c r="V2276" s="60">
        <v>1</v>
      </c>
      <c r="W2276" s="60">
        <v>0</v>
      </c>
      <c r="X2276" s="60">
        <v>0</v>
      </c>
      <c r="Y2276" s="12">
        <v>0</v>
      </c>
      <c r="Z2276" s="60">
        <v>0</v>
      </c>
      <c r="AA2276" s="60">
        <v>0</v>
      </c>
      <c r="AB2276" s="60">
        <v>0</v>
      </c>
      <c r="AC2276" s="60">
        <v>0</v>
      </c>
      <c r="AD2276" s="60">
        <v>0</v>
      </c>
      <c r="AE2276" s="60">
        <v>1</v>
      </c>
      <c r="AF2276" s="60">
        <v>0</v>
      </c>
      <c r="AG2276" s="60">
        <v>2</v>
      </c>
      <c r="AH2276" s="60" t="s">
        <v>1036</v>
      </c>
      <c r="AI2276" s="68">
        <v>0</v>
      </c>
      <c r="AJ2276" s="68">
        <v>2</v>
      </c>
      <c r="AK2276" s="68">
        <v>0</v>
      </c>
      <c r="AL2276" s="68">
        <v>1.5</v>
      </c>
      <c r="AM2276" s="60">
        <v>0</v>
      </c>
      <c r="AN2276" s="60">
        <v>0</v>
      </c>
      <c r="AO2276" s="60">
        <v>0</v>
      </c>
      <c r="AP2276" s="60">
        <v>0.3</v>
      </c>
      <c r="AQ2276" s="60">
        <v>300</v>
      </c>
      <c r="AR2276" s="60">
        <v>0</v>
      </c>
      <c r="AS2276" s="60">
        <v>15</v>
      </c>
      <c r="AT2276" s="68">
        <v>97009010</v>
      </c>
      <c r="AU2276" s="79">
        <v>0</v>
      </c>
      <c r="AV2276" s="79"/>
      <c r="AW2276" s="59" t="s">
        <v>199</v>
      </c>
      <c r="AX2276" s="60" t="s">
        <v>215</v>
      </c>
      <c r="AY2276" s="64">
        <v>0</v>
      </c>
      <c r="AZ2276" s="64">
        <v>0</v>
      </c>
      <c r="BA2276" s="299" t="s">
        <v>216</v>
      </c>
      <c r="BB2276" s="60">
        <v>1</v>
      </c>
      <c r="BC2276" s="66">
        <v>0</v>
      </c>
      <c r="BD2276" s="66">
        <v>0</v>
      </c>
      <c r="BE2276" s="90" t="s">
        <v>5245</v>
      </c>
      <c r="BF2276" s="90" t="s">
        <v>5246</v>
      </c>
      <c r="BG2276" s="60">
        <v>0</v>
      </c>
      <c r="BH2276" s="60">
        <v>0</v>
      </c>
      <c r="BI2276" s="60">
        <v>0</v>
      </c>
      <c r="BJ2276" s="60">
        <v>0</v>
      </c>
      <c r="BK2276" s="60">
        <v>0</v>
      </c>
      <c r="BL2276" s="60">
        <v>0</v>
      </c>
      <c r="BM2276" s="93">
        <v>0</v>
      </c>
      <c r="BN2276" s="68">
        <v>0</v>
      </c>
      <c r="BO2276" s="68">
        <v>0</v>
      </c>
      <c r="BP2276" s="68">
        <v>0</v>
      </c>
      <c r="BQ2276" s="68">
        <v>0</v>
      </c>
      <c r="BR2276" s="68">
        <v>0</v>
      </c>
      <c r="BS2276" s="68">
        <v>1</v>
      </c>
      <c r="BT2276" s="68">
        <v>77001908</v>
      </c>
      <c r="BU2276" s="47">
        <v>0</v>
      </c>
      <c r="BV2276" s="47"/>
      <c r="BW2276" s="47"/>
    </row>
    <row r="2277" spans="3:75" ht="20.100000000000001" customHeight="1">
      <c r="C2277" s="64">
        <v>77001908</v>
      </c>
      <c r="D2277" s="59" t="s">
        <v>5247</v>
      </c>
      <c r="E2277" s="59" t="s">
        <v>5248</v>
      </c>
      <c r="F2277" s="60">
        <v>1</v>
      </c>
      <c r="G2277" s="60">
        <v>0</v>
      </c>
      <c r="H2277" s="60">
        <v>0</v>
      </c>
      <c r="I2277" s="66">
        <v>0</v>
      </c>
      <c r="J2277" s="64">
        <v>1</v>
      </c>
      <c r="K2277" s="64">
        <v>0</v>
      </c>
      <c r="L2277" s="64">
        <v>0</v>
      </c>
      <c r="M2277" s="60">
        <v>0</v>
      </c>
      <c r="N2277" s="60">
        <v>0</v>
      </c>
      <c r="O2277" s="60">
        <v>2</v>
      </c>
      <c r="P2277" s="60">
        <v>1</v>
      </c>
      <c r="Q2277" s="60">
        <v>0.2</v>
      </c>
      <c r="R2277" s="60">
        <v>0</v>
      </c>
      <c r="S2277" s="68">
        <v>0</v>
      </c>
      <c r="T2277" s="60">
        <v>0</v>
      </c>
      <c r="U2277" s="60">
        <v>1</v>
      </c>
      <c r="V2277" s="60">
        <v>1</v>
      </c>
      <c r="W2277" s="60">
        <v>0</v>
      </c>
      <c r="X2277" s="60">
        <v>0.5</v>
      </c>
      <c r="Y2277" s="12">
        <v>0</v>
      </c>
      <c r="Z2277" s="60">
        <v>0</v>
      </c>
      <c r="AA2277" s="60">
        <v>1</v>
      </c>
      <c r="AB2277" s="60">
        <v>0</v>
      </c>
      <c r="AC2277" s="60">
        <v>0</v>
      </c>
      <c r="AD2277" s="60">
        <v>0</v>
      </c>
      <c r="AE2277" s="60">
        <v>1</v>
      </c>
      <c r="AF2277" s="60">
        <v>0</v>
      </c>
      <c r="AG2277" s="60">
        <v>1</v>
      </c>
      <c r="AH2277" s="60">
        <v>3</v>
      </c>
      <c r="AI2277" s="68">
        <v>0</v>
      </c>
      <c r="AJ2277" s="68">
        <v>1</v>
      </c>
      <c r="AK2277" s="68">
        <v>0</v>
      </c>
      <c r="AL2277" s="68">
        <v>3</v>
      </c>
      <c r="AM2277" s="60">
        <v>0</v>
      </c>
      <c r="AN2277" s="60">
        <v>0</v>
      </c>
      <c r="AO2277" s="60">
        <v>0</v>
      </c>
      <c r="AP2277" s="60">
        <v>0.5</v>
      </c>
      <c r="AQ2277" s="60">
        <v>3000</v>
      </c>
      <c r="AR2277" s="60">
        <v>0.5</v>
      </c>
      <c r="AS2277" s="60">
        <v>0</v>
      </c>
      <c r="AT2277" s="68">
        <v>0</v>
      </c>
      <c r="AU2277" s="331" t="s">
        <v>5228</v>
      </c>
      <c r="AV2277" s="79"/>
      <c r="AW2277" s="59" t="s">
        <v>198</v>
      </c>
      <c r="AX2277" s="60" t="s">
        <v>215</v>
      </c>
      <c r="AY2277" s="64">
        <v>0</v>
      </c>
      <c r="AZ2277" s="64">
        <v>77001907</v>
      </c>
      <c r="BA2277" s="63" t="s">
        <v>200</v>
      </c>
      <c r="BB2277" s="60">
        <v>0</v>
      </c>
      <c r="BC2277" s="66">
        <v>0</v>
      </c>
      <c r="BD2277" s="66">
        <v>0</v>
      </c>
      <c r="BE2277" s="90" t="s">
        <v>2707</v>
      </c>
      <c r="BF2277" s="90" t="s">
        <v>5050</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19.5" customHeight="1">
      <c r="C2278" s="64">
        <v>77001909</v>
      </c>
      <c r="D2278" s="59" t="s">
        <v>5249</v>
      </c>
      <c r="E2278" s="59" t="s">
        <v>5250</v>
      </c>
      <c r="F2278" s="64">
        <v>1</v>
      </c>
      <c r="G2278" s="64">
        <v>0</v>
      </c>
      <c r="H2278" s="64">
        <v>0</v>
      </c>
      <c r="I2278" s="66">
        <v>0</v>
      </c>
      <c r="J2278" s="64">
        <v>1</v>
      </c>
      <c r="K2278" s="64">
        <v>0</v>
      </c>
      <c r="L2278" s="64">
        <v>0</v>
      </c>
      <c r="M2278" s="60">
        <v>0</v>
      </c>
      <c r="N2278" s="60">
        <v>0</v>
      </c>
      <c r="O2278" s="60">
        <v>2</v>
      </c>
      <c r="P2278" s="60">
        <v>16</v>
      </c>
      <c r="Q2278" s="60">
        <v>5</v>
      </c>
      <c r="R2278" s="60">
        <v>0</v>
      </c>
      <c r="S2278" s="68">
        <v>0</v>
      </c>
      <c r="T2278" s="60">
        <v>0</v>
      </c>
      <c r="U2278" s="60">
        <v>1</v>
      </c>
      <c r="V2278" s="60">
        <v>2</v>
      </c>
      <c r="W2278" s="60">
        <v>0</v>
      </c>
      <c r="X2278" s="60">
        <v>1</v>
      </c>
      <c r="Y2278" s="12">
        <v>0</v>
      </c>
      <c r="Z2278" s="60">
        <v>0</v>
      </c>
      <c r="AA2278" s="60">
        <v>1</v>
      </c>
      <c r="AB2278" s="60">
        <v>0</v>
      </c>
      <c r="AC2278" s="60">
        <v>0</v>
      </c>
      <c r="AD2278" s="60">
        <v>0</v>
      </c>
      <c r="AE2278" s="60">
        <v>1</v>
      </c>
      <c r="AF2278" s="60">
        <v>0</v>
      </c>
      <c r="AG2278" s="60">
        <v>2</v>
      </c>
      <c r="AH2278" s="60" t="s">
        <v>5251</v>
      </c>
      <c r="AI2278" s="68">
        <v>0</v>
      </c>
      <c r="AJ2278" s="68">
        <v>2</v>
      </c>
      <c r="AK2278" s="68">
        <v>0</v>
      </c>
      <c r="AL2278" s="68">
        <v>4</v>
      </c>
      <c r="AM2278" s="60">
        <v>0</v>
      </c>
      <c r="AN2278" s="60">
        <v>1</v>
      </c>
      <c r="AO2278" s="60">
        <v>0</v>
      </c>
      <c r="AP2278" s="60">
        <v>1</v>
      </c>
      <c r="AQ2278" s="60">
        <v>9000</v>
      </c>
      <c r="AR2278" s="60">
        <v>0</v>
      </c>
      <c r="AS2278" s="60">
        <v>10</v>
      </c>
      <c r="AT2278" s="78">
        <v>0</v>
      </c>
      <c r="AU2278" s="331" t="s">
        <v>5228</v>
      </c>
      <c r="AV2278" s="79"/>
      <c r="AW2278" s="59" t="s">
        <v>256</v>
      </c>
      <c r="AX2278" s="60" t="s">
        <v>534</v>
      </c>
      <c r="AY2278" s="64">
        <v>10000007</v>
      </c>
      <c r="AZ2278" s="64">
        <v>77001908</v>
      </c>
      <c r="BA2278" s="59" t="s">
        <v>586</v>
      </c>
      <c r="BB2278" s="60" t="s">
        <v>5252</v>
      </c>
      <c r="BC2278" s="66">
        <v>0</v>
      </c>
      <c r="BD2278" s="66">
        <v>1</v>
      </c>
      <c r="BE2278" s="90" t="s">
        <v>5253</v>
      </c>
      <c r="BF2278" s="90" t="s">
        <v>5254</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19.5" customHeight="1">
      <c r="C2279" s="64">
        <v>77001910</v>
      </c>
      <c r="D2279" s="59" t="s">
        <v>5255</v>
      </c>
      <c r="E2279" s="59" t="s">
        <v>5256</v>
      </c>
      <c r="F2279" s="60">
        <v>1</v>
      </c>
      <c r="G2279" s="60">
        <v>0</v>
      </c>
      <c r="H2279" s="60">
        <v>0</v>
      </c>
      <c r="I2279" s="66">
        <v>0</v>
      </c>
      <c r="J2279" s="64">
        <v>1</v>
      </c>
      <c r="K2279" s="64">
        <v>0</v>
      </c>
      <c r="L2279" s="64">
        <v>0</v>
      </c>
      <c r="M2279" s="60">
        <v>0</v>
      </c>
      <c r="N2279" s="60">
        <v>0</v>
      </c>
      <c r="O2279" s="60">
        <v>2</v>
      </c>
      <c r="P2279" s="60">
        <v>2</v>
      </c>
      <c r="Q2279" s="60">
        <v>0.8</v>
      </c>
      <c r="R2279" s="60">
        <v>0</v>
      </c>
      <c r="S2279" s="68">
        <v>3</v>
      </c>
      <c r="T2279" s="60">
        <v>0</v>
      </c>
      <c r="U2279" s="60">
        <v>1</v>
      </c>
      <c r="V2279" s="60">
        <v>1</v>
      </c>
      <c r="W2279" s="60">
        <v>0</v>
      </c>
      <c r="X2279" s="60">
        <v>0</v>
      </c>
      <c r="Y2279" s="12">
        <v>0</v>
      </c>
      <c r="Z2279" s="60">
        <v>0</v>
      </c>
      <c r="AA2279" s="60">
        <v>0</v>
      </c>
      <c r="AB2279" s="60">
        <v>0</v>
      </c>
      <c r="AC2279" s="60">
        <v>0</v>
      </c>
      <c r="AD2279" s="60">
        <v>0</v>
      </c>
      <c r="AE2279" s="60">
        <v>1</v>
      </c>
      <c r="AF2279" s="60">
        <v>12</v>
      </c>
      <c r="AG2279" s="60">
        <v>2</v>
      </c>
      <c r="AH2279" s="60" t="s">
        <v>213</v>
      </c>
      <c r="AI2279" s="68">
        <v>0</v>
      </c>
      <c r="AJ2279" s="68">
        <v>2</v>
      </c>
      <c r="AK2279" s="68">
        <v>0</v>
      </c>
      <c r="AL2279" s="68">
        <v>1.5</v>
      </c>
      <c r="AM2279" s="60">
        <v>0</v>
      </c>
      <c r="AN2279" s="60">
        <v>0</v>
      </c>
      <c r="AO2279" s="60">
        <v>0</v>
      </c>
      <c r="AP2279" s="60">
        <v>0.3</v>
      </c>
      <c r="AQ2279" s="60">
        <v>300</v>
      </c>
      <c r="AR2279" s="60">
        <v>0</v>
      </c>
      <c r="AS2279" s="60">
        <v>20</v>
      </c>
      <c r="AT2279" s="68">
        <v>0</v>
      </c>
      <c r="AU2279" s="331" t="s">
        <v>5228</v>
      </c>
      <c r="AV2279" s="79"/>
      <c r="AW2279" s="59" t="s">
        <v>199</v>
      </c>
      <c r="AX2279" s="60" t="s">
        <v>215</v>
      </c>
      <c r="AY2279" s="64">
        <v>0</v>
      </c>
      <c r="AZ2279" s="64">
        <v>0</v>
      </c>
      <c r="BA2279" s="299" t="s">
        <v>216</v>
      </c>
      <c r="BB2279" s="60">
        <v>0</v>
      </c>
      <c r="BC2279" s="66">
        <v>0</v>
      </c>
      <c r="BD2279" s="66">
        <v>0</v>
      </c>
      <c r="BE2279" s="90" t="s">
        <v>5257</v>
      </c>
      <c r="BF2279" s="90" t="s">
        <v>5258</v>
      </c>
      <c r="BG2279" s="60">
        <v>0</v>
      </c>
      <c r="BH2279" s="60">
        <v>0</v>
      </c>
      <c r="BI2279" s="60">
        <v>0</v>
      </c>
      <c r="BJ2279" s="60">
        <v>0</v>
      </c>
      <c r="BK2279" s="60">
        <v>0</v>
      </c>
      <c r="BL2279" s="60">
        <v>0</v>
      </c>
      <c r="BM2279" s="93">
        <v>0</v>
      </c>
      <c r="BN2279" s="68">
        <v>0</v>
      </c>
      <c r="BO2279" s="68">
        <v>0</v>
      </c>
      <c r="BP2279" s="68">
        <v>0</v>
      </c>
      <c r="BQ2279" s="68">
        <v>0</v>
      </c>
      <c r="BR2279" s="68">
        <v>0</v>
      </c>
      <c r="BS2279" s="68">
        <v>0</v>
      </c>
      <c r="BT2279" s="68">
        <v>77001911</v>
      </c>
      <c r="BU2279" s="47">
        <v>0</v>
      </c>
      <c r="BV2279" s="47"/>
      <c r="BW2279" s="47"/>
    </row>
    <row r="2280" spans="3:75" ht="20.100000000000001" customHeight="1">
      <c r="C2280" s="64">
        <v>77001911</v>
      </c>
      <c r="D2280" s="59" t="s">
        <v>2707</v>
      </c>
      <c r="E2280" s="59" t="s">
        <v>5050</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1.5</v>
      </c>
      <c r="Y2280" s="12">
        <v>0</v>
      </c>
      <c r="Z2280" s="60">
        <v>0</v>
      </c>
      <c r="AA2280" s="60">
        <v>1</v>
      </c>
      <c r="AB2280" s="60">
        <v>0</v>
      </c>
      <c r="AC2280" s="60">
        <v>0</v>
      </c>
      <c r="AD2280" s="60">
        <v>0</v>
      </c>
      <c r="AE2280" s="60">
        <v>1</v>
      </c>
      <c r="AF2280" s="60">
        <v>0</v>
      </c>
      <c r="AG2280" s="60">
        <v>1</v>
      </c>
      <c r="AH2280" s="60">
        <v>6</v>
      </c>
      <c r="AI2280" s="68">
        <v>0</v>
      </c>
      <c r="AJ2280" s="68">
        <v>1</v>
      </c>
      <c r="AK2280" s="68">
        <v>0</v>
      </c>
      <c r="AL2280" s="68">
        <v>3</v>
      </c>
      <c r="AM2280" s="60">
        <v>0</v>
      </c>
      <c r="AN2280" s="60">
        <v>0</v>
      </c>
      <c r="AO2280" s="60">
        <v>0</v>
      </c>
      <c r="AP2280" s="60">
        <v>1</v>
      </c>
      <c r="AQ2280" s="60">
        <v>3000</v>
      </c>
      <c r="AR2280" s="60">
        <v>1</v>
      </c>
      <c r="AS2280" s="60">
        <v>0</v>
      </c>
      <c r="AT2280" s="68">
        <v>0</v>
      </c>
      <c r="AU2280" s="331" t="s">
        <v>5259</v>
      </c>
      <c r="AV2280" s="79"/>
      <c r="AW2280" s="59" t="s">
        <v>198</v>
      </c>
      <c r="AX2280" s="60" t="s">
        <v>215</v>
      </c>
      <c r="AY2280" s="64">
        <v>0</v>
      </c>
      <c r="AZ2280" s="64">
        <v>77001903</v>
      </c>
      <c r="BA2280" s="63" t="s">
        <v>200</v>
      </c>
      <c r="BB2280" s="60">
        <v>0</v>
      </c>
      <c r="BC2280" s="66">
        <v>0</v>
      </c>
      <c r="BD2280" s="66">
        <v>0</v>
      </c>
      <c r="BE2280" s="90" t="s">
        <v>2707</v>
      </c>
      <c r="BF2280" s="90" t="s">
        <v>5050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20.100000000000001" customHeight="1">
      <c r="C2281" s="64">
        <v>77001912</v>
      </c>
      <c r="D2281" s="59" t="s">
        <v>5260</v>
      </c>
      <c r="E2281" s="59" t="s">
        <v>5261</v>
      </c>
      <c r="F2281" s="60">
        <v>1</v>
      </c>
      <c r="G2281" s="60">
        <v>0</v>
      </c>
      <c r="H2281" s="60">
        <v>0</v>
      </c>
      <c r="I2281" s="66">
        <v>0</v>
      </c>
      <c r="J2281" s="64">
        <v>1</v>
      </c>
      <c r="K2281" s="60">
        <v>0</v>
      </c>
      <c r="L2281" s="60">
        <v>0</v>
      </c>
      <c r="M2281" s="60">
        <v>0</v>
      </c>
      <c r="N2281" s="60">
        <v>0</v>
      </c>
      <c r="O2281" s="60">
        <v>2</v>
      </c>
      <c r="P2281" s="60">
        <v>1</v>
      </c>
      <c r="Q2281" s="60">
        <v>0.1</v>
      </c>
      <c r="R2281" s="60">
        <v>0</v>
      </c>
      <c r="S2281" s="68">
        <v>0</v>
      </c>
      <c r="T2281" s="60">
        <v>0</v>
      </c>
      <c r="U2281" s="60">
        <v>1</v>
      </c>
      <c r="V2281" s="60">
        <v>1</v>
      </c>
      <c r="W2281" s="60">
        <v>0</v>
      </c>
      <c r="X2281" s="60">
        <v>1</v>
      </c>
      <c r="Y2281" s="12">
        <v>0</v>
      </c>
      <c r="Z2281" s="60">
        <v>0</v>
      </c>
      <c r="AA2281" s="60">
        <v>1</v>
      </c>
      <c r="AB2281" s="60">
        <v>0</v>
      </c>
      <c r="AC2281" s="60">
        <v>0</v>
      </c>
      <c r="AD2281" s="60">
        <v>0</v>
      </c>
      <c r="AE2281" s="60">
        <v>1</v>
      </c>
      <c r="AF2281" s="60">
        <v>0</v>
      </c>
      <c r="AG2281" s="60">
        <v>1</v>
      </c>
      <c r="AH2281" s="60">
        <v>3</v>
      </c>
      <c r="AI2281" s="68">
        <v>0</v>
      </c>
      <c r="AJ2281" s="68">
        <v>1</v>
      </c>
      <c r="AK2281" s="68">
        <v>0</v>
      </c>
      <c r="AL2281" s="68">
        <v>2</v>
      </c>
      <c r="AM2281" s="60">
        <v>0</v>
      </c>
      <c r="AN2281" s="60">
        <v>0</v>
      </c>
      <c r="AO2281" s="60">
        <v>0</v>
      </c>
      <c r="AP2281" s="60">
        <v>0.5</v>
      </c>
      <c r="AQ2281" s="60">
        <v>600</v>
      </c>
      <c r="AR2281" s="60">
        <v>0.5</v>
      </c>
      <c r="AS2281" s="60">
        <v>0</v>
      </c>
      <c r="AT2281" s="68">
        <v>0</v>
      </c>
      <c r="AU2281" s="60">
        <v>0</v>
      </c>
      <c r="AV2281" s="60"/>
      <c r="AW2281" s="59" t="s">
        <v>198</v>
      </c>
      <c r="AX2281" s="60" t="s">
        <v>534</v>
      </c>
      <c r="AY2281" s="64">
        <v>10000001</v>
      </c>
      <c r="AZ2281" s="64">
        <v>77001904</v>
      </c>
      <c r="BA2281" s="59" t="s">
        <v>771</v>
      </c>
      <c r="BB2281" s="60">
        <v>0</v>
      </c>
      <c r="BC2281" s="66">
        <v>0</v>
      </c>
      <c r="BD2281" s="66">
        <v>0</v>
      </c>
      <c r="BE2281" s="121" t="s">
        <v>5262</v>
      </c>
      <c r="BF2281" s="121" t="s">
        <v>5263</v>
      </c>
      <c r="BG2281" s="60">
        <v>0</v>
      </c>
      <c r="BH2281" s="60">
        <v>0</v>
      </c>
      <c r="BI2281" s="60">
        <v>0</v>
      </c>
      <c r="BJ2281" s="60">
        <v>0</v>
      </c>
      <c r="BK2281" s="60">
        <v>0</v>
      </c>
      <c r="BL2281" s="60">
        <v>0</v>
      </c>
      <c r="BM2281" s="93">
        <v>0</v>
      </c>
      <c r="BN2281" s="68">
        <v>0</v>
      </c>
      <c r="BO2281" s="68">
        <v>0</v>
      </c>
      <c r="BP2281" s="68">
        <v>0</v>
      </c>
      <c r="BQ2281" s="68">
        <v>0</v>
      </c>
      <c r="BR2281" s="68">
        <v>0</v>
      </c>
      <c r="BS2281" s="68">
        <v>0</v>
      </c>
      <c r="BT2281" s="68">
        <v>77001913</v>
      </c>
      <c r="BU2281" s="47">
        <v>0</v>
      </c>
      <c r="BV2281" s="47"/>
      <c r="BW2281" s="47"/>
    </row>
    <row r="2282" spans="3:75" ht="20.100000000000001" customHeight="1">
      <c r="C2282" s="64">
        <v>77001913</v>
      </c>
      <c r="D2282" s="59" t="s">
        <v>598</v>
      </c>
      <c r="E2282" s="59" t="s">
        <v>1162</v>
      </c>
      <c r="F2282" s="64">
        <v>1</v>
      </c>
      <c r="G2282" s="60">
        <v>0</v>
      </c>
      <c r="H2282" s="64">
        <v>0</v>
      </c>
      <c r="I2282" s="66">
        <v>0</v>
      </c>
      <c r="J2282" s="64">
        <v>1</v>
      </c>
      <c r="K2282" s="64">
        <v>0</v>
      </c>
      <c r="L2282" s="64">
        <v>0</v>
      </c>
      <c r="M2282" s="60">
        <v>0</v>
      </c>
      <c r="N2282" s="60">
        <v>0</v>
      </c>
      <c r="O2282" s="60">
        <v>2</v>
      </c>
      <c r="P2282" s="60">
        <v>1</v>
      </c>
      <c r="Q2282" s="60">
        <v>0.5</v>
      </c>
      <c r="R2282" s="60">
        <v>0</v>
      </c>
      <c r="S2282" s="68">
        <v>0</v>
      </c>
      <c r="T2282" s="60">
        <v>0</v>
      </c>
      <c r="U2282" s="60">
        <v>1</v>
      </c>
      <c r="V2282" s="60">
        <v>2</v>
      </c>
      <c r="W2282" s="60">
        <v>0</v>
      </c>
      <c r="X2282" s="60">
        <v>0.5</v>
      </c>
      <c r="Y2282" s="12">
        <v>0</v>
      </c>
      <c r="Z2282" s="60">
        <v>0</v>
      </c>
      <c r="AA2282" s="60">
        <v>0</v>
      </c>
      <c r="AB2282" s="60">
        <v>0</v>
      </c>
      <c r="AC2282" s="60">
        <v>0</v>
      </c>
      <c r="AD2282" s="60">
        <v>0</v>
      </c>
      <c r="AE2282" s="60">
        <v>0</v>
      </c>
      <c r="AF2282" s="60">
        <v>8</v>
      </c>
      <c r="AG2282" s="60">
        <v>2</v>
      </c>
      <c r="AH2282" s="60" t="s">
        <v>1036</v>
      </c>
      <c r="AI2282" s="68">
        <v>0</v>
      </c>
      <c r="AJ2282" s="68">
        <v>2</v>
      </c>
      <c r="AK2282" s="68">
        <v>0</v>
      </c>
      <c r="AL2282" s="68">
        <v>1.5</v>
      </c>
      <c r="AM2282" s="60">
        <v>0</v>
      </c>
      <c r="AN2282" s="60">
        <v>0</v>
      </c>
      <c r="AO2282" s="60">
        <v>0</v>
      </c>
      <c r="AP2282" s="60">
        <v>0.3</v>
      </c>
      <c r="AQ2282" s="60">
        <v>400</v>
      </c>
      <c r="AR2282" s="60">
        <v>0.3</v>
      </c>
      <c r="AS2282" s="60">
        <v>0</v>
      </c>
      <c r="AT2282" s="68">
        <v>0</v>
      </c>
      <c r="AU2282" s="60">
        <v>97009003</v>
      </c>
      <c r="AV2282" s="60"/>
      <c r="AW2282" s="63" t="s">
        <v>198</v>
      </c>
      <c r="AX2282" s="60" t="s">
        <v>545</v>
      </c>
      <c r="AY2282" s="64">
        <v>10001007</v>
      </c>
      <c r="AZ2282" s="64">
        <v>77001905</v>
      </c>
      <c r="BA2282" s="59" t="s">
        <v>200</v>
      </c>
      <c r="BB2282" s="60">
        <v>0</v>
      </c>
      <c r="BC2282" s="66">
        <v>0</v>
      </c>
      <c r="BD2282" s="66">
        <v>0</v>
      </c>
      <c r="BE2282" s="90" t="s">
        <v>5264</v>
      </c>
      <c r="BF2282" s="90" t="s">
        <v>5265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77001914</v>
      </c>
      <c r="D2283" s="59" t="s">
        <v>2324</v>
      </c>
      <c r="E2283" s="59" t="s">
        <v>2325</v>
      </c>
      <c r="F2283" s="64">
        <v>1</v>
      </c>
      <c r="G2283" s="60">
        <v>0</v>
      </c>
      <c r="H2283" s="64">
        <v>0</v>
      </c>
      <c r="I2283" s="66">
        <v>0</v>
      </c>
      <c r="J2283" s="64">
        <v>1</v>
      </c>
      <c r="K2283" s="64">
        <v>0</v>
      </c>
      <c r="L2283" s="64">
        <v>0</v>
      </c>
      <c r="M2283" s="60">
        <v>0</v>
      </c>
      <c r="N2283" s="60">
        <v>0</v>
      </c>
      <c r="O2283" s="60">
        <v>2</v>
      </c>
      <c r="P2283" s="60">
        <v>16</v>
      </c>
      <c r="Q2283" s="60">
        <v>5</v>
      </c>
      <c r="R2283" s="60">
        <v>0</v>
      </c>
      <c r="S2283" s="68">
        <v>0</v>
      </c>
      <c r="T2283" s="60">
        <v>0</v>
      </c>
      <c r="U2283" s="60">
        <v>1</v>
      </c>
      <c r="V2283" s="60">
        <v>2</v>
      </c>
      <c r="W2283" s="60">
        <v>0</v>
      </c>
      <c r="X2283" s="60">
        <v>1.5</v>
      </c>
      <c r="Y2283" s="12">
        <v>0</v>
      </c>
      <c r="Z2283" s="60">
        <v>0</v>
      </c>
      <c r="AA2283" s="60">
        <v>0</v>
      </c>
      <c r="AB2283" s="60">
        <v>0</v>
      </c>
      <c r="AC2283" s="60">
        <v>0</v>
      </c>
      <c r="AD2283" s="60">
        <v>0</v>
      </c>
      <c r="AE2283" s="60">
        <v>1</v>
      </c>
      <c r="AF2283" s="60">
        <v>0</v>
      </c>
      <c r="AG2283" s="60">
        <v>1</v>
      </c>
      <c r="AH2283" s="60">
        <v>2</v>
      </c>
      <c r="AI2283" s="68">
        <v>0</v>
      </c>
      <c r="AJ2283" s="68">
        <v>2</v>
      </c>
      <c r="AK2283" s="68">
        <v>0</v>
      </c>
      <c r="AL2283" s="68">
        <v>2</v>
      </c>
      <c r="AM2283" s="60">
        <v>0</v>
      </c>
      <c r="AN2283" s="60">
        <v>0</v>
      </c>
      <c r="AO2283" s="60">
        <v>0</v>
      </c>
      <c r="AP2283" s="60">
        <v>2</v>
      </c>
      <c r="AQ2283" s="60">
        <v>5000</v>
      </c>
      <c r="AR2283" s="60">
        <v>0</v>
      </c>
      <c r="AS2283" s="60">
        <v>15</v>
      </c>
      <c r="AT2283" s="78">
        <v>0</v>
      </c>
      <c r="AU2283" s="331" t="s">
        <v>198</v>
      </c>
      <c r="AV2283" s="79"/>
      <c r="AW2283" s="59" t="s">
        <v>256</v>
      </c>
      <c r="AX2283" s="60" t="s">
        <v>534</v>
      </c>
      <c r="AY2283" s="64">
        <v>10000007</v>
      </c>
      <c r="AZ2283" s="329" t="s">
        <v>5266</v>
      </c>
      <c r="BA2283" s="59" t="s">
        <v>586</v>
      </c>
      <c r="BB2283" s="60" t="s">
        <v>1305</v>
      </c>
      <c r="BC2283" s="66">
        <v>0</v>
      </c>
      <c r="BD2283" s="66">
        <v>1</v>
      </c>
      <c r="BE2283" s="90" t="s">
        <v>1306</v>
      </c>
      <c r="BF2283" s="90" t="s">
        <v>1307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0</v>
      </c>
      <c r="BU2283" s="47">
        <v>0</v>
      </c>
      <c r="BV2283" s="47"/>
      <c r="BW2283" s="47"/>
    </row>
    <row r="2284" spans="3:75" ht="20.100000000000001" customHeight="1">
      <c r="C2284" s="100">
        <v>77002001</v>
      </c>
      <c r="D2284" s="305" t="s">
        <v>5267</v>
      </c>
      <c r="E2284" s="305" t="s">
        <v>5268</v>
      </c>
      <c r="F2284" s="100">
        <v>1</v>
      </c>
      <c r="G2284" s="101">
        <v>0</v>
      </c>
      <c r="H2284" s="100">
        <v>0</v>
      </c>
      <c r="I2284" s="106">
        <v>0</v>
      </c>
      <c r="J2284" s="100">
        <v>1</v>
      </c>
      <c r="K2284" s="100">
        <v>0</v>
      </c>
      <c r="L2284" s="106">
        <v>0</v>
      </c>
      <c r="M2284" s="106">
        <v>0</v>
      </c>
      <c r="N2284" s="106">
        <v>0</v>
      </c>
      <c r="O2284" s="106">
        <v>2</v>
      </c>
      <c r="P2284" s="106">
        <v>1</v>
      </c>
      <c r="Q2284" s="106">
        <v>0.15</v>
      </c>
      <c r="R2284" s="106">
        <v>0</v>
      </c>
      <c r="S2284" s="106">
        <v>0</v>
      </c>
      <c r="T2284" s="106">
        <v>0</v>
      </c>
      <c r="U2284" s="106">
        <v>1</v>
      </c>
      <c r="V2284" s="106">
        <v>2</v>
      </c>
      <c r="W2284" s="106">
        <v>0</v>
      </c>
      <c r="X2284" s="106">
        <v>0.8</v>
      </c>
      <c r="Y2284" s="12">
        <v>0</v>
      </c>
      <c r="Z2284" s="106">
        <v>1000</v>
      </c>
      <c r="AA2284" s="106">
        <v>1</v>
      </c>
      <c r="AB2284" s="106">
        <v>0</v>
      </c>
      <c r="AC2284" s="106">
        <v>0</v>
      </c>
      <c r="AD2284" s="106">
        <v>0</v>
      </c>
      <c r="AE2284" s="106">
        <v>0</v>
      </c>
      <c r="AF2284" s="106">
        <v>16</v>
      </c>
      <c r="AG2284" s="106">
        <v>1</v>
      </c>
      <c r="AH2284" s="106">
        <v>6</v>
      </c>
      <c r="AI2284" s="106">
        <v>0</v>
      </c>
      <c r="AJ2284" s="106">
        <v>1</v>
      </c>
      <c r="AK2284" s="106">
        <v>0</v>
      </c>
      <c r="AL2284" s="106">
        <v>7</v>
      </c>
      <c r="AM2284" s="106">
        <v>0</v>
      </c>
      <c r="AN2284" s="106">
        <v>0</v>
      </c>
      <c r="AO2284" s="106">
        <v>0</v>
      </c>
      <c r="AP2284" s="106">
        <v>1</v>
      </c>
      <c r="AQ2284" s="106">
        <v>2000</v>
      </c>
      <c r="AR2284" s="106">
        <v>1</v>
      </c>
      <c r="AS2284" s="106">
        <v>0</v>
      </c>
      <c r="AT2284" s="106">
        <v>0</v>
      </c>
      <c r="AU2284" s="106">
        <v>0</v>
      </c>
      <c r="AV2284" s="106"/>
      <c r="AW2284" s="305" t="s">
        <v>199</v>
      </c>
      <c r="AX2284" s="106" t="s">
        <v>1041</v>
      </c>
      <c r="AY2284" s="106">
        <v>10000007</v>
      </c>
      <c r="AZ2284" s="106">
        <v>77002001</v>
      </c>
      <c r="BA2284" s="305" t="s">
        <v>1556</v>
      </c>
      <c r="BB2284" s="106">
        <v>1</v>
      </c>
      <c r="BC2284" s="106">
        <v>0</v>
      </c>
      <c r="BD2284" s="106">
        <v>0</v>
      </c>
      <c r="BE2284" s="314" t="s">
        <v>5269</v>
      </c>
      <c r="BF2284" s="314" t="s">
        <v>5270</v>
      </c>
      <c r="BG2284" s="106">
        <v>0</v>
      </c>
      <c r="BH2284" s="106">
        <v>0</v>
      </c>
      <c r="BI2284" s="106">
        <v>0</v>
      </c>
      <c r="BJ2284" s="106">
        <v>0</v>
      </c>
      <c r="BK2284" s="106">
        <v>0</v>
      </c>
      <c r="BL2284" s="106">
        <v>0</v>
      </c>
      <c r="BM2284" s="317">
        <v>0</v>
      </c>
      <c r="BN2284" s="106">
        <v>0</v>
      </c>
      <c r="BO2284" s="106">
        <v>0</v>
      </c>
      <c r="BP2284" s="106">
        <v>1000</v>
      </c>
      <c r="BQ2284" s="106">
        <v>1</v>
      </c>
      <c r="BR2284" s="106">
        <v>200</v>
      </c>
      <c r="BS2284" s="106">
        <v>0</v>
      </c>
      <c r="BT2284" s="106">
        <v>0</v>
      </c>
      <c r="BU2284" s="47">
        <v>0</v>
      </c>
      <c r="BV2284" s="47"/>
      <c r="BW2284" s="47"/>
    </row>
    <row r="2285" spans="3:75" ht="19.5" customHeight="1">
      <c r="C2285" s="100">
        <v>77002002</v>
      </c>
      <c r="D2285" s="99" t="s">
        <v>5271</v>
      </c>
      <c r="E2285" s="99" t="s">
        <v>5272</v>
      </c>
      <c r="F2285" s="100">
        <v>1</v>
      </c>
      <c r="G2285" s="101">
        <v>0</v>
      </c>
      <c r="H2285" s="100">
        <v>0</v>
      </c>
      <c r="I2285" s="105">
        <v>0</v>
      </c>
      <c r="J2285" s="100">
        <v>1</v>
      </c>
      <c r="K2285" s="100">
        <v>0</v>
      </c>
      <c r="L2285" s="100">
        <v>0</v>
      </c>
      <c r="M2285" s="101">
        <v>0</v>
      </c>
      <c r="N2285" s="101">
        <v>0</v>
      </c>
      <c r="O2285" s="101">
        <v>2</v>
      </c>
      <c r="P2285" s="101">
        <v>2</v>
      </c>
      <c r="Q2285" s="101">
        <v>0.5</v>
      </c>
      <c r="R2285" s="101">
        <v>1</v>
      </c>
      <c r="S2285" s="106">
        <v>0</v>
      </c>
      <c r="T2285" s="101">
        <v>0</v>
      </c>
      <c r="U2285" s="101">
        <v>1</v>
      </c>
      <c r="V2285" s="101">
        <v>1</v>
      </c>
      <c r="W2285" s="101">
        <v>0</v>
      </c>
      <c r="X2285" s="101">
        <v>0</v>
      </c>
      <c r="Y2285" s="12">
        <v>0</v>
      </c>
      <c r="Z2285" s="101">
        <v>0</v>
      </c>
      <c r="AA2285" s="101">
        <v>0</v>
      </c>
      <c r="AB2285" s="101">
        <v>0</v>
      </c>
      <c r="AC2285" s="101">
        <v>0</v>
      </c>
      <c r="AD2285" s="101">
        <v>0</v>
      </c>
      <c r="AE2285" s="101">
        <v>1</v>
      </c>
      <c r="AF2285" s="101">
        <v>0</v>
      </c>
      <c r="AG2285" s="101">
        <v>1</v>
      </c>
      <c r="AH2285" s="101">
        <v>2</v>
      </c>
      <c r="AI2285" s="106">
        <v>0</v>
      </c>
      <c r="AJ2285" s="106">
        <v>1</v>
      </c>
      <c r="AK2285" s="106">
        <v>0</v>
      </c>
      <c r="AL2285" s="106">
        <v>3</v>
      </c>
      <c r="AM2285" s="101">
        <v>0</v>
      </c>
      <c r="AN2285" s="101">
        <v>0</v>
      </c>
      <c r="AO2285" s="101">
        <v>0</v>
      </c>
      <c r="AP2285" s="101">
        <v>0.3</v>
      </c>
      <c r="AQ2285" s="101">
        <v>300</v>
      </c>
      <c r="AR2285" s="101">
        <v>0</v>
      </c>
      <c r="AS2285" s="101">
        <v>0</v>
      </c>
      <c r="AT2285" s="106">
        <v>0</v>
      </c>
      <c r="AU2285" s="114">
        <v>0</v>
      </c>
      <c r="AV2285" s="114"/>
      <c r="AW2285" s="99" t="s">
        <v>198</v>
      </c>
      <c r="AX2285" s="101">
        <v>0</v>
      </c>
      <c r="AY2285" s="100">
        <v>0</v>
      </c>
      <c r="AZ2285" s="100">
        <v>0</v>
      </c>
      <c r="BA2285" s="99" t="s">
        <v>528</v>
      </c>
      <c r="BB2285" s="337" t="s">
        <v>5273</v>
      </c>
      <c r="BC2285" s="105">
        <v>0</v>
      </c>
      <c r="BD2285" s="105">
        <v>0</v>
      </c>
      <c r="BE2285" s="119" t="s">
        <v>5274</v>
      </c>
      <c r="BF2285" s="119" t="s">
        <v>5275</v>
      </c>
      <c r="BG2285" s="101">
        <v>0</v>
      </c>
      <c r="BH2285" s="101">
        <v>0</v>
      </c>
      <c r="BI2285" s="101">
        <v>0</v>
      </c>
      <c r="BJ2285" s="101">
        <v>0</v>
      </c>
      <c r="BK2285" s="101">
        <v>0</v>
      </c>
      <c r="BL2285" s="101">
        <v>0</v>
      </c>
      <c r="BM2285" s="97">
        <v>0</v>
      </c>
      <c r="BN2285" s="106">
        <v>0</v>
      </c>
      <c r="BO2285" s="106">
        <v>0</v>
      </c>
      <c r="BP2285" s="106">
        <v>0</v>
      </c>
      <c r="BQ2285" s="106">
        <v>0</v>
      </c>
      <c r="BR2285" s="106">
        <v>0</v>
      </c>
      <c r="BS2285" s="106">
        <v>1</v>
      </c>
      <c r="BT2285" s="106">
        <v>0</v>
      </c>
      <c r="BU2285" s="47">
        <v>0</v>
      </c>
      <c r="BV2285" s="47"/>
      <c r="BW2285" s="47"/>
    </row>
    <row r="2286" spans="3:75" ht="19.5" customHeight="1">
      <c r="C2286" s="100">
        <v>77002003</v>
      </c>
      <c r="D2286" s="99" t="s">
        <v>5276</v>
      </c>
      <c r="E2286" s="99" t="s">
        <v>5277</v>
      </c>
      <c r="F2286" s="100">
        <v>1</v>
      </c>
      <c r="G2286" s="101">
        <v>0</v>
      </c>
      <c r="H2286" s="100">
        <v>0</v>
      </c>
      <c r="I2286" s="105">
        <v>0</v>
      </c>
      <c r="J2286" s="100">
        <v>1</v>
      </c>
      <c r="K2286" s="100">
        <v>0</v>
      </c>
      <c r="L2286" s="100">
        <v>0</v>
      </c>
      <c r="M2286" s="101">
        <v>0</v>
      </c>
      <c r="N2286" s="101">
        <v>0</v>
      </c>
      <c r="O2286" s="101">
        <v>2</v>
      </c>
      <c r="P2286" s="101">
        <v>3</v>
      </c>
      <c r="Q2286" s="101">
        <v>0.2</v>
      </c>
      <c r="R2286" s="101">
        <v>0</v>
      </c>
      <c r="S2286" s="106">
        <v>0</v>
      </c>
      <c r="T2286" s="101">
        <v>0</v>
      </c>
      <c r="U2286" s="101">
        <v>1</v>
      </c>
      <c r="V2286" s="101">
        <v>1</v>
      </c>
      <c r="W2286" s="101">
        <v>0</v>
      </c>
      <c r="X2286" s="101">
        <v>0</v>
      </c>
      <c r="Y2286" s="12">
        <v>0</v>
      </c>
      <c r="Z2286" s="101">
        <v>0</v>
      </c>
      <c r="AA2286" s="101">
        <v>1</v>
      </c>
      <c r="AB2286" s="101">
        <v>0</v>
      </c>
      <c r="AC2286" s="101">
        <v>0</v>
      </c>
      <c r="AD2286" s="101">
        <v>0</v>
      </c>
      <c r="AE2286" s="101">
        <v>1</v>
      </c>
      <c r="AF2286" s="101">
        <v>0</v>
      </c>
      <c r="AG2286" s="101">
        <v>1</v>
      </c>
      <c r="AH2286" s="101">
        <v>20</v>
      </c>
      <c r="AI2286" s="106">
        <v>0</v>
      </c>
      <c r="AJ2286" s="106">
        <v>1</v>
      </c>
      <c r="AK2286" s="106">
        <v>0</v>
      </c>
      <c r="AL2286" s="106">
        <v>3</v>
      </c>
      <c r="AM2286" s="101">
        <v>0</v>
      </c>
      <c r="AN2286" s="101">
        <v>0</v>
      </c>
      <c r="AO2286" s="101">
        <v>0</v>
      </c>
      <c r="AP2286" s="101">
        <v>0.3</v>
      </c>
      <c r="AQ2286" s="101">
        <v>300</v>
      </c>
      <c r="AR2286" s="101">
        <v>0</v>
      </c>
      <c r="AS2286" s="101">
        <v>0</v>
      </c>
      <c r="AT2286" s="106">
        <v>0</v>
      </c>
      <c r="AU2286" s="336" t="s">
        <v>5278</v>
      </c>
      <c r="AV2286" s="114"/>
      <c r="AW2286" s="99" t="s">
        <v>198</v>
      </c>
      <c r="AX2286" s="101">
        <v>0</v>
      </c>
      <c r="AY2286" s="100">
        <v>0</v>
      </c>
      <c r="AZ2286" s="100">
        <v>0</v>
      </c>
      <c r="BA2286" s="99" t="s">
        <v>528</v>
      </c>
      <c r="BB2286" s="337" t="s">
        <v>5279</v>
      </c>
      <c r="BC2286" s="105">
        <v>0</v>
      </c>
      <c r="BD2286" s="105">
        <v>0</v>
      </c>
      <c r="BE2286" s="119" t="s">
        <v>5280</v>
      </c>
      <c r="BF2286" s="119" t="s">
        <v>5281</v>
      </c>
      <c r="BG2286" s="101">
        <v>0</v>
      </c>
      <c r="BH2286" s="101">
        <v>0</v>
      </c>
      <c r="BI2286" s="101">
        <v>0</v>
      </c>
      <c r="BJ2286" s="101">
        <v>0</v>
      </c>
      <c r="BK2286" s="101">
        <v>0</v>
      </c>
      <c r="BL2286" s="101">
        <v>0</v>
      </c>
      <c r="BM2286" s="97">
        <v>0</v>
      </c>
      <c r="BN2286" s="106">
        <v>0</v>
      </c>
      <c r="BO2286" s="106">
        <v>0</v>
      </c>
      <c r="BP2286" s="106">
        <v>0</v>
      </c>
      <c r="BQ2286" s="106">
        <v>0</v>
      </c>
      <c r="BR2286" s="106">
        <v>0</v>
      </c>
      <c r="BS2286" s="106">
        <v>1</v>
      </c>
      <c r="BT2286" s="106">
        <v>0</v>
      </c>
      <c r="BU2286" s="47">
        <v>0</v>
      </c>
      <c r="BV2286" s="47"/>
      <c r="BW2286" s="47"/>
    </row>
    <row r="2287" spans="3:75" ht="20.100000000000001" customHeight="1">
      <c r="C2287" s="100">
        <v>77002004</v>
      </c>
      <c r="D2287" s="99" t="s">
        <v>5282</v>
      </c>
      <c r="E2287" s="287" t="s">
        <v>5283</v>
      </c>
      <c r="F2287" s="97">
        <v>1</v>
      </c>
      <c r="G2287" s="97">
        <v>0</v>
      </c>
      <c r="H2287" s="101">
        <v>0</v>
      </c>
      <c r="I2287" s="105">
        <v>0</v>
      </c>
      <c r="J2287" s="100">
        <v>1</v>
      </c>
      <c r="K2287" s="100">
        <v>0</v>
      </c>
      <c r="L2287" s="100">
        <v>0</v>
      </c>
      <c r="M2287" s="101">
        <v>0</v>
      </c>
      <c r="N2287" s="101">
        <v>0</v>
      </c>
      <c r="O2287" s="101">
        <v>2</v>
      </c>
      <c r="P2287" s="101">
        <v>1</v>
      </c>
      <c r="Q2287" s="101">
        <v>0.15</v>
      </c>
      <c r="R2287" s="101">
        <v>0</v>
      </c>
      <c r="S2287" s="106">
        <v>0</v>
      </c>
      <c r="T2287" s="101">
        <v>0</v>
      </c>
      <c r="U2287" s="101">
        <v>1</v>
      </c>
      <c r="V2287" s="97">
        <v>1</v>
      </c>
      <c r="W2287" s="101">
        <v>0</v>
      </c>
      <c r="X2287" s="101">
        <v>0</v>
      </c>
      <c r="Y2287" s="12">
        <v>0</v>
      </c>
      <c r="Z2287" s="101">
        <v>0</v>
      </c>
      <c r="AA2287" s="101">
        <v>1</v>
      </c>
      <c r="AB2287" s="101">
        <v>0</v>
      </c>
      <c r="AC2287" s="101">
        <v>0</v>
      </c>
      <c r="AD2287" s="101">
        <v>0</v>
      </c>
      <c r="AE2287" s="101">
        <v>1</v>
      </c>
      <c r="AF2287" s="101">
        <v>0</v>
      </c>
      <c r="AG2287" s="101">
        <v>2</v>
      </c>
      <c r="AH2287" s="101" t="s">
        <v>213</v>
      </c>
      <c r="AI2287" s="106">
        <v>0</v>
      </c>
      <c r="AJ2287" s="106">
        <v>2</v>
      </c>
      <c r="AK2287" s="106">
        <v>0</v>
      </c>
      <c r="AL2287" s="106">
        <v>1.5</v>
      </c>
      <c r="AM2287" s="101">
        <v>0</v>
      </c>
      <c r="AN2287" s="101">
        <v>0</v>
      </c>
      <c r="AO2287" s="101">
        <v>0</v>
      </c>
      <c r="AP2287" s="101">
        <v>1.5</v>
      </c>
      <c r="AQ2287" s="101">
        <v>1600</v>
      </c>
      <c r="AR2287" s="101">
        <v>1</v>
      </c>
      <c r="AS2287" s="101">
        <v>15</v>
      </c>
      <c r="AT2287" s="106">
        <v>0</v>
      </c>
      <c r="AU2287" s="336" t="s">
        <v>198</v>
      </c>
      <c r="AV2287" s="114"/>
      <c r="AW2287" s="99" t="s">
        <v>198</v>
      </c>
      <c r="AX2287" s="101" t="s">
        <v>215</v>
      </c>
      <c r="AY2287" s="100">
        <v>0</v>
      </c>
      <c r="AZ2287" s="100">
        <v>0</v>
      </c>
      <c r="BA2287" s="99" t="s">
        <v>216</v>
      </c>
      <c r="BB2287" s="101">
        <v>0</v>
      </c>
      <c r="BC2287" s="105">
        <v>0</v>
      </c>
      <c r="BD2287" s="105">
        <v>0</v>
      </c>
      <c r="BE2287" s="119" t="s">
        <v>5284</v>
      </c>
      <c r="BF2287" s="119" t="s">
        <v>5285</v>
      </c>
      <c r="BG2287" s="101">
        <v>0</v>
      </c>
      <c r="BH2287" s="101">
        <v>0</v>
      </c>
      <c r="BI2287" s="101">
        <v>0</v>
      </c>
      <c r="BJ2287" s="101">
        <v>0</v>
      </c>
      <c r="BK2287" s="101">
        <v>0</v>
      </c>
      <c r="BL2287" s="101">
        <v>0</v>
      </c>
      <c r="BM2287" s="97">
        <v>0</v>
      </c>
      <c r="BN2287" s="106">
        <v>0</v>
      </c>
      <c r="BO2287" s="106">
        <v>0</v>
      </c>
      <c r="BP2287" s="106">
        <v>0</v>
      </c>
      <c r="BQ2287" s="106">
        <v>0</v>
      </c>
      <c r="BR2287" s="106">
        <v>0</v>
      </c>
      <c r="BS2287" s="106">
        <v>1</v>
      </c>
      <c r="BT2287" s="106">
        <v>0</v>
      </c>
      <c r="BU2287" s="47">
        <v>0</v>
      </c>
      <c r="BV2287" s="47"/>
      <c r="BW2287" s="47"/>
    </row>
    <row r="2288" spans="3:75" ht="20.100000000000001" customHeight="1">
      <c r="C2288" s="100">
        <v>77002005</v>
      </c>
      <c r="D2288" s="99" t="s">
        <v>5282</v>
      </c>
      <c r="E2288" s="287" t="s">
        <v>5283</v>
      </c>
      <c r="F2288" s="97">
        <v>1</v>
      </c>
      <c r="G2288" s="97">
        <v>0</v>
      </c>
      <c r="H2288" s="101">
        <v>0</v>
      </c>
      <c r="I2288" s="105">
        <v>0</v>
      </c>
      <c r="J2288" s="100">
        <v>1</v>
      </c>
      <c r="K2288" s="100">
        <v>0</v>
      </c>
      <c r="L2288" s="100">
        <v>0</v>
      </c>
      <c r="M2288" s="101">
        <v>0</v>
      </c>
      <c r="N2288" s="101">
        <v>0</v>
      </c>
      <c r="O2288" s="101">
        <v>2</v>
      </c>
      <c r="P2288" s="101">
        <v>2</v>
      </c>
      <c r="Q2288" s="101">
        <v>1</v>
      </c>
      <c r="R2288" s="101">
        <v>0</v>
      </c>
      <c r="S2288" s="106">
        <v>0</v>
      </c>
      <c r="T2288" s="101">
        <v>0</v>
      </c>
      <c r="U2288" s="101">
        <v>1</v>
      </c>
      <c r="V2288" s="97">
        <v>1</v>
      </c>
      <c r="W2288" s="101">
        <v>0</v>
      </c>
      <c r="X2288" s="101">
        <v>0</v>
      </c>
      <c r="Y2288" s="12">
        <v>0</v>
      </c>
      <c r="Z2288" s="101">
        <v>0</v>
      </c>
      <c r="AA2288" s="101">
        <v>1</v>
      </c>
      <c r="AB2288" s="101">
        <v>0</v>
      </c>
      <c r="AC2288" s="101">
        <v>0</v>
      </c>
      <c r="AD2288" s="101">
        <v>0</v>
      </c>
      <c r="AE2288" s="101">
        <v>1</v>
      </c>
      <c r="AF2288" s="101">
        <v>20</v>
      </c>
      <c r="AG2288" s="101">
        <v>2</v>
      </c>
      <c r="AH2288" s="101" t="s">
        <v>213</v>
      </c>
      <c r="AI2288" s="106">
        <v>0</v>
      </c>
      <c r="AJ2288" s="106">
        <v>2</v>
      </c>
      <c r="AK2288" s="106">
        <v>0</v>
      </c>
      <c r="AL2288" s="106">
        <v>1.5</v>
      </c>
      <c r="AM2288" s="101">
        <v>0</v>
      </c>
      <c r="AN2288" s="101">
        <v>0</v>
      </c>
      <c r="AO2288" s="101">
        <v>0</v>
      </c>
      <c r="AP2288" s="101">
        <v>1.5</v>
      </c>
      <c r="AQ2288" s="101">
        <v>1600</v>
      </c>
      <c r="AR2288" s="101">
        <v>1</v>
      </c>
      <c r="AS2288" s="101">
        <v>15</v>
      </c>
      <c r="AT2288" s="106">
        <v>0</v>
      </c>
      <c r="AU2288" s="336" t="s">
        <v>198</v>
      </c>
      <c r="AV2288" s="114"/>
      <c r="AW2288" s="99" t="s">
        <v>198</v>
      </c>
      <c r="AX2288" s="101" t="s">
        <v>215</v>
      </c>
      <c r="AY2288" s="100">
        <v>0</v>
      </c>
      <c r="AZ2288" s="100">
        <v>0</v>
      </c>
      <c r="BA2288" s="99" t="s">
        <v>216</v>
      </c>
      <c r="BB2288" s="101">
        <v>0</v>
      </c>
      <c r="BC2288" s="105">
        <v>0</v>
      </c>
      <c r="BD2288" s="105">
        <v>0</v>
      </c>
      <c r="BE2288" s="119" t="s">
        <v>5284</v>
      </c>
      <c r="BF2288" s="119" t="s">
        <v>5285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spans="1:75" ht="19.5" customHeight="1">
      <c r="C2289" s="100">
        <v>77002006</v>
      </c>
      <c r="D2289" s="99" t="s">
        <v>1324</v>
      </c>
      <c r="E2289" s="99" t="s">
        <v>1325</v>
      </c>
      <c r="F2289" s="100">
        <v>1</v>
      </c>
      <c r="G2289" s="100">
        <v>80004009</v>
      </c>
      <c r="H2289" s="100">
        <v>0</v>
      </c>
      <c r="I2289" s="105">
        <v>0</v>
      </c>
      <c r="J2289" s="100">
        <v>1</v>
      </c>
      <c r="K2289" s="100">
        <v>0</v>
      </c>
      <c r="L2289" s="100">
        <v>0</v>
      </c>
      <c r="M2289" s="101">
        <v>0</v>
      </c>
      <c r="N2289" s="101">
        <v>0</v>
      </c>
      <c r="O2289" s="101">
        <v>2</v>
      </c>
      <c r="P2289" s="101">
        <v>1</v>
      </c>
      <c r="Q2289" s="101">
        <v>0.2</v>
      </c>
      <c r="R2289" s="101">
        <v>0</v>
      </c>
      <c r="S2289" s="106">
        <v>0</v>
      </c>
      <c r="T2289" s="101">
        <v>0</v>
      </c>
      <c r="U2289" s="101">
        <v>1</v>
      </c>
      <c r="V2289" s="101">
        <v>2</v>
      </c>
      <c r="W2289" s="101">
        <v>0</v>
      </c>
      <c r="X2289" s="101">
        <v>0.8</v>
      </c>
      <c r="Y2289" s="12">
        <v>0</v>
      </c>
      <c r="Z2289" s="101">
        <v>0</v>
      </c>
      <c r="AA2289" s="101">
        <v>1</v>
      </c>
      <c r="AB2289" s="101">
        <v>0</v>
      </c>
      <c r="AC2289" s="101">
        <v>0</v>
      </c>
      <c r="AD2289" s="101">
        <v>0</v>
      </c>
      <c r="AE2289" s="101">
        <v>1</v>
      </c>
      <c r="AF2289" s="101">
        <v>0</v>
      </c>
      <c r="AG2289" s="101">
        <v>1</v>
      </c>
      <c r="AH2289" s="101">
        <v>2</v>
      </c>
      <c r="AI2289" s="106">
        <v>0</v>
      </c>
      <c r="AJ2289" s="106">
        <v>2</v>
      </c>
      <c r="AK2289" s="106">
        <v>0</v>
      </c>
      <c r="AL2289" s="106">
        <v>2</v>
      </c>
      <c r="AM2289" s="101">
        <v>0</v>
      </c>
      <c r="AN2289" s="101">
        <v>0</v>
      </c>
      <c r="AO2289" s="101">
        <v>0</v>
      </c>
      <c r="AP2289" s="101">
        <v>2</v>
      </c>
      <c r="AQ2289" s="101">
        <v>5000</v>
      </c>
      <c r="AR2289" s="101">
        <v>0</v>
      </c>
      <c r="AS2289" s="101">
        <v>10</v>
      </c>
      <c r="AT2289" s="113">
        <v>0</v>
      </c>
      <c r="AU2289" s="336" t="s">
        <v>5286</v>
      </c>
      <c r="AV2289" s="114"/>
      <c r="AW2289" s="99" t="s">
        <v>198</v>
      </c>
      <c r="AX2289" s="101" t="s">
        <v>534</v>
      </c>
      <c r="AY2289" s="100">
        <v>10000007</v>
      </c>
      <c r="AZ2289" s="334" t="s">
        <v>5287</v>
      </c>
      <c r="BA2289" s="99" t="s">
        <v>586</v>
      </c>
      <c r="BB2289" s="101" t="s">
        <v>1318</v>
      </c>
      <c r="BC2289" s="105">
        <v>0</v>
      </c>
      <c r="BD2289" s="105">
        <v>1</v>
      </c>
      <c r="BE2289" s="119" t="s">
        <v>5288</v>
      </c>
      <c r="BF2289" s="119" t="s">
        <v>5289</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1:75" ht="19.5" customHeight="1">
      <c r="C2290" s="100">
        <v>77002007</v>
      </c>
      <c r="D2290" s="99" t="s">
        <v>5290</v>
      </c>
      <c r="E2290" s="99" t="s">
        <v>5291</v>
      </c>
      <c r="F2290" s="100">
        <v>1</v>
      </c>
      <c r="G2290" s="101">
        <v>60010100</v>
      </c>
      <c r="H2290" s="100">
        <v>0</v>
      </c>
      <c r="I2290" s="105">
        <v>0</v>
      </c>
      <c r="J2290" s="100">
        <v>1</v>
      </c>
      <c r="K2290" s="100">
        <v>0</v>
      </c>
      <c r="L2290" s="100">
        <v>0</v>
      </c>
      <c r="M2290" s="101">
        <v>0</v>
      </c>
      <c r="N2290" s="101">
        <v>0</v>
      </c>
      <c r="O2290" s="101">
        <v>2</v>
      </c>
      <c r="P2290" s="101">
        <v>16</v>
      </c>
      <c r="Q2290" s="101">
        <v>4</v>
      </c>
      <c r="R2290" s="101">
        <v>0</v>
      </c>
      <c r="S2290" s="106">
        <v>0</v>
      </c>
      <c r="T2290" s="101">
        <v>0</v>
      </c>
      <c r="U2290" s="101">
        <v>1</v>
      </c>
      <c r="V2290" s="101">
        <v>2</v>
      </c>
      <c r="W2290" s="101">
        <v>0</v>
      </c>
      <c r="X2290" s="101">
        <v>1.5</v>
      </c>
      <c r="Y2290" s="12">
        <v>0</v>
      </c>
      <c r="Z2290" s="101">
        <v>0</v>
      </c>
      <c r="AA2290" s="101">
        <v>1</v>
      </c>
      <c r="AB2290" s="101">
        <v>0</v>
      </c>
      <c r="AC2290" s="101">
        <v>0</v>
      </c>
      <c r="AD2290" s="101">
        <v>0</v>
      </c>
      <c r="AE2290" s="101">
        <v>1</v>
      </c>
      <c r="AF2290" s="101">
        <v>0</v>
      </c>
      <c r="AG2290" s="101">
        <v>1</v>
      </c>
      <c r="AH2290" s="101">
        <v>4</v>
      </c>
      <c r="AI2290" s="106">
        <v>0</v>
      </c>
      <c r="AJ2290" s="106">
        <v>1</v>
      </c>
      <c r="AK2290" s="106">
        <v>0</v>
      </c>
      <c r="AL2290" s="106">
        <v>3</v>
      </c>
      <c r="AM2290" s="101">
        <v>0</v>
      </c>
      <c r="AN2290" s="101">
        <v>1</v>
      </c>
      <c r="AO2290" s="101">
        <v>0</v>
      </c>
      <c r="AP2290" s="101">
        <v>1</v>
      </c>
      <c r="AQ2290" s="101">
        <v>3000</v>
      </c>
      <c r="AR2290" s="101">
        <v>1</v>
      </c>
      <c r="AS2290" s="101">
        <v>0</v>
      </c>
      <c r="AT2290" s="106">
        <v>0</v>
      </c>
      <c r="AU2290" s="336" t="s">
        <v>5292</v>
      </c>
      <c r="AV2290" s="114"/>
      <c r="AW2290" s="102" t="s">
        <v>198</v>
      </c>
      <c r="AX2290" s="101" t="s">
        <v>534</v>
      </c>
      <c r="AY2290" s="100">
        <v>0</v>
      </c>
      <c r="AZ2290" s="334" t="s">
        <v>5293</v>
      </c>
      <c r="BA2290" s="99" t="s">
        <v>200</v>
      </c>
      <c r="BB2290" s="101">
        <v>0</v>
      </c>
      <c r="BC2290" s="105">
        <v>0</v>
      </c>
      <c r="BD2290" s="105">
        <v>0</v>
      </c>
      <c r="BE2290" s="119" t="s">
        <v>5294</v>
      </c>
      <c r="BF2290" s="119" t="s">
        <v>5295</v>
      </c>
      <c r="BG2290" s="101">
        <v>0</v>
      </c>
      <c r="BH2290" s="101">
        <v>0</v>
      </c>
      <c r="BI2290" s="101">
        <v>0</v>
      </c>
      <c r="BJ2290" s="101">
        <v>0</v>
      </c>
      <c r="BK2290" s="101">
        <v>0</v>
      </c>
      <c r="BL2290" s="101">
        <v>0</v>
      </c>
      <c r="BM2290" s="97">
        <v>0</v>
      </c>
      <c r="BN2290" s="106">
        <v>0</v>
      </c>
      <c r="BO2290" s="106">
        <v>0</v>
      </c>
      <c r="BP2290" s="106">
        <v>0</v>
      </c>
      <c r="BQ2290" s="106">
        <v>0</v>
      </c>
      <c r="BR2290" s="106">
        <v>0</v>
      </c>
      <c r="BS2290" s="106">
        <v>0</v>
      </c>
      <c r="BT2290" s="106">
        <v>0</v>
      </c>
      <c r="BU2290" s="47">
        <v>0</v>
      </c>
      <c r="BV2290" s="47"/>
      <c r="BW2290" s="47"/>
    </row>
    <row r="2291" spans="1:75" ht="20.100000000000001" customHeight="1">
      <c r="C2291" s="100">
        <v>77002008</v>
      </c>
      <c r="D2291" s="99" t="s">
        <v>5296</v>
      </c>
      <c r="E2291" s="287" t="s">
        <v>5297</v>
      </c>
      <c r="F2291" s="97">
        <v>1</v>
      </c>
      <c r="G2291" s="97">
        <v>0</v>
      </c>
      <c r="H2291" s="101">
        <v>0</v>
      </c>
      <c r="I2291" s="105">
        <v>0</v>
      </c>
      <c r="J2291" s="100">
        <v>1</v>
      </c>
      <c r="K2291" s="100">
        <v>0</v>
      </c>
      <c r="L2291" s="100">
        <v>0</v>
      </c>
      <c r="M2291" s="101">
        <v>0</v>
      </c>
      <c r="N2291" s="101">
        <v>0</v>
      </c>
      <c r="O2291" s="101">
        <v>2</v>
      </c>
      <c r="P2291" s="101">
        <v>3</v>
      </c>
      <c r="Q2291" s="101">
        <v>0.2</v>
      </c>
      <c r="R2291" s="101">
        <v>0</v>
      </c>
      <c r="S2291" s="106">
        <v>0</v>
      </c>
      <c r="T2291" s="101">
        <v>0</v>
      </c>
      <c r="U2291" s="101">
        <v>1</v>
      </c>
      <c r="V2291" s="97">
        <v>1</v>
      </c>
      <c r="W2291" s="101">
        <v>0</v>
      </c>
      <c r="X2291" s="101">
        <v>2</v>
      </c>
      <c r="Y2291" s="12">
        <v>0</v>
      </c>
      <c r="Z2291" s="101">
        <v>0</v>
      </c>
      <c r="AA2291" s="101">
        <v>1</v>
      </c>
      <c r="AB2291" s="101">
        <v>0</v>
      </c>
      <c r="AC2291" s="101">
        <v>0</v>
      </c>
      <c r="AD2291" s="101">
        <v>0</v>
      </c>
      <c r="AE2291" s="101">
        <v>1</v>
      </c>
      <c r="AF2291" s="101">
        <v>24</v>
      </c>
      <c r="AG2291" s="101">
        <v>1</v>
      </c>
      <c r="AH2291" s="101">
        <v>6</v>
      </c>
      <c r="AI2291" s="106">
        <v>0</v>
      </c>
      <c r="AJ2291" s="106">
        <v>1</v>
      </c>
      <c r="AK2291" s="106">
        <v>0</v>
      </c>
      <c r="AL2291" s="106">
        <v>3</v>
      </c>
      <c r="AM2291" s="101">
        <v>0</v>
      </c>
      <c r="AN2291" s="101">
        <v>1</v>
      </c>
      <c r="AO2291" s="101">
        <v>0</v>
      </c>
      <c r="AP2291" s="101">
        <v>2</v>
      </c>
      <c r="AQ2291" s="101">
        <v>3000</v>
      </c>
      <c r="AR2291" s="101">
        <v>1</v>
      </c>
      <c r="AS2291" s="101">
        <v>0</v>
      </c>
      <c r="AT2291" s="332" t="s">
        <v>5298</v>
      </c>
      <c r="AU2291" s="336" t="s">
        <v>5278</v>
      </c>
      <c r="AV2291" s="114"/>
      <c r="AW2291" s="99" t="s">
        <v>256</v>
      </c>
      <c r="AX2291" s="101" t="s">
        <v>215</v>
      </c>
      <c r="AY2291" s="100">
        <v>10000011</v>
      </c>
      <c r="AZ2291" s="334" t="s">
        <v>5299</v>
      </c>
      <c r="BA2291" s="102" t="s">
        <v>200</v>
      </c>
      <c r="BB2291" s="101">
        <v>0</v>
      </c>
      <c r="BC2291" s="105">
        <v>0</v>
      </c>
      <c r="BD2291" s="105">
        <v>0</v>
      </c>
      <c r="BE2291" s="119" t="s">
        <v>5300</v>
      </c>
      <c r="BF2291" s="119" t="s">
        <v>5301</v>
      </c>
      <c r="BG2291" s="101">
        <v>0</v>
      </c>
      <c r="BH2291" s="101">
        <v>0</v>
      </c>
      <c r="BI2291" s="101">
        <v>0</v>
      </c>
      <c r="BJ2291" s="101">
        <v>0</v>
      </c>
      <c r="BK2291" s="101">
        <v>0</v>
      </c>
      <c r="BL2291" s="101">
        <v>0</v>
      </c>
      <c r="BM2291" s="97">
        <v>0</v>
      </c>
      <c r="BN2291" s="106">
        <v>0</v>
      </c>
      <c r="BO2291" s="106">
        <v>0</v>
      </c>
      <c r="BP2291" s="106">
        <v>0</v>
      </c>
      <c r="BQ2291" s="106">
        <v>0</v>
      </c>
      <c r="BR2291" s="106">
        <v>0</v>
      </c>
      <c r="BS2291" s="106">
        <v>0</v>
      </c>
      <c r="BT2291" s="106">
        <v>0</v>
      </c>
      <c r="BU2291" s="47">
        <v>0</v>
      </c>
      <c r="BV2291" s="47"/>
      <c r="BW2291" s="47"/>
    </row>
    <row r="2292" spans="1:75" ht="19.5" customHeight="1">
      <c r="C2292" s="100">
        <v>77002009</v>
      </c>
      <c r="D2292" s="99" t="s">
        <v>5302</v>
      </c>
      <c r="E2292" s="99" t="s">
        <v>5303</v>
      </c>
      <c r="F2292" s="100">
        <v>1</v>
      </c>
      <c r="G2292" s="100">
        <v>0</v>
      </c>
      <c r="H2292" s="100">
        <v>0</v>
      </c>
      <c r="I2292" s="105">
        <v>0</v>
      </c>
      <c r="J2292" s="100">
        <v>1</v>
      </c>
      <c r="K2292" s="100">
        <v>0</v>
      </c>
      <c r="L2292" s="100">
        <v>0</v>
      </c>
      <c r="M2292" s="101">
        <v>0</v>
      </c>
      <c r="N2292" s="101">
        <v>0</v>
      </c>
      <c r="O2292" s="101">
        <v>2</v>
      </c>
      <c r="P2292" s="101">
        <v>3</v>
      </c>
      <c r="Q2292" s="101">
        <v>0.1</v>
      </c>
      <c r="R2292" s="101">
        <v>0</v>
      </c>
      <c r="S2292" s="106">
        <v>0</v>
      </c>
      <c r="T2292" s="101">
        <v>0</v>
      </c>
      <c r="U2292" s="101">
        <v>1</v>
      </c>
      <c r="V2292" s="101">
        <v>2</v>
      </c>
      <c r="W2292" s="101">
        <v>0</v>
      </c>
      <c r="X2292" s="101">
        <v>1</v>
      </c>
      <c r="Y2292" s="12">
        <v>0</v>
      </c>
      <c r="Z2292" s="101">
        <v>0</v>
      </c>
      <c r="AA2292" s="101">
        <v>1</v>
      </c>
      <c r="AB2292" s="101">
        <v>0</v>
      </c>
      <c r="AC2292" s="101">
        <v>0</v>
      </c>
      <c r="AD2292" s="101">
        <v>1</v>
      </c>
      <c r="AE2292" s="101">
        <v>0</v>
      </c>
      <c r="AF2292" s="101">
        <v>0</v>
      </c>
      <c r="AG2292" s="101">
        <v>1</v>
      </c>
      <c r="AH2292" s="101">
        <v>3</v>
      </c>
      <c r="AI2292" s="106">
        <v>4</v>
      </c>
      <c r="AJ2292" s="106">
        <v>1</v>
      </c>
      <c r="AK2292" s="106">
        <v>0</v>
      </c>
      <c r="AL2292" s="106">
        <v>1.5</v>
      </c>
      <c r="AM2292" s="101">
        <v>0</v>
      </c>
      <c r="AN2292" s="101">
        <v>0</v>
      </c>
      <c r="AO2292" s="101">
        <v>0</v>
      </c>
      <c r="AP2292" s="101">
        <v>0</v>
      </c>
      <c r="AQ2292" s="101">
        <v>6000</v>
      </c>
      <c r="AR2292" s="101">
        <v>0.8</v>
      </c>
      <c r="AS2292" s="101">
        <v>0</v>
      </c>
      <c r="AT2292" s="106">
        <v>0</v>
      </c>
      <c r="AU2292" s="336" t="s">
        <v>5292</v>
      </c>
      <c r="AV2292" s="114"/>
      <c r="AW2292" s="102" t="s">
        <v>199</v>
      </c>
      <c r="AX2292" s="101" t="s">
        <v>534</v>
      </c>
      <c r="AY2292" s="100">
        <v>0</v>
      </c>
      <c r="AZ2292" s="334" t="s">
        <v>5304</v>
      </c>
      <c r="BA2292" s="99" t="s">
        <v>200</v>
      </c>
      <c r="BB2292" s="101" t="s">
        <v>5305</v>
      </c>
      <c r="BC2292" s="105">
        <v>0</v>
      </c>
      <c r="BD2292" s="105">
        <v>0</v>
      </c>
      <c r="BE2292" s="119" t="s">
        <v>5060</v>
      </c>
      <c r="BF2292" s="119" t="s">
        <v>5061</v>
      </c>
      <c r="BG2292" s="101">
        <v>0</v>
      </c>
      <c r="BH2292" s="101">
        <v>0</v>
      </c>
      <c r="BI2292" s="101">
        <v>0</v>
      </c>
      <c r="BJ2292" s="101">
        <v>0</v>
      </c>
      <c r="BK2292" s="101">
        <v>0</v>
      </c>
      <c r="BL2292" s="101">
        <v>0</v>
      </c>
      <c r="BM2292" s="97">
        <v>0</v>
      </c>
      <c r="BN2292" s="106">
        <v>0</v>
      </c>
      <c r="BO2292" s="106">
        <v>0</v>
      </c>
      <c r="BP2292" s="106">
        <v>0</v>
      </c>
      <c r="BQ2292" s="106">
        <v>0</v>
      </c>
      <c r="BR2292" s="106">
        <v>0</v>
      </c>
      <c r="BS2292" s="106">
        <v>0</v>
      </c>
      <c r="BT2292" s="106">
        <v>0</v>
      </c>
      <c r="BU2292" s="47">
        <v>0</v>
      </c>
      <c r="BV2292" s="47"/>
      <c r="BW2292" s="47"/>
    </row>
    <row r="2293" spans="1:75" ht="20.100000000000001" customHeight="1">
      <c r="C2293" s="100">
        <v>77002010</v>
      </c>
      <c r="D2293" s="99" t="s">
        <v>5306</v>
      </c>
      <c r="E2293" s="99" t="s">
        <v>5307</v>
      </c>
      <c r="F2293" s="101">
        <v>1</v>
      </c>
      <c r="G2293" s="101">
        <v>0</v>
      </c>
      <c r="H2293" s="100">
        <v>0</v>
      </c>
      <c r="I2293" s="105">
        <v>0</v>
      </c>
      <c r="J2293" s="100">
        <v>1</v>
      </c>
      <c r="K2293" s="100">
        <v>0</v>
      </c>
      <c r="L2293" s="100">
        <v>0</v>
      </c>
      <c r="M2293" s="101">
        <v>0</v>
      </c>
      <c r="N2293" s="101">
        <v>0</v>
      </c>
      <c r="O2293" s="101">
        <v>2</v>
      </c>
      <c r="P2293" s="101">
        <v>2</v>
      </c>
      <c r="Q2293" s="101">
        <v>0.8</v>
      </c>
      <c r="R2293" s="101">
        <v>0</v>
      </c>
      <c r="S2293" s="106">
        <v>3</v>
      </c>
      <c r="T2293" s="101">
        <v>0</v>
      </c>
      <c r="U2293" s="101">
        <v>1</v>
      </c>
      <c r="V2293" s="101">
        <v>2</v>
      </c>
      <c r="W2293" s="101">
        <v>0</v>
      </c>
      <c r="X2293" s="101">
        <v>0.8</v>
      </c>
      <c r="Y2293" s="12">
        <v>0</v>
      </c>
      <c r="Z2293" s="101">
        <v>0</v>
      </c>
      <c r="AA2293" s="101">
        <v>0</v>
      </c>
      <c r="AB2293" s="101">
        <v>0</v>
      </c>
      <c r="AC2293" s="101">
        <v>0</v>
      </c>
      <c r="AD2293" s="101">
        <v>0</v>
      </c>
      <c r="AE2293" s="101">
        <v>0</v>
      </c>
      <c r="AF2293" s="101">
        <v>28</v>
      </c>
      <c r="AG2293" s="101">
        <v>1</v>
      </c>
      <c r="AH2293" s="101">
        <v>3</v>
      </c>
      <c r="AI2293" s="106">
        <v>6</v>
      </c>
      <c r="AJ2293" s="106">
        <v>1</v>
      </c>
      <c r="AK2293" s="106">
        <v>0</v>
      </c>
      <c r="AL2293" s="106">
        <v>1.5</v>
      </c>
      <c r="AM2293" s="101">
        <v>0</v>
      </c>
      <c r="AN2293" s="101">
        <v>0</v>
      </c>
      <c r="AO2293" s="101">
        <v>0</v>
      </c>
      <c r="AP2293" s="101">
        <v>1</v>
      </c>
      <c r="AQ2293" s="101">
        <v>5000</v>
      </c>
      <c r="AR2293" s="101">
        <v>1</v>
      </c>
      <c r="AS2293" s="101">
        <v>0</v>
      </c>
      <c r="AT2293" s="106">
        <v>0</v>
      </c>
      <c r="AU2293" s="336" t="s">
        <v>5308</v>
      </c>
      <c r="AV2293" s="114"/>
      <c r="AW2293" s="102" t="s">
        <v>256</v>
      </c>
      <c r="AX2293" s="101" t="s">
        <v>534</v>
      </c>
      <c r="AY2293" s="100">
        <v>10000007</v>
      </c>
      <c r="AZ2293" s="334" t="s">
        <v>5309</v>
      </c>
      <c r="BA2293" s="99" t="s">
        <v>200</v>
      </c>
      <c r="BB2293" s="101" t="s">
        <v>5310</v>
      </c>
      <c r="BC2293" s="105">
        <v>0</v>
      </c>
      <c r="BD2293" s="105">
        <v>0</v>
      </c>
      <c r="BE2293" s="119" t="s">
        <v>5311</v>
      </c>
      <c r="BF2293" s="119" t="s">
        <v>5312</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spans="1:75" ht="19.5" customHeight="1">
      <c r="C2294" s="100">
        <v>77002011</v>
      </c>
      <c r="D2294" s="99" t="s">
        <v>5313</v>
      </c>
      <c r="E2294" s="99" t="s">
        <v>5314</v>
      </c>
      <c r="F2294" s="101">
        <v>1</v>
      </c>
      <c r="G2294" s="101">
        <v>61012301</v>
      </c>
      <c r="H2294" s="101">
        <v>0</v>
      </c>
      <c r="I2294" s="105">
        <v>0</v>
      </c>
      <c r="J2294" s="100">
        <v>1</v>
      </c>
      <c r="K2294" s="100">
        <v>0</v>
      </c>
      <c r="L2294" s="100">
        <v>0</v>
      </c>
      <c r="M2294" s="101">
        <v>0</v>
      </c>
      <c r="N2294" s="101">
        <v>0</v>
      </c>
      <c r="O2294" s="101">
        <v>2</v>
      </c>
      <c r="P2294" s="101">
        <v>1</v>
      </c>
      <c r="Q2294" s="101">
        <v>0.15</v>
      </c>
      <c r="R2294" s="101">
        <v>0</v>
      </c>
      <c r="S2294" s="106">
        <v>1</v>
      </c>
      <c r="T2294" s="101">
        <v>0</v>
      </c>
      <c r="U2294" s="101">
        <v>0</v>
      </c>
      <c r="V2294" s="101">
        <v>1</v>
      </c>
      <c r="W2294" s="101">
        <v>0</v>
      </c>
      <c r="X2294" s="101">
        <v>0</v>
      </c>
      <c r="Y2294" s="12">
        <v>0</v>
      </c>
      <c r="Z2294" s="101">
        <v>0</v>
      </c>
      <c r="AA2294" s="101">
        <v>1</v>
      </c>
      <c r="AB2294" s="101">
        <v>0</v>
      </c>
      <c r="AC2294" s="101">
        <v>0</v>
      </c>
      <c r="AD2294" s="101">
        <v>0</v>
      </c>
      <c r="AE2294" s="101">
        <v>1</v>
      </c>
      <c r="AF2294" s="101">
        <v>6</v>
      </c>
      <c r="AG2294" s="101">
        <v>2</v>
      </c>
      <c r="AH2294" s="101" t="s">
        <v>213</v>
      </c>
      <c r="AI2294" s="106">
        <v>0</v>
      </c>
      <c r="AJ2294" s="106">
        <v>2</v>
      </c>
      <c r="AK2294" s="106">
        <v>0</v>
      </c>
      <c r="AL2294" s="106">
        <v>1.5</v>
      </c>
      <c r="AM2294" s="101">
        <v>0</v>
      </c>
      <c r="AN2294" s="101">
        <v>0</v>
      </c>
      <c r="AO2294" s="101">
        <v>0</v>
      </c>
      <c r="AP2294" s="101">
        <v>0.5</v>
      </c>
      <c r="AQ2294" s="101">
        <v>500</v>
      </c>
      <c r="AR2294" s="101">
        <v>0</v>
      </c>
      <c r="AS2294" s="101">
        <v>15</v>
      </c>
      <c r="AT2294" s="106">
        <v>97010008</v>
      </c>
      <c r="AU2294" s="114">
        <v>0</v>
      </c>
      <c r="AV2294" s="114"/>
      <c r="AW2294" s="99" t="s">
        <v>287</v>
      </c>
      <c r="AX2294" s="101" t="s">
        <v>215</v>
      </c>
      <c r="AY2294" s="100">
        <v>0</v>
      </c>
      <c r="AZ2294" s="100">
        <v>0</v>
      </c>
      <c r="BA2294" s="136" t="s">
        <v>216</v>
      </c>
      <c r="BB2294" s="101">
        <v>0</v>
      </c>
      <c r="BC2294" s="105">
        <v>0</v>
      </c>
      <c r="BD2294" s="105">
        <v>0</v>
      </c>
      <c r="BE2294" s="119" t="s">
        <v>5315</v>
      </c>
      <c r="BF2294" s="119" t="s">
        <v>5316</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77002012</v>
      </c>
      <c r="BU2294" s="47">
        <v>0</v>
      </c>
      <c r="BV2294" s="47"/>
      <c r="BW2294" s="47"/>
    </row>
    <row r="2295" spans="1:75" ht="19.5" customHeight="1">
      <c r="C2295" s="100">
        <v>77002012</v>
      </c>
      <c r="D2295" s="102" t="s">
        <v>5317</v>
      </c>
      <c r="E2295" s="102" t="s">
        <v>5318</v>
      </c>
      <c r="F2295" s="101">
        <v>1</v>
      </c>
      <c r="G2295" s="100">
        <v>61022101</v>
      </c>
      <c r="H2295" s="100">
        <v>0</v>
      </c>
      <c r="I2295" s="105">
        <v>0</v>
      </c>
      <c r="J2295" s="101">
        <v>1</v>
      </c>
      <c r="K2295" s="101">
        <v>0</v>
      </c>
      <c r="L2295" s="101">
        <v>0</v>
      </c>
      <c r="M2295" s="100">
        <v>0</v>
      </c>
      <c r="N2295" s="100">
        <v>0</v>
      </c>
      <c r="O2295" s="100">
        <v>2</v>
      </c>
      <c r="P2295" s="100">
        <v>2</v>
      </c>
      <c r="Q2295" s="100">
        <v>1</v>
      </c>
      <c r="R2295" s="100">
        <v>0</v>
      </c>
      <c r="S2295" s="106">
        <v>0</v>
      </c>
      <c r="T2295" s="105">
        <v>0</v>
      </c>
      <c r="U2295" s="101">
        <v>1</v>
      </c>
      <c r="V2295" s="100">
        <v>1</v>
      </c>
      <c r="W2295" s="100">
        <v>0</v>
      </c>
      <c r="X2295" s="100">
        <v>1.5</v>
      </c>
      <c r="Y2295" s="12">
        <v>0</v>
      </c>
      <c r="Z2295" s="100">
        <v>0</v>
      </c>
      <c r="AA2295" s="100">
        <v>0</v>
      </c>
      <c r="AB2295" s="100">
        <v>0</v>
      </c>
      <c r="AC2295" s="100">
        <v>0</v>
      </c>
      <c r="AD2295" s="100">
        <v>0</v>
      </c>
      <c r="AE2295" s="100">
        <v>0</v>
      </c>
      <c r="AF2295" s="100">
        <v>8</v>
      </c>
      <c r="AG2295" s="100">
        <v>1</v>
      </c>
      <c r="AH2295" s="157">
        <v>5</v>
      </c>
      <c r="AI2295" s="106">
        <v>0</v>
      </c>
      <c r="AJ2295" s="106">
        <v>1</v>
      </c>
      <c r="AK2295" s="106">
        <v>0</v>
      </c>
      <c r="AL2295" s="106">
        <v>3</v>
      </c>
      <c r="AM2295" s="100">
        <v>0</v>
      </c>
      <c r="AN2295" s="100">
        <v>0</v>
      </c>
      <c r="AO2295" s="100">
        <v>0</v>
      </c>
      <c r="AP2295" s="100">
        <v>0</v>
      </c>
      <c r="AQ2295" s="100">
        <v>2000</v>
      </c>
      <c r="AR2295" s="100">
        <v>0.5</v>
      </c>
      <c r="AS2295" s="100">
        <v>0</v>
      </c>
      <c r="AT2295" s="106">
        <v>0</v>
      </c>
      <c r="AU2295" s="334" t="s">
        <v>5319</v>
      </c>
      <c r="AV2295" s="100"/>
      <c r="AW2295" s="99" t="s">
        <v>287</v>
      </c>
      <c r="AX2295" s="100" t="s">
        <v>545</v>
      </c>
      <c r="AY2295" s="100">
        <v>10001005</v>
      </c>
      <c r="AZ2295" s="334" t="s">
        <v>5320</v>
      </c>
      <c r="BA2295" s="102" t="s">
        <v>200</v>
      </c>
      <c r="BB2295" s="102">
        <v>0</v>
      </c>
      <c r="BC2295" s="105">
        <v>0</v>
      </c>
      <c r="BD2295" s="105">
        <v>0</v>
      </c>
      <c r="BE2295" s="164" t="s">
        <v>1186</v>
      </c>
      <c r="BF2295" s="164" t="s">
        <v>1187</v>
      </c>
      <c r="BG2295" s="100">
        <v>0</v>
      </c>
      <c r="BH2295" s="101">
        <v>0</v>
      </c>
      <c r="BI2295" s="100">
        <v>0</v>
      </c>
      <c r="BJ2295" s="100">
        <v>0</v>
      </c>
      <c r="BK2295" s="100">
        <v>0</v>
      </c>
      <c r="BL2295" s="100">
        <v>0</v>
      </c>
      <c r="BM2295" s="97">
        <v>0</v>
      </c>
      <c r="BN2295" s="106">
        <v>0</v>
      </c>
      <c r="BO2295" s="106">
        <v>0</v>
      </c>
      <c r="BP2295" s="106">
        <v>0</v>
      </c>
      <c r="BQ2295" s="106">
        <v>0</v>
      </c>
      <c r="BR2295" s="106">
        <v>0</v>
      </c>
      <c r="BS2295" s="106">
        <v>0</v>
      </c>
      <c r="BT2295" s="106">
        <v>0</v>
      </c>
      <c r="BU2295" s="47">
        <v>0</v>
      </c>
      <c r="BV2295" s="47"/>
      <c r="BW2295" s="47"/>
    </row>
    <row r="2296" spans="1:75" ht="19.5" customHeight="1">
      <c r="C2296" s="100">
        <v>77002013</v>
      </c>
      <c r="D2296" s="99" t="s">
        <v>5321</v>
      </c>
      <c r="E2296" s="99" t="s">
        <v>5322</v>
      </c>
      <c r="F2296" s="100">
        <v>1</v>
      </c>
      <c r="G2296" s="101">
        <v>60010100</v>
      </c>
      <c r="H2296" s="100">
        <v>0</v>
      </c>
      <c r="I2296" s="105">
        <v>0</v>
      </c>
      <c r="J2296" s="100">
        <v>1</v>
      </c>
      <c r="K2296" s="100">
        <v>0</v>
      </c>
      <c r="L2296" s="100">
        <v>0</v>
      </c>
      <c r="M2296" s="101">
        <v>0</v>
      </c>
      <c r="N2296" s="101">
        <v>0</v>
      </c>
      <c r="O2296" s="101">
        <v>2</v>
      </c>
      <c r="P2296" s="101">
        <v>1</v>
      </c>
      <c r="Q2296" s="101">
        <v>0.15</v>
      </c>
      <c r="R2296" s="101">
        <v>0</v>
      </c>
      <c r="S2296" s="106">
        <v>0</v>
      </c>
      <c r="T2296" s="101">
        <v>0</v>
      </c>
      <c r="U2296" s="101">
        <v>1</v>
      </c>
      <c r="V2296" s="101">
        <v>2</v>
      </c>
      <c r="W2296" s="101">
        <v>0</v>
      </c>
      <c r="X2296" s="101">
        <v>0</v>
      </c>
      <c r="Y2296" s="12">
        <v>0</v>
      </c>
      <c r="Z2296" s="101">
        <v>0</v>
      </c>
      <c r="AA2296" s="101">
        <v>1</v>
      </c>
      <c r="AB2296" s="101">
        <v>0</v>
      </c>
      <c r="AC2296" s="101">
        <v>0</v>
      </c>
      <c r="AD2296" s="101">
        <v>0</v>
      </c>
      <c r="AE2296" s="101">
        <v>1</v>
      </c>
      <c r="AF2296" s="101">
        <v>3</v>
      </c>
      <c r="AG2296" s="101">
        <v>1</v>
      </c>
      <c r="AH2296" s="101">
        <v>4</v>
      </c>
      <c r="AI2296" s="106">
        <v>0</v>
      </c>
      <c r="AJ2296" s="106">
        <v>1</v>
      </c>
      <c r="AK2296" s="106">
        <v>0</v>
      </c>
      <c r="AL2296" s="106">
        <v>3</v>
      </c>
      <c r="AM2296" s="101">
        <v>0</v>
      </c>
      <c r="AN2296" s="101">
        <v>1</v>
      </c>
      <c r="AO2296" s="101">
        <v>0</v>
      </c>
      <c r="AP2296" s="101">
        <v>0</v>
      </c>
      <c r="AQ2296" s="101">
        <v>3000</v>
      </c>
      <c r="AR2296" s="101">
        <v>0</v>
      </c>
      <c r="AS2296" s="101">
        <v>0</v>
      </c>
      <c r="AT2296" s="332" t="s">
        <v>5323</v>
      </c>
      <c r="AU2296" s="114">
        <v>0</v>
      </c>
      <c r="AV2296" s="114"/>
      <c r="AW2296" s="102" t="s">
        <v>256</v>
      </c>
      <c r="AX2296" s="101" t="s">
        <v>534</v>
      </c>
      <c r="AY2296" s="100">
        <v>0</v>
      </c>
      <c r="AZ2296" s="100">
        <v>0</v>
      </c>
      <c r="BA2296" s="99" t="s">
        <v>200</v>
      </c>
      <c r="BB2296" s="101">
        <v>0</v>
      </c>
      <c r="BC2296" s="105">
        <v>0</v>
      </c>
      <c r="BD2296" s="105">
        <v>0</v>
      </c>
      <c r="BE2296" s="119" t="s">
        <v>5324</v>
      </c>
      <c r="BF2296" s="119" t="s">
        <v>5325</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1:75" ht="19.5" customHeight="1">
      <c r="C2297" s="100">
        <v>77002014</v>
      </c>
      <c r="D2297" s="99" t="s">
        <v>5326</v>
      </c>
      <c r="E2297" s="99" t="s">
        <v>5327</v>
      </c>
      <c r="F2297" s="100">
        <v>1</v>
      </c>
      <c r="G2297" s="101">
        <v>0</v>
      </c>
      <c r="H2297" s="100">
        <v>0</v>
      </c>
      <c r="I2297" s="105">
        <v>0</v>
      </c>
      <c r="J2297" s="100">
        <v>1</v>
      </c>
      <c r="K2297" s="100">
        <v>0</v>
      </c>
      <c r="L2297" s="100">
        <v>0</v>
      </c>
      <c r="M2297" s="101">
        <v>0</v>
      </c>
      <c r="N2297" s="101">
        <v>0</v>
      </c>
      <c r="O2297" s="101">
        <v>2</v>
      </c>
      <c r="P2297" s="101">
        <v>1</v>
      </c>
      <c r="Q2297" s="101">
        <v>1</v>
      </c>
      <c r="R2297" s="101">
        <v>0</v>
      </c>
      <c r="S2297" s="106">
        <v>0</v>
      </c>
      <c r="T2297" s="101">
        <v>0</v>
      </c>
      <c r="U2297" s="101">
        <v>1</v>
      </c>
      <c r="V2297" s="101">
        <v>2</v>
      </c>
      <c r="W2297" s="101">
        <v>0</v>
      </c>
      <c r="X2297" s="101">
        <v>1.6</v>
      </c>
      <c r="Y2297" s="12">
        <v>0</v>
      </c>
      <c r="Z2297" s="101">
        <v>0</v>
      </c>
      <c r="AA2297" s="101">
        <v>0</v>
      </c>
      <c r="AB2297" s="101">
        <v>0</v>
      </c>
      <c r="AC2297" s="101">
        <v>0</v>
      </c>
      <c r="AD2297" s="101">
        <v>0</v>
      </c>
      <c r="AE2297" s="101">
        <v>1</v>
      </c>
      <c r="AF2297" s="101">
        <v>0</v>
      </c>
      <c r="AG2297" s="101">
        <v>1</v>
      </c>
      <c r="AH2297" s="101">
        <v>2</v>
      </c>
      <c r="AI2297" s="106">
        <v>0</v>
      </c>
      <c r="AJ2297" s="106">
        <v>2</v>
      </c>
      <c r="AK2297" s="106">
        <v>0</v>
      </c>
      <c r="AL2297" s="106">
        <v>2</v>
      </c>
      <c r="AM2297" s="101">
        <v>0</v>
      </c>
      <c r="AN2297" s="101">
        <v>0</v>
      </c>
      <c r="AO2297" s="101">
        <v>0</v>
      </c>
      <c r="AP2297" s="101">
        <v>0</v>
      </c>
      <c r="AQ2297" s="101">
        <v>5000</v>
      </c>
      <c r="AR2297" s="101">
        <v>0</v>
      </c>
      <c r="AS2297" s="101">
        <v>15</v>
      </c>
      <c r="AT2297" s="113">
        <v>0</v>
      </c>
      <c r="AU2297" s="336" t="s">
        <v>5328</v>
      </c>
      <c r="AV2297" s="114"/>
      <c r="AW2297" s="99" t="s">
        <v>287</v>
      </c>
      <c r="AX2297" s="101" t="s">
        <v>534</v>
      </c>
      <c r="AY2297" s="100">
        <v>10000007</v>
      </c>
      <c r="AZ2297" s="100">
        <v>77002008</v>
      </c>
      <c r="BA2297" s="99" t="s">
        <v>586</v>
      </c>
      <c r="BB2297" s="101" t="s">
        <v>2326</v>
      </c>
      <c r="BC2297" s="105">
        <v>0</v>
      </c>
      <c r="BD2297" s="105">
        <v>1</v>
      </c>
      <c r="BE2297" s="119" t="s">
        <v>5329</v>
      </c>
      <c r="BF2297" s="119" t="s">
        <v>5330</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1:75" ht="19.5" customHeight="1">
      <c r="C2298" s="100">
        <v>77002015</v>
      </c>
      <c r="D2298" s="99" t="s">
        <v>5260</v>
      </c>
      <c r="E2298" s="99" t="s">
        <v>5261</v>
      </c>
      <c r="F2298" s="101">
        <v>1</v>
      </c>
      <c r="G2298" s="101">
        <v>0</v>
      </c>
      <c r="H2298" s="101">
        <v>0</v>
      </c>
      <c r="I2298" s="105">
        <v>0</v>
      </c>
      <c r="J2298" s="100">
        <v>1</v>
      </c>
      <c r="K2298" s="101">
        <v>0</v>
      </c>
      <c r="L2298" s="101">
        <v>0</v>
      </c>
      <c r="M2298" s="101">
        <v>0</v>
      </c>
      <c r="N2298" s="101">
        <v>0</v>
      </c>
      <c r="O2298" s="101">
        <v>2</v>
      </c>
      <c r="P2298" s="101">
        <v>1</v>
      </c>
      <c r="Q2298" s="101">
        <v>0.1</v>
      </c>
      <c r="R2298" s="101">
        <v>0</v>
      </c>
      <c r="S2298" s="106">
        <v>0</v>
      </c>
      <c r="T2298" s="101">
        <v>0</v>
      </c>
      <c r="U2298" s="101">
        <v>1</v>
      </c>
      <c r="V2298" s="101">
        <v>1</v>
      </c>
      <c r="W2298" s="101">
        <v>0</v>
      </c>
      <c r="X2298" s="101">
        <v>1.2</v>
      </c>
      <c r="Y2298" s="12">
        <v>0</v>
      </c>
      <c r="Z2298" s="101">
        <v>0</v>
      </c>
      <c r="AA2298" s="101">
        <v>1</v>
      </c>
      <c r="AB2298" s="101">
        <v>0</v>
      </c>
      <c r="AC2298" s="101">
        <v>0</v>
      </c>
      <c r="AD2298" s="101">
        <v>0</v>
      </c>
      <c r="AE2298" s="101">
        <v>1</v>
      </c>
      <c r="AF2298" s="101">
        <v>0</v>
      </c>
      <c r="AG2298" s="101">
        <v>1</v>
      </c>
      <c r="AH2298" s="101">
        <v>3</v>
      </c>
      <c r="AI2298" s="106">
        <v>0</v>
      </c>
      <c r="AJ2298" s="106">
        <v>1</v>
      </c>
      <c r="AK2298" s="106">
        <v>0</v>
      </c>
      <c r="AL2298" s="106">
        <v>2</v>
      </c>
      <c r="AM2298" s="101">
        <v>0</v>
      </c>
      <c r="AN2298" s="101">
        <v>0</v>
      </c>
      <c r="AO2298" s="101">
        <v>0</v>
      </c>
      <c r="AP2298" s="101">
        <v>0.5</v>
      </c>
      <c r="AQ2298" s="101">
        <v>600</v>
      </c>
      <c r="AR2298" s="101">
        <v>0.5</v>
      </c>
      <c r="AS2298" s="101">
        <v>0</v>
      </c>
      <c r="AT2298" s="106">
        <v>0</v>
      </c>
      <c r="AU2298" s="101">
        <v>97010001</v>
      </c>
      <c r="AV2298" s="101"/>
      <c r="AW2298" s="99" t="s">
        <v>198</v>
      </c>
      <c r="AX2298" s="101" t="s">
        <v>534</v>
      </c>
      <c r="AY2298" s="100">
        <v>10000001</v>
      </c>
      <c r="AZ2298" s="100">
        <v>77002009</v>
      </c>
      <c r="BA2298" s="99" t="s">
        <v>771</v>
      </c>
      <c r="BB2298" s="101">
        <v>0</v>
      </c>
      <c r="BC2298" s="105">
        <v>0</v>
      </c>
      <c r="BD2298" s="105">
        <v>0</v>
      </c>
      <c r="BE2298" s="137" t="s">
        <v>5331</v>
      </c>
      <c r="BF2298" s="137" t="s">
        <v>5332</v>
      </c>
      <c r="BG2298" s="101">
        <v>0</v>
      </c>
      <c r="BH2298" s="101">
        <v>0</v>
      </c>
      <c r="BI2298" s="101">
        <v>0</v>
      </c>
      <c r="BJ2298" s="101">
        <v>0</v>
      </c>
      <c r="BK2298" s="101">
        <v>0</v>
      </c>
      <c r="BL2298" s="101">
        <v>0</v>
      </c>
      <c r="BM2298" s="97">
        <v>0</v>
      </c>
      <c r="BN2298" s="106">
        <v>0</v>
      </c>
      <c r="BO2298" s="106">
        <v>0</v>
      </c>
      <c r="BP2298" s="106">
        <v>0</v>
      </c>
      <c r="BQ2298" s="106">
        <v>0</v>
      </c>
      <c r="BR2298" s="106">
        <v>0</v>
      </c>
      <c r="BS2298" s="106">
        <v>1</v>
      </c>
      <c r="BT2298" s="106">
        <v>0</v>
      </c>
      <c r="BU2298" s="47">
        <v>0</v>
      </c>
      <c r="BV2298" s="47"/>
      <c r="BW2298" s="47"/>
    </row>
    <row r="2299" spans="1:75" ht="19.5" customHeight="1">
      <c r="C2299" s="100">
        <v>77002016</v>
      </c>
      <c r="D2299" s="99" t="s">
        <v>5333</v>
      </c>
      <c r="E2299" s="99" t="s">
        <v>5334</v>
      </c>
      <c r="F2299" s="100">
        <v>1</v>
      </c>
      <c r="G2299" s="101">
        <v>0</v>
      </c>
      <c r="H2299" s="100">
        <v>0</v>
      </c>
      <c r="I2299" s="105">
        <v>0</v>
      </c>
      <c r="J2299" s="100">
        <v>1</v>
      </c>
      <c r="K2299" s="100">
        <v>0</v>
      </c>
      <c r="L2299" s="100">
        <v>0</v>
      </c>
      <c r="M2299" s="101">
        <v>0</v>
      </c>
      <c r="N2299" s="101">
        <v>0</v>
      </c>
      <c r="O2299" s="101">
        <v>2</v>
      </c>
      <c r="P2299" s="101">
        <v>16</v>
      </c>
      <c r="Q2299" s="101">
        <v>8</v>
      </c>
      <c r="R2299" s="101">
        <v>0</v>
      </c>
      <c r="S2299" s="106">
        <v>0</v>
      </c>
      <c r="T2299" s="101">
        <v>0</v>
      </c>
      <c r="U2299" s="101">
        <v>1</v>
      </c>
      <c r="V2299" s="101">
        <v>2</v>
      </c>
      <c r="W2299" s="101">
        <v>0</v>
      </c>
      <c r="X2299" s="101">
        <v>1</v>
      </c>
      <c r="Y2299" s="12">
        <v>0</v>
      </c>
      <c r="Z2299" s="101">
        <v>0</v>
      </c>
      <c r="AA2299" s="101">
        <v>0</v>
      </c>
      <c r="AB2299" s="101">
        <v>0</v>
      </c>
      <c r="AC2299" s="101">
        <v>0</v>
      </c>
      <c r="AD2299" s="101">
        <v>0</v>
      </c>
      <c r="AE2299" s="101">
        <v>1</v>
      </c>
      <c r="AF2299" s="101">
        <v>0</v>
      </c>
      <c r="AG2299" s="101">
        <v>1</v>
      </c>
      <c r="AH2299" s="101">
        <v>2</v>
      </c>
      <c r="AI2299" s="106">
        <v>0</v>
      </c>
      <c r="AJ2299" s="106">
        <v>2</v>
      </c>
      <c r="AK2299" s="106">
        <v>0</v>
      </c>
      <c r="AL2299" s="106">
        <v>2</v>
      </c>
      <c r="AM2299" s="101">
        <v>0</v>
      </c>
      <c r="AN2299" s="101">
        <v>0</v>
      </c>
      <c r="AO2299" s="101">
        <v>0</v>
      </c>
      <c r="AP2299" s="101">
        <v>0.5</v>
      </c>
      <c r="AQ2299" s="101">
        <v>5000</v>
      </c>
      <c r="AR2299" s="101">
        <v>0.5</v>
      </c>
      <c r="AS2299" s="101">
        <v>15</v>
      </c>
      <c r="AT2299" s="113">
        <v>0</v>
      </c>
      <c r="AU2299" s="336" t="s">
        <v>5335</v>
      </c>
      <c r="AV2299" s="114"/>
      <c r="AW2299" s="99" t="s">
        <v>287</v>
      </c>
      <c r="AX2299" s="101" t="s">
        <v>534</v>
      </c>
      <c r="AY2299" s="100">
        <v>10000007</v>
      </c>
      <c r="AZ2299" s="100">
        <v>77002008</v>
      </c>
      <c r="BA2299" s="99" t="s">
        <v>586</v>
      </c>
      <c r="BB2299" s="101" t="s">
        <v>2326</v>
      </c>
      <c r="BC2299" s="105">
        <v>0</v>
      </c>
      <c r="BD2299" s="105">
        <v>1</v>
      </c>
      <c r="BE2299" s="119" t="s">
        <v>5336</v>
      </c>
      <c r="BF2299" s="119" t="s">
        <v>5337</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1:75" ht="19.5" customHeight="1">
      <c r="C2300" s="100">
        <v>77002017</v>
      </c>
      <c r="D2300" s="99" t="s">
        <v>5260</v>
      </c>
      <c r="E2300" s="99" t="s">
        <v>5261</v>
      </c>
      <c r="F2300" s="101">
        <v>1</v>
      </c>
      <c r="G2300" s="101">
        <v>0</v>
      </c>
      <c r="H2300" s="101">
        <v>0</v>
      </c>
      <c r="I2300" s="105">
        <v>0</v>
      </c>
      <c r="J2300" s="100">
        <v>1</v>
      </c>
      <c r="K2300" s="101">
        <v>0</v>
      </c>
      <c r="L2300" s="101">
        <v>0</v>
      </c>
      <c r="M2300" s="101">
        <v>0</v>
      </c>
      <c r="N2300" s="101">
        <v>0</v>
      </c>
      <c r="O2300" s="101">
        <v>2</v>
      </c>
      <c r="P2300" s="101">
        <v>1</v>
      </c>
      <c r="Q2300" s="101">
        <v>0.1</v>
      </c>
      <c r="R2300" s="101">
        <v>0</v>
      </c>
      <c r="S2300" s="106">
        <v>0</v>
      </c>
      <c r="T2300" s="101">
        <v>0</v>
      </c>
      <c r="U2300" s="101">
        <v>1</v>
      </c>
      <c r="V2300" s="101">
        <v>1</v>
      </c>
      <c r="W2300" s="101">
        <v>0</v>
      </c>
      <c r="X2300" s="101">
        <v>1.2</v>
      </c>
      <c r="Y2300" s="12">
        <v>0</v>
      </c>
      <c r="Z2300" s="101">
        <v>0</v>
      </c>
      <c r="AA2300" s="101">
        <v>1</v>
      </c>
      <c r="AB2300" s="101">
        <v>0</v>
      </c>
      <c r="AC2300" s="101">
        <v>0</v>
      </c>
      <c r="AD2300" s="101">
        <v>0</v>
      </c>
      <c r="AE2300" s="101">
        <v>1</v>
      </c>
      <c r="AF2300" s="101">
        <v>0</v>
      </c>
      <c r="AG2300" s="101">
        <v>1</v>
      </c>
      <c r="AH2300" s="101">
        <v>3</v>
      </c>
      <c r="AI2300" s="106">
        <v>0</v>
      </c>
      <c r="AJ2300" s="106">
        <v>1</v>
      </c>
      <c r="AK2300" s="106">
        <v>0</v>
      </c>
      <c r="AL2300" s="106">
        <v>2</v>
      </c>
      <c r="AM2300" s="101">
        <v>0</v>
      </c>
      <c r="AN2300" s="101">
        <v>0</v>
      </c>
      <c r="AO2300" s="101">
        <v>0</v>
      </c>
      <c r="AP2300" s="101">
        <v>0.5</v>
      </c>
      <c r="AQ2300" s="101">
        <v>600</v>
      </c>
      <c r="AR2300" s="101">
        <v>0.5</v>
      </c>
      <c r="AS2300" s="101">
        <v>0</v>
      </c>
      <c r="AT2300" s="106">
        <v>0</v>
      </c>
      <c r="AU2300" s="101">
        <v>97010002</v>
      </c>
      <c r="AV2300" s="101"/>
      <c r="AW2300" s="99" t="s">
        <v>198</v>
      </c>
      <c r="AX2300" s="101" t="s">
        <v>534</v>
      </c>
      <c r="AY2300" s="100">
        <v>10000001</v>
      </c>
      <c r="AZ2300" s="100">
        <v>77002009</v>
      </c>
      <c r="BA2300" s="99" t="s">
        <v>771</v>
      </c>
      <c r="BB2300" s="101">
        <v>0</v>
      </c>
      <c r="BC2300" s="105">
        <v>0</v>
      </c>
      <c r="BD2300" s="105">
        <v>0</v>
      </c>
      <c r="BE2300" s="137" t="s">
        <v>5331</v>
      </c>
      <c r="BF2300" s="137" t="s">
        <v>5332</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row>
    <row r="2301" spans="1:75" ht="20.100000000000001" customHeight="1">
      <c r="A2301" s="138"/>
      <c r="B2301" s="138"/>
      <c r="C2301" s="100">
        <v>77002018</v>
      </c>
      <c r="D2301" s="99" t="s">
        <v>5338</v>
      </c>
      <c r="E2301" s="287" t="s">
        <v>5339</v>
      </c>
      <c r="F2301" s="97">
        <v>1</v>
      </c>
      <c r="G2301" s="97">
        <v>0</v>
      </c>
      <c r="H2301" s="101">
        <v>0</v>
      </c>
      <c r="I2301" s="105">
        <v>0</v>
      </c>
      <c r="J2301" s="100">
        <v>1</v>
      </c>
      <c r="K2301" s="100">
        <v>0</v>
      </c>
      <c r="L2301" s="100">
        <v>0</v>
      </c>
      <c r="M2301" s="101">
        <v>0</v>
      </c>
      <c r="N2301" s="101">
        <v>0</v>
      </c>
      <c r="O2301" s="101">
        <v>2</v>
      </c>
      <c r="P2301" s="101">
        <v>2</v>
      </c>
      <c r="Q2301" s="101">
        <v>0.4</v>
      </c>
      <c r="R2301" s="101">
        <v>0</v>
      </c>
      <c r="S2301" s="106">
        <v>0</v>
      </c>
      <c r="T2301" s="101">
        <v>0</v>
      </c>
      <c r="U2301" s="101">
        <v>1</v>
      </c>
      <c r="V2301" s="97">
        <v>1</v>
      </c>
      <c r="W2301" s="101">
        <v>0</v>
      </c>
      <c r="X2301" s="101">
        <v>2</v>
      </c>
      <c r="Y2301" s="12">
        <v>0</v>
      </c>
      <c r="Z2301" s="101">
        <v>0</v>
      </c>
      <c r="AA2301" s="101">
        <v>1</v>
      </c>
      <c r="AB2301" s="101">
        <v>0</v>
      </c>
      <c r="AC2301" s="101">
        <v>0</v>
      </c>
      <c r="AD2301" s="101">
        <v>0</v>
      </c>
      <c r="AE2301" s="101">
        <v>1</v>
      </c>
      <c r="AF2301" s="101">
        <v>20</v>
      </c>
      <c r="AG2301" s="101">
        <v>1</v>
      </c>
      <c r="AH2301" s="101">
        <v>6</v>
      </c>
      <c r="AI2301" s="106">
        <v>0</v>
      </c>
      <c r="AJ2301" s="106">
        <v>1</v>
      </c>
      <c r="AK2301" s="106">
        <v>0</v>
      </c>
      <c r="AL2301" s="106">
        <v>3</v>
      </c>
      <c r="AM2301" s="101">
        <v>0</v>
      </c>
      <c r="AN2301" s="101">
        <v>1</v>
      </c>
      <c r="AO2301" s="101">
        <v>0</v>
      </c>
      <c r="AP2301" s="101">
        <v>1</v>
      </c>
      <c r="AQ2301" s="101">
        <v>1100</v>
      </c>
      <c r="AR2301" s="101">
        <v>1</v>
      </c>
      <c r="AS2301" s="101">
        <v>0</v>
      </c>
      <c r="AT2301" s="106">
        <v>0</v>
      </c>
      <c r="AU2301" s="336" t="s">
        <v>5278</v>
      </c>
      <c r="AV2301" s="114"/>
      <c r="AW2301" s="99" t="s">
        <v>256</v>
      </c>
      <c r="AX2301" s="101" t="s">
        <v>215</v>
      </c>
      <c r="AY2301" s="100">
        <v>10000011</v>
      </c>
      <c r="AZ2301" s="334" t="s">
        <v>5293</v>
      </c>
      <c r="BA2301" s="102" t="s">
        <v>200</v>
      </c>
      <c r="BB2301" s="101">
        <v>0</v>
      </c>
      <c r="BC2301" s="105">
        <v>0</v>
      </c>
      <c r="BD2301" s="105">
        <v>0</v>
      </c>
      <c r="BE2301" s="119" t="s">
        <v>5340</v>
      </c>
      <c r="BF2301" s="119" t="s">
        <v>5341</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77002019</v>
      </c>
      <c r="BU2301" s="47">
        <v>0</v>
      </c>
      <c r="BV2301" s="47"/>
      <c r="BW2301" s="47"/>
    </row>
    <row r="2302" spans="1:75" ht="19.5" customHeight="1">
      <c r="A2302" s="138"/>
      <c r="B2302" s="138"/>
      <c r="C2302" s="100">
        <v>77002019</v>
      </c>
      <c r="D2302" s="99" t="s">
        <v>2324</v>
      </c>
      <c r="E2302" s="99" t="s">
        <v>2325</v>
      </c>
      <c r="F2302" s="100">
        <v>1</v>
      </c>
      <c r="G2302" s="101">
        <v>0</v>
      </c>
      <c r="H2302" s="100">
        <v>0</v>
      </c>
      <c r="I2302" s="105">
        <v>0</v>
      </c>
      <c r="J2302" s="100">
        <v>1</v>
      </c>
      <c r="K2302" s="100">
        <v>0</v>
      </c>
      <c r="L2302" s="100">
        <v>0</v>
      </c>
      <c r="M2302" s="101">
        <v>0</v>
      </c>
      <c r="N2302" s="101">
        <v>0</v>
      </c>
      <c r="O2302" s="101">
        <v>2</v>
      </c>
      <c r="P2302" s="101">
        <v>16</v>
      </c>
      <c r="Q2302" s="101">
        <v>5</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0.3</v>
      </c>
      <c r="AQ2302" s="101">
        <v>5000</v>
      </c>
      <c r="AR2302" s="101">
        <v>0.3</v>
      </c>
      <c r="AS2302" s="101">
        <v>15</v>
      </c>
      <c r="AT2302" s="335" t="s">
        <v>5342</v>
      </c>
      <c r="AU2302" s="336" t="s">
        <v>5319</v>
      </c>
      <c r="AV2302" s="114"/>
      <c r="AW2302" s="99" t="s">
        <v>256</v>
      </c>
      <c r="AX2302" s="101" t="s">
        <v>534</v>
      </c>
      <c r="AY2302" s="100">
        <v>10000007</v>
      </c>
      <c r="AZ2302" s="100">
        <v>77002008</v>
      </c>
      <c r="BA2302" s="99" t="s">
        <v>586</v>
      </c>
      <c r="BB2302" s="101" t="s">
        <v>2326</v>
      </c>
      <c r="BC2302" s="105">
        <v>0</v>
      </c>
      <c r="BD2302" s="105">
        <v>1</v>
      </c>
      <c r="BE2302" s="119" t="s">
        <v>1306</v>
      </c>
      <c r="BF2302" s="119" t="s">
        <v>1307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spans="1:75" ht="19.5" customHeight="1">
      <c r="A2303" s="138"/>
      <c r="B2303" s="138"/>
      <c r="C2303" s="100">
        <v>77002020</v>
      </c>
      <c r="D2303" s="99" t="s">
        <v>5260</v>
      </c>
      <c r="E2303" s="99" t="s">
        <v>5261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0.8</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336" t="s">
        <v>5278</v>
      </c>
      <c r="AV2303" s="114"/>
      <c r="AW2303" s="99" t="s">
        <v>198</v>
      </c>
      <c r="AX2303" s="101" t="s">
        <v>534</v>
      </c>
      <c r="AY2303" s="100">
        <v>10000001</v>
      </c>
      <c r="AZ2303" s="100">
        <v>77002009</v>
      </c>
      <c r="BA2303" s="99" t="s">
        <v>771</v>
      </c>
      <c r="BB2303" s="101">
        <v>0</v>
      </c>
      <c r="BC2303" s="105">
        <v>0</v>
      </c>
      <c r="BD2303" s="105">
        <v>0</v>
      </c>
      <c r="BE2303" s="137" t="s">
        <v>5262</v>
      </c>
      <c r="BF2303" s="137" t="s">
        <v>5263</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77002021</v>
      </c>
      <c r="BU2303" s="47">
        <v>0</v>
      </c>
      <c r="BV2303" s="47"/>
      <c r="BW2303" s="47"/>
    </row>
    <row r="2304" spans="1:75" ht="19.5" customHeight="1">
      <c r="A2304" s="138"/>
      <c r="B2304" s="138"/>
      <c r="C2304" s="100">
        <v>77002021</v>
      </c>
      <c r="D2304" s="99" t="s">
        <v>5343</v>
      </c>
      <c r="E2304" s="99" t="s">
        <v>5344</v>
      </c>
      <c r="F2304" s="100">
        <v>1</v>
      </c>
      <c r="G2304" s="101">
        <v>0</v>
      </c>
      <c r="H2304" s="100">
        <v>0</v>
      </c>
      <c r="I2304" s="105">
        <v>0</v>
      </c>
      <c r="J2304" s="100">
        <v>1</v>
      </c>
      <c r="K2304" s="100">
        <v>0</v>
      </c>
      <c r="L2304" s="100">
        <v>0</v>
      </c>
      <c r="M2304" s="101">
        <v>0</v>
      </c>
      <c r="N2304" s="101">
        <v>0</v>
      </c>
      <c r="O2304" s="101">
        <v>2</v>
      </c>
      <c r="P2304" s="101">
        <v>16</v>
      </c>
      <c r="Q2304" s="101">
        <v>5</v>
      </c>
      <c r="R2304" s="101">
        <v>0</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2</v>
      </c>
      <c r="AQ2304" s="101">
        <v>5000</v>
      </c>
      <c r="AR2304" s="101">
        <v>0</v>
      </c>
      <c r="AS2304" s="101">
        <v>10</v>
      </c>
      <c r="AT2304" s="113">
        <v>0</v>
      </c>
      <c r="AU2304" s="336" t="s">
        <v>5345</v>
      </c>
      <c r="AV2304" s="114"/>
      <c r="AW2304" s="99" t="s">
        <v>256</v>
      </c>
      <c r="AX2304" s="101" t="s">
        <v>534</v>
      </c>
      <c r="AY2304" s="100">
        <v>10000007</v>
      </c>
      <c r="AZ2304" s="100">
        <v>77002008</v>
      </c>
      <c r="BA2304" s="99" t="s">
        <v>586</v>
      </c>
      <c r="BB2304" s="101" t="s">
        <v>5346</v>
      </c>
      <c r="BC2304" s="105">
        <v>0</v>
      </c>
      <c r="BD2304" s="105">
        <v>1</v>
      </c>
      <c r="BE2304" s="119" t="s">
        <v>1306</v>
      </c>
      <c r="BF2304" s="119" t="s">
        <v>1307</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A2305" s="138"/>
      <c r="B2305" s="138"/>
      <c r="C2305" s="100">
        <v>77002022</v>
      </c>
      <c r="D2305" s="99" t="s">
        <v>5260</v>
      </c>
      <c r="E2305" s="99" t="s">
        <v>5261</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336" t="s">
        <v>5319</v>
      </c>
      <c r="AV2305" s="114"/>
      <c r="AW2305" s="99" t="s">
        <v>198</v>
      </c>
      <c r="AX2305" s="101" t="s">
        <v>534</v>
      </c>
      <c r="AY2305" s="100">
        <v>10000001</v>
      </c>
      <c r="AZ2305" s="100">
        <v>77002009</v>
      </c>
      <c r="BA2305" s="99" t="s">
        <v>771</v>
      </c>
      <c r="BB2305" s="101">
        <v>0</v>
      </c>
      <c r="BC2305" s="105">
        <v>0</v>
      </c>
      <c r="BD2305" s="105">
        <v>0</v>
      </c>
      <c r="BE2305" s="137" t="s">
        <v>5262</v>
      </c>
      <c r="BF2305" s="137" t="s">
        <v>5263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77002019</v>
      </c>
      <c r="BU2305" s="47">
        <v>0</v>
      </c>
      <c r="BV2305" s="47"/>
      <c r="BW2305" s="47"/>
    </row>
    <row r="2306" spans="1:75" ht="19.5" customHeight="1">
      <c r="A2306" s="138"/>
      <c r="B2306" s="138"/>
      <c r="C2306" s="64">
        <v>77005001</v>
      </c>
      <c r="D2306" s="59" t="s">
        <v>5347</v>
      </c>
      <c r="E2306" s="59" t="s">
        <v>5348</v>
      </c>
      <c r="F2306" s="60">
        <v>1</v>
      </c>
      <c r="G2306" s="60">
        <v>63021101</v>
      </c>
      <c r="H2306" s="60">
        <v>0</v>
      </c>
      <c r="I2306" s="66">
        <v>0</v>
      </c>
      <c r="J2306" s="64">
        <v>1</v>
      </c>
      <c r="K2306" s="60">
        <v>0</v>
      </c>
      <c r="L2306" s="60">
        <v>0</v>
      </c>
      <c r="M2306" s="60">
        <v>0</v>
      </c>
      <c r="N2306" s="60">
        <v>0</v>
      </c>
      <c r="O2306" s="60">
        <v>1</v>
      </c>
      <c r="P2306" s="60">
        <v>0</v>
      </c>
      <c r="Q2306" s="60">
        <v>0</v>
      </c>
      <c r="R2306" s="60">
        <v>0</v>
      </c>
      <c r="S2306" s="68">
        <v>0</v>
      </c>
      <c r="T2306" s="60">
        <v>0</v>
      </c>
      <c r="U2306" s="60">
        <v>1</v>
      </c>
      <c r="V2306" s="60">
        <v>1</v>
      </c>
      <c r="W2306" s="60">
        <v>0</v>
      </c>
      <c r="X2306" s="60">
        <v>1.5</v>
      </c>
      <c r="Y2306" s="12">
        <v>0</v>
      </c>
      <c r="Z2306" s="60">
        <v>0</v>
      </c>
      <c r="AA2306" s="60">
        <v>0</v>
      </c>
      <c r="AB2306" s="60">
        <v>0</v>
      </c>
      <c r="AC2306" s="60">
        <v>0</v>
      </c>
      <c r="AD2306" s="60">
        <v>0</v>
      </c>
      <c r="AE2306" s="60">
        <v>0</v>
      </c>
      <c r="AF2306" s="60">
        <v>6</v>
      </c>
      <c r="AG2306" s="60">
        <v>3</v>
      </c>
      <c r="AH2306" s="79">
        <v>4120</v>
      </c>
      <c r="AI2306" s="68">
        <v>2</v>
      </c>
      <c r="AJ2306" s="68">
        <v>3</v>
      </c>
      <c r="AK2306" s="68">
        <v>0</v>
      </c>
      <c r="AL2306" s="68">
        <v>1.5</v>
      </c>
      <c r="AM2306" s="60">
        <v>0</v>
      </c>
      <c r="AN2306" s="60">
        <v>0</v>
      </c>
      <c r="AO2306" s="60">
        <v>0</v>
      </c>
      <c r="AP2306" s="60">
        <v>0.2</v>
      </c>
      <c r="AQ2306" s="60">
        <v>1000</v>
      </c>
      <c r="AR2306" s="60">
        <v>0.2</v>
      </c>
      <c r="AS2306" s="60">
        <v>0</v>
      </c>
      <c r="AT2306" s="68">
        <v>0</v>
      </c>
      <c r="AU2306" s="352" t="s">
        <v>5349</v>
      </c>
      <c r="AV2306" s="60"/>
      <c r="AW2306" s="59" t="s">
        <v>198</v>
      </c>
      <c r="AX2306" s="60" t="s">
        <v>534</v>
      </c>
      <c r="AY2306" s="64">
        <v>10000001</v>
      </c>
      <c r="AZ2306" s="64">
        <v>77005001</v>
      </c>
      <c r="BA2306" s="59" t="s">
        <v>200</v>
      </c>
      <c r="BB2306" s="60">
        <v>0</v>
      </c>
      <c r="BC2306" s="68">
        <v>0</v>
      </c>
      <c r="BD2306" s="68">
        <v>0</v>
      </c>
      <c r="BE2306" s="121" t="s">
        <v>5350</v>
      </c>
      <c r="BF2306" s="121" t="s">
        <v>5351</v>
      </c>
      <c r="BG2306" s="60">
        <v>0</v>
      </c>
      <c r="BH2306" s="60">
        <v>0</v>
      </c>
      <c r="BI2306" s="60">
        <v>0</v>
      </c>
      <c r="BJ2306" s="60">
        <v>0</v>
      </c>
      <c r="BK2306" s="60">
        <v>0</v>
      </c>
      <c r="BL2306" s="60">
        <v>0</v>
      </c>
      <c r="BM2306" s="93">
        <v>0</v>
      </c>
      <c r="BN2306" s="68">
        <v>0</v>
      </c>
      <c r="BO2306" s="68">
        <v>0</v>
      </c>
      <c r="BP2306" s="68">
        <v>0</v>
      </c>
      <c r="BQ2306" s="68">
        <v>0</v>
      </c>
      <c r="BR2306" s="68">
        <v>0</v>
      </c>
      <c r="BS2306" s="68">
        <v>0</v>
      </c>
      <c r="BT2306" s="68">
        <v>0</v>
      </c>
      <c r="BU2306" s="47">
        <v>0</v>
      </c>
      <c r="BV2306" s="47"/>
      <c r="BW2306" s="47"/>
    </row>
    <row r="2307" spans="1:75" ht="19.5" customHeight="1">
      <c r="A2307" s="138"/>
      <c r="B2307" s="138"/>
      <c r="C2307" s="64">
        <v>77005002</v>
      </c>
      <c r="D2307" s="59" t="s">
        <v>2189</v>
      </c>
      <c r="E2307" s="147" t="s">
        <v>2190</v>
      </c>
      <c r="F2307" s="93">
        <v>1</v>
      </c>
      <c r="G2307" s="60">
        <v>63021101</v>
      </c>
      <c r="H2307" s="64">
        <v>0</v>
      </c>
      <c r="I2307" s="66">
        <v>0</v>
      </c>
      <c r="J2307" s="64">
        <v>1</v>
      </c>
      <c r="K2307" s="60">
        <v>0</v>
      </c>
      <c r="L2307" s="64">
        <v>0</v>
      </c>
      <c r="M2307" s="60">
        <v>0</v>
      </c>
      <c r="N2307" s="60">
        <v>0</v>
      </c>
      <c r="O2307" s="60">
        <v>1</v>
      </c>
      <c r="P2307" s="60">
        <v>0</v>
      </c>
      <c r="Q2307" s="60">
        <v>0</v>
      </c>
      <c r="R2307" s="60">
        <v>0</v>
      </c>
      <c r="S2307" s="68">
        <v>0</v>
      </c>
      <c r="T2307" s="60">
        <v>0</v>
      </c>
      <c r="U2307" s="60">
        <v>1</v>
      </c>
      <c r="V2307" s="60">
        <v>1</v>
      </c>
      <c r="W2307" s="60">
        <v>0</v>
      </c>
      <c r="X2307" s="60">
        <v>1.7</v>
      </c>
      <c r="Y2307" s="12">
        <v>0</v>
      </c>
      <c r="Z2307" s="60">
        <v>0</v>
      </c>
      <c r="AA2307" s="60">
        <v>0</v>
      </c>
      <c r="AB2307" s="60">
        <v>0</v>
      </c>
      <c r="AC2307" s="60">
        <v>0</v>
      </c>
      <c r="AD2307" s="60">
        <v>0</v>
      </c>
      <c r="AE2307" s="60">
        <v>0</v>
      </c>
      <c r="AF2307" s="60">
        <v>9</v>
      </c>
      <c r="AG2307" s="60">
        <v>1</v>
      </c>
      <c r="AH2307" s="60">
        <v>5</v>
      </c>
      <c r="AI2307" s="68">
        <v>0</v>
      </c>
      <c r="AJ2307" s="68">
        <v>3</v>
      </c>
      <c r="AK2307" s="68">
        <v>0</v>
      </c>
      <c r="AL2307" s="68">
        <v>1.7</v>
      </c>
      <c r="AM2307" s="60">
        <v>0</v>
      </c>
      <c r="AN2307" s="60">
        <v>0</v>
      </c>
      <c r="AO2307" s="60">
        <v>0</v>
      </c>
      <c r="AP2307" s="60">
        <v>0</v>
      </c>
      <c r="AQ2307" s="60">
        <v>1000</v>
      </c>
      <c r="AR2307" s="60">
        <v>0.2</v>
      </c>
      <c r="AS2307" s="60">
        <v>0</v>
      </c>
      <c r="AT2307" s="68">
        <v>0</v>
      </c>
      <c r="AU2307" s="331" t="s">
        <v>5352</v>
      </c>
      <c r="AV2307" s="79"/>
      <c r="AW2307" s="63" t="s">
        <v>198</v>
      </c>
      <c r="AX2307" s="60" t="s">
        <v>545</v>
      </c>
      <c r="AY2307" s="64">
        <v>10000001</v>
      </c>
      <c r="AZ2307" s="64">
        <v>77005002</v>
      </c>
      <c r="BA2307" s="59" t="s">
        <v>200</v>
      </c>
      <c r="BB2307" s="60">
        <v>0</v>
      </c>
      <c r="BC2307" s="66">
        <v>0</v>
      </c>
      <c r="BD2307" s="66">
        <v>0</v>
      </c>
      <c r="BE2307" s="90" t="s">
        <v>2191</v>
      </c>
      <c r="BF2307" s="90" t="s">
        <v>2192</v>
      </c>
      <c r="BG2307" s="60">
        <v>0</v>
      </c>
      <c r="BH2307" s="60">
        <v>0</v>
      </c>
      <c r="BI2307" s="60">
        <v>0</v>
      </c>
      <c r="BJ2307" s="60">
        <v>0</v>
      </c>
      <c r="BK2307" s="60">
        <v>0</v>
      </c>
      <c r="BL2307" s="60">
        <v>0</v>
      </c>
      <c r="BM2307" s="93">
        <v>0</v>
      </c>
      <c r="BN2307" s="68">
        <v>0</v>
      </c>
      <c r="BO2307" s="68">
        <v>0</v>
      </c>
      <c r="BP2307" s="68">
        <v>0</v>
      </c>
      <c r="BQ2307" s="68">
        <v>0</v>
      </c>
      <c r="BR2307" s="68">
        <v>0</v>
      </c>
      <c r="BS2307" s="68">
        <v>0</v>
      </c>
      <c r="BT2307" s="68">
        <v>0</v>
      </c>
      <c r="BU2307" s="371" t="s">
        <v>5353</v>
      </c>
      <c r="BV2307" s="47"/>
      <c r="BW2307" s="47"/>
    </row>
    <row r="2308" spans="1:75" ht="19.5" customHeight="1">
      <c r="A2308" s="138"/>
      <c r="B2308" s="138"/>
      <c r="C2308" s="64">
        <v>77005003</v>
      </c>
      <c r="D2308" s="59" t="s">
        <v>5354</v>
      </c>
      <c r="E2308" s="147" t="s">
        <v>5355</v>
      </c>
      <c r="F2308" s="93">
        <v>1</v>
      </c>
      <c r="G2308" s="60">
        <v>63021101</v>
      </c>
      <c r="H2308" s="64">
        <v>0</v>
      </c>
      <c r="I2308" s="66">
        <v>0</v>
      </c>
      <c r="J2308" s="64">
        <v>1</v>
      </c>
      <c r="K2308" s="60">
        <v>0</v>
      </c>
      <c r="L2308" s="64">
        <v>0</v>
      </c>
      <c r="M2308" s="60">
        <v>0</v>
      </c>
      <c r="N2308" s="60">
        <v>0</v>
      </c>
      <c r="O2308" s="60">
        <v>1</v>
      </c>
      <c r="P2308" s="60">
        <v>0</v>
      </c>
      <c r="Q2308" s="60">
        <v>0</v>
      </c>
      <c r="R2308" s="60">
        <v>0</v>
      </c>
      <c r="S2308" s="68">
        <v>0</v>
      </c>
      <c r="T2308" s="60">
        <v>0</v>
      </c>
      <c r="U2308" s="60">
        <v>1</v>
      </c>
      <c r="V2308" s="60">
        <v>1</v>
      </c>
      <c r="W2308" s="60">
        <v>0</v>
      </c>
      <c r="X2308" s="60">
        <v>0</v>
      </c>
      <c r="Y2308" s="12">
        <v>0</v>
      </c>
      <c r="Z2308" s="60">
        <v>0</v>
      </c>
      <c r="AA2308" s="60">
        <v>0</v>
      </c>
      <c r="AB2308" s="60">
        <v>0</v>
      </c>
      <c r="AC2308" s="60">
        <v>0</v>
      </c>
      <c r="AD2308" s="60">
        <v>0</v>
      </c>
      <c r="AE2308" s="60">
        <v>0</v>
      </c>
      <c r="AF2308" s="60">
        <v>24</v>
      </c>
      <c r="AG2308" s="60">
        <v>0</v>
      </c>
      <c r="AH2308" s="60">
        <v>0</v>
      </c>
      <c r="AI2308" s="68">
        <v>0</v>
      </c>
      <c r="AJ2308" s="68">
        <v>0</v>
      </c>
      <c r="AK2308" s="68">
        <v>0</v>
      </c>
      <c r="AL2308" s="68">
        <v>1.5</v>
      </c>
      <c r="AM2308" s="60">
        <v>0</v>
      </c>
      <c r="AN2308" s="60">
        <v>0</v>
      </c>
      <c r="AO2308" s="60">
        <v>0</v>
      </c>
      <c r="AP2308" s="64">
        <v>0.2</v>
      </c>
      <c r="AQ2308" s="60">
        <v>3000</v>
      </c>
      <c r="AR2308" s="60">
        <v>0.2</v>
      </c>
      <c r="AS2308" s="60">
        <v>0</v>
      </c>
      <c r="AT2308" s="68">
        <v>0</v>
      </c>
      <c r="AU2308" s="60" t="s">
        <v>198</v>
      </c>
      <c r="AV2308" s="60"/>
      <c r="AW2308" s="59" t="s">
        <v>198</v>
      </c>
      <c r="AX2308" s="60" t="s">
        <v>545</v>
      </c>
      <c r="AY2308" s="64">
        <v>0</v>
      </c>
      <c r="AZ2308" s="64">
        <v>0</v>
      </c>
      <c r="BA2308" s="59" t="s">
        <v>1174</v>
      </c>
      <c r="BB2308" s="352" t="s">
        <v>5356</v>
      </c>
      <c r="BC2308" s="66">
        <v>0</v>
      </c>
      <c r="BD2308" s="66">
        <v>0</v>
      </c>
      <c r="BE2308" s="90" t="s">
        <v>5357</v>
      </c>
      <c r="BF2308" s="90" t="s">
        <v>5358</v>
      </c>
      <c r="BG2308" s="60">
        <v>0</v>
      </c>
      <c r="BH2308" s="60">
        <v>0</v>
      </c>
      <c r="BI2308" s="60">
        <v>0</v>
      </c>
      <c r="BJ2308" s="60">
        <v>0</v>
      </c>
      <c r="BK2308" s="60">
        <v>0</v>
      </c>
      <c r="BL2308" s="60">
        <v>0</v>
      </c>
      <c r="BM2308" s="93">
        <v>0</v>
      </c>
      <c r="BN2308" s="68">
        <v>0</v>
      </c>
      <c r="BO2308" s="68">
        <v>0</v>
      </c>
      <c r="BP2308" s="68">
        <v>0</v>
      </c>
      <c r="BQ2308" s="68">
        <v>0</v>
      </c>
      <c r="BR2308" s="68">
        <v>0</v>
      </c>
      <c r="BS2308" s="68">
        <v>0</v>
      </c>
      <c r="BT2308" s="68">
        <v>0</v>
      </c>
      <c r="BU2308" s="47">
        <v>0</v>
      </c>
      <c r="BV2308" s="47"/>
      <c r="BW2308" s="47"/>
    </row>
    <row r="2309" spans="1:75" ht="20.100000000000001" customHeight="1">
      <c r="A2309" s="138"/>
      <c r="B2309" s="138"/>
      <c r="C2309" s="64">
        <v>77005004</v>
      </c>
      <c r="D2309" s="59" t="s">
        <v>2189</v>
      </c>
      <c r="E2309" s="147" t="s">
        <v>2190</v>
      </c>
      <c r="F2309" s="93">
        <v>1</v>
      </c>
      <c r="G2309" s="60">
        <v>63021101</v>
      </c>
      <c r="H2309" s="64">
        <v>0</v>
      </c>
      <c r="I2309" s="66">
        <v>0</v>
      </c>
      <c r="J2309" s="64">
        <v>1</v>
      </c>
      <c r="K2309" s="60">
        <v>0</v>
      </c>
      <c r="L2309" s="64">
        <v>0</v>
      </c>
      <c r="M2309" s="60">
        <v>0</v>
      </c>
      <c r="N2309" s="60">
        <v>0</v>
      </c>
      <c r="O2309" s="60">
        <v>2</v>
      </c>
      <c r="P2309" s="60">
        <v>1</v>
      </c>
      <c r="Q2309" s="60">
        <v>0.2</v>
      </c>
      <c r="R2309" s="60">
        <v>0</v>
      </c>
      <c r="S2309" s="68">
        <v>0</v>
      </c>
      <c r="T2309" s="60">
        <v>0</v>
      </c>
      <c r="U2309" s="60">
        <v>1</v>
      </c>
      <c r="V2309" s="60">
        <v>1</v>
      </c>
      <c r="W2309" s="60">
        <v>0</v>
      </c>
      <c r="X2309" s="60">
        <v>2</v>
      </c>
      <c r="Y2309" s="12">
        <v>0</v>
      </c>
      <c r="Z2309" s="60">
        <v>0</v>
      </c>
      <c r="AA2309" s="60">
        <v>0</v>
      </c>
      <c r="AB2309" s="60">
        <v>0</v>
      </c>
      <c r="AC2309" s="60">
        <v>0</v>
      </c>
      <c r="AD2309" s="60">
        <v>0</v>
      </c>
      <c r="AE2309" s="60">
        <v>0</v>
      </c>
      <c r="AF2309" s="60">
        <v>0</v>
      </c>
      <c r="AG2309" s="60">
        <v>1</v>
      </c>
      <c r="AH2309" s="60">
        <v>5</v>
      </c>
      <c r="AI2309" s="68">
        <v>0</v>
      </c>
      <c r="AJ2309" s="68">
        <v>1</v>
      </c>
      <c r="AK2309" s="68">
        <v>0</v>
      </c>
      <c r="AL2309" s="68">
        <v>2</v>
      </c>
      <c r="AM2309" s="60">
        <v>0</v>
      </c>
      <c r="AN2309" s="60">
        <v>0</v>
      </c>
      <c r="AO2309" s="60">
        <v>0</v>
      </c>
      <c r="AP2309" s="60">
        <v>0</v>
      </c>
      <c r="AQ2309" s="60">
        <v>1000</v>
      </c>
      <c r="AR2309" s="60">
        <v>0.2</v>
      </c>
      <c r="AS2309" s="60">
        <v>0</v>
      </c>
      <c r="AT2309" s="68">
        <v>0</v>
      </c>
      <c r="AU2309" s="331" t="s">
        <v>5352</v>
      </c>
      <c r="AV2309" s="79"/>
      <c r="AW2309" s="63" t="s">
        <v>198</v>
      </c>
      <c r="AX2309" s="60" t="s">
        <v>545</v>
      </c>
      <c r="AY2309" s="64">
        <v>10000001</v>
      </c>
      <c r="AZ2309" s="64">
        <v>77005002</v>
      </c>
      <c r="BA2309" s="59" t="s">
        <v>200</v>
      </c>
      <c r="BB2309" s="60">
        <v>0</v>
      </c>
      <c r="BC2309" s="66">
        <v>0</v>
      </c>
      <c r="BD2309" s="66">
        <v>0</v>
      </c>
      <c r="BE2309" s="90" t="s">
        <v>2191</v>
      </c>
      <c r="BF2309" s="90" t="s">
        <v>2192</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spans="1:75" s="1" customFormat="1" ht="20.100000000000001" customHeight="1">
      <c r="C2310" s="64">
        <v>77005005</v>
      </c>
      <c r="D2310" s="59" t="s">
        <v>760</v>
      </c>
      <c r="E2310" s="147" t="s">
        <v>761</v>
      </c>
      <c r="F2310" s="93">
        <v>1</v>
      </c>
      <c r="G2310" s="93">
        <v>0</v>
      </c>
      <c r="H2310" s="60">
        <v>0</v>
      </c>
      <c r="I2310" s="66">
        <v>0</v>
      </c>
      <c r="J2310" s="64">
        <v>1</v>
      </c>
      <c r="K2310" s="64">
        <v>0</v>
      </c>
      <c r="L2310" s="64">
        <v>0</v>
      </c>
      <c r="M2310" s="60">
        <v>0</v>
      </c>
      <c r="N2310" s="60">
        <v>0</v>
      </c>
      <c r="O2310" s="60">
        <v>2</v>
      </c>
      <c r="P2310" s="60">
        <v>16</v>
      </c>
      <c r="Q2310" s="60">
        <v>8</v>
      </c>
      <c r="R2310" s="60">
        <v>0</v>
      </c>
      <c r="S2310" s="68">
        <v>0</v>
      </c>
      <c r="T2310" s="60">
        <v>0</v>
      </c>
      <c r="U2310" s="60">
        <v>1</v>
      </c>
      <c r="V2310" s="93">
        <v>1</v>
      </c>
      <c r="W2310" s="60">
        <v>0</v>
      </c>
      <c r="X2310" s="60">
        <v>0</v>
      </c>
      <c r="Y2310" s="12">
        <v>0</v>
      </c>
      <c r="Z2310" s="60">
        <v>0</v>
      </c>
      <c r="AA2310" s="60">
        <v>1</v>
      </c>
      <c r="AB2310" s="60">
        <v>0</v>
      </c>
      <c r="AC2310" s="60">
        <v>0</v>
      </c>
      <c r="AD2310" s="60">
        <v>0</v>
      </c>
      <c r="AE2310" s="60">
        <v>1</v>
      </c>
      <c r="AF2310" s="60">
        <v>12</v>
      </c>
      <c r="AG2310" s="60">
        <v>2</v>
      </c>
      <c r="AH2310" s="60" t="s">
        <v>213</v>
      </c>
      <c r="AI2310" s="68">
        <v>0</v>
      </c>
      <c r="AJ2310" s="68">
        <v>2</v>
      </c>
      <c r="AK2310" s="68">
        <v>0</v>
      </c>
      <c r="AL2310" s="68">
        <v>1.5</v>
      </c>
      <c r="AM2310" s="60">
        <v>0</v>
      </c>
      <c r="AN2310" s="60">
        <v>0</v>
      </c>
      <c r="AO2310" s="60">
        <v>0</v>
      </c>
      <c r="AP2310" s="60">
        <v>0.5</v>
      </c>
      <c r="AQ2310" s="60">
        <v>600</v>
      </c>
      <c r="AR2310" s="60">
        <v>0</v>
      </c>
      <c r="AS2310" s="60">
        <v>12</v>
      </c>
      <c r="AT2310" s="68">
        <v>0</v>
      </c>
      <c r="AU2310" s="79">
        <v>0</v>
      </c>
      <c r="AV2310" s="79"/>
      <c r="AW2310" s="59" t="s">
        <v>199</v>
      </c>
      <c r="AX2310" s="60" t="s">
        <v>215</v>
      </c>
      <c r="AY2310" s="64">
        <v>10000011</v>
      </c>
      <c r="AZ2310" s="64">
        <v>0</v>
      </c>
      <c r="BA2310" s="59" t="s">
        <v>216</v>
      </c>
      <c r="BB2310" s="60">
        <v>0</v>
      </c>
      <c r="BC2310" s="66">
        <v>0</v>
      </c>
      <c r="BD2310" s="66">
        <v>0</v>
      </c>
      <c r="BE2310" s="90" t="s">
        <v>2195</v>
      </c>
      <c r="BF2310" s="90" t="s">
        <v>2196</v>
      </c>
      <c r="BG2310" s="60">
        <v>0</v>
      </c>
      <c r="BH2310" s="60">
        <v>0</v>
      </c>
      <c r="BI2310" s="60">
        <v>0</v>
      </c>
      <c r="BJ2310" s="60">
        <v>0</v>
      </c>
      <c r="BK2310" s="60">
        <v>0</v>
      </c>
      <c r="BL2310" s="60">
        <v>0</v>
      </c>
      <c r="BM2310" s="93">
        <v>0</v>
      </c>
      <c r="BN2310" s="68">
        <v>0</v>
      </c>
      <c r="BO2310" s="68">
        <v>0</v>
      </c>
      <c r="BP2310" s="68">
        <v>0</v>
      </c>
      <c r="BQ2310" s="68">
        <v>0</v>
      </c>
      <c r="BR2310" s="68">
        <v>0</v>
      </c>
      <c r="BS2310" s="68">
        <v>1</v>
      </c>
      <c r="BT2310" s="68">
        <v>77005006</v>
      </c>
      <c r="BU2310" s="68">
        <v>0</v>
      </c>
      <c r="BV2310" s="47"/>
      <c r="BW2310" s="47"/>
    </row>
    <row r="2311" spans="1:75" ht="20.100000000000001" customHeight="1">
      <c r="A2311" s="138"/>
      <c r="B2311" s="138"/>
      <c r="C2311" s="64">
        <v>77005006</v>
      </c>
      <c r="D2311" s="59" t="s">
        <v>2189</v>
      </c>
      <c r="E2311" s="147" t="s">
        <v>2190</v>
      </c>
      <c r="F2311" s="93">
        <v>1</v>
      </c>
      <c r="G2311" s="60">
        <v>63021101</v>
      </c>
      <c r="H2311" s="64">
        <v>0</v>
      </c>
      <c r="I2311" s="66">
        <v>0</v>
      </c>
      <c r="J2311" s="64">
        <v>1</v>
      </c>
      <c r="K2311" s="60">
        <v>0</v>
      </c>
      <c r="L2311" s="64">
        <v>0</v>
      </c>
      <c r="M2311" s="60">
        <v>0</v>
      </c>
      <c r="N2311" s="60">
        <v>0</v>
      </c>
      <c r="O2311" s="60">
        <v>2</v>
      </c>
      <c r="P2311" s="60">
        <v>16</v>
      </c>
      <c r="Q2311" s="60">
        <v>1</v>
      </c>
      <c r="R2311" s="60">
        <v>0</v>
      </c>
      <c r="S2311" s="68">
        <v>0</v>
      </c>
      <c r="T2311" s="60">
        <v>0</v>
      </c>
      <c r="U2311" s="60">
        <v>1</v>
      </c>
      <c r="V2311" s="60">
        <v>1</v>
      </c>
      <c r="W2311" s="60">
        <v>0</v>
      </c>
      <c r="X2311" s="60">
        <v>2</v>
      </c>
      <c r="Y2311" s="12">
        <v>0</v>
      </c>
      <c r="Z2311" s="60">
        <v>0</v>
      </c>
      <c r="AA2311" s="60">
        <v>0</v>
      </c>
      <c r="AB2311" s="60">
        <v>0</v>
      </c>
      <c r="AC2311" s="60">
        <v>0</v>
      </c>
      <c r="AD2311" s="60">
        <v>0</v>
      </c>
      <c r="AE2311" s="60">
        <v>0</v>
      </c>
      <c r="AF2311" s="60">
        <v>0</v>
      </c>
      <c r="AG2311" s="60">
        <v>1</v>
      </c>
      <c r="AH2311" s="60">
        <v>5</v>
      </c>
      <c r="AI2311" s="68">
        <v>0</v>
      </c>
      <c r="AJ2311" s="68">
        <v>1</v>
      </c>
      <c r="AK2311" s="68">
        <v>0</v>
      </c>
      <c r="AL2311" s="68">
        <v>2</v>
      </c>
      <c r="AM2311" s="60">
        <v>0</v>
      </c>
      <c r="AN2311" s="60">
        <v>0</v>
      </c>
      <c r="AO2311" s="60">
        <v>0</v>
      </c>
      <c r="AP2311" s="60">
        <v>0</v>
      </c>
      <c r="AQ2311" s="60">
        <v>400</v>
      </c>
      <c r="AR2311" s="60">
        <v>0.2</v>
      </c>
      <c r="AS2311" s="60">
        <v>0</v>
      </c>
      <c r="AT2311" s="68">
        <v>0</v>
      </c>
      <c r="AU2311" s="331" t="s">
        <v>5352</v>
      </c>
      <c r="AV2311" s="79"/>
      <c r="AW2311" s="63" t="s">
        <v>198</v>
      </c>
      <c r="AX2311" s="60" t="s">
        <v>545</v>
      </c>
      <c r="AY2311" s="64">
        <v>10000001</v>
      </c>
      <c r="AZ2311" s="64">
        <v>77005002</v>
      </c>
      <c r="BA2311" s="59" t="s">
        <v>200</v>
      </c>
      <c r="BB2311" s="60">
        <v>0</v>
      </c>
      <c r="BC2311" s="66">
        <v>0</v>
      </c>
      <c r="BD2311" s="66">
        <v>0</v>
      </c>
      <c r="BE2311" s="90" t="s">
        <v>2191</v>
      </c>
      <c r="BF2311" s="90" t="s">
        <v>2192</v>
      </c>
      <c r="BG2311" s="60">
        <v>0</v>
      </c>
      <c r="BH2311" s="60">
        <v>0</v>
      </c>
      <c r="BI2311" s="60">
        <v>0</v>
      </c>
      <c r="BJ2311" s="60">
        <v>0</v>
      </c>
      <c r="BK2311" s="60">
        <v>0</v>
      </c>
      <c r="BL2311" s="60">
        <v>0</v>
      </c>
      <c r="BM2311" s="93">
        <v>0</v>
      </c>
      <c r="BN2311" s="68">
        <v>0</v>
      </c>
      <c r="BO2311" s="68">
        <v>0</v>
      </c>
      <c r="BP2311" s="68">
        <v>0</v>
      </c>
      <c r="BQ2311" s="68">
        <v>0</v>
      </c>
      <c r="BR2311" s="68">
        <v>0</v>
      </c>
      <c r="BS2311" s="68">
        <v>0</v>
      </c>
      <c r="BT2311" s="68">
        <v>77005007</v>
      </c>
      <c r="BU2311" s="47">
        <v>0</v>
      </c>
      <c r="BV2311" s="47"/>
      <c r="BW2311" s="47"/>
    </row>
    <row r="2312" spans="1:75" s="1" customFormat="1" ht="20.100000000000001" customHeight="1">
      <c r="C2312" s="64">
        <v>77005007</v>
      </c>
      <c r="D2312" s="59" t="s">
        <v>760</v>
      </c>
      <c r="E2312" s="147" t="s">
        <v>761</v>
      </c>
      <c r="F2312" s="93">
        <v>1</v>
      </c>
      <c r="G2312" s="93">
        <v>0</v>
      </c>
      <c r="H2312" s="60">
        <v>0</v>
      </c>
      <c r="I2312" s="66">
        <v>0</v>
      </c>
      <c r="J2312" s="64">
        <v>1</v>
      </c>
      <c r="K2312" s="64">
        <v>0</v>
      </c>
      <c r="L2312" s="64">
        <v>0</v>
      </c>
      <c r="M2312" s="60">
        <v>0</v>
      </c>
      <c r="N2312" s="60">
        <v>0</v>
      </c>
      <c r="O2312" s="60">
        <v>2</v>
      </c>
      <c r="P2312" s="60">
        <v>16</v>
      </c>
      <c r="Q2312" s="60">
        <v>1</v>
      </c>
      <c r="R2312" s="60">
        <v>0</v>
      </c>
      <c r="S2312" s="68">
        <v>0</v>
      </c>
      <c r="T2312" s="60">
        <v>0</v>
      </c>
      <c r="U2312" s="60">
        <v>1</v>
      </c>
      <c r="V2312" s="93">
        <v>1</v>
      </c>
      <c r="W2312" s="60">
        <v>0</v>
      </c>
      <c r="X2312" s="60">
        <v>0</v>
      </c>
      <c r="Y2312" s="12">
        <v>0</v>
      </c>
      <c r="Z2312" s="60">
        <v>0</v>
      </c>
      <c r="AA2312" s="60">
        <v>1</v>
      </c>
      <c r="AB2312" s="60">
        <v>0</v>
      </c>
      <c r="AC2312" s="60">
        <v>0</v>
      </c>
      <c r="AD2312" s="60">
        <v>0</v>
      </c>
      <c r="AE2312" s="60">
        <v>1</v>
      </c>
      <c r="AF2312" s="60">
        <v>12</v>
      </c>
      <c r="AG2312" s="60">
        <v>2</v>
      </c>
      <c r="AH2312" s="60" t="s">
        <v>213</v>
      </c>
      <c r="AI2312" s="68">
        <v>0</v>
      </c>
      <c r="AJ2312" s="68">
        <v>2</v>
      </c>
      <c r="AK2312" s="68">
        <v>0</v>
      </c>
      <c r="AL2312" s="68">
        <v>1.5</v>
      </c>
      <c r="AM2312" s="60">
        <v>0</v>
      </c>
      <c r="AN2312" s="60">
        <v>0</v>
      </c>
      <c r="AO2312" s="60">
        <v>0</v>
      </c>
      <c r="AP2312" s="60">
        <v>0.5</v>
      </c>
      <c r="AQ2312" s="60">
        <v>600</v>
      </c>
      <c r="AR2312" s="60">
        <v>0</v>
      </c>
      <c r="AS2312" s="60">
        <v>12</v>
      </c>
      <c r="AT2312" s="68">
        <v>0</v>
      </c>
      <c r="AU2312" s="79">
        <v>0</v>
      </c>
      <c r="AV2312" s="79"/>
      <c r="AW2312" s="59" t="s">
        <v>199</v>
      </c>
      <c r="AX2312" s="60" t="s">
        <v>215</v>
      </c>
      <c r="AY2312" s="64">
        <v>10000011</v>
      </c>
      <c r="AZ2312" s="64">
        <v>0</v>
      </c>
      <c r="BA2312" s="59" t="s">
        <v>216</v>
      </c>
      <c r="BB2312" s="60">
        <v>0</v>
      </c>
      <c r="BC2312" s="66">
        <v>0</v>
      </c>
      <c r="BD2312" s="66">
        <v>0</v>
      </c>
      <c r="BE2312" s="90" t="s">
        <v>2195</v>
      </c>
      <c r="BF2312" s="90" t="s">
        <v>2196</v>
      </c>
      <c r="BG2312" s="60">
        <v>0</v>
      </c>
      <c r="BH2312" s="60">
        <v>0</v>
      </c>
      <c r="BI2312" s="60">
        <v>0</v>
      </c>
      <c r="BJ2312" s="60">
        <v>0</v>
      </c>
      <c r="BK2312" s="60">
        <v>0</v>
      </c>
      <c r="BL2312" s="60">
        <v>0</v>
      </c>
      <c r="BM2312" s="93">
        <v>0</v>
      </c>
      <c r="BN2312" s="68">
        <v>0</v>
      </c>
      <c r="BO2312" s="68">
        <v>0</v>
      </c>
      <c r="BP2312" s="68">
        <v>0</v>
      </c>
      <c r="BQ2312" s="68">
        <v>0</v>
      </c>
      <c r="BR2312" s="68">
        <v>0</v>
      </c>
      <c r="BS2312" s="68">
        <v>1</v>
      </c>
      <c r="BT2312" s="68">
        <v>77005008</v>
      </c>
      <c r="BU2312" s="68">
        <v>0</v>
      </c>
      <c r="BV2312" s="47"/>
      <c r="BW2312" s="47"/>
    </row>
    <row r="2313" spans="1:75" ht="20.100000000000001" customHeight="1">
      <c r="A2313" s="138"/>
      <c r="B2313" s="138"/>
      <c r="C2313" s="64">
        <v>77005008</v>
      </c>
      <c r="D2313" s="59" t="s">
        <v>2189</v>
      </c>
      <c r="E2313" s="147" t="s">
        <v>2190</v>
      </c>
      <c r="F2313" s="93">
        <v>1</v>
      </c>
      <c r="G2313" s="60">
        <v>63021101</v>
      </c>
      <c r="H2313" s="64">
        <v>0</v>
      </c>
      <c r="I2313" s="66">
        <v>0</v>
      </c>
      <c r="J2313" s="64">
        <v>1</v>
      </c>
      <c r="K2313" s="60">
        <v>0</v>
      </c>
      <c r="L2313" s="64">
        <v>0</v>
      </c>
      <c r="M2313" s="60">
        <v>0</v>
      </c>
      <c r="N2313" s="60">
        <v>0</v>
      </c>
      <c r="O2313" s="60">
        <v>2</v>
      </c>
      <c r="P2313" s="60">
        <v>16</v>
      </c>
      <c r="Q2313" s="60">
        <v>4</v>
      </c>
      <c r="R2313" s="60">
        <v>0</v>
      </c>
      <c r="S2313" s="68">
        <v>0</v>
      </c>
      <c r="T2313" s="60">
        <v>0</v>
      </c>
      <c r="U2313" s="60">
        <v>1</v>
      </c>
      <c r="V2313" s="60">
        <v>1</v>
      </c>
      <c r="W2313" s="60">
        <v>0</v>
      </c>
      <c r="X2313" s="60">
        <v>2</v>
      </c>
      <c r="Y2313" s="12">
        <v>0</v>
      </c>
      <c r="Z2313" s="60">
        <v>0</v>
      </c>
      <c r="AA2313" s="60">
        <v>0</v>
      </c>
      <c r="AB2313" s="60">
        <v>0</v>
      </c>
      <c r="AC2313" s="60">
        <v>0</v>
      </c>
      <c r="AD2313" s="60">
        <v>0</v>
      </c>
      <c r="AE2313" s="60">
        <v>0</v>
      </c>
      <c r="AF2313" s="60">
        <v>0</v>
      </c>
      <c r="AG2313" s="60">
        <v>1</v>
      </c>
      <c r="AH2313" s="60">
        <v>5</v>
      </c>
      <c r="AI2313" s="68">
        <v>0</v>
      </c>
      <c r="AJ2313" s="68">
        <v>1</v>
      </c>
      <c r="AK2313" s="68">
        <v>0</v>
      </c>
      <c r="AL2313" s="68">
        <v>2</v>
      </c>
      <c r="AM2313" s="60">
        <v>0</v>
      </c>
      <c r="AN2313" s="60">
        <v>0</v>
      </c>
      <c r="AO2313" s="60">
        <v>0</v>
      </c>
      <c r="AP2313" s="60">
        <v>0</v>
      </c>
      <c r="AQ2313" s="60">
        <v>400</v>
      </c>
      <c r="AR2313" s="60">
        <v>0.2</v>
      </c>
      <c r="AS2313" s="60">
        <v>0</v>
      </c>
      <c r="AT2313" s="68">
        <v>0</v>
      </c>
      <c r="AU2313" s="331" t="s">
        <v>5352</v>
      </c>
      <c r="AV2313" s="79"/>
      <c r="AW2313" s="63" t="s">
        <v>198</v>
      </c>
      <c r="AX2313" s="60" t="s">
        <v>545</v>
      </c>
      <c r="AY2313" s="64">
        <v>10000001</v>
      </c>
      <c r="AZ2313" s="64">
        <v>77005002</v>
      </c>
      <c r="BA2313" s="59" t="s">
        <v>200</v>
      </c>
      <c r="BB2313" s="60">
        <v>0</v>
      </c>
      <c r="BC2313" s="66">
        <v>0</v>
      </c>
      <c r="BD2313" s="66">
        <v>0</v>
      </c>
      <c r="BE2313" s="90" t="s">
        <v>2191</v>
      </c>
      <c r="BF2313" s="90" t="s">
        <v>2192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77005009</v>
      </c>
      <c r="BU2313" s="47">
        <v>0</v>
      </c>
      <c r="BV2313" s="47"/>
      <c r="BW2313" s="47"/>
    </row>
    <row r="2314" spans="1:75" s="1" customFormat="1" ht="20.100000000000001" customHeight="1">
      <c r="C2314" s="64">
        <v>77005009</v>
      </c>
      <c r="D2314" s="59" t="s">
        <v>760</v>
      </c>
      <c r="E2314" s="147" t="s">
        <v>761</v>
      </c>
      <c r="F2314" s="93">
        <v>1</v>
      </c>
      <c r="G2314" s="93">
        <v>0</v>
      </c>
      <c r="H2314" s="60">
        <v>0</v>
      </c>
      <c r="I2314" s="66">
        <v>0</v>
      </c>
      <c r="J2314" s="64">
        <v>1</v>
      </c>
      <c r="K2314" s="64">
        <v>0</v>
      </c>
      <c r="L2314" s="64">
        <v>0</v>
      </c>
      <c r="M2314" s="60">
        <v>0</v>
      </c>
      <c r="N2314" s="60">
        <v>0</v>
      </c>
      <c r="O2314" s="60">
        <v>2</v>
      </c>
      <c r="P2314" s="60">
        <v>16</v>
      </c>
      <c r="Q2314" s="60">
        <v>1</v>
      </c>
      <c r="R2314" s="60">
        <v>0</v>
      </c>
      <c r="S2314" s="68">
        <v>0</v>
      </c>
      <c r="T2314" s="60">
        <v>0</v>
      </c>
      <c r="U2314" s="60">
        <v>1</v>
      </c>
      <c r="V2314" s="93">
        <v>1</v>
      </c>
      <c r="W2314" s="60">
        <v>0</v>
      </c>
      <c r="X2314" s="60">
        <v>0</v>
      </c>
      <c r="Y2314" s="12">
        <v>0</v>
      </c>
      <c r="Z2314" s="60">
        <v>0</v>
      </c>
      <c r="AA2314" s="60">
        <v>1</v>
      </c>
      <c r="AB2314" s="60">
        <v>0</v>
      </c>
      <c r="AC2314" s="60">
        <v>0</v>
      </c>
      <c r="AD2314" s="60">
        <v>0</v>
      </c>
      <c r="AE2314" s="60">
        <v>1</v>
      </c>
      <c r="AF2314" s="60">
        <v>12</v>
      </c>
      <c r="AG2314" s="60">
        <v>2</v>
      </c>
      <c r="AH2314" s="60" t="s">
        <v>213</v>
      </c>
      <c r="AI2314" s="68">
        <v>0</v>
      </c>
      <c r="AJ2314" s="68">
        <v>2</v>
      </c>
      <c r="AK2314" s="68">
        <v>0</v>
      </c>
      <c r="AL2314" s="68">
        <v>1.5</v>
      </c>
      <c r="AM2314" s="60">
        <v>0</v>
      </c>
      <c r="AN2314" s="60">
        <v>0</v>
      </c>
      <c r="AO2314" s="60">
        <v>0</v>
      </c>
      <c r="AP2314" s="60">
        <v>0.5</v>
      </c>
      <c r="AQ2314" s="60">
        <v>600</v>
      </c>
      <c r="AR2314" s="60">
        <v>0</v>
      </c>
      <c r="AS2314" s="60">
        <v>12</v>
      </c>
      <c r="AT2314" s="68">
        <v>0</v>
      </c>
      <c r="AU2314" s="79">
        <v>0</v>
      </c>
      <c r="AV2314" s="79"/>
      <c r="AW2314" s="59" t="s">
        <v>199</v>
      </c>
      <c r="AX2314" s="60" t="s">
        <v>215</v>
      </c>
      <c r="AY2314" s="64">
        <v>10000011</v>
      </c>
      <c r="AZ2314" s="64">
        <v>0</v>
      </c>
      <c r="BA2314" s="59" t="s">
        <v>216</v>
      </c>
      <c r="BB2314" s="60">
        <v>0</v>
      </c>
      <c r="BC2314" s="66">
        <v>0</v>
      </c>
      <c r="BD2314" s="66">
        <v>0</v>
      </c>
      <c r="BE2314" s="90" t="s">
        <v>2195</v>
      </c>
      <c r="BF2314" s="90" t="s">
        <v>2196</v>
      </c>
      <c r="BG2314" s="60">
        <v>0</v>
      </c>
      <c r="BH2314" s="60">
        <v>0</v>
      </c>
      <c r="BI2314" s="60">
        <v>0</v>
      </c>
      <c r="BJ2314" s="60">
        <v>0</v>
      </c>
      <c r="BK2314" s="60">
        <v>0</v>
      </c>
      <c r="BL2314" s="60">
        <v>0</v>
      </c>
      <c r="BM2314" s="93">
        <v>0</v>
      </c>
      <c r="BN2314" s="68">
        <v>0</v>
      </c>
      <c r="BO2314" s="68">
        <v>0</v>
      </c>
      <c r="BP2314" s="68">
        <v>0</v>
      </c>
      <c r="BQ2314" s="68">
        <v>0</v>
      </c>
      <c r="BR2314" s="68">
        <v>0</v>
      </c>
      <c r="BS2314" s="68">
        <v>1</v>
      </c>
      <c r="BT2314" s="68">
        <v>77005010</v>
      </c>
      <c r="BU2314" s="68">
        <v>0</v>
      </c>
      <c r="BV2314" s="47"/>
      <c r="BW2314" s="47"/>
    </row>
    <row r="2315" spans="1:75" ht="20.100000000000001" customHeight="1">
      <c r="A2315" s="138"/>
      <c r="B2315" s="138"/>
      <c r="C2315" s="64">
        <v>77005010</v>
      </c>
      <c r="D2315" s="59" t="s">
        <v>2189</v>
      </c>
      <c r="E2315" s="147" t="s">
        <v>2190</v>
      </c>
      <c r="F2315" s="93">
        <v>1</v>
      </c>
      <c r="G2315" s="60">
        <v>63021101</v>
      </c>
      <c r="H2315" s="64">
        <v>0</v>
      </c>
      <c r="I2315" s="66">
        <v>0</v>
      </c>
      <c r="J2315" s="64">
        <v>1</v>
      </c>
      <c r="K2315" s="60">
        <v>0</v>
      </c>
      <c r="L2315" s="64">
        <v>0</v>
      </c>
      <c r="M2315" s="60">
        <v>0</v>
      </c>
      <c r="N2315" s="60">
        <v>0</v>
      </c>
      <c r="O2315" s="60">
        <v>2</v>
      </c>
      <c r="P2315" s="60">
        <v>16</v>
      </c>
      <c r="Q2315" s="60">
        <v>4</v>
      </c>
      <c r="R2315" s="60">
        <v>0</v>
      </c>
      <c r="S2315" s="68">
        <v>0</v>
      </c>
      <c r="T2315" s="60">
        <v>0</v>
      </c>
      <c r="U2315" s="60">
        <v>1</v>
      </c>
      <c r="V2315" s="60">
        <v>1</v>
      </c>
      <c r="W2315" s="60">
        <v>0</v>
      </c>
      <c r="X2315" s="60">
        <v>2</v>
      </c>
      <c r="Y2315" s="12">
        <v>0</v>
      </c>
      <c r="Z2315" s="60">
        <v>0</v>
      </c>
      <c r="AA2315" s="60">
        <v>0</v>
      </c>
      <c r="AB2315" s="60">
        <v>0</v>
      </c>
      <c r="AC2315" s="60">
        <v>0</v>
      </c>
      <c r="AD2315" s="60">
        <v>0</v>
      </c>
      <c r="AE2315" s="60">
        <v>0</v>
      </c>
      <c r="AF2315" s="60">
        <v>0</v>
      </c>
      <c r="AG2315" s="60">
        <v>1</v>
      </c>
      <c r="AH2315" s="60">
        <v>5</v>
      </c>
      <c r="AI2315" s="68">
        <v>0</v>
      </c>
      <c r="AJ2315" s="68">
        <v>1</v>
      </c>
      <c r="AK2315" s="68">
        <v>0</v>
      </c>
      <c r="AL2315" s="68">
        <v>2</v>
      </c>
      <c r="AM2315" s="60">
        <v>0</v>
      </c>
      <c r="AN2315" s="60">
        <v>0</v>
      </c>
      <c r="AO2315" s="60">
        <v>0</v>
      </c>
      <c r="AP2315" s="60">
        <v>0</v>
      </c>
      <c r="AQ2315" s="60">
        <v>400</v>
      </c>
      <c r="AR2315" s="60">
        <v>0.2</v>
      </c>
      <c r="AS2315" s="60">
        <v>0</v>
      </c>
      <c r="AT2315" s="68">
        <v>0</v>
      </c>
      <c r="AU2315" s="331" t="s">
        <v>5352</v>
      </c>
      <c r="AV2315" s="79"/>
      <c r="AW2315" s="63" t="s">
        <v>198</v>
      </c>
      <c r="AX2315" s="60" t="s">
        <v>545</v>
      </c>
      <c r="AY2315" s="64">
        <v>10000001</v>
      </c>
      <c r="AZ2315" s="64">
        <v>77005002</v>
      </c>
      <c r="BA2315" s="59" t="s">
        <v>200</v>
      </c>
      <c r="BB2315" s="60">
        <v>0</v>
      </c>
      <c r="BC2315" s="66">
        <v>0</v>
      </c>
      <c r="BD2315" s="66">
        <v>0</v>
      </c>
      <c r="BE2315" s="90" t="s">
        <v>2191</v>
      </c>
      <c r="BF2315" s="90" t="s">
        <v>2192</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19.5" customHeight="1">
      <c r="A2316" s="138"/>
      <c r="B2316" s="138"/>
      <c r="C2316" s="100">
        <v>77006001</v>
      </c>
      <c r="D2316" s="99" t="s">
        <v>5359</v>
      </c>
      <c r="E2316" s="99" t="s">
        <v>5360</v>
      </c>
      <c r="F2316" s="101">
        <v>1</v>
      </c>
      <c r="G2316" s="101">
        <v>63021101</v>
      </c>
      <c r="H2316" s="101">
        <v>0</v>
      </c>
      <c r="I2316" s="105">
        <v>0</v>
      </c>
      <c r="J2316" s="100">
        <v>1</v>
      </c>
      <c r="K2316" s="101">
        <v>0</v>
      </c>
      <c r="L2316" s="101">
        <v>0</v>
      </c>
      <c r="M2316" s="101">
        <v>0</v>
      </c>
      <c r="N2316" s="101">
        <v>0</v>
      </c>
      <c r="O2316" s="101">
        <v>1</v>
      </c>
      <c r="P2316" s="101">
        <v>0</v>
      </c>
      <c r="Q2316" s="101">
        <v>0</v>
      </c>
      <c r="R2316" s="101">
        <v>0</v>
      </c>
      <c r="S2316" s="106">
        <v>0</v>
      </c>
      <c r="T2316" s="101">
        <v>0</v>
      </c>
      <c r="U2316" s="101">
        <v>1</v>
      </c>
      <c r="V2316" s="101">
        <v>1</v>
      </c>
      <c r="W2316" s="101">
        <v>0</v>
      </c>
      <c r="X2316" s="101">
        <v>1</v>
      </c>
      <c r="Y2316" s="12">
        <v>0</v>
      </c>
      <c r="Z2316" s="101">
        <v>0</v>
      </c>
      <c r="AA2316" s="101">
        <v>0</v>
      </c>
      <c r="AB2316" s="101">
        <v>0</v>
      </c>
      <c r="AC2316" s="101">
        <v>0</v>
      </c>
      <c r="AD2316" s="101">
        <v>0</v>
      </c>
      <c r="AE2316" s="101">
        <v>0</v>
      </c>
      <c r="AF2316" s="101">
        <v>16</v>
      </c>
      <c r="AG2316" s="101">
        <v>1</v>
      </c>
      <c r="AH2316" s="114">
        <v>2</v>
      </c>
      <c r="AI2316" s="106">
        <v>2</v>
      </c>
      <c r="AJ2316" s="106">
        <v>2</v>
      </c>
      <c r="AK2316" s="106">
        <v>0</v>
      </c>
      <c r="AL2316" s="106">
        <v>3</v>
      </c>
      <c r="AM2316" s="101">
        <v>0</v>
      </c>
      <c r="AN2316" s="101">
        <v>0</v>
      </c>
      <c r="AO2316" s="101">
        <v>0</v>
      </c>
      <c r="AP2316" s="101">
        <v>0.2</v>
      </c>
      <c r="AQ2316" s="101">
        <v>2000</v>
      </c>
      <c r="AR2316" s="101">
        <v>0.2</v>
      </c>
      <c r="AS2316" s="101">
        <v>5</v>
      </c>
      <c r="AT2316" s="106">
        <v>0</v>
      </c>
      <c r="AU2316" s="337" t="s">
        <v>5349</v>
      </c>
      <c r="AV2316" s="101"/>
      <c r="AW2316" s="99" t="s">
        <v>198</v>
      </c>
      <c r="AX2316" s="101" t="s">
        <v>534</v>
      </c>
      <c r="AY2316" s="100">
        <v>10000001</v>
      </c>
      <c r="AZ2316" s="100">
        <v>77005003</v>
      </c>
      <c r="BA2316" s="99" t="s">
        <v>2204</v>
      </c>
      <c r="BB2316" s="101" t="s">
        <v>5361</v>
      </c>
      <c r="BC2316" s="106">
        <v>0</v>
      </c>
      <c r="BD2316" s="106">
        <v>0</v>
      </c>
      <c r="BE2316" s="137" t="s">
        <v>5362</v>
      </c>
      <c r="BF2316" s="137" t="s">
        <v>5363</v>
      </c>
      <c r="BG2316" s="101">
        <v>0</v>
      </c>
      <c r="BH2316" s="101">
        <v>0</v>
      </c>
      <c r="BI2316" s="101">
        <v>0</v>
      </c>
      <c r="BJ2316" s="101">
        <v>0</v>
      </c>
      <c r="BK2316" s="101">
        <v>0</v>
      </c>
      <c r="BL2316" s="101">
        <v>0</v>
      </c>
      <c r="BM2316" s="97">
        <v>0</v>
      </c>
      <c r="BN2316" s="106">
        <v>0</v>
      </c>
      <c r="BO2316" s="106">
        <v>0</v>
      </c>
      <c r="BP2316" s="106">
        <v>0</v>
      </c>
      <c r="BQ2316" s="106">
        <v>0</v>
      </c>
      <c r="BR2316" s="106">
        <v>0</v>
      </c>
      <c r="BS2316" s="106">
        <v>0</v>
      </c>
      <c r="BT2316" s="106">
        <v>0</v>
      </c>
      <c r="BU2316" s="47">
        <v>0</v>
      </c>
      <c r="BV2316" s="47"/>
      <c r="BW2316" s="47"/>
    </row>
    <row r="2317" spans="1:75" ht="20.100000000000001" customHeight="1">
      <c r="A2317" s="138"/>
      <c r="B2317" s="138"/>
      <c r="C2317" s="100">
        <v>77006002</v>
      </c>
      <c r="D2317" s="99" t="s">
        <v>5364</v>
      </c>
      <c r="E2317" s="287" t="s">
        <v>5365</v>
      </c>
      <c r="F2317" s="97">
        <v>1</v>
      </c>
      <c r="G2317" s="101">
        <v>63021101</v>
      </c>
      <c r="H2317" s="100">
        <v>0</v>
      </c>
      <c r="I2317" s="105">
        <v>0</v>
      </c>
      <c r="J2317" s="100">
        <v>1</v>
      </c>
      <c r="K2317" s="101">
        <v>0</v>
      </c>
      <c r="L2317" s="100">
        <v>0</v>
      </c>
      <c r="M2317" s="101">
        <v>0</v>
      </c>
      <c r="N2317" s="101">
        <v>0</v>
      </c>
      <c r="O2317" s="101">
        <v>1</v>
      </c>
      <c r="P2317" s="101">
        <v>0</v>
      </c>
      <c r="Q2317" s="101">
        <v>0</v>
      </c>
      <c r="R2317" s="101">
        <v>0</v>
      </c>
      <c r="S2317" s="106">
        <v>0</v>
      </c>
      <c r="T2317" s="101">
        <v>0</v>
      </c>
      <c r="U2317" s="101">
        <v>1</v>
      </c>
      <c r="V2317" s="101">
        <v>1</v>
      </c>
      <c r="W2317" s="101">
        <v>0</v>
      </c>
      <c r="X2317" s="101">
        <v>1.5</v>
      </c>
      <c r="Y2317" s="12">
        <v>0</v>
      </c>
      <c r="Z2317" s="101">
        <v>0</v>
      </c>
      <c r="AA2317" s="101">
        <v>0</v>
      </c>
      <c r="AB2317" s="101">
        <v>0</v>
      </c>
      <c r="AC2317" s="101">
        <v>0</v>
      </c>
      <c r="AD2317" s="101">
        <v>0</v>
      </c>
      <c r="AE2317" s="101">
        <v>0</v>
      </c>
      <c r="AF2317" s="101">
        <v>12</v>
      </c>
      <c r="AG2317" s="101">
        <v>1</v>
      </c>
      <c r="AH2317" s="101">
        <v>4</v>
      </c>
      <c r="AI2317" s="106">
        <v>2</v>
      </c>
      <c r="AJ2317" s="106">
        <v>1</v>
      </c>
      <c r="AK2317" s="106">
        <v>0</v>
      </c>
      <c r="AL2317" s="106">
        <v>7</v>
      </c>
      <c r="AM2317" s="101">
        <v>0</v>
      </c>
      <c r="AN2317" s="101">
        <v>0</v>
      </c>
      <c r="AO2317" s="101">
        <v>0</v>
      </c>
      <c r="AP2317" s="101">
        <v>0.2</v>
      </c>
      <c r="AQ2317" s="101">
        <v>2000</v>
      </c>
      <c r="AR2317" s="101">
        <v>0.4</v>
      </c>
      <c r="AS2317" s="101">
        <v>0</v>
      </c>
      <c r="AT2317" s="106">
        <v>0</v>
      </c>
      <c r="AU2317" s="114">
        <v>0</v>
      </c>
      <c r="AV2317" s="114"/>
      <c r="AW2317" s="102" t="s">
        <v>198</v>
      </c>
      <c r="AX2317" s="101" t="s">
        <v>545</v>
      </c>
      <c r="AY2317" s="100">
        <v>10000001</v>
      </c>
      <c r="AZ2317" s="100">
        <v>77005004</v>
      </c>
      <c r="BA2317" s="99" t="s">
        <v>200</v>
      </c>
      <c r="BB2317" s="101">
        <v>0</v>
      </c>
      <c r="BC2317" s="105">
        <v>0</v>
      </c>
      <c r="BD2317" s="105">
        <v>0</v>
      </c>
      <c r="BE2317" s="119" t="s">
        <v>5366</v>
      </c>
      <c r="BF2317" s="119" t="s">
        <v>5367</v>
      </c>
      <c r="BG2317" s="101">
        <v>0</v>
      </c>
      <c r="BH2317" s="101">
        <v>0</v>
      </c>
      <c r="BI2317" s="101">
        <v>0</v>
      </c>
      <c r="BJ2317" s="101">
        <v>0</v>
      </c>
      <c r="BK2317" s="101">
        <v>0</v>
      </c>
      <c r="BL2317" s="101">
        <v>0</v>
      </c>
      <c r="BM2317" s="97">
        <v>0</v>
      </c>
      <c r="BN2317" s="106">
        <v>0</v>
      </c>
      <c r="BO2317" s="106">
        <v>0</v>
      </c>
      <c r="BP2317" s="106">
        <v>0</v>
      </c>
      <c r="BQ2317" s="106">
        <v>0</v>
      </c>
      <c r="BR2317" s="106">
        <v>0</v>
      </c>
      <c r="BS2317" s="106">
        <v>0</v>
      </c>
      <c r="BT2317" s="106">
        <v>0</v>
      </c>
      <c r="BU2317" s="371" t="s">
        <v>5368</v>
      </c>
      <c r="BV2317" s="47"/>
      <c r="BW2317" s="47"/>
    </row>
    <row r="2318" spans="1:75" ht="20.100000000000001" customHeight="1">
      <c r="A2318" s="138"/>
      <c r="B2318" s="138"/>
      <c r="C2318" s="100">
        <v>77006003</v>
      </c>
      <c r="D2318" s="99" t="s">
        <v>5369</v>
      </c>
      <c r="E2318" s="287" t="s">
        <v>5370</v>
      </c>
      <c r="F2318" s="97">
        <v>1</v>
      </c>
      <c r="G2318" s="101">
        <v>63021101</v>
      </c>
      <c r="H2318" s="100">
        <v>0</v>
      </c>
      <c r="I2318" s="105">
        <v>0</v>
      </c>
      <c r="J2318" s="100">
        <v>1</v>
      </c>
      <c r="K2318" s="101">
        <v>0</v>
      </c>
      <c r="L2318" s="100">
        <v>0</v>
      </c>
      <c r="M2318" s="101">
        <v>0</v>
      </c>
      <c r="N2318" s="101">
        <v>0</v>
      </c>
      <c r="O2318" s="101">
        <v>1</v>
      </c>
      <c r="P2318" s="101">
        <v>0</v>
      </c>
      <c r="Q2318" s="101">
        <v>0</v>
      </c>
      <c r="R2318" s="101">
        <v>0</v>
      </c>
      <c r="S2318" s="106">
        <v>0</v>
      </c>
      <c r="T2318" s="101">
        <v>0</v>
      </c>
      <c r="U2318" s="101">
        <v>1</v>
      </c>
      <c r="V2318" s="101">
        <v>1</v>
      </c>
      <c r="W2318" s="101">
        <v>0</v>
      </c>
      <c r="X2318" s="101">
        <v>1.2</v>
      </c>
      <c r="Y2318" s="12">
        <v>0</v>
      </c>
      <c r="Z2318" s="101">
        <v>0</v>
      </c>
      <c r="AA2318" s="101">
        <v>0</v>
      </c>
      <c r="AB2318" s="101">
        <v>0</v>
      </c>
      <c r="AC2318" s="101">
        <v>0</v>
      </c>
      <c r="AD2318" s="101">
        <v>0</v>
      </c>
      <c r="AE2318" s="101">
        <v>0</v>
      </c>
      <c r="AF2318" s="101">
        <v>10</v>
      </c>
      <c r="AG2318" s="101">
        <v>1</v>
      </c>
      <c r="AH2318" s="101">
        <v>2</v>
      </c>
      <c r="AI2318" s="106">
        <v>2</v>
      </c>
      <c r="AJ2318" s="106">
        <v>2</v>
      </c>
      <c r="AK2318" s="106">
        <v>0</v>
      </c>
      <c r="AL2318" s="106">
        <v>3</v>
      </c>
      <c r="AM2318" s="101">
        <v>0</v>
      </c>
      <c r="AN2318" s="101">
        <v>0</v>
      </c>
      <c r="AO2318" s="101">
        <v>0</v>
      </c>
      <c r="AP2318" s="100">
        <v>0.2</v>
      </c>
      <c r="AQ2318" s="101">
        <v>6000</v>
      </c>
      <c r="AR2318" s="101">
        <v>0.2</v>
      </c>
      <c r="AS2318" s="101">
        <v>8</v>
      </c>
      <c r="AT2318" s="106">
        <v>0</v>
      </c>
      <c r="AU2318" s="337" t="s">
        <v>5349</v>
      </c>
      <c r="AV2318" s="101"/>
      <c r="AW2318" s="99" t="s">
        <v>198</v>
      </c>
      <c r="AX2318" s="101" t="s">
        <v>545</v>
      </c>
      <c r="AY2318" s="100">
        <v>0</v>
      </c>
      <c r="AZ2318" s="100">
        <v>77005005</v>
      </c>
      <c r="BA2318" s="99" t="s">
        <v>2220</v>
      </c>
      <c r="BB2318" s="101" t="s">
        <v>5371</v>
      </c>
      <c r="BC2318" s="105">
        <v>0</v>
      </c>
      <c r="BD2318" s="105">
        <v>0</v>
      </c>
      <c r="BE2318" s="119" t="s">
        <v>5372</v>
      </c>
      <c r="BF2318" s="119" t="s">
        <v>5373</v>
      </c>
      <c r="BG2318" s="101">
        <v>0</v>
      </c>
      <c r="BH2318" s="101">
        <v>0</v>
      </c>
      <c r="BI2318" s="101">
        <v>0</v>
      </c>
      <c r="BJ2318" s="101">
        <v>0</v>
      </c>
      <c r="BK2318" s="101">
        <v>0</v>
      </c>
      <c r="BL2318" s="101">
        <v>0</v>
      </c>
      <c r="BM2318" s="97">
        <v>0</v>
      </c>
      <c r="BN2318" s="106">
        <v>0</v>
      </c>
      <c r="BO2318" s="106">
        <v>0</v>
      </c>
      <c r="BP2318" s="106">
        <v>1</v>
      </c>
      <c r="BQ2318" s="106">
        <v>1</v>
      </c>
      <c r="BR2318" s="106">
        <v>0</v>
      </c>
      <c r="BS2318" s="106">
        <v>0</v>
      </c>
      <c r="BT2318" s="106">
        <v>0</v>
      </c>
      <c r="BU2318" s="47">
        <v>0</v>
      </c>
      <c r="BV2318" s="47"/>
      <c r="BW2318" s="47"/>
    </row>
    <row r="2319" spans="1:75" ht="19.5" customHeight="1">
      <c r="A2319" s="138"/>
      <c r="B2319" s="138"/>
      <c r="C2319" s="100">
        <v>77006004</v>
      </c>
      <c r="D2319" s="99" t="s">
        <v>2227</v>
      </c>
      <c r="E2319" s="99" t="s">
        <v>2228</v>
      </c>
      <c r="F2319" s="100">
        <v>1</v>
      </c>
      <c r="G2319" s="100">
        <v>0</v>
      </c>
      <c r="H2319" s="100">
        <v>0</v>
      </c>
      <c r="I2319" s="105">
        <v>0</v>
      </c>
      <c r="J2319" s="100">
        <v>1</v>
      </c>
      <c r="K2319" s="100">
        <v>0</v>
      </c>
      <c r="L2319" s="100">
        <v>0</v>
      </c>
      <c r="M2319" s="101">
        <v>0</v>
      </c>
      <c r="N2319" s="101">
        <v>0</v>
      </c>
      <c r="O2319" s="101">
        <v>2</v>
      </c>
      <c r="P2319" s="101">
        <v>3</v>
      </c>
      <c r="Q2319" s="101">
        <v>0.2</v>
      </c>
      <c r="R2319" s="101">
        <v>0</v>
      </c>
      <c r="S2319" s="106">
        <v>0</v>
      </c>
      <c r="T2319" s="101">
        <v>0</v>
      </c>
      <c r="U2319" s="101">
        <v>1</v>
      </c>
      <c r="V2319" s="101">
        <v>2</v>
      </c>
      <c r="W2319" s="101">
        <v>0</v>
      </c>
      <c r="X2319" s="101">
        <v>1.5</v>
      </c>
      <c r="Y2319" s="12">
        <v>0</v>
      </c>
      <c r="Z2319" s="101">
        <v>0</v>
      </c>
      <c r="AA2319" s="101">
        <v>1</v>
      </c>
      <c r="AB2319" s="101">
        <v>0</v>
      </c>
      <c r="AC2319" s="101">
        <v>0</v>
      </c>
      <c r="AD2319" s="101">
        <v>1</v>
      </c>
      <c r="AE2319" s="101">
        <v>1</v>
      </c>
      <c r="AF2319" s="101">
        <v>0</v>
      </c>
      <c r="AG2319" s="101">
        <v>1</v>
      </c>
      <c r="AH2319" s="101">
        <v>3</v>
      </c>
      <c r="AI2319" s="106">
        <v>1</v>
      </c>
      <c r="AJ2319" s="106">
        <v>1</v>
      </c>
      <c r="AK2319" s="106">
        <v>0</v>
      </c>
      <c r="AL2319" s="106">
        <v>3</v>
      </c>
      <c r="AM2319" s="101">
        <v>0</v>
      </c>
      <c r="AN2319" s="101">
        <v>0</v>
      </c>
      <c r="AO2319" s="101">
        <v>0</v>
      </c>
      <c r="AP2319" s="101">
        <v>0</v>
      </c>
      <c r="AQ2319" s="101">
        <v>2000</v>
      </c>
      <c r="AR2319" s="101">
        <v>0.3</v>
      </c>
      <c r="AS2319" s="101">
        <v>0</v>
      </c>
      <c r="AT2319" s="106">
        <v>0</v>
      </c>
      <c r="AU2319" s="114">
        <v>0</v>
      </c>
      <c r="AV2319" s="114"/>
      <c r="AW2319" s="102" t="s">
        <v>198</v>
      </c>
      <c r="AX2319" s="101" t="s">
        <v>534</v>
      </c>
      <c r="AY2319" s="100">
        <v>0</v>
      </c>
      <c r="AZ2319" s="100">
        <v>77005004</v>
      </c>
      <c r="BA2319" s="99" t="s">
        <v>200</v>
      </c>
      <c r="BB2319" s="101">
        <v>0</v>
      </c>
      <c r="BC2319" s="105">
        <v>0</v>
      </c>
      <c r="BD2319" s="105">
        <v>0</v>
      </c>
      <c r="BE2319" s="119" t="s">
        <v>2229</v>
      </c>
      <c r="BF2319" s="119" t="s">
        <v>2230</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106">
        <v>0</v>
      </c>
      <c r="BV2319" s="47"/>
      <c r="BW2319" s="47"/>
    </row>
    <row r="2320" spans="1:75" ht="19.5" customHeight="1">
      <c r="A2320" s="138"/>
      <c r="B2320" s="138"/>
      <c r="C2320" s="306">
        <v>77007001</v>
      </c>
      <c r="D2320" s="307" t="s">
        <v>5374</v>
      </c>
      <c r="E2320" s="307" t="s">
        <v>5375</v>
      </c>
      <c r="F2320" s="308">
        <v>1</v>
      </c>
      <c r="G2320" s="308">
        <v>63021101</v>
      </c>
      <c r="H2320" s="308">
        <v>0</v>
      </c>
      <c r="I2320" s="311">
        <v>0</v>
      </c>
      <c r="J2320" s="306">
        <v>1</v>
      </c>
      <c r="K2320" s="308">
        <v>0</v>
      </c>
      <c r="L2320" s="308">
        <v>0</v>
      </c>
      <c r="M2320" s="308">
        <v>0</v>
      </c>
      <c r="N2320" s="308">
        <v>0</v>
      </c>
      <c r="O2320" s="308">
        <v>1</v>
      </c>
      <c r="P2320" s="308">
        <v>0</v>
      </c>
      <c r="Q2320" s="308">
        <v>0</v>
      </c>
      <c r="R2320" s="308">
        <v>0</v>
      </c>
      <c r="S2320" s="47">
        <v>0</v>
      </c>
      <c r="T2320" s="308">
        <v>0</v>
      </c>
      <c r="U2320" s="308">
        <v>1</v>
      </c>
      <c r="V2320" s="308">
        <v>1</v>
      </c>
      <c r="W2320" s="308">
        <v>0</v>
      </c>
      <c r="X2320" s="308">
        <v>3</v>
      </c>
      <c r="Y2320" s="12">
        <v>0</v>
      </c>
      <c r="Z2320" s="308">
        <v>0</v>
      </c>
      <c r="AA2320" s="308">
        <v>0</v>
      </c>
      <c r="AB2320" s="308">
        <v>0</v>
      </c>
      <c r="AC2320" s="308">
        <v>0</v>
      </c>
      <c r="AD2320" s="308">
        <v>0</v>
      </c>
      <c r="AE2320" s="308">
        <v>0</v>
      </c>
      <c r="AF2320" s="308">
        <v>9</v>
      </c>
      <c r="AG2320" s="308">
        <v>1</v>
      </c>
      <c r="AH2320" s="312">
        <v>5</v>
      </c>
      <c r="AI2320" s="47">
        <v>2</v>
      </c>
      <c r="AJ2320" s="47">
        <v>1</v>
      </c>
      <c r="AK2320" s="47">
        <v>0</v>
      </c>
      <c r="AL2320" s="47">
        <v>8</v>
      </c>
      <c r="AM2320" s="308">
        <v>0</v>
      </c>
      <c r="AN2320" s="308">
        <v>0</v>
      </c>
      <c r="AO2320" s="308">
        <v>0</v>
      </c>
      <c r="AP2320" s="308">
        <v>0.2</v>
      </c>
      <c r="AQ2320" s="308">
        <v>1000</v>
      </c>
      <c r="AR2320" s="308">
        <v>0.2</v>
      </c>
      <c r="AS2320" s="308">
        <v>0</v>
      </c>
      <c r="AT2320" s="47">
        <v>0</v>
      </c>
      <c r="AU2320" s="372" t="s">
        <v>5376</v>
      </c>
      <c r="AV2320" s="308"/>
      <c r="AW2320" s="307" t="s">
        <v>198</v>
      </c>
      <c r="AX2320" s="308" t="s">
        <v>534</v>
      </c>
      <c r="AY2320" s="306">
        <v>10000001</v>
      </c>
      <c r="AZ2320" s="306">
        <v>77005101</v>
      </c>
      <c r="BA2320" s="307" t="s">
        <v>1371</v>
      </c>
      <c r="BB2320" s="308">
        <v>0</v>
      </c>
      <c r="BC2320" s="47">
        <v>0</v>
      </c>
      <c r="BD2320" s="47">
        <v>0</v>
      </c>
      <c r="BE2320" s="315" t="s">
        <v>5377</v>
      </c>
      <c r="BF2320" s="315" t="s">
        <v>5378</v>
      </c>
      <c r="BG2320" s="308">
        <v>0</v>
      </c>
      <c r="BH2320" s="308">
        <v>0</v>
      </c>
      <c r="BI2320" s="308">
        <v>0</v>
      </c>
      <c r="BJ2320" s="308">
        <v>0</v>
      </c>
      <c r="BK2320" s="308">
        <v>0</v>
      </c>
      <c r="BL2320" s="308">
        <v>0</v>
      </c>
      <c r="BM2320" s="310">
        <v>0</v>
      </c>
      <c r="BN2320" s="47">
        <v>0</v>
      </c>
      <c r="BO2320" s="47">
        <v>0</v>
      </c>
      <c r="BP2320" s="47">
        <v>0</v>
      </c>
      <c r="BQ2320" s="47">
        <v>0</v>
      </c>
      <c r="BR2320" s="47">
        <v>0</v>
      </c>
      <c r="BS2320" s="47">
        <v>0</v>
      </c>
      <c r="BT2320" s="47">
        <v>0</v>
      </c>
      <c r="BU2320" s="47">
        <v>0</v>
      </c>
      <c r="BV2320" s="47"/>
      <c r="BW2320" s="47"/>
    </row>
    <row r="2321" spans="1:75" ht="19.5" customHeight="1">
      <c r="A2321" s="138"/>
      <c r="B2321" s="138"/>
      <c r="C2321" s="306">
        <v>77007002</v>
      </c>
      <c r="D2321" s="307" t="s">
        <v>5379</v>
      </c>
      <c r="E2321" s="307" t="s">
        <v>5380</v>
      </c>
      <c r="F2321" s="308">
        <v>1</v>
      </c>
      <c r="G2321" s="308">
        <v>63021101</v>
      </c>
      <c r="H2321" s="308">
        <v>0</v>
      </c>
      <c r="I2321" s="311">
        <v>0</v>
      </c>
      <c r="J2321" s="306">
        <v>1</v>
      </c>
      <c r="K2321" s="308">
        <v>0</v>
      </c>
      <c r="L2321" s="308">
        <v>0</v>
      </c>
      <c r="M2321" s="308">
        <v>0</v>
      </c>
      <c r="N2321" s="308">
        <v>0</v>
      </c>
      <c r="O2321" s="308">
        <v>1</v>
      </c>
      <c r="P2321" s="308">
        <v>0</v>
      </c>
      <c r="Q2321" s="308">
        <v>0</v>
      </c>
      <c r="R2321" s="308">
        <v>0</v>
      </c>
      <c r="S2321" s="47">
        <v>0</v>
      </c>
      <c r="T2321" s="308">
        <v>0</v>
      </c>
      <c r="U2321" s="308">
        <v>1</v>
      </c>
      <c r="V2321" s="308">
        <v>1</v>
      </c>
      <c r="W2321" s="308">
        <v>0</v>
      </c>
      <c r="X2321" s="308">
        <v>3</v>
      </c>
      <c r="Y2321" s="12">
        <v>0</v>
      </c>
      <c r="Z2321" s="308">
        <v>0</v>
      </c>
      <c r="AA2321" s="308">
        <v>0</v>
      </c>
      <c r="AB2321" s="308">
        <v>0</v>
      </c>
      <c r="AC2321" s="308">
        <v>0</v>
      </c>
      <c r="AD2321" s="308">
        <v>0</v>
      </c>
      <c r="AE2321" s="308">
        <v>0</v>
      </c>
      <c r="AF2321" s="308">
        <v>6</v>
      </c>
      <c r="AG2321" s="308">
        <v>3</v>
      </c>
      <c r="AH2321" s="312">
        <v>4120</v>
      </c>
      <c r="AI2321" s="47">
        <v>2</v>
      </c>
      <c r="AJ2321" s="47">
        <v>3</v>
      </c>
      <c r="AK2321" s="47">
        <v>0</v>
      </c>
      <c r="AL2321" s="47">
        <v>1.5</v>
      </c>
      <c r="AM2321" s="308">
        <v>0</v>
      </c>
      <c r="AN2321" s="308">
        <v>0</v>
      </c>
      <c r="AO2321" s="308">
        <v>0</v>
      </c>
      <c r="AP2321" s="308">
        <v>0.2</v>
      </c>
      <c r="AQ2321" s="308">
        <v>1000</v>
      </c>
      <c r="AR2321" s="308">
        <v>0.2</v>
      </c>
      <c r="AS2321" s="308">
        <v>0</v>
      </c>
      <c r="AT2321" s="47">
        <v>97050102</v>
      </c>
      <c r="AU2321" s="373" t="s">
        <v>5381</v>
      </c>
      <c r="AV2321" s="312"/>
      <c r="AW2321" s="307" t="s">
        <v>198</v>
      </c>
      <c r="AX2321" s="308" t="s">
        <v>534</v>
      </c>
      <c r="AY2321" s="306">
        <v>10000001</v>
      </c>
      <c r="AZ2321" s="306">
        <v>77005102</v>
      </c>
      <c r="BA2321" s="307" t="s">
        <v>200</v>
      </c>
      <c r="BB2321" s="308">
        <v>0</v>
      </c>
      <c r="BC2321" s="47">
        <v>0</v>
      </c>
      <c r="BD2321" s="47">
        <v>0</v>
      </c>
      <c r="BE2321" s="315" t="s">
        <v>5382</v>
      </c>
      <c r="BF2321" s="315" t="s">
        <v>5383</v>
      </c>
      <c r="BG2321" s="308">
        <v>0</v>
      </c>
      <c r="BH2321" s="308">
        <v>0</v>
      </c>
      <c r="BI2321" s="308">
        <v>0</v>
      </c>
      <c r="BJ2321" s="308">
        <v>0</v>
      </c>
      <c r="BK2321" s="308">
        <v>0</v>
      </c>
      <c r="BL2321" s="308">
        <v>0</v>
      </c>
      <c r="BM2321" s="310">
        <v>0</v>
      </c>
      <c r="BN2321" s="47">
        <v>0</v>
      </c>
      <c r="BO2321" s="47">
        <v>0</v>
      </c>
      <c r="BP2321" s="47">
        <v>0</v>
      </c>
      <c r="BQ2321" s="47">
        <v>0</v>
      </c>
      <c r="BR2321" s="47">
        <v>0</v>
      </c>
      <c r="BS2321" s="47">
        <v>0</v>
      </c>
      <c r="BT2321" s="47">
        <v>0</v>
      </c>
      <c r="BU2321" s="47">
        <v>0</v>
      </c>
      <c r="BV2321" s="47"/>
      <c r="BW2321" s="47"/>
    </row>
    <row r="2322" spans="1:75" ht="20.100000000000001" customHeight="1">
      <c r="A2322" s="138"/>
      <c r="B2322" s="138"/>
      <c r="C2322" s="306">
        <v>77007003</v>
      </c>
      <c r="D2322" s="307" t="s">
        <v>5384</v>
      </c>
      <c r="E2322" s="309" t="s">
        <v>5385</v>
      </c>
      <c r="F2322" s="310">
        <v>1</v>
      </c>
      <c r="G2322" s="308">
        <v>63021101</v>
      </c>
      <c r="H2322" s="306">
        <v>0</v>
      </c>
      <c r="I2322" s="311">
        <v>0</v>
      </c>
      <c r="J2322" s="306">
        <v>1</v>
      </c>
      <c r="K2322" s="308">
        <v>0</v>
      </c>
      <c r="L2322" s="306">
        <v>0</v>
      </c>
      <c r="M2322" s="308">
        <v>0</v>
      </c>
      <c r="N2322" s="308">
        <v>0</v>
      </c>
      <c r="O2322" s="308">
        <v>1</v>
      </c>
      <c r="P2322" s="308">
        <v>0</v>
      </c>
      <c r="Q2322" s="308">
        <v>0</v>
      </c>
      <c r="R2322" s="308">
        <v>0</v>
      </c>
      <c r="S2322" s="47">
        <v>0</v>
      </c>
      <c r="T2322" s="308">
        <v>0</v>
      </c>
      <c r="U2322" s="308">
        <v>1</v>
      </c>
      <c r="V2322" s="308">
        <v>1</v>
      </c>
      <c r="W2322" s="308">
        <v>0</v>
      </c>
      <c r="X2322" s="308">
        <v>0</v>
      </c>
      <c r="Y2322" s="12">
        <v>0</v>
      </c>
      <c r="Z2322" s="308">
        <v>0</v>
      </c>
      <c r="AA2322" s="308">
        <v>0</v>
      </c>
      <c r="AB2322" s="308">
        <v>0</v>
      </c>
      <c r="AC2322" s="308">
        <v>0</v>
      </c>
      <c r="AD2322" s="308">
        <v>0</v>
      </c>
      <c r="AE2322" s="308">
        <v>0</v>
      </c>
      <c r="AF2322" s="308">
        <v>18</v>
      </c>
      <c r="AG2322" s="308">
        <v>1</v>
      </c>
      <c r="AH2322" s="308">
        <v>3</v>
      </c>
      <c r="AI2322" s="47">
        <v>0</v>
      </c>
      <c r="AJ2322" s="47">
        <v>0</v>
      </c>
      <c r="AK2322" s="47">
        <v>0</v>
      </c>
      <c r="AL2322" s="47">
        <v>1.5</v>
      </c>
      <c r="AM2322" s="308">
        <v>0</v>
      </c>
      <c r="AN2322" s="308">
        <v>0</v>
      </c>
      <c r="AO2322" s="308">
        <v>0</v>
      </c>
      <c r="AP2322" s="306">
        <v>3</v>
      </c>
      <c r="AQ2322" s="308">
        <v>3000</v>
      </c>
      <c r="AR2322" s="308">
        <v>0.1</v>
      </c>
      <c r="AS2322" s="308">
        <v>0</v>
      </c>
      <c r="AT2322" s="371" t="s">
        <v>5386</v>
      </c>
      <c r="AU2322" s="308">
        <v>0</v>
      </c>
      <c r="AV2322" s="308"/>
      <c r="AW2322" s="307" t="s">
        <v>198</v>
      </c>
      <c r="AX2322" s="308" t="s">
        <v>545</v>
      </c>
      <c r="AY2322" s="306">
        <v>0</v>
      </c>
      <c r="AZ2322" s="306">
        <v>77005103</v>
      </c>
      <c r="BA2322" s="307" t="s">
        <v>1174</v>
      </c>
      <c r="BB2322" s="372" t="s">
        <v>5387</v>
      </c>
      <c r="BC2322" s="311">
        <v>0</v>
      </c>
      <c r="BD2322" s="311">
        <v>0</v>
      </c>
      <c r="BE2322" s="316" t="s">
        <v>2263</v>
      </c>
      <c r="BF2322" s="316" t="s">
        <v>2264</v>
      </c>
      <c r="BG2322" s="308">
        <v>0</v>
      </c>
      <c r="BH2322" s="308">
        <v>0</v>
      </c>
      <c r="BI2322" s="308">
        <v>0</v>
      </c>
      <c r="BJ2322" s="308">
        <v>0</v>
      </c>
      <c r="BK2322" s="308">
        <v>0</v>
      </c>
      <c r="BL2322" s="308">
        <v>0</v>
      </c>
      <c r="BM2322" s="310">
        <v>0</v>
      </c>
      <c r="BN2322" s="47">
        <v>0</v>
      </c>
      <c r="BO2322" s="47">
        <v>0</v>
      </c>
      <c r="BP2322" s="47">
        <v>0</v>
      </c>
      <c r="BQ2322" s="47">
        <v>0</v>
      </c>
      <c r="BR2322" s="47">
        <v>0</v>
      </c>
      <c r="BS2322" s="47">
        <v>0</v>
      </c>
      <c r="BT2322" s="47">
        <v>0</v>
      </c>
      <c r="BU2322" s="47">
        <v>0</v>
      </c>
      <c r="BV2322" s="47"/>
      <c r="BW2322" s="47"/>
    </row>
    <row r="2323" spans="1:75" ht="20.100000000000001" customHeight="1">
      <c r="A2323" s="138"/>
      <c r="B2323" s="138"/>
      <c r="C2323" s="306">
        <v>77007004</v>
      </c>
      <c r="D2323" s="307" t="s">
        <v>2265</v>
      </c>
      <c r="E2323" s="309" t="s">
        <v>2266</v>
      </c>
      <c r="F2323" s="310">
        <v>1</v>
      </c>
      <c r="G2323" s="308">
        <v>63021101</v>
      </c>
      <c r="H2323" s="306">
        <v>0</v>
      </c>
      <c r="I2323" s="311">
        <v>0</v>
      </c>
      <c r="J2323" s="306">
        <v>1</v>
      </c>
      <c r="K2323" s="308">
        <v>0</v>
      </c>
      <c r="L2323" s="306">
        <v>0</v>
      </c>
      <c r="M2323" s="308">
        <v>0</v>
      </c>
      <c r="N2323" s="308">
        <v>0</v>
      </c>
      <c r="O2323" s="308">
        <v>1</v>
      </c>
      <c r="P2323" s="308">
        <v>0</v>
      </c>
      <c r="Q2323" s="308">
        <v>0</v>
      </c>
      <c r="R2323" s="308">
        <v>0</v>
      </c>
      <c r="S2323" s="47">
        <v>0</v>
      </c>
      <c r="T2323" s="308">
        <v>0</v>
      </c>
      <c r="U2323" s="308">
        <v>1</v>
      </c>
      <c r="V2323" s="308">
        <v>1</v>
      </c>
      <c r="W2323" s="308">
        <v>0</v>
      </c>
      <c r="X2323" s="308">
        <v>1.2</v>
      </c>
      <c r="Y2323" s="12">
        <v>0</v>
      </c>
      <c r="Z2323" s="308">
        <v>300</v>
      </c>
      <c r="AA2323" s="308">
        <v>0</v>
      </c>
      <c r="AB2323" s="308">
        <v>0</v>
      </c>
      <c r="AC2323" s="308">
        <v>0</v>
      </c>
      <c r="AD2323" s="308">
        <v>0</v>
      </c>
      <c r="AE2323" s="308">
        <v>0</v>
      </c>
      <c r="AF2323" s="308">
        <v>24</v>
      </c>
      <c r="AG2323" s="308">
        <v>1</v>
      </c>
      <c r="AH2323" s="308">
        <v>2</v>
      </c>
      <c r="AI2323" s="47">
        <v>2</v>
      </c>
      <c r="AJ2323" s="47">
        <v>0</v>
      </c>
      <c r="AK2323" s="47">
        <v>0</v>
      </c>
      <c r="AL2323" s="47">
        <v>0</v>
      </c>
      <c r="AM2323" s="308">
        <v>0</v>
      </c>
      <c r="AN2323" s="308">
        <v>0</v>
      </c>
      <c r="AO2323" s="308">
        <v>0</v>
      </c>
      <c r="AP2323" s="306">
        <v>0</v>
      </c>
      <c r="AQ2323" s="308">
        <v>5000</v>
      </c>
      <c r="AR2323" s="308">
        <v>0</v>
      </c>
      <c r="AS2323" s="308">
        <v>0</v>
      </c>
      <c r="AT2323" s="371" t="s">
        <v>5388</v>
      </c>
      <c r="AU2323" s="308" t="s">
        <v>198</v>
      </c>
      <c r="AV2323" s="308"/>
      <c r="AW2323" s="307" t="s">
        <v>198</v>
      </c>
      <c r="AX2323" s="308" t="s">
        <v>545</v>
      </c>
      <c r="AY2323" s="306">
        <v>0</v>
      </c>
      <c r="AZ2323" s="306">
        <v>77005104</v>
      </c>
      <c r="BA2323" s="307" t="s">
        <v>1165</v>
      </c>
      <c r="BB2323" s="308">
        <v>0</v>
      </c>
      <c r="BC2323" s="311">
        <v>0</v>
      </c>
      <c r="BD2323" s="311">
        <v>0</v>
      </c>
      <c r="BE2323" s="316" t="s">
        <v>5389</v>
      </c>
      <c r="BF2323" s="316" t="s">
        <v>5390</v>
      </c>
      <c r="BG2323" s="308">
        <v>0</v>
      </c>
      <c r="BH2323" s="308">
        <v>0</v>
      </c>
      <c r="BI2323" s="308">
        <v>0</v>
      </c>
      <c r="BJ2323" s="308">
        <v>0</v>
      </c>
      <c r="BK2323" s="308">
        <v>0</v>
      </c>
      <c r="BL2323" s="308">
        <v>0</v>
      </c>
      <c r="BM2323" s="310">
        <v>0</v>
      </c>
      <c r="BN2323" s="47">
        <v>0</v>
      </c>
      <c r="BO2323" s="47">
        <v>0</v>
      </c>
      <c r="BP2323" s="47">
        <v>0</v>
      </c>
      <c r="BQ2323" s="47">
        <v>0</v>
      </c>
      <c r="BR2323" s="47">
        <v>0</v>
      </c>
      <c r="BS2323" s="47">
        <v>0</v>
      </c>
      <c r="BT2323" s="47">
        <v>0</v>
      </c>
      <c r="BU2323" s="47">
        <v>0</v>
      </c>
      <c r="BV2323" s="47"/>
      <c r="BW2323" s="47"/>
    </row>
    <row r="2324" spans="1:75" ht="19.5" customHeight="1">
      <c r="A2324" s="138"/>
      <c r="B2324" s="138"/>
      <c r="C2324" s="306">
        <v>77007005</v>
      </c>
      <c r="D2324" s="307" t="s">
        <v>760</v>
      </c>
      <c r="E2324" s="307" t="s">
        <v>761</v>
      </c>
      <c r="F2324" s="308">
        <v>1</v>
      </c>
      <c r="G2324" s="308">
        <v>0</v>
      </c>
      <c r="H2324" s="308">
        <v>0</v>
      </c>
      <c r="I2324" s="311">
        <v>0</v>
      </c>
      <c r="J2324" s="306">
        <v>1</v>
      </c>
      <c r="K2324" s="306">
        <v>0</v>
      </c>
      <c r="L2324" s="306">
        <v>0</v>
      </c>
      <c r="M2324" s="308">
        <v>0</v>
      </c>
      <c r="N2324" s="308">
        <v>0</v>
      </c>
      <c r="O2324" s="308">
        <v>2</v>
      </c>
      <c r="P2324" s="308">
        <v>1</v>
      </c>
      <c r="Q2324" s="308">
        <v>1</v>
      </c>
      <c r="R2324" s="308">
        <v>1</v>
      </c>
      <c r="S2324" s="47">
        <v>0</v>
      </c>
      <c r="T2324" s="308">
        <v>0</v>
      </c>
      <c r="U2324" s="308">
        <v>1</v>
      </c>
      <c r="V2324" s="308">
        <v>1</v>
      </c>
      <c r="W2324" s="308">
        <v>0</v>
      </c>
      <c r="X2324" s="308">
        <v>1.5</v>
      </c>
      <c r="Y2324" s="12">
        <v>0</v>
      </c>
      <c r="Z2324" s="308">
        <v>0</v>
      </c>
      <c r="AA2324" s="308">
        <v>0</v>
      </c>
      <c r="AB2324" s="308">
        <v>0</v>
      </c>
      <c r="AC2324" s="308">
        <v>0</v>
      </c>
      <c r="AD2324" s="308">
        <v>0</v>
      </c>
      <c r="AE2324" s="308">
        <v>1</v>
      </c>
      <c r="AF2324" s="308">
        <v>10</v>
      </c>
      <c r="AG2324" s="308">
        <v>2</v>
      </c>
      <c r="AH2324" s="308" t="s">
        <v>1036</v>
      </c>
      <c r="AI2324" s="47">
        <v>0</v>
      </c>
      <c r="AJ2324" s="47">
        <v>2</v>
      </c>
      <c r="AK2324" s="47">
        <v>0</v>
      </c>
      <c r="AL2324" s="47">
        <v>1.5</v>
      </c>
      <c r="AM2324" s="308">
        <v>0</v>
      </c>
      <c r="AN2324" s="308">
        <v>0.5</v>
      </c>
      <c r="AO2324" s="308">
        <v>0</v>
      </c>
      <c r="AP2324" s="308">
        <v>1</v>
      </c>
      <c r="AQ2324" s="308">
        <v>1000</v>
      </c>
      <c r="AR2324" s="308">
        <v>0.2</v>
      </c>
      <c r="AS2324" s="308">
        <v>15</v>
      </c>
      <c r="AT2324" s="47">
        <v>0</v>
      </c>
      <c r="AU2324" s="373" t="s">
        <v>5349</v>
      </c>
      <c r="AV2324" s="312"/>
      <c r="AW2324" s="307" t="s">
        <v>199</v>
      </c>
      <c r="AX2324" s="308" t="s">
        <v>215</v>
      </c>
      <c r="AY2324" s="306">
        <v>0</v>
      </c>
      <c r="AZ2324" s="306">
        <v>0</v>
      </c>
      <c r="BA2324" s="325" t="s">
        <v>216</v>
      </c>
      <c r="BB2324" s="308">
        <v>0</v>
      </c>
      <c r="BC2324" s="311">
        <v>0</v>
      </c>
      <c r="BD2324" s="311">
        <v>0</v>
      </c>
      <c r="BE2324" s="316" t="s">
        <v>2274</v>
      </c>
      <c r="BF2324" s="316" t="s">
        <v>2275</v>
      </c>
      <c r="BG2324" s="308">
        <v>0</v>
      </c>
      <c r="BH2324" s="308">
        <v>0</v>
      </c>
      <c r="BI2324" s="308">
        <v>0</v>
      </c>
      <c r="BJ2324" s="308">
        <v>0</v>
      </c>
      <c r="BK2324" s="308">
        <v>0</v>
      </c>
      <c r="BL2324" s="308">
        <v>0</v>
      </c>
      <c r="BM2324" s="310">
        <v>0</v>
      </c>
      <c r="BN2324" s="47">
        <v>0</v>
      </c>
      <c r="BO2324" s="47">
        <v>0</v>
      </c>
      <c r="BP2324" s="47">
        <v>0</v>
      </c>
      <c r="BQ2324" s="47">
        <v>0</v>
      </c>
      <c r="BR2324" s="47">
        <v>0</v>
      </c>
      <c r="BS2324" s="47">
        <v>0</v>
      </c>
      <c r="BT2324" s="47">
        <v>0</v>
      </c>
      <c r="BU2324" s="47">
        <v>0</v>
      </c>
      <c r="BV2324" s="47"/>
      <c r="BW2324" s="47"/>
    </row>
    <row r="2325" spans="1:75" ht="19.5" customHeight="1">
      <c r="A2325" s="138"/>
      <c r="B2325" s="138"/>
      <c r="C2325" s="306">
        <v>77007006</v>
      </c>
      <c r="D2325" s="307" t="s">
        <v>2276</v>
      </c>
      <c r="E2325" s="307" t="s">
        <v>2277</v>
      </c>
      <c r="F2325" s="306">
        <v>1</v>
      </c>
      <c r="G2325" s="306">
        <v>0</v>
      </c>
      <c r="H2325" s="306">
        <v>0</v>
      </c>
      <c r="I2325" s="311">
        <v>0</v>
      </c>
      <c r="J2325" s="306">
        <v>1</v>
      </c>
      <c r="K2325" s="306">
        <v>0</v>
      </c>
      <c r="L2325" s="306">
        <v>0</v>
      </c>
      <c r="M2325" s="308">
        <v>0</v>
      </c>
      <c r="N2325" s="308">
        <v>0</v>
      </c>
      <c r="O2325" s="308">
        <v>2</v>
      </c>
      <c r="P2325" s="308">
        <v>3</v>
      </c>
      <c r="Q2325" s="308">
        <v>0.2</v>
      </c>
      <c r="R2325" s="308">
        <v>0</v>
      </c>
      <c r="S2325" s="47">
        <v>0</v>
      </c>
      <c r="T2325" s="308">
        <v>0</v>
      </c>
      <c r="U2325" s="308">
        <v>1</v>
      </c>
      <c r="V2325" s="308">
        <v>2</v>
      </c>
      <c r="W2325" s="308">
        <v>0</v>
      </c>
      <c r="X2325" s="308">
        <v>0</v>
      </c>
      <c r="Y2325" s="12">
        <v>0</v>
      </c>
      <c r="Z2325" s="308">
        <v>0</v>
      </c>
      <c r="AA2325" s="308">
        <v>1</v>
      </c>
      <c r="AB2325" s="308">
        <v>0</v>
      </c>
      <c r="AC2325" s="308">
        <v>0</v>
      </c>
      <c r="AD2325" s="308">
        <v>1</v>
      </c>
      <c r="AE2325" s="308">
        <v>1</v>
      </c>
      <c r="AF2325" s="308">
        <v>0</v>
      </c>
      <c r="AG2325" s="308">
        <v>1</v>
      </c>
      <c r="AH2325" s="308">
        <v>3</v>
      </c>
      <c r="AI2325" s="47">
        <v>0</v>
      </c>
      <c r="AJ2325" s="47">
        <v>1</v>
      </c>
      <c r="AK2325" s="47">
        <v>0</v>
      </c>
      <c r="AL2325" s="47">
        <v>3</v>
      </c>
      <c r="AM2325" s="308">
        <v>0</v>
      </c>
      <c r="AN2325" s="308">
        <v>0</v>
      </c>
      <c r="AO2325" s="308">
        <v>0</v>
      </c>
      <c r="AP2325" s="308">
        <v>0</v>
      </c>
      <c r="AQ2325" s="308">
        <v>500</v>
      </c>
      <c r="AR2325" s="308">
        <v>0</v>
      </c>
      <c r="AS2325" s="308">
        <v>0</v>
      </c>
      <c r="AT2325" s="47">
        <v>97050104</v>
      </c>
      <c r="AU2325" s="312">
        <v>0</v>
      </c>
      <c r="AV2325" s="312"/>
      <c r="AW2325" s="326" t="s">
        <v>198</v>
      </c>
      <c r="AX2325" s="308" t="s">
        <v>534</v>
      </c>
      <c r="AY2325" s="306">
        <v>0</v>
      </c>
      <c r="AZ2325" s="306">
        <v>0</v>
      </c>
      <c r="BA2325" s="307" t="s">
        <v>200</v>
      </c>
      <c r="BB2325" s="308">
        <v>0</v>
      </c>
      <c r="BC2325" s="311">
        <v>0</v>
      </c>
      <c r="BD2325" s="311">
        <v>0</v>
      </c>
      <c r="BE2325" s="316" t="s">
        <v>2229</v>
      </c>
      <c r="BF2325" s="316" t="s">
        <v>2230</v>
      </c>
      <c r="BG2325" s="308">
        <v>0</v>
      </c>
      <c r="BH2325" s="308">
        <v>0</v>
      </c>
      <c r="BI2325" s="308">
        <v>0</v>
      </c>
      <c r="BJ2325" s="308">
        <v>0</v>
      </c>
      <c r="BK2325" s="308">
        <v>0</v>
      </c>
      <c r="BL2325" s="308">
        <v>0</v>
      </c>
      <c r="BM2325" s="310">
        <v>0</v>
      </c>
      <c r="BN2325" s="47">
        <v>0</v>
      </c>
      <c r="BO2325" s="47">
        <v>0</v>
      </c>
      <c r="BP2325" s="47">
        <v>0</v>
      </c>
      <c r="BQ2325" s="47">
        <v>0</v>
      </c>
      <c r="BR2325" s="47">
        <v>0</v>
      </c>
      <c r="BS2325" s="47">
        <v>0</v>
      </c>
      <c r="BT2325" s="47">
        <v>0</v>
      </c>
      <c r="BU2325" s="47">
        <v>0</v>
      </c>
      <c r="BV2325" s="47"/>
      <c r="BW2325" s="47"/>
    </row>
    <row r="2326" spans="1:75" s="5" customFormat="1" ht="20.100000000000001" customHeight="1">
      <c r="C2326" s="306">
        <v>77007007</v>
      </c>
      <c r="D2326" s="318" t="s">
        <v>760</v>
      </c>
      <c r="E2326" s="319" t="s">
        <v>761</v>
      </c>
      <c r="F2326" s="320">
        <v>1</v>
      </c>
      <c r="G2326" s="320">
        <v>0</v>
      </c>
      <c r="H2326" s="321">
        <v>0</v>
      </c>
      <c r="I2326" s="322">
        <v>0</v>
      </c>
      <c r="J2326" s="323">
        <v>1</v>
      </c>
      <c r="K2326" s="323">
        <v>0</v>
      </c>
      <c r="L2326" s="323">
        <v>0</v>
      </c>
      <c r="M2326" s="321">
        <v>0</v>
      </c>
      <c r="N2326" s="321">
        <v>0</v>
      </c>
      <c r="O2326" s="321">
        <v>2</v>
      </c>
      <c r="P2326" s="321">
        <v>1</v>
      </c>
      <c r="Q2326" s="321">
        <v>0.2</v>
      </c>
      <c r="R2326" s="321">
        <v>0</v>
      </c>
      <c r="S2326" s="251">
        <v>0</v>
      </c>
      <c r="T2326" s="321">
        <v>0</v>
      </c>
      <c r="U2326" s="321">
        <v>1</v>
      </c>
      <c r="V2326" s="320">
        <v>1</v>
      </c>
      <c r="W2326" s="321">
        <v>0</v>
      </c>
      <c r="X2326" s="321">
        <v>1</v>
      </c>
      <c r="Y2326" s="12">
        <v>0</v>
      </c>
      <c r="Z2326" s="321">
        <v>150</v>
      </c>
      <c r="AA2326" s="321">
        <v>1</v>
      </c>
      <c r="AB2326" s="321">
        <v>0</v>
      </c>
      <c r="AC2326" s="321">
        <v>0</v>
      </c>
      <c r="AD2326" s="321">
        <v>0</v>
      </c>
      <c r="AE2326" s="321">
        <v>1</v>
      </c>
      <c r="AF2326" s="321">
        <v>12</v>
      </c>
      <c r="AG2326" s="321">
        <v>2</v>
      </c>
      <c r="AH2326" s="321" t="s">
        <v>213</v>
      </c>
      <c r="AI2326" s="251">
        <v>0</v>
      </c>
      <c r="AJ2326" s="251">
        <v>2</v>
      </c>
      <c r="AK2326" s="251">
        <v>0</v>
      </c>
      <c r="AL2326" s="251">
        <v>1.5</v>
      </c>
      <c r="AM2326" s="321">
        <v>0</v>
      </c>
      <c r="AN2326" s="321">
        <v>0</v>
      </c>
      <c r="AO2326" s="321">
        <v>0</v>
      </c>
      <c r="AP2326" s="321">
        <v>1.5</v>
      </c>
      <c r="AQ2326" s="321">
        <v>1600</v>
      </c>
      <c r="AR2326" s="321">
        <v>1</v>
      </c>
      <c r="AS2326" s="321">
        <v>15</v>
      </c>
      <c r="AT2326" s="251">
        <v>0</v>
      </c>
      <c r="AU2326" s="374" t="s">
        <v>5391</v>
      </c>
      <c r="AV2326" s="324"/>
      <c r="AW2326" s="318" t="s">
        <v>199</v>
      </c>
      <c r="AX2326" s="321" t="s">
        <v>215</v>
      </c>
      <c r="AY2326" s="323">
        <v>10000011</v>
      </c>
      <c r="AZ2326" s="323">
        <v>77005105</v>
      </c>
      <c r="BA2326" s="318" t="s">
        <v>216</v>
      </c>
      <c r="BB2326" s="321">
        <v>0</v>
      </c>
      <c r="BC2326" s="322">
        <v>0</v>
      </c>
      <c r="BD2326" s="322">
        <v>0</v>
      </c>
      <c r="BE2326" s="327" t="s">
        <v>2195</v>
      </c>
      <c r="BF2326" s="327" t="s">
        <v>2196</v>
      </c>
      <c r="BG2326" s="321">
        <v>0</v>
      </c>
      <c r="BH2326" s="321">
        <v>0</v>
      </c>
      <c r="BI2326" s="321">
        <v>0</v>
      </c>
      <c r="BJ2326" s="321">
        <v>0</v>
      </c>
      <c r="BK2326" s="321">
        <v>0</v>
      </c>
      <c r="BL2326" s="321">
        <v>0</v>
      </c>
      <c r="BM2326" s="320">
        <v>0</v>
      </c>
      <c r="BN2326" s="251">
        <v>0</v>
      </c>
      <c r="BO2326" s="251">
        <v>0</v>
      </c>
      <c r="BP2326" s="251">
        <v>0</v>
      </c>
      <c r="BQ2326" s="251">
        <v>0</v>
      </c>
      <c r="BR2326" s="251">
        <v>0</v>
      </c>
      <c r="BS2326" s="251">
        <v>0</v>
      </c>
      <c r="BT2326" s="251">
        <v>0</v>
      </c>
      <c r="BU2326" s="251">
        <v>0</v>
      </c>
      <c r="BV2326" s="47"/>
      <c r="BW2326" s="47"/>
    </row>
    <row r="2327" spans="1:75" ht="19.5" customHeight="1">
      <c r="A2327" s="138"/>
      <c r="B2327" s="138"/>
      <c r="C2327" s="64">
        <v>77008001</v>
      </c>
      <c r="D2327" s="59" t="s">
        <v>5392</v>
      </c>
      <c r="E2327" s="59" t="s">
        <v>5393</v>
      </c>
      <c r="F2327" s="60">
        <v>1</v>
      </c>
      <c r="G2327" s="60">
        <v>63021101</v>
      </c>
      <c r="H2327" s="60">
        <v>0</v>
      </c>
      <c r="I2327" s="66">
        <v>0</v>
      </c>
      <c r="J2327" s="64">
        <v>1</v>
      </c>
      <c r="K2327" s="60">
        <v>0</v>
      </c>
      <c r="L2327" s="60">
        <v>0</v>
      </c>
      <c r="M2327" s="60">
        <v>0</v>
      </c>
      <c r="N2327" s="60">
        <v>0</v>
      </c>
      <c r="O2327" s="60">
        <v>1</v>
      </c>
      <c r="P2327" s="60">
        <v>0</v>
      </c>
      <c r="Q2327" s="60">
        <v>0</v>
      </c>
      <c r="R2327" s="60">
        <v>0</v>
      </c>
      <c r="S2327" s="68">
        <v>0</v>
      </c>
      <c r="T2327" s="60">
        <v>0</v>
      </c>
      <c r="U2327" s="60">
        <v>1</v>
      </c>
      <c r="V2327" s="60">
        <v>1</v>
      </c>
      <c r="W2327" s="60">
        <v>0</v>
      </c>
      <c r="X2327" s="60">
        <v>3</v>
      </c>
      <c r="Y2327" s="12">
        <v>0</v>
      </c>
      <c r="Z2327" s="60">
        <v>0</v>
      </c>
      <c r="AA2327" s="60">
        <v>0</v>
      </c>
      <c r="AB2327" s="60">
        <v>0</v>
      </c>
      <c r="AC2327" s="60">
        <v>0</v>
      </c>
      <c r="AD2327" s="60">
        <v>0</v>
      </c>
      <c r="AE2327" s="60">
        <v>0</v>
      </c>
      <c r="AF2327" s="60">
        <v>16</v>
      </c>
      <c r="AG2327" s="60">
        <v>1</v>
      </c>
      <c r="AH2327" s="79">
        <v>2</v>
      </c>
      <c r="AI2327" s="68">
        <v>2</v>
      </c>
      <c r="AJ2327" s="68">
        <v>2</v>
      </c>
      <c r="AK2327" s="68">
        <v>0</v>
      </c>
      <c r="AL2327" s="68">
        <v>3</v>
      </c>
      <c r="AM2327" s="60">
        <v>0</v>
      </c>
      <c r="AN2327" s="60">
        <v>0</v>
      </c>
      <c r="AO2327" s="60">
        <v>0</v>
      </c>
      <c r="AP2327" s="60">
        <v>0.2</v>
      </c>
      <c r="AQ2327" s="60">
        <v>3000</v>
      </c>
      <c r="AR2327" s="60">
        <v>0.2</v>
      </c>
      <c r="AS2327" s="60">
        <v>8</v>
      </c>
      <c r="AT2327" s="68">
        <v>0</v>
      </c>
      <c r="AU2327" s="352" t="s">
        <v>5394</v>
      </c>
      <c r="AV2327" s="60"/>
      <c r="AW2327" s="59" t="s">
        <v>198</v>
      </c>
      <c r="AX2327" s="60" t="s">
        <v>534</v>
      </c>
      <c r="AY2327" s="64">
        <v>10000001</v>
      </c>
      <c r="AZ2327" s="64">
        <v>77005201</v>
      </c>
      <c r="BA2327" s="59" t="s">
        <v>586</v>
      </c>
      <c r="BB2327" s="60">
        <v>0</v>
      </c>
      <c r="BC2327" s="68">
        <v>0</v>
      </c>
      <c r="BD2327" s="68">
        <v>0</v>
      </c>
      <c r="BE2327" s="121" t="s">
        <v>5395</v>
      </c>
      <c r="BF2327" s="121" t="s">
        <v>5396</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68">
        <v>0</v>
      </c>
      <c r="BV2327" s="47"/>
      <c r="BW2327" s="47"/>
    </row>
    <row r="2328" spans="1:75" ht="20.100000000000001" customHeight="1">
      <c r="A2328" s="138"/>
      <c r="B2328" s="138"/>
      <c r="C2328" s="64">
        <v>77008002</v>
      </c>
      <c r="D2328" s="59" t="s">
        <v>5397</v>
      </c>
      <c r="E2328" s="147" t="s">
        <v>1196</v>
      </c>
      <c r="F2328" s="93">
        <v>1</v>
      </c>
      <c r="G2328" s="60">
        <v>63021101</v>
      </c>
      <c r="H2328" s="64">
        <v>0</v>
      </c>
      <c r="I2328" s="66">
        <v>0</v>
      </c>
      <c r="J2328" s="64">
        <v>1</v>
      </c>
      <c r="K2328" s="60">
        <v>0</v>
      </c>
      <c r="L2328" s="64">
        <v>0</v>
      </c>
      <c r="M2328" s="60">
        <v>0</v>
      </c>
      <c r="N2328" s="60">
        <v>0</v>
      </c>
      <c r="O2328" s="60">
        <v>1</v>
      </c>
      <c r="P2328" s="60">
        <v>0</v>
      </c>
      <c r="Q2328" s="60">
        <v>0</v>
      </c>
      <c r="R2328" s="60">
        <v>0</v>
      </c>
      <c r="S2328" s="68">
        <v>0</v>
      </c>
      <c r="T2328" s="60">
        <v>0</v>
      </c>
      <c r="U2328" s="60">
        <v>1</v>
      </c>
      <c r="V2328" s="60">
        <v>1</v>
      </c>
      <c r="W2328" s="60">
        <v>0</v>
      </c>
      <c r="X2328" s="60">
        <v>1</v>
      </c>
      <c r="Y2328" s="12">
        <v>0</v>
      </c>
      <c r="Z2328" s="60">
        <v>0</v>
      </c>
      <c r="AA2328" s="60">
        <v>0</v>
      </c>
      <c r="AB2328" s="60">
        <v>0</v>
      </c>
      <c r="AC2328" s="60">
        <v>0</v>
      </c>
      <c r="AD2328" s="60">
        <v>0</v>
      </c>
      <c r="AE2328" s="60">
        <v>0</v>
      </c>
      <c r="AF2328" s="60">
        <v>9</v>
      </c>
      <c r="AG2328" s="60">
        <v>1</v>
      </c>
      <c r="AH2328" s="60">
        <v>4</v>
      </c>
      <c r="AI2328" s="68">
        <v>2</v>
      </c>
      <c r="AJ2328" s="68">
        <v>1</v>
      </c>
      <c r="AK2328" s="68">
        <v>0</v>
      </c>
      <c r="AL2328" s="68">
        <v>8</v>
      </c>
      <c r="AM2328" s="60">
        <v>0</v>
      </c>
      <c r="AN2328" s="60">
        <v>0</v>
      </c>
      <c r="AO2328" s="60">
        <v>0</v>
      </c>
      <c r="AP2328" s="60">
        <v>0</v>
      </c>
      <c r="AQ2328" s="60">
        <v>6000</v>
      </c>
      <c r="AR2328" s="60">
        <v>0.2</v>
      </c>
      <c r="AS2328" s="60">
        <v>0</v>
      </c>
      <c r="AT2328" s="68">
        <v>0</v>
      </c>
      <c r="AU2328" s="331" t="s">
        <v>5349</v>
      </c>
      <c r="AV2328" s="79"/>
      <c r="AW2328" s="63" t="s">
        <v>198</v>
      </c>
      <c r="AX2328" s="60" t="s">
        <v>545</v>
      </c>
      <c r="AY2328" s="64">
        <v>10000001</v>
      </c>
      <c r="AZ2328" s="64">
        <v>77005203</v>
      </c>
      <c r="BA2328" s="59" t="s">
        <v>315</v>
      </c>
      <c r="BB2328" s="60">
        <v>1</v>
      </c>
      <c r="BC2328" s="66">
        <v>0</v>
      </c>
      <c r="BD2328" s="66">
        <v>0</v>
      </c>
      <c r="BE2328" s="90" t="s">
        <v>5398</v>
      </c>
      <c r="BF2328" s="90" t="s">
        <v>5399</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68">
        <v>0</v>
      </c>
      <c r="BV2328" s="47"/>
      <c r="BW2328" s="47"/>
    </row>
    <row r="2329" spans="1:75" ht="20.100000000000001" customHeight="1">
      <c r="A2329" s="138"/>
      <c r="B2329" s="138"/>
      <c r="C2329" s="64">
        <v>77008003</v>
      </c>
      <c r="D2329" s="59" t="s">
        <v>5400</v>
      </c>
      <c r="E2329" s="147" t="s">
        <v>5401</v>
      </c>
      <c r="F2329" s="93">
        <v>1</v>
      </c>
      <c r="G2329" s="60">
        <v>63021101</v>
      </c>
      <c r="H2329" s="64">
        <v>0</v>
      </c>
      <c r="I2329" s="66">
        <v>0</v>
      </c>
      <c r="J2329" s="64">
        <v>1</v>
      </c>
      <c r="K2329" s="60">
        <v>0</v>
      </c>
      <c r="L2329" s="64">
        <v>0</v>
      </c>
      <c r="M2329" s="60">
        <v>0</v>
      </c>
      <c r="N2329" s="60">
        <v>0</v>
      </c>
      <c r="O2329" s="60">
        <v>1</v>
      </c>
      <c r="P2329" s="60">
        <v>0</v>
      </c>
      <c r="Q2329" s="60">
        <v>0</v>
      </c>
      <c r="R2329" s="60">
        <v>0</v>
      </c>
      <c r="S2329" s="68">
        <v>0</v>
      </c>
      <c r="T2329" s="60">
        <v>0</v>
      </c>
      <c r="U2329" s="60">
        <v>1</v>
      </c>
      <c r="V2329" s="60">
        <v>1</v>
      </c>
      <c r="W2329" s="60">
        <v>0</v>
      </c>
      <c r="X2329" s="60">
        <v>2</v>
      </c>
      <c r="Y2329" s="12">
        <v>0</v>
      </c>
      <c r="Z2329" s="60">
        <v>0</v>
      </c>
      <c r="AA2329" s="60">
        <v>0</v>
      </c>
      <c r="AB2329" s="60">
        <v>0</v>
      </c>
      <c r="AC2329" s="60">
        <v>0</v>
      </c>
      <c r="AD2329" s="60">
        <v>0</v>
      </c>
      <c r="AE2329" s="60">
        <v>0</v>
      </c>
      <c r="AF2329" s="60">
        <v>12</v>
      </c>
      <c r="AG2329" s="60">
        <v>1</v>
      </c>
      <c r="AH2329" s="60">
        <v>4</v>
      </c>
      <c r="AI2329" s="68">
        <v>2</v>
      </c>
      <c r="AJ2329" s="68">
        <v>1</v>
      </c>
      <c r="AK2329" s="68">
        <v>0</v>
      </c>
      <c r="AL2329" s="68">
        <v>7</v>
      </c>
      <c r="AM2329" s="60">
        <v>0</v>
      </c>
      <c r="AN2329" s="60">
        <v>0</v>
      </c>
      <c r="AO2329" s="60">
        <v>0</v>
      </c>
      <c r="AP2329" s="64">
        <v>0.2</v>
      </c>
      <c r="AQ2329" s="60">
        <v>1000</v>
      </c>
      <c r="AR2329" s="60">
        <v>0.4</v>
      </c>
      <c r="AS2329" s="60">
        <v>0</v>
      </c>
      <c r="AT2329" s="68">
        <v>0</v>
      </c>
      <c r="AU2329" s="60">
        <v>97050203</v>
      </c>
      <c r="AV2329" s="60"/>
      <c r="AW2329" s="59" t="s">
        <v>198</v>
      </c>
      <c r="AX2329" s="60" t="s">
        <v>545</v>
      </c>
      <c r="AY2329" s="64">
        <v>0</v>
      </c>
      <c r="AZ2329" s="64">
        <v>77005207</v>
      </c>
      <c r="BA2329" s="59" t="s">
        <v>200</v>
      </c>
      <c r="BB2329" s="60">
        <v>0</v>
      </c>
      <c r="BC2329" s="66">
        <v>0</v>
      </c>
      <c r="BD2329" s="66">
        <v>0</v>
      </c>
      <c r="BE2329" s="90" t="s">
        <v>5402</v>
      </c>
      <c r="BF2329" s="90" t="s">
        <v>5403</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339" t="s">
        <v>5404</v>
      </c>
      <c r="BV2329" s="47"/>
      <c r="BW2329" s="47"/>
    </row>
    <row r="2330" spans="1:75" ht="20.100000000000001" customHeight="1">
      <c r="A2330" s="138"/>
      <c r="B2330" s="138"/>
      <c r="C2330" s="64">
        <v>77008004</v>
      </c>
      <c r="D2330" s="59" t="s">
        <v>5405</v>
      </c>
      <c r="E2330" s="147" t="s">
        <v>5406</v>
      </c>
      <c r="F2330" s="93">
        <v>1</v>
      </c>
      <c r="G2330" s="60">
        <v>63021101</v>
      </c>
      <c r="H2330" s="64">
        <v>0</v>
      </c>
      <c r="I2330" s="66">
        <v>0</v>
      </c>
      <c r="J2330" s="64">
        <v>1</v>
      </c>
      <c r="K2330" s="60">
        <v>0</v>
      </c>
      <c r="L2330" s="64">
        <v>0</v>
      </c>
      <c r="M2330" s="60">
        <v>0</v>
      </c>
      <c r="N2330" s="60">
        <v>0</v>
      </c>
      <c r="O2330" s="60">
        <v>1</v>
      </c>
      <c r="P2330" s="60">
        <v>0</v>
      </c>
      <c r="Q2330" s="60">
        <v>0</v>
      </c>
      <c r="R2330" s="60">
        <v>0</v>
      </c>
      <c r="S2330" s="68">
        <v>0</v>
      </c>
      <c r="T2330" s="60">
        <v>0</v>
      </c>
      <c r="U2330" s="60">
        <v>1</v>
      </c>
      <c r="V2330" s="60">
        <v>1</v>
      </c>
      <c r="W2330" s="60">
        <v>0</v>
      </c>
      <c r="X2330" s="60">
        <v>0</v>
      </c>
      <c r="Y2330" s="12">
        <v>0</v>
      </c>
      <c r="Z2330" s="60">
        <v>0</v>
      </c>
      <c r="AA2330" s="60">
        <v>0</v>
      </c>
      <c r="AB2330" s="60">
        <v>0</v>
      </c>
      <c r="AC2330" s="60">
        <v>0</v>
      </c>
      <c r="AD2330" s="60">
        <v>0</v>
      </c>
      <c r="AE2330" s="60">
        <v>0</v>
      </c>
      <c r="AF2330" s="60">
        <v>24</v>
      </c>
      <c r="AG2330" s="60">
        <v>1</v>
      </c>
      <c r="AH2330" s="60">
        <v>3</v>
      </c>
      <c r="AI2330" s="68">
        <v>0</v>
      </c>
      <c r="AJ2330" s="68">
        <v>0</v>
      </c>
      <c r="AK2330" s="68">
        <v>0</v>
      </c>
      <c r="AL2330" s="68">
        <v>1.5</v>
      </c>
      <c r="AM2330" s="60">
        <v>0</v>
      </c>
      <c r="AN2330" s="60">
        <v>0</v>
      </c>
      <c r="AO2330" s="60">
        <v>0</v>
      </c>
      <c r="AP2330" s="64">
        <v>0.1</v>
      </c>
      <c r="AQ2330" s="60">
        <v>3000</v>
      </c>
      <c r="AR2330" s="60">
        <v>0.1</v>
      </c>
      <c r="AS2330" s="60">
        <v>0</v>
      </c>
      <c r="AT2330" s="68">
        <v>97050202</v>
      </c>
      <c r="AU2330" s="352" t="s">
        <v>198</v>
      </c>
      <c r="AV2330" s="60"/>
      <c r="AW2330" s="59" t="s">
        <v>198</v>
      </c>
      <c r="AX2330" s="60" t="s">
        <v>545</v>
      </c>
      <c r="AY2330" s="64">
        <v>0</v>
      </c>
      <c r="AZ2330" s="64">
        <v>77005204</v>
      </c>
      <c r="BA2330" s="59" t="s">
        <v>200</v>
      </c>
      <c r="BB2330" s="60">
        <v>0</v>
      </c>
      <c r="BC2330" s="66">
        <v>0</v>
      </c>
      <c r="BD2330" s="66">
        <v>0</v>
      </c>
      <c r="BE2330" s="90" t="s">
        <v>5407</v>
      </c>
      <c r="BF2330" s="90" t="s">
        <v>5408</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spans="1:75" ht="19.5" customHeight="1">
      <c r="A2331" s="138"/>
      <c r="B2331" s="138"/>
      <c r="C2331" s="64">
        <v>77008005</v>
      </c>
      <c r="D2331" s="59" t="s">
        <v>2227</v>
      </c>
      <c r="E2331" s="59" t="s">
        <v>2228</v>
      </c>
      <c r="F2331" s="64">
        <v>1</v>
      </c>
      <c r="G2331" s="64">
        <v>0</v>
      </c>
      <c r="H2331" s="64">
        <v>0</v>
      </c>
      <c r="I2331" s="66">
        <v>0</v>
      </c>
      <c r="J2331" s="64">
        <v>1</v>
      </c>
      <c r="K2331" s="64">
        <v>0</v>
      </c>
      <c r="L2331" s="64">
        <v>0</v>
      </c>
      <c r="M2331" s="60">
        <v>0</v>
      </c>
      <c r="N2331" s="60">
        <v>0</v>
      </c>
      <c r="O2331" s="60">
        <v>2</v>
      </c>
      <c r="P2331" s="60">
        <v>3</v>
      </c>
      <c r="Q2331" s="60">
        <v>0.2</v>
      </c>
      <c r="R2331" s="60">
        <v>0</v>
      </c>
      <c r="S2331" s="68">
        <v>0</v>
      </c>
      <c r="T2331" s="60">
        <v>0</v>
      </c>
      <c r="U2331" s="60">
        <v>1</v>
      </c>
      <c r="V2331" s="60">
        <v>2</v>
      </c>
      <c r="W2331" s="60">
        <v>0</v>
      </c>
      <c r="X2331" s="60">
        <v>2</v>
      </c>
      <c r="Y2331" s="12">
        <v>0</v>
      </c>
      <c r="Z2331" s="60">
        <v>0</v>
      </c>
      <c r="AA2331" s="60">
        <v>1</v>
      </c>
      <c r="AB2331" s="60">
        <v>0</v>
      </c>
      <c r="AC2331" s="60">
        <v>0</v>
      </c>
      <c r="AD2331" s="60">
        <v>1</v>
      </c>
      <c r="AE2331" s="60">
        <v>1</v>
      </c>
      <c r="AF2331" s="60">
        <v>0</v>
      </c>
      <c r="AG2331" s="60">
        <v>1</v>
      </c>
      <c r="AH2331" s="60">
        <v>3</v>
      </c>
      <c r="AI2331" s="68">
        <v>1</v>
      </c>
      <c r="AJ2331" s="68">
        <v>1</v>
      </c>
      <c r="AK2331" s="68">
        <v>0</v>
      </c>
      <c r="AL2331" s="68">
        <v>3</v>
      </c>
      <c r="AM2331" s="60">
        <v>0</v>
      </c>
      <c r="AN2331" s="60">
        <v>0</v>
      </c>
      <c r="AO2331" s="60">
        <v>0</v>
      </c>
      <c r="AP2331" s="60">
        <v>0</v>
      </c>
      <c r="AQ2331" s="60">
        <v>2000</v>
      </c>
      <c r="AR2331" s="60">
        <v>0.4</v>
      </c>
      <c r="AS2331" s="60">
        <v>0</v>
      </c>
      <c r="AT2331" s="68">
        <v>0</v>
      </c>
      <c r="AU2331" s="331" t="s">
        <v>5349</v>
      </c>
      <c r="AV2331" s="79"/>
      <c r="AW2331" s="63" t="s">
        <v>198</v>
      </c>
      <c r="AX2331" s="60" t="s">
        <v>534</v>
      </c>
      <c r="AY2331" s="64">
        <v>0</v>
      </c>
      <c r="AZ2331" s="64">
        <v>77005207</v>
      </c>
      <c r="BA2331" s="59" t="s">
        <v>200</v>
      </c>
      <c r="BB2331" s="60">
        <v>0</v>
      </c>
      <c r="BC2331" s="66">
        <v>0</v>
      </c>
      <c r="BD2331" s="66">
        <v>0</v>
      </c>
      <c r="BE2331" s="90" t="s">
        <v>2322</v>
      </c>
      <c r="BF2331" s="90" t="s">
        <v>2323</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19.5" customHeight="1">
      <c r="A2332" s="138"/>
      <c r="B2332" s="138"/>
      <c r="C2332" s="64">
        <v>77008006</v>
      </c>
      <c r="D2332" s="59" t="s">
        <v>2324</v>
      </c>
      <c r="E2332" s="59" t="s">
        <v>2325</v>
      </c>
      <c r="F2332" s="64">
        <v>1</v>
      </c>
      <c r="G2332" s="60">
        <v>0</v>
      </c>
      <c r="H2332" s="64">
        <v>0</v>
      </c>
      <c r="I2332" s="66">
        <v>0</v>
      </c>
      <c r="J2332" s="64">
        <v>1</v>
      </c>
      <c r="K2332" s="64">
        <v>0</v>
      </c>
      <c r="L2332" s="64">
        <v>0</v>
      </c>
      <c r="M2332" s="60">
        <v>0</v>
      </c>
      <c r="N2332" s="60">
        <v>0</v>
      </c>
      <c r="O2332" s="60">
        <v>2</v>
      </c>
      <c r="P2332" s="60">
        <v>16</v>
      </c>
      <c r="Q2332" s="60">
        <v>1</v>
      </c>
      <c r="R2332" s="60">
        <v>0</v>
      </c>
      <c r="S2332" s="68">
        <v>0</v>
      </c>
      <c r="T2332" s="60">
        <v>0</v>
      </c>
      <c r="U2332" s="60">
        <v>1</v>
      </c>
      <c r="V2332" s="60">
        <v>2</v>
      </c>
      <c r="W2332" s="60">
        <v>0</v>
      </c>
      <c r="X2332" s="60">
        <v>1.5</v>
      </c>
      <c r="Y2332" s="12">
        <v>0</v>
      </c>
      <c r="Z2332" s="60">
        <v>0</v>
      </c>
      <c r="AA2332" s="60">
        <v>0</v>
      </c>
      <c r="AB2332" s="60">
        <v>0</v>
      </c>
      <c r="AC2332" s="60">
        <v>0</v>
      </c>
      <c r="AD2332" s="60">
        <v>0</v>
      </c>
      <c r="AE2332" s="60">
        <v>1</v>
      </c>
      <c r="AF2332" s="60">
        <v>0</v>
      </c>
      <c r="AG2332" s="60">
        <v>1</v>
      </c>
      <c r="AH2332" s="60">
        <v>2</v>
      </c>
      <c r="AI2332" s="68">
        <v>0</v>
      </c>
      <c r="AJ2332" s="68">
        <v>2</v>
      </c>
      <c r="AK2332" s="68">
        <v>0</v>
      </c>
      <c r="AL2332" s="68">
        <v>2</v>
      </c>
      <c r="AM2332" s="60">
        <v>0</v>
      </c>
      <c r="AN2332" s="60">
        <v>0</v>
      </c>
      <c r="AO2332" s="60">
        <v>0</v>
      </c>
      <c r="AP2332" s="60">
        <v>0</v>
      </c>
      <c r="AQ2332" s="60">
        <v>5000</v>
      </c>
      <c r="AR2332" s="60">
        <v>0</v>
      </c>
      <c r="AS2332" s="60">
        <v>15</v>
      </c>
      <c r="AT2332" s="78">
        <v>0</v>
      </c>
      <c r="AU2332" s="331" t="s">
        <v>5349</v>
      </c>
      <c r="AV2332" s="79"/>
      <c r="AW2332" s="59" t="s">
        <v>198</v>
      </c>
      <c r="AX2332" s="60" t="s">
        <v>534</v>
      </c>
      <c r="AY2332" s="64">
        <v>10000007</v>
      </c>
      <c r="AZ2332" s="64">
        <v>77005205</v>
      </c>
      <c r="BA2332" s="59" t="s">
        <v>586</v>
      </c>
      <c r="BB2332" s="60" t="s">
        <v>2326</v>
      </c>
      <c r="BC2332" s="66">
        <v>0</v>
      </c>
      <c r="BD2332" s="66">
        <v>1</v>
      </c>
      <c r="BE2332" s="90" t="s">
        <v>2327</v>
      </c>
      <c r="BF2332" s="90" t="s">
        <v>2328</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68">
        <v>0</v>
      </c>
      <c r="BV2332" s="47"/>
      <c r="BW2332" s="47"/>
    </row>
    <row r="2333" spans="1:75" s="1" customFormat="1" ht="19.5" customHeight="1">
      <c r="A2333" s="216"/>
      <c r="B2333" s="216"/>
      <c r="C2333" s="64">
        <v>77008007</v>
      </c>
      <c r="D2333" s="59" t="s">
        <v>2329</v>
      </c>
      <c r="E2333" s="59" t="s">
        <v>2330</v>
      </c>
      <c r="F2333" s="64">
        <v>1</v>
      </c>
      <c r="G2333" s="64">
        <v>0</v>
      </c>
      <c r="H2333" s="64">
        <v>0</v>
      </c>
      <c r="I2333" s="66">
        <v>0</v>
      </c>
      <c r="J2333" s="64">
        <v>1</v>
      </c>
      <c r="K2333" s="64">
        <v>0</v>
      </c>
      <c r="L2333" s="64">
        <v>0</v>
      </c>
      <c r="M2333" s="60">
        <v>0</v>
      </c>
      <c r="N2333" s="60">
        <v>0</v>
      </c>
      <c r="O2333" s="60">
        <v>2</v>
      </c>
      <c r="P2333" s="60">
        <v>3</v>
      </c>
      <c r="Q2333" s="60">
        <v>0.2</v>
      </c>
      <c r="R2333" s="60">
        <v>0</v>
      </c>
      <c r="S2333" s="68">
        <v>0</v>
      </c>
      <c r="T2333" s="60">
        <v>0</v>
      </c>
      <c r="U2333" s="60">
        <v>1</v>
      </c>
      <c r="V2333" s="60">
        <v>2</v>
      </c>
      <c r="W2333" s="60">
        <v>0</v>
      </c>
      <c r="X2333" s="60">
        <v>1.5</v>
      </c>
      <c r="Y2333" s="12">
        <v>0</v>
      </c>
      <c r="Z2333" s="60">
        <v>0</v>
      </c>
      <c r="AA2333" s="60">
        <v>1</v>
      </c>
      <c r="AB2333" s="60">
        <v>0</v>
      </c>
      <c r="AC2333" s="60">
        <v>0</v>
      </c>
      <c r="AD2333" s="60">
        <v>1</v>
      </c>
      <c r="AE2333" s="60">
        <v>1</v>
      </c>
      <c r="AF2333" s="60">
        <v>12</v>
      </c>
      <c r="AG2333" s="60">
        <v>1</v>
      </c>
      <c r="AH2333" s="60">
        <v>3</v>
      </c>
      <c r="AI2333" s="68">
        <v>1</v>
      </c>
      <c r="AJ2333" s="68">
        <v>1</v>
      </c>
      <c r="AK2333" s="68">
        <v>0</v>
      </c>
      <c r="AL2333" s="68">
        <v>3</v>
      </c>
      <c r="AM2333" s="60">
        <v>0</v>
      </c>
      <c r="AN2333" s="60">
        <v>0</v>
      </c>
      <c r="AO2333" s="60">
        <v>0</v>
      </c>
      <c r="AP2333" s="60">
        <v>0</v>
      </c>
      <c r="AQ2333" s="60">
        <v>2000</v>
      </c>
      <c r="AR2333" s="60">
        <v>0.3</v>
      </c>
      <c r="AS2333" s="60">
        <v>0</v>
      </c>
      <c r="AT2333" s="68">
        <v>0</v>
      </c>
      <c r="AU2333" s="331" t="s">
        <v>5409</v>
      </c>
      <c r="AV2333" s="79"/>
      <c r="AW2333" s="63" t="s">
        <v>198</v>
      </c>
      <c r="AX2333" s="60" t="s">
        <v>534</v>
      </c>
      <c r="AY2333" s="64">
        <v>0</v>
      </c>
      <c r="AZ2333" s="64">
        <v>77005202</v>
      </c>
      <c r="BA2333" s="59" t="s">
        <v>200</v>
      </c>
      <c r="BB2333" s="60">
        <v>0</v>
      </c>
      <c r="BC2333" s="66">
        <v>0</v>
      </c>
      <c r="BD2333" s="66">
        <v>0</v>
      </c>
      <c r="BE2333" s="90" t="s">
        <v>2229</v>
      </c>
      <c r="BF2333" s="90" t="s">
        <v>2230</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spans="1:75" ht="19.5" customHeight="1">
      <c r="A2334" s="138"/>
      <c r="B2334" s="138"/>
      <c r="C2334" s="100">
        <v>77009001</v>
      </c>
      <c r="D2334" s="99" t="s">
        <v>2332</v>
      </c>
      <c r="E2334" s="99" t="s">
        <v>2333</v>
      </c>
      <c r="F2334" s="101">
        <v>1</v>
      </c>
      <c r="G2334" s="101">
        <v>63021101</v>
      </c>
      <c r="H2334" s="101">
        <v>0</v>
      </c>
      <c r="I2334" s="105">
        <v>0</v>
      </c>
      <c r="J2334" s="100">
        <v>1</v>
      </c>
      <c r="K2334" s="101">
        <v>0</v>
      </c>
      <c r="L2334" s="101">
        <v>0</v>
      </c>
      <c r="M2334" s="101">
        <v>0</v>
      </c>
      <c r="N2334" s="101">
        <v>0</v>
      </c>
      <c r="O2334" s="101">
        <v>1</v>
      </c>
      <c r="P2334" s="101">
        <v>0</v>
      </c>
      <c r="Q2334" s="101">
        <v>0</v>
      </c>
      <c r="R2334" s="101">
        <v>0</v>
      </c>
      <c r="S2334" s="106">
        <v>0</v>
      </c>
      <c r="T2334" s="101">
        <v>0</v>
      </c>
      <c r="U2334" s="101">
        <v>1</v>
      </c>
      <c r="V2334" s="101">
        <v>1</v>
      </c>
      <c r="W2334" s="101">
        <v>0</v>
      </c>
      <c r="X2334" s="101">
        <v>1</v>
      </c>
      <c r="Y2334" s="12">
        <v>0</v>
      </c>
      <c r="Z2334" s="101">
        <v>0</v>
      </c>
      <c r="AA2334" s="101">
        <v>0</v>
      </c>
      <c r="AB2334" s="101">
        <v>0</v>
      </c>
      <c r="AC2334" s="101">
        <v>0</v>
      </c>
      <c r="AD2334" s="101">
        <v>0</v>
      </c>
      <c r="AE2334" s="101">
        <v>0</v>
      </c>
      <c r="AF2334" s="101">
        <v>6</v>
      </c>
      <c r="AG2334" s="101">
        <v>1</v>
      </c>
      <c r="AH2334" s="114">
        <v>6</v>
      </c>
      <c r="AI2334" s="106">
        <v>2</v>
      </c>
      <c r="AJ2334" s="106">
        <v>1</v>
      </c>
      <c r="AK2334" s="106">
        <v>0</v>
      </c>
      <c r="AL2334" s="106">
        <v>8</v>
      </c>
      <c r="AM2334" s="101">
        <v>0</v>
      </c>
      <c r="AN2334" s="101">
        <v>0</v>
      </c>
      <c r="AO2334" s="101">
        <v>0</v>
      </c>
      <c r="AP2334" s="101">
        <v>0.2</v>
      </c>
      <c r="AQ2334" s="101">
        <v>5000</v>
      </c>
      <c r="AR2334" s="101">
        <v>0.2</v>
      </c>
      <c r="AS2334" s="101">
        <v>0</v>
      </c>
      <c r="AT2334" s="106">
        <v>0</v>
      </c>
      <c r="AU2334" s="101">
        <v>97050301</v>
      </c>
      <c r="AV2334" s="101"/>
      <c r="AW2334" s="99" t="s">
        <v>198</v>
      </c>
      <c r="AX2334" s="101" t="s">
        <v>534</v>
      </c>
      <c r="AY2334" s="100">
        <v>10000001</v>
      </c>
      <c r="AZ2334" s="100">
        <v>77005301</v>
      </c>
      <c r="BA2334" s="99" t="s">
        <v>2334</v>
      </c>
      <c r="BB2334" s="101" t="s">
        <v>5410</v>
      </c>
      <c r="BC2334" s="106">
        <v>0</v>
      </c>
      <c r="BD2334" s="106">
        <v>0</v>
      </c>
      <c r="BE2334" s="137" t="s">
        <v>5411</v>
      </c>
      <c r="BF2334" s="137" t="s">
        <v>5412</v>
      </c>
      <c r="BG2334" s="101">
        <v>0</v>
      </c>
      <c r="BH2334" s="101">
        <v>0</v>
      </c>
      <c r="BI2334" s="101">
        <v>0</v>
      </c>
      <c r="BJ2334" s="101">
        <v>0</v>
      </c>
      <c r="BK2334" s="101">
        <v>0</v>
      </c>
      <c r="BL2334" s="101">
        <v>0</v>
      </c>
      <c r="BM2334" s="97">
        <v>0</v>
      </c>
      <c r="BN2334" s="106">
        <v>0</v>
      </c>
      <c r="BO2334" s="106">
        <v>0</v>
      </c>
      <c r="BP2334" s="106">
        <v>0</v>
      </c>
      <c r="BQ2334" s="106">
        <v>0</v>
      </c>
      <c r="BR2334" s="106">
        <v>0</v>
      </c>
      <c r="BS2334" s="106">
        <v>0</v>
      </c>
      <c r="BT2334" s="106">
        <v>0</v>
      </c>
      <c r="BU2334" s="106">
        <v>0</v>
      </c>
      <c r="BV2334" s="47"/>
      <c r="BW2334" s="47"/>
    </row>
    <row r="2335" spans="1:75" ht="20.100000000000001" customHeight="1">
      <c r="A2335" s="138"/>
      <c r="B2335" s="138"/>
      <c r="C2335" s="100">
        <v>77009002</v>
      </c>
      <c r="D2335" s="99" t="s">
        <v>5413</v>
      </c>
      <c r="E2335" s="287" t="s">
        <v>5414</v>
      </c>
      <c r="F2335" s="97">
        <v>1</v>
      </c>
      <c r="G2335" s="101">
        <v>63021101</v>
      </c>
      <c r="H2335" s="100">
        <v>0</v>
      </c>
      <c r="I2335" s="105">
        <v>0</v>
      </c>
      <c r="J2335" s="100">
        <v>1</v>
      </c>
      <c r="K2335" s="101">
        <v>0</v>
      </c>
      <c r="L2335" s="100">
        <v>0</v>
      </c>
      <c r="M2335" s="101">
        <v>0</v>
      </c>
      <c r="N2335" s="101">
        <v>0</v>
      </c>
      <c r="O2335" s="101">
        <v>1</v>
      </c>
      <c r="P2335" s="101">
        <v>0</v>
      </c>
      <c r="Q2335" s="101">
        <v>0</v>
      </c>
      <c r="R2335" s="101">
        <v>0</v>
      </c>
      <c r="S2335" s="106">
        <v>0</v>
      </c>
      <c r="T2335" s="101">
        <v>0</v>
      </c>
      <c r="U2335" s="101">
        <v>1</v>
      </c>
      <c r="V2335" s="101">
        <v>1</v>
      </c>
      <c r="W2335" s="101">
        <v>0</v>
      </c>
      <c r="X2335" s="101">
        <v>2</v>
      </c>
      <c r="Y2335" s="12">
        <v>0</v>
      </c>
      <c r="Z2335" s="101">
        <v>0</v>
      </c>
      <c r="AA2335" s="101">
        <v>0</v>
      </c>
      <c r="AB2335" s="101">
        <v>0</v>
      </c>
      <c r="AC2335" s="101">
        <v>0</v>
      </c>
      <c r="AD2335" s="101">
        <v>0</v>
      </c>
      <c r="AE2335" s="101">
        <v>0</v>
      </c>
      <c r="AF2335" s="101">
        <v>9</v>
      </c>
      <c r="AG2335" s="101">
        <v>1</v>
      </c>
      <c r="AH2335" s="101">
        <v>3</v>
      </c>
      <c r="AI2335" s="106">
        <v>3</v>
      </c>
      <c r="AJ2335" s="106">
        <v>0</v>
      </c>
      <c r="AK2335" s="106">
        <v>0</v>
      </c>
      <c r="AL2335" s="106">
        <v>1.5</v>
      </c>
      <c r="AM2335" s="101">
        <v>0</v>
      </c>
      <c r="AN2335" s="101">
        <v>0</v>
      </c>
      <c r="AO2335" s="101">
        <v>0</v>
      </c>
      <c r="AP2335" s="101">
        <v>0.2</v>
      </c>
      <c r="AQ2335" s="101">
        <v>2000</v>
      </c>
      <c r="AR2335" s="101">
        <v>0.4</v>
      </c>
      <c r="AS2335" s="101">
        <v>0</v>
      </c>
      <c r="AT2335" s="106">
        <v>0</v>
      </c>
      <c r="AU2335" s="336" t="s">
        <v>5415</v>
      </c>
      <c r="AV2335" s="114"/>
      <c r="AW2335" s="102" t="s">
        <v>198</v>
      </c>
      <c r="AX2335" s="101" t="s">
        <v>545</v>
      </c>
      <c r="AY2335" s="100">
        <v>10000001</v>
      </c>
      <c r="AZ2335" s="100">
        <v>77005302</v>
      </c>
      <c r="BA2335" s="99" t="s">
        <v>200</v>
      </c>
      <c r="BB2335" s="101" t="s">
        <v>5416</v>
      </c>
      <c r="BC2335" s="105">
        <v>0</v>
      </c>
      <c r="BD2335" s="105">
        <v>0</v>
      </c>
      <c r="BE2335" s="119" t="s">
        <v>5417</v>
      </c>
      <c r="BF2335" s="119" t="s">
        <v>5418</v>
      </c>
      <c r="BG2335" s="101">
        <v>0</v>
      </c>
      <c r="BH2335" s="101">
        <v>0</v>
      </c>
      <c r="BI2335" s="101">
        <v>0</v>
      </c>
      <c r="BJ2335" s="101">
        <v>0</v>
      </c>
      <c r="BK2335" s="101">
        <v>0</v>
      </c>
      <c r="BL2335" s="101">
        <v>0</v>
      </c>
      <c r="BM2335" s="97">
        <v>0</v>
      </c>
      <c r="BN2335" s="106">
        <v>0</v>
      </c>
      <c r="BO2335" s="106">
        <v>0</v>
      </c>
      <c r="BP2335" s="106">
        <v>0</v>
      </c>
      <c r="BQ2335" s="106">
        <v>0</v>
      </c>
      <c r="BR2335" s="106">
        <v>0</v>
      </c>
      <c r="BS2335" s="106">
        <v>1</v>
      </c>
      <c r="BT2335" s="106">
        <v>0</v>
      </c>
      <c r="BU2335" s="106">
        <v>0</v>
      </c>
      <c r="BV2335" s="47"/>
      <c r="BW2335" s="47"/>
    </row>
    <row r="2336" spans="1:75" ht="20.100000000000001" customHeight="1">
      <c r="A2336" s="138"/>
      <c r="B2336" s="138"/>
      <c r="C2336" s="100">
        <v>77009003</v>
      </c>
      <c r="D2336" s="99" t="s">
        <v>2343</v>
      </c>
      <c r="E2336" s="287" t="s">
        <v>2344</v>
      </c>
      <c r="F2336" s="97">
        <v>1</v>
      </c>
      <c r="G2336" s="101">
        <v>63021101</v>
      </c>
      <c r="H2336" s="100">
        <v>0</v>
      </c>
      <c r="I2336" s="105">
        <v>0</v>
      </c>
      <c r="J2336" s="100">
        <v>1</v>
      </c>
      <c r="K2336" s="101">
        <v>0</v>
      </c>
      <c r="L2336" s="100">
        <v>0</v>
      </c>
      <c r="M2336" s="101">
        <v>0</v>
      </c>
      <c r="N2336" s="101">
        <v>0</v>
      </c>
      <c r="O2336" s="101">
        <v>1</v>
      </c>
      <c r="P2336" s="101">
        <v>0</v>
      </c>
      <c r="Q2336" s="101">
        <v>0</v>
      </c>
      <c r="R2336" s="101">
        <v>0</v>
      </c>
      <c r="S2336" s="106">
        <v>0</v>
      </c>
      <c r="T2336" s="101">
        <v>0</v>
      </c>
      <c r="U2336" s="101">
        <v>1</v>
      </c>
      <c r="V2336" s="101">
        <v>1</v>
      </c>
      <c r="W2336" s="101">
        <v>0</v>
      </c>
      <c r="X2336" s="101">
        <v>2</v>
      </c>
      <c r="Y2336" s="12">
        <v>0</v>
      </c>
      <c r="Z2336" s="101">
        <v>0</v>
      </c>
      <c r="AA2336" s="101">
        <v>0</v>
      </c>
      <c r="AB2336" s="101">
        <v>0</v>
      </c>
      <c r="AC2336" s="101">
        <v>0</v>
      </c>
      <c r="AD2336" s="101">
        <v>0</v>
      </c>
      <c r="AE2336" s="101">
        <v>0</v>
      </c>
      <c r="AF2336" s="101">
        <v>9</v>
      </c>
      <c r="AG2336" s="101">
        <v>1</v>
      </c>
      <c r="AH2336" s="101">
        <v>3</v>
      </c>
      <c r="AI2336" s="106">
        <v>0</v>
      </c>
      <c r="AJ2336" s="106">
        <v>0</v>
      </c>
      <c r="AK2336" s="106">
        <v>0</v>
      </c>
      <c r="AL2336" s="106">
        <v>1.5</v>
      </c>
      <c r="AM2336" s="101">
        <v>0</v>
      </c>
      <c r="AN2336" s="101">
        <v>0</v>
      </c>
      <c r="AO2336" s="101">
        <v>0</v>
      </c>
      <c r="AP2336" s="100">
        <v>0.2</v>
      </c>
      <c r="AQ2336" s="101">
        <v>3000</v>
      </c>
      <c r="AR2336" s="101">
        <v>0.2</v>
      </c>
      <c r="AS2336" s="101">
        <v>0</v>
      </c>
      <c r="AT2336" s="106">
        <v>0</v>
      </c>
      <c r="AU2336" s="101">
        <v>0</v>
      </c>
      <c r="AV2336" s="101"/>
      <c r="AW2336" s="99" t="s">
        <v>198</v>
      </c>
      <c r="AX2336" s="101" t="s">
        <v>545</v>
      </c>
      <c r="AY2336" s="100">
        <v>0</v>
      </c>
      <c r="AZ2336" s="100">
        <v>77005303</v>
      </c>
      <c r="BA2336" s="99" t="s">
        <v>5419</v>
      </c>
      <c r="BB2336" s="101">
        <v>90005004</v>
      </c>
      <c r="BC2336" s="105">
        <v>0</v>
      </c>
      <c r="BD2336" s="105">
        <v>0</v>
      </c>
      <c r="BE2336" s="119" t="s">
        <v>5420</v>
      </c>
      <c r="BF2336" s="119" t="s">
        <v>5421</v>
      </c>
      <c r="BG2336" s="101">
        <v>0</v>
      </c>
      <c r="BH2336" s="101">
        <v>0</v>
      </c>
      <c r="BI2336" s="101">
        <v>0</v>
      </c>
      <c r="BJ2336" s="101">
        <v>0</v>
      </c>
      <c r="BK2336" s="101">
        <v>0</v>
      </c>
      <c r="BL2336" s="101">
        <v>0</v>
      </c>
      <c r="BM2336" s="97">
        <v>0</v>
      </c>
      <c r="BN2336" s="106">
        <v>0</v>
      </c>
      <c r="BO2336" s="106">
        <v>0</v>
      </c>
      <c r="BP2336" s="106">
        <v>0</v>
      </c>
      <c r="BQ2336" s="106">
        <v>0</v>
      </c>
      <c r="BR2336" s="106">
        <v>0</v>
      </c>
      <c r="BS2336" s="106">
        <v>0</v>
      </c>
      <c r="BT2336" s="106">
        <v>0</v>
      </c>
      <c r="BU2336" s="106">
        <v>0</v>
      </c>
      <c r="BV2336" s="47"/>
      <c r="BW2336" s="47"/>
    </row>
    <row r="2337" spans="1:75" ht="20.100000000000001" customHeight="1">
      <c r="A2337" s="138"/>
      <c r="B2337" s="138"/>
      <c r="C2337" s="100">
        <v>77009004</v>
      </c>
      <c r="D2337" s="99" t="s">
        <v>2350</v>
      </c>
      <c r="E2337" s="287" t="s">
        <v>2351</v>
      </c>
      <c r="F2337" s="97">
        <v>1</v>
      </c>
      <c r="G2337" s="101">
        <v>63021101</v>
      </c>
      <c r="H2337" s="100">
        <v>0</v>
      </c>
      <c r="I2337" s="105">
        <v>0</v>
      </c>
      <c r="J2337" s="100">
        <v>1</v>
      </c>
      <c r="K2337" s="101">
        <v>0</v>
      </c>
      <c r="L2337" s="100">
        <v>0</v>
      </c>
      <c r="M2337" s="101">
        <v>0</v>
      </c>
      <c r="N2337" s="101">
        <v>0</v>
      </c>
      <c r="O2337" s="101">
        <v>1</v>
      </c>
      <c r="P2337" s="101">
        <v>0</v>
      </c>
      <c r="Q2337" s="101">
        <v>0</v>
      </c>
      <c r="R2337" s="101">
        <v>0</v>
      </c>
      <c r="S2337" s="106">
        <v>0</v>
      </c>
      <c r="T2337" s="101">
        <v>0</v>
      </c>
      <c r="U2337" s="101">
        <v>1</v>
      </c>
      <c r="V2337" s="101">
        <v>1</v>
      </c>
      <c r="W2337" s="101">
        <v>0</v>
      </c>
      <c r="X2337" s="101">
        <v>0</v>
      </c>
      <c r="Y2337" s="12">
        <v>0</v>
      </c>
      <c r="Z2337" s="101">
        <v>0</v>
      </c>
      <c r="AA2337" s="101">
        <v>0</v>
      </c>
      <c r="AB2337" s="101">
        <v>0</v>
      </c>
      <c r="AC2337" s="101">
        <v>0</v>
      </c>
      <c r="AD2337" s="101">
        <v>0</v>
      </c>
      <c r="AE2337" s="101">
        <v>0</v>
      </c>
      <c r="AF2337" s="101">
        <v>24</v>
      </c>
      <c r="AG2337" s="101">
        <v>0</v>
      </c>
      <c r="AH2337" s="101">
        <v>0</v>
      </c>
      <c r="AI2337" s="106">
        <v>0</v>
      </c>
      <c r="AJ2337" s="106">
        <v>0</v>
      </c>
      <c r="AK2337" s="106">
        <v>0</v>
      </c>
      <c r="AL2337" s="106">
        <v>1.5</v>
      </c>
      <c r="AM2337" s="101">
        <v>0</v>
      </c>
      <c r="AN2337" s="101">
        <v>0</v>
      </c>
      <c r="AO2337" s="101">
        <v>0</v>
      </c>
      <c r="AP2337" s="100">
        <v>0.2</v>
      </c>
      <c r="AQ2337" s="101">
        <v>3000</v>
      </c>
      <c r="AR2337" s="101">
        <v>0.2</v>
      </c>
      <c r="AS2337" s="101">
        <v>0</v>
      </c>
      <c r="AT2337" s="106">
        <v>0</v>
      </c>
      <c r="AU2337" s="101">
        <v>0</v>
      </c>
      <c r="AV2337" s="101"/>
      <c r="AW2337" s="99" t="s">
        <v>198</v>
      </c>
      <c r="AX2337" s="101" t="s">
        <v>545</v>
      </c>
      <c r="AY2337" s="100">
        <v>0</v>
      </c>
      <c r="AZ2337" s="100">
        <v>0</v>
      </c>
      <c r="BA2337" s="99" t="s">
        <v>2352</v>
      </c>
      <c r="BB2337" s="337" t="s">
        <v>5422</v>
      </c>
      <c r="BC2337" s="105">
        <v>0</v>
      </c>
      <c r="BD2337" s="105">
        <v>0</v>
      </c>
      <c r="BE2337" s="119" t="s">
        <v>5423</v>
      </c>
      <c r="BF2337" s="119" t="s">
        <v>5424</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spans="1:75" ht="20.100000000000001" customHeight="1">
      <c r="A2338" s="138"/>
      <c r="B2338" s="138"/>
      <c r="C2338" s="100">
        <v>77009005</v>
      </c>
      <c r="D2338" s="99" t="s">
        <v>600</v>
      </c>
      <c r="E2338" s="287" t="s">
        <v>601</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0</v>
      </c>
      <c r="Y2338" s="12">
        <v>0</v>
      </c>
      <c r="Z2338" s="101">
        <v>0</v>
      </c>
      <c r="AA2338" s="101">
        <v>0</v>
      </c>
      <c r="AB2338" s="101">
        <v>0</v>
      </c>
      <c r="AC2338" s="101">
        <v>0</v>
      </c>
      <c r="AD2338" s="101">
        <v>0</v>
      </c>
      <c r="AE2338" s="101">
        <v>0</v>
      </c>
      <c r="AF2338" s="101">
        <v>24</v>
      </c>
      <c r="AG2338" s="101">
        <v>0</v>
      </c>
      <c r="AH2338" s="101">
        <v>0</v>
      </c>
      <c r="AI2338" s="106">
        <v>0</v>
      </c>
      <c r="AJ2338" s="106">
        <v>0</v>
      </c>
      <c r="AK2338" s="106">
        <v>0</v>
      </c>
      <c r="AL2338" s="106">
        <v>1.5</v>
      </c>
      <c r="AM2338" s="101">
        <v>0</v>
      </c>
      <c r="AN2338" s="101">
        <v>0</v>
      </c>
      <c r="AO2338" s="101">
        <v>0</v>
      </c>
      <c r="AP2338" s="100">
        <v>0.2</v>
      </c>
      <c r="AQ2338" s="101">
        <v>3000</v>
      </c>
      <c r="AR2338" s="101">
        <v>0.2</v>
      </c>
      <c r="AS2338" s="101">
        <v>0</v>
      </c>
      <c r="AT2338" s="106">
        <v>0</v>
      </c>
      <c r="AU2338" s="101" t="s">
        <v>198</v>
      </c>
      <c r="AV2338" s="101"/>
      <c r="AW2338" s="99" t="s">
        <v>198</v>
      </c>
      <c r="AX2338" s="101" t="s">
        <v>545</v>
      </c>
      <c r="AY2338" s="100">
        <v>0</v>
      </c>
      <c r="AZ2338" s="100">
        <v>0</v>
      </c>
      <c r="BA2338" s="99" t="s">
        <v>2368</v>
      </c>
      <c r="BB2338" s="337" t="s">
        <v>5425</v>
      </c>
      <c r="BC2338" s="105">
        <v>0</v>
      </c>
      <c r="BD2338" s="105">
        <v>0</v>
      </c>
      <c r="BE2338" s="119" t="s">
        <v>2370</v>
      </c>
      <c r="BF2338" s="119" t="s">
        <v>2371</v>
      </c>
      <c r="BG2338" s="101">
        <v>0</v>
      </c>
      <c r="BH2338" s="101">
        <v>0</v>
      </c>
      <c r="BI2338" s="101">
        <v>0</v>
      </c>
      <c r="BJ2338" s="101">
        <v>0</v>
      </c>
      <c r="BK2338" s="101">
        <v>0</v>
      </c>
      <c r="BL2338" s="101">
        <v>0</v>
      </c>
      <c r="BM2338" s="97">
        <v>0</v>
      </c>
      <c r="BN2338" s="106">
        <v>0</v>
      </c>
      <c r="BO2338" s="106">
        <v>0</v>
      </c>
      <c r="BP2338" s="106">
        <v>0</v>
      </c>
      <c r="BQ2338" s="106">
        <v>0</v>
      </c>
      <c r="BR2338" s="106">
        <v>0</v>
      </c>
      <c r="BS2338" s="106">
        <v>0</v>
      </c>
      <c r="BT2338" s="106">
        <v>0</v>
      </c>
      <c r="BU2338" s="106">
        <v>0</v>
      </c>
      <c r="BV2338" s="47"/>
      <c r="BW2338" s="47"/>
    </row>
    <row r="2339" spans="1:75" s="2" customFormat="1" ht="20.100000000000001" customHeight="1">
      <c r="A2339" s="6"/>
      <c r="B2339" s="6"/>
      <c r="C2339" s="100">
        <v>77009006</v>
      </c>
      <c r="D2339" s="102" t="s">
        <v>2372</v>
      </c>
      <c r="E2339" s="102" t="s">
        <v>2373</v>
      </c>
      <c r="F2339" s="101">
        <v>1</v>
      </c>
      <c r="G2339" s="101">
        <v>0</v>
      </c>
      <c r="H2339" s="100">
        <v>0</v>
      </c>
      <c r="I2339" s="105">
        <v>0</v>
      </c>
      <c r="J2339" s="101">
        <v>1</v>
      </c>
      <c r="K2339" s="101">
        <v>0</v>
      </c>
      <c r="L2339" s="101">
        <v>0</v>
      </c>
      <c r="M2339" s="100">
        <v>0</v>
      </c>
      <c r="N2339" s="100">
        <v>0</v>
      </c>
      <c r="O2339" s="100">
        <v>2</v>
      </c>
      <c r="P2339" s="100">
        <v>16</v>
      </c>
      <c r="Q2339" s="100">
        <v>10</v>
      </c>
      <c r="R2339" s="100">
        <v>0</v>
      </c>
      <c r="S2339" s="106">
        <v>0</v>
      </c>
      <c r="T2339" s="105">
        <v>0</v>
      </c>
      <c r="U2339" s="101">
        <v>1</v>
      </c>
      <c r="V2339" s="100">
        <v>2</v>
      </c>
      <c r="W2339" s="100">
        <v>0</v>
      </c>
      <c r="X2339" s="100">
        <v>2.6</v>
      </c>
      <c r="Y2339" s="12">
        <v>0</v>
      </c>
      <c r="Z2339" s="100">
        <v>0</v>
      </c>
      <c r="AA2339" s="100">
        <v>1</v>
      </c>
      <c r="AB2339" s="100">
        <v>0</v>
      </c>
      <c r="AC2339" s="100">
        <v>0</v>
      </c>
      <c r="AD2339" s="100">
        <v>0</v>
      </c>
      <c r="AE2339" s="100">
        <v>0</v>
      </c>
      <c r="AF2339" s="100">
        <v>0</v>
      </c>
      <c r="AG2339" s="100">
        <v>2</v>
      </c>
      <c r="AH2339" s="100" t="s">
        <v>213</v>
      </c>
      <c r="AI2339" s="106">
        <v>0</v>
      </c>
      <c r="AJ2339" s="106">
        <v>2</v>
      </c>
      <c r="AK2339" s="106">
        <v>0</v>
      </c>
      <c r="AL2339" s="106">
        <v>3</v>
      </c>
      <c r="AM2339" s="100">
        <v>0</v>
      </c>
      <c r="AN2339" s="100">
        <v>0</v>
      </c>
      <c r="AO2339" s="100">
        <v>0</v>
      </c>
      <c r="AP2339" s="100">
        <v>1</v>
      </c>
      <c r="AQ2339" s="100">
        <v>2000</v>
      </c>
      <c r="AR2339" s="100">
        <v>1</v>
      </c>
      <c r="AS2339" s="100">
        <v>0</v>
      </c>
      <c r="AT2339" s="106">
        <v>0</v>
      </c>
      <c r="AU2339" s="100">
        <v>97050303</v>
      </c>
      <c r="AV2339" s="100"/>
      <c r="AW2339" s="102" t="s">
        <v>287</v>
      </c>
      <c r="AX2339" s="100" t="s">
        <v>534</v>
      </c>
      <c r="AY2339" s="100">
        <v>10000015</v>
      </c>
      <c r="AZ2339" s="100">
        <v>77005304</v>
      </c>
      <c r="BA2339" s="99" t="s">
        <v>200</v>
      </c>
      <c r="BB2339" s="102">
        <v>0</v>
      </c>
      <c r="BC2339" s="105">
        <v>0</v>
      </c>
      <c r="BD2339" s="105">
        <v>0</v>
      </c>
      <c r="BE2339" s="164" t="s">
        <v>2374</v>
      </c>
      <c r="BF2339" s="164" t="s">
        <v>2375</v>
      </c>
      <c r="BG2339" s="100">
        <v>0</v>
      </c>
      <c r="BH2339" s="101">
        <v>0</v>
      </c>
      <c r="BI2339" s="100">
        <v>0</v>
      </c>
      <c r="BJ2339" s="100">
        <v>0</v>
      </c>
      <c r="BK2339" s="100">
        <v>0</v>
      </c>
      <c r="BL2339" s="100">
        <v>0</v>
      </c>
      <c r="BM2339" s="97">
        <v>0</v>
      </c>
      <c r="BN2339" s="106">
        <v>1</v>
      </c>
      <c r="BO2339" s="106">
        <v>0</v>
      </c>
      <c r="BP2339" s="106">
        <v>0</v>
      </c>
      <c r="BQ2339" s="106">
        <v>0</v>
      </c>
      <c r="BR2339" s="106">
        <v>0</v>
      </c>
      <c r="BS2339" s="106">
        <v>0</v>
      </c>
      <c r="BT2339" s="106">
        <v>0</v>
      </c>
      <c r="BU2339" s="106">
        <v>0</v>
      </c>
      <c r="BV2339" s="47"/>
      <c r="BW2339" s="47"/>
    </row>
    <row r="2340" spans="1:75" ht="19.5" customHeight="1">
      <c r="A2340" s="138"/>
      <c r="B2340" s="138"/>
      <c r="C2340" s="100">
        <v>77009007</v>
      </c>
      <c r="D2340" s="99" t="s">
        <v>1265</v>
      </c>
      <c r="E2340" s="99" t="s">
        <v>1266</v>
      </c>
      <c r="F2340" s="101">
        <v>1</v>
      </c>
      <c r="G2340" s="101">
        <v>0</v>
      </c>
      <c r="H2340" s="101">
        <v>0</v>
      </c>
      <c r="I2340" s="105">
        <v>0</v>
      </c>
      <c r="J2340" s="100">
        <v>1</v>
      </c>
      <c r="K2340" s="100">
        <v>0</v>
      </c>
      <c r="L2340" s="100">
        <v>0</v>
      </c>
      <c r="M2340" s="101">
        <v>0</v>
      </c>
      <c r="N2340" s="101">
        <v>0</v>
      </c>
      <c r="O2340" s="101">
        <v>2</v>
      </c>
      <c r="P2340" s="101">
        <v>1</v>
      </c>
      <c r="Q2340" s="101">
        <v>0.2</v>
      </c>
      <c r="R2340" s="101">
        <v>0</v>
      </c>
      <c r="S2340" s="106">
        <v>0</v>
      </c>
      <c r="T2340" s="101">
        <v>0</v>
      </c>
      <c r="U2340" s="101">
        <v>1</v>
      </c>
      <c r="V2340" s="101">
        <v>1</v>
      </c>
      <c r="W2340" s="101">
        <v>0</v>
      </c>
      <c r="X2340" s="101">
        <v>0</v>
      </c>
      <c r="Y2340" s="12">
        <v>0</v>
      </c>
      <c r="Z2340" s="101">
        <v>0</v>
      </c>
      <c r="AA2340" s="101">
        <v>1</v>
      </c>
      <c r="AB2340" s="101">
        <v>0</v>
      </c>
      <c r="AC2340" s="101">
        <v>0</v>
      </c>
      <c r="AD2340" s="101">
        <v>0</v>
      </c>
      <c r="AE2340" s="101">
        <v>1</v>
      </c>
      <c r="AF2340" s="101">
        <v>12</v>
      </c>
      <c r="AG2340" s="101">
        <v>2</v>
      </c>
      <c r="AH2340" s="101" t="s">
        <v>213</v>
      </c>
      <c r="AI2340" s="106">
        <v>0</v>
      </c>
      <c r="AJ2340" s="106">
        <v>2</v>
      </c>
      <c r="AK2340" s="106">
        <v>0</v>
      </c>
      <c r="AL2340" s="106">
        <v>1.5</v>
      </c>
      <c r="AM2340" s="101">
        <v>0</v>
      </c>
      <c r="AN2340" s="101">
        <v>0</v>
      </c>
      <c r="AO2340" s="101">
        <v>0</v>
      </c>
      <c r="AP2340" s="101">
        <v>0.3</v>
      </c>
      <c r="AQ2340" s="101">
        <v>300</v>
      </c>
      <c r="AR2340" s="101">
        <v>0</v>
      </c>
      <c r="AS2340" s="101">
        <v>15</v>
      </c>
      <c r="AT2340" s="106">
        <v>0</v>
      </c>
      <c r="AU2340" s="114">
        <v>0</v>
      </c>
      <c r="AV2340" s="114"/>
      <c r="AW2340" s="99" t="s">
        <v>198</v>
      </c>
      <c r="AX2340" s="101" t="s">
        <v>215</v>
      </c>
      <c r="AY2340" s="100">
        <v>0</v>
      </c>
      <c r="AZ2340" s="100">
        <v>0</v>
      </c>
      <c r="BA2340" s="136" t="s">
        <v>216</v>
      </c>
      <c r="BB2340" s="101">
        <v>1</v>
      </c>
      <c r="BC2340" s="105">
        <v>0</v>
      </c>
      <c r="BD2340" s="105">
        <v>0</v>
      </c>
      <c r="BE2340" s="119" t="s">
        <v>2376</v>
      </c>
      <c r="BF2340" s="119" t="s">
        <v>2377</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77009008</v>
      </c>
      <c r="BU2340" s="106">
        <v>0</v>
      </c>
      <c r="BV2340" s="47"/>
      <c r="BW2340" s="47"/>
    </row>
    <row r="2341" spans="1:75" ht="19.5" customHeight="1">
      <c r="A2341" s="138"/>
      <c r="B2341" s="138"/>
      <c r="C2341" s="100">
        <v>77009008</v>
      </c>
      <c r="D2341" s="102" t="s">
        <v>1265</v>
      </c>
      <c r="E2341" s="102" t="s">
        <v>1266</v>
      </c>
      <c r="F2341" s="101">
        <v>1</v>
      </c>
      <c r="G2341" s="101">
        <v>0</v>
      </c>
      <c r="H2341" s="100">
        <v>0</v>
      </c>
      <c r="I2341" s="105">
        <v>0</v>
      </c>
      <c r="J2341" s="101">
        <v>1</v>
      </c>
      <c r="K2341" s="101">
        <v>0</v>
      </c>
      <c r="L2341" s="101">
        <v>0</v>
      </c>
      <c r="M2341" s="100">
        <v>0</v>
      </c>
      <c r="N2341" s="100">
        <v>0</v>
      </c>
      <c r="O2341" s="100">
        <v>2</v>
      </c>
      <c r="P2341" s="100">
        <v>1</v>
      </c>
      <c r="Q2341" s="100">
        <v>1</v>
      </c>
      <c r="R2341" s="100">
        <v>0</v>
      </c>
      <c r="S2341" s="106">
        <v>0</v>
      </c>
      <c r="T2341" s="105">
        <v>0</v>
      </c>
      <c r="U2341" s="101">
        <v>1</v>
      </c>
      <c r="V2341" s="100">
        <v>1</v>
      </c>
      <c r="W2341" s="100">
        <v>0</v>
      </c>
      <c r="X2341" s="100">
        <v>1.5</v>
      </c>
      <c r="Y2341" s="12">
        <v>0</v>
      </c>
      <c r="Z2341" s="100">
        <v>0</v>
      </c>
      <c r="AA2341" s="100">
        <v>1</v>
      </c>
      <c r="AB2341" s="100">
        <v>0</v>
      </c>
      <c r="AC2341" s="100">
        <v>0</v>
      </c>
      <c r="AD2341" s="100">
        <v>0</v>
      </c>
      <c r="AE2341" s="100">
        <v>0</v>
      </c>
      <c r="AF2341" s="100">
        <v>0</v>
      </c>
      <c r="AG2341" s="100">
        <v>1</v>
      </c>
      <c r="AH2341" s="157">
        <v>4</v>
      </c>
      <c r="AI2341" s="106">
        <v>0</v>
      </c>
      <c r="AJ2341" s="106">
        <v>1</v>
      </c>
      <c r="AK2341" s="106">
        <v>0</v>
      </c>
      <c r="AL2341" s="106">
        <v>5</v>
      </c>
      <c r="AM2341" s="100">
        <v>0</v>
      </c>
      <c r="AN2341" s="100">
        <v>1</v>
      </c>
      <c r="AO2341" s="100">
        <v>0</v>
      </c>
      <c r="AP2341" s="100">
        <v>0.6</v>
      </c>
      <c r="AQ2341" s="100">
        <v>2000</v>
      </c>
      <c r="AR2341" s="100">
        <v>0.6</v>
      </c>
      <c r="AS2341" s="100">
        <v>0</v>
      </c>
      <c r="AT2341" s="106">
        <v>0</v>
      </c>
      <c r="AU2341" s="100">
        <v>97050301</v>
      </c>
      <c r="AV2341" s="100"/>
      <c r="AW2341" s="102" t="s">
        <v>287</v>
      </c>
      <c r="AX2341" s="100" t="s">
        <v>545</v>
      </c>
      <c r="AY2341" s="100">
        <v>10001005</v>
      </c>
      <c r="AZ2341" s="100">
        <v>77005305</v>
      </c>
      <c r="BA2341" s="102" t="s">
        <v>200</v>
      </c>
      <c r="BB2341" s="102">
        <v>0</v>
      </c>
      <c r="BC2341" s="105">
        <v>0</v>
      </c>
      <c r="BD2341" s="105">
        <v>0</v>
      </c>
      <c r="BE2341" s="164" t="s">
        <v>1269</v>
      </c>
      <c r="BF2341" s="164" t="s">
        <v>1270</v>
      </c>
      <c r="BG2341" s="100">
        <v>0</v>
      </c>
      <c r="BH2341" s="101">
        <v>0</v>
      </c>
      <c r="BI2341" s="100">
        <v>0</v>
      </c>
      <c r="BJ2341" s="100">
        <v>0</v>
      </c>
      <c r="BK2341" s="100">
        <v>0</v>
      </c>
      <c r="BL2341" s="100">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64">
        <v>77010001</v>
      </c>
      <c r="D2342" s="59" t="s">
        <v>2901</v>
      </c>
      <c r="E2342" s="147" t="s">
        <v>2902</v>
      </c>
      <c r="F2342" s="93">
        <v>1</v>
      </c>
      <c r="G2342" s="60">
        <v>63021101</v>
      </c>
      <c r="H2342" s="64">
        <v>0</v>
      </c>
      <c r="I2342" s="66">
        <v>0</v>
      </c>
      <c r="J2342" s="64">
        <v>1</v>
      </c>
      <c r="K2342" s="60">
        <v>0</v>
      </c>
      <c r="L2342" s="64">
        <v>0</v>
      </c>
      <c r="M2342" s="60">
        <v>0</v>
      </c>
      <c r="N2342" s="60">
        <v>0</v>
      </c>
      <c r="O2342" s="60">
        <v>2</v>
      </c>
      <c r="P2342" s="60">
        <v>7</v>
      </c>
      <c r="Q2342" s="60">
        <v>0.15</v>
      </c>
      <c r="R2342" s="60">
        <v>0</v>
      </c>
      <c r="S2342" s="68">
        <v>0</v>
      </c>
      <c r="T2342" s="60">
        <v>0</v>
      </c>
      <c r="U2342" s="60">
        <v>1</v>
      </c>
      <c r="V2342" s="60">
        <v>1</v>
      </c>
      <c r="W2342" s="60">
        <v>0</v>
      </c>
      <c r="X2342" s="60">
        <v>0</v>
      </c>
      <c r="Y2342" s="12">
        <v>0</v>
      </c>
      <c r="Z2342" s="60">
        <v>0</v>
      </c>
      <c r="AA2342" s="60">
        <v>0</v>
      </c>
      <c r="AB2342" s="60">
        <v>0</v>
      </c>
      <c r="AC2342" s="60">
        <v>0</v>
      </c>
      <c r="AD2342" s="60">
        <v>0</v>
      </c>
      <c r="AE2342" s="60">
        <v>0</v>
      </c>
      <c r="AF2342" s="60">
        <v>0</v>
      </c>
      <c r="AG2342" s="60">
        <v>0</v>
      </c>
      <c r="AH2342" s="60">
        <v>0</v>
      </c>
      <c r="AI2342" s="68">
        <v>0</v>
      </c>
      <c r="AJ2342" s="68">
        <v>0</v>
      </c>
      <c r="AK2342" s="68">
        <v>0</v>
      </c>
      <c r="AL2342" s="68">
        <v>1.5</v>
      </c>
      <c r="AM2342" s="60">
        <v>0</v>
      </c>
      <c r="AN2342" s="60">
        <v>0</v>
      </c>
      <c r="AO2342" s="60">
        <v>0</v>
      </c>
      <c r="AP2342" s="64">
        <v>0</v>
      </c>
      <c r="AQ2342" s="60">
        <v>3000</v>
      </c>
      <c r="AR2342" s="60">
        <v>0</v>
      </c>
      <c r="AS2342" s="60">
        <v>0</v>
      </c>
      <c r="AT2342" s="68">
        <v>0</v>
      </c>
      <c r="AU2342" s="60">
        <v>97050401</v>
      </c>
      <c r="AV2342" s="60"/>
      <c r="AW2342" s="59" t="s">
        <v>198</v>
      </c>
      <c r="AX2342" s="60" t="s">
        <v>545</v>
      </c>
      <c r="AY2342" s="64">
        <v>0</v>
      </c>
      <c r="AZ2342" s="64">
        <v>0</v>
      </c>
      <c r="BA2342" s="59" t="s">
        <v>200</v>
      </c>
      <c r="BB2342" s="60">
        <v>0</v>
      </c>
      <c r="BC2342" s="66">
        <v>0</v>
      </c>
      <c r="BD2342" s="66">
        <v>0</v>
      </c>
      <c r="BE2342" s="90" t="s">
        <v>5426</v>
      </c>
      <c r="BF2342" s="90" t="s">
        <v>5427</v>
      </c>
      <c r="BG2342" s="60">
        <v>0</v>
      </c>
      <c r="BH2342" s="60">
        <v>0</v>
      </c>
      <c r="BI2342" s="60">
        <v>0</v>
      </c>
      <c r="BJ2342" s="60">
        <v>0</v>
      </c>
      <c r="BK2342" s="60">
        <v>0</v>
      </c>
      <c r="BL2342" s="60">
        <v>0</v>
      </c>
      <c r="BM2342" s="93">
        <v>0</v>
      </c>
      <c r="BN2342" s="68">
        <v>0</v>
      </c>
      <c r="BO2342" s="68">
        <v>0</v>
      </c>
      <c r="BP2342" s="68">
        <v>0</v>
      </c>
      <c r="BQ2342" s="68">
        <v>0</v>
      </c>
      <c r="BR2342" s="68">
        <v>0</v>
      </c>
      <c r="BS2342" s="68">
        <v>0</v>
      </c>
      <c r="BT2342" s="68">
        <v>0</v>
      </c>
      <c r="BU2342" s="47">
        <v>0</v>
      </c>
      <c r="BV2342" s="47"/>
      <c r="BW2342" s="47"/>
    </row>
    <row r="2343" spans="1:75" ht="20.100000000000001" customHeight="1">
      <c r="C2343" s="64">
        <v>77010111</v>
      </c>
      <c r="D2343" s="59" t="s">
        <v>5428</v>
      </c>
      <c r="E2343" s="59" t="s">
        <v>2388</v>
      </c>
      <c r="F2343" s="16">
        <v>1</v>
      </c>
      <c r="G2343" s="64">
        <v>90002001</v>
      </c>
      <c r="H2343" s="60">
        <v>0</v>
      </c>
      <c r="I2343" s="27">
        <v>0</v>
      </c>
      <c r="J2343" s="18">
        <v>1</v>
      </c>
      <c r="K2343" s="18">
        <v>0</v>
      </c>
      <c r="L2343" s="18">
        <v>0</v>
      </c>
      <c r="M2343" s="60">
        <v>0</v>
      </c>
      <c r="N2343" s="60">
        <v>0</v>
      </c>
      <c r="O2343" s="60">
        <v>1</v>
      </c>
      <c r="P2343" s="60">
        <v>0</v>
      </c>
      <c r="Q2343" s="60">
        <v>0</v>
      </c>
      <c r="R2343" s="60">
        <v>0</v>
      </c>
      <c r="S2343" s="12">
        <v>0</v>
      </c>
      <c r="T2343" s="60">
        <v>0</v>
      </c>
      <c r="U2343" s="16">
        <v>1</v>
      </c>
      <c r="V2343" s="60">
        <v>1</v>
      </c>
      <c r="W2343" s="60">
        <v>0</v>
      </c>
      <c r="X2343" s="60">
        <v>4</v>
      </c>
      <c r="Y2343" s="12">
        <v>0</v>
      </c>
      <c r="Z2343" s="60">
        <v>0</v>
      </c>
      <c r="AA2343" s="60">
        <v>0</v>
      </c>
      <c r="AB2343" s="60">
        <v>0</v>
      </c>
      <c r="AC2343" s="60">
        <v>0</v>
      </c>
      <c r="AD2343" s="60">
        <v>0</v>
      </c>
      <c r="AE2343" s="60">
        <v>0</v>
      </c>
      <c r="AF2343" s="60">
        <v>20</v>
      </c>
      <c r="AG2343" s="60">
        <v>2</v>
      </c>
      <c r="AH2343" s="60" t="s">
        <v>627</v>
      </c>
      <c r="AI2343" s="12">
        <v>0</v>
      </c>
      <c r="AJ2343" s="12">
        <v>2</v>
      </c>
      <c r="AK2343" s="12">
        <v>0</v>
      </c>
      <c r="AL2343" s="68">
        <v>3</v>
      </c>
      <c r="AM2343" s="60">
        <v>0</v>
      </c>
      <c r="AN2343" s="60">
        <v>0</v>
      </c>
      <c r="AO2343" s="60">
        <v>10</v>
      </c>
      <c r="AP2343" s="60">
        <v>10.1</v>
      </c>
      <c r="AQ2343" s="60">
        <v>10000</v>
      </c>
      <c r="AR2343" s="60">
        <v>0</v>
      </c>
      <c r="AS2343" s="60">
        <v>0</v>
      </c>
      <c r="AT2343" s="12">
        <v>0</v>
      </c>
      <c r="AU2343" s="60">
        <v>0</v>
      </c>
      <c r="AV2343" s="60"/>
      <c r="AW2343" s="59" t="s">
        <v>287</v>
      </c>
      <c r="AX2343" s="16">
        <v>0</v>
      </c>
      <c r="AY2343" s="64">
        <v>0</v>
      </c>
      <c r="AZ2343" s="18">
        <v>77010111</v>
      </c>
      <c r="BA2343" s="59" t="s">
        <v>2390</v>
      </c>
      <c r="BB2343" s="60">
        <v>60</v>
      </c>
      <c r="BC2343" s="66">
        <v>0</v>
      </c>
      <c r="BD2343" s="66">
        <v>0</v>
      </c>
      <c r="BE2343" s="90" t="s">
        <v>630</v>
      </c>
      <c r="BF2343" s="90" t="s">
        <v>631</v>
      </c>
      <c r="BG2343" s="60">
        <v>0</v>
      </c>
      <c r="BH2343" s="16">
        <v>0</v>
      </c>
      <c r="BI2343" s="60">
        <v>0</v>
      </c>
      <c r="BJ2343" s="60">
        <v>0</v>
      </c>
      <c r="BK2343" s="60">
        <v>0</v>
      </c>
      <c r="BL2343" s="60">
        <v>0</v>
      </c>
      <c r="BM2343" s="16">
        <v>0</v>
      </c>
      <c r="BN2343" s="12">
        <v>0</v>
      </c>
      <c r="BO2343" s="12">
        <v>0</v>
      </c>
      <c r="BP2343" s="12">
        <v>0</v>
      </c>
      <c r="BQ2343" s="12">
        <v>0</v>
      </c>
      <c r="BR2343" s="12">
        <v>0</v>
      </c>
      <c r="BS2343" s="12">
        <v>0</v>
      </c>
      <c r="BT2343" s="12">
        <v>0</v>
      </c>
      <c r="BU2343" s="47">
        <v>0</v>
      </c>
      <c r="BV2343" s="47"/>
      <c r="BW2343" s="47"/>
    </row>
    <row r="2344" spans="1:75" s="1" customFormat="1" ht="20.100000000000001" customHeight="1">
      <c r="C2344" s="60">
        <v>77010200</v>
      </c>
      <c r="D2344" s="59" t="s">
        <v>5429</v>
      </c>
      <c r="E2344" s="59" t="s">
        <v>1437</v>
      </c>
      <c r="F2344" s="60">
        <v>0</v>
      </c>
      <c r="G2344" s="60">
        <v>62011301</v>
      </c>
      <c r="H2344" s="60">
        <v>0</v>
      </c>
      <c r="I2344" s="66">
        <v>0</v>
      </c>
      <c r="J2344" s="60">
        <v>10</v>
      </c>
      <c r="K2344" s="60">
        <v>3</v>
      </c>
      <c r="L2344" s="60">
        <v>0</v>
      </c>
      <c r="M2344" s="60">
        <v>0</v>
      </c>
      <c r="N2344" s="60">
        <v>0</v>
      </c>
      <c r="O2344" s="60">
        <v>1</v>
      </c>
      <c r="P2344" s="60">
        <v>0</v>
      </c>
      <c r="Q2344" s="60">
        <v>0</v>
      </c>
      <c r="R2344" s="60">
        <v>0</v>
      </c>
      <c r="S2344" s="68">
        <v>0</v>
      </c>
      <c r="T2344" s="60">
        <v>0</v>
      </c>
      <c r="U2344" s="60">
        <v>1</v>
      </c>
      <c r="V2344" s="60">
        <v>2</v>
      </c>
      <c r="W2344" s="60">
        <v>0</v>
      </c>
      <c r="X2344" s="60">
        <v>3</v>
      </c>
      <c r="Y2344" s="12">
        <v>0</v>
      </c>
      <c r="Z2344" s="60">
        <v>350</v>
      </c>
      <c r="AA2344" s="60">
        <v>1</v>
      </c>
      <c r="AB2344" s="60">
        <v>0</v>
      </c>
      <c r="AC2344" s="60">
        <v>0</v>
      </c>
      <c r="AD2344" s="60">
        <v>0</v>
      </c>
      <c r="AE2344" s="60">
        <v>0</v>
      </c>
      <c r="AF2344" s="60">
        <v>20</v>
      </c>
      <c r="AG2344" s="60">
        <v>1</v>
      </c>
      <c r="AH2344" s="60">
        <v>0</v>
      </c>
      <c r="AI2344" s="68">
        <v>0</v>
      </c>
      <c r="AJ2344" s="68">
        <v>101</v>
      </c>
      <c r="AK2344" s="68">
        <v>0</v>
      </c>
      <c r="AL2344" s="68">
        <v>10</v>
      </c>
      <c r="AM2344" s="60">
        <v>0</v>
      </c>
      <c r="AN2344" s="60">
        <v>0</v>
      </c>
      <c r="AO2344" s="60">
        <v>0</v>
      </c>
      <c r="AP2344" s="60">
        <v>1</v>
      </c>
      <c r="AQ2344" s="60">
        <v>1000</v>
      </c>
      <c r="AR2344" s="60">
        <v>0.4</v>
      </c>
      <c r="AS2344" s="60">
        <v>0</v>
      </c>
      <c r="AT2344" s="68">
        <v>0</v>
      </c>
      <c r="AU2344" s="60" t="s">
        <v>198</v>
      </c>
      <c r="AV2344" s="60"/>
      <c r="AW2344" s="59" t="s">
        <v>762</v>
      </c>
      <c r="AX2344" s="60" t="s">
        <v>215</v>
      </c>
      <c r="AY2344" s="64">
        <v>10000015</v>
      </c>
      <c r="AZ2344" s="64">
        <v>21000030</v>
      </c>
      <c r="BA2344" s="59" t="s">
        <v>2411</v>
      </c>
      <c r="BB2344" s="352" t="s">
        <v>5430</v>
      </c>
      <c r="BC2344" s="66">
        <v>0</v>
      </c>
      <c r="BD2344" s="66">
        <v>0</v>
      </c>
      <c r="BE2344" s="121" t="str">
        <f>"&lt;color=#D3FD3A&gt;"&amp;D2807&amp;"(法杖武器技能):\n&lt;/color&gt;"&amp;BE2807&amp;"\n\n&lt;color=#D3FD3A&gt;"&amp;D2554&amp;"(魔法书武器技能):\n&lt;/color&gt;"&amp;BE2833</f>
        <v>&lt;color=#D3FD3A&gt;(法杖武器技能):\n&lt;/color&gt;\n\n&lt;color=#D3FD3A&gt;(魔法书武器技能):\n&lt;/color&gt;</v>
      </c>
      <c r="BF2344" s="121" t="s">
        <v>1438</v>
      </c>
      <c r="BG2344" s="60">
        <v>0</v>
      </c>
      <c r="BH2344" s="60">
        <v>0</v>
      </c>
      <c r="BI2344" s="60">
        <v>0</v>
      </c>
      <c r="BJ2344" s="60">
        <v>0</v>
      </c>
      <c r="BK2344" s="60">
        <v>0</v>
      </c>
      <c r="BL2344" s="60">
        <v>0</v>
      </c>
      <c r="BM2344" s="93">
        <v>0</v>
      </c>
      <c r="BN2344" s="68">
        <v>0</v>
      </c>
      <c r="BO2344" s="68">
        <v>0</v>
      </c>
      <c r="BP2344" s="68">
        <v>0</v>
      </c>
      <c r="BQ2344" s="68">
        <v>0</v>
      </c>
      <c r="BR2344" s="68">
        <v>0</v>
      </c>
      <c r="BS2344" s="68">
        <v>0</v>
      </c>
      <c r="BT2344" s="68">
        <v>0</v>
      </c>
      <c r="BU2344" s="68">
        <v>0</v>
      </c>
      <c r="BV2344" s="47"/>
      <c r="BW2344" s="47"/>
    </row>
  </sheetData>
  <autoFilter ref="BA1:BA2344" xr:uid="{00000000-0009-0000-0000-000000000000}"/>
  <phoneticPr fontId="46"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2025-09-05T10:29:07Z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