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<sst xmlns="http://schemas.openxmlformats.org/spreadsheetml/2006/main" count="18057" uniqueCount="5407">
  <si>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</si>
  <si>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</si>
  <si>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</si>
  <si>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</si>
  <si>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</si>
  <si>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</si>
  <si>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</si>
  <si>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</si>
  <si>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</si>
  <si>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</si>
  <si>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</si>
  <si>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</si>
  <si>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</si>
  <si>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</si>
  <si>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</si>
  <si>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</si>
  <si>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</si>
  <si>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</si>
  <si>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</si>
  <si>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</si>
  <si>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</si>
  <si>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</si>
  <si>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</si>
  <si>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</si>
  <si>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</si>
  <si>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</si>
  <si>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</si>
  <si>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</si>
  <si>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</si>
  <si>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</si>
  <si>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</si>
  <si>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</si>
  <si>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</si>
  <si>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</si>
  <si>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</si>
  <si>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</si>
  <si>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</si>
  <si>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</si>
  <si>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</si>
  <si>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</si>
  <si>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</si>
  <si>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</si>
  <si>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</si>
  <si>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</si>
  <si>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</si>
  <si>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</si>
  <si>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</si>
  <si>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</si>
  <si>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</si>
  <si>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</si>
  <si>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</si>
  <si>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</si>
  <si>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</si>
  <si>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</si>
  <si>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</si>
  <si>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</si>
  <si>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</si>
  <si>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</si>
  <si>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</si>
  <si>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</si>
  <si>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</si>
  <si>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</si>
  <si>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</si>
  <si>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</si>
  <si>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</si>
  <si>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</si>
  <si>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</si>
  <si>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</si>
  <si>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</si>
  <si>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</si>
  <si>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</si>
  <si>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</si>
  <si>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</si>
  <si>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</si>
  <si>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</si>
  <si>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</si>
  <si>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</si>
  <si>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</si>
  <si>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</si>
  <si>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</si>
  <si>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</si>
  <si>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</si>
  <si>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</si>
  <si>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</si>
  <si>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</si>
  <si>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</si>
  <si>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</si>
  <si>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</si>
  <si>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</si>
  <si>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</si>
  <si>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</si>
  <si>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</si>
  <si>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</si>
  <si>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</si>
  <si>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</si>
  <si>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</si>
  <si>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</si>
  <si>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</si>
  <si>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</si>
  <si>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</si>
  <si>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</si>
  <si>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</si>
  <si>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</si>
  <si>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</si>
  <si>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</si>
  <si>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</si>
  <si>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</si>
  <si>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</si>
  <si>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</si>
  <si>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</si>
  <si>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</si>
  <si>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</si>
  <si>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</si>
  <si>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</si>
  <si>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</si>
  <si>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</si>
  <si>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</si>
  <si>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</si>
  <si>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</si>
  <si>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</si>
  <si>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</si>
  <si>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</si>
  <si>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</si>
  <si>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</si>
  <si>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</si>
  <si>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</si>
  <si>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</si>
  <si>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</si>
  <si>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</si>
  <si>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</si>
  <si>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</si>
  <si>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</si>
  <si>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</si>
  <si>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</si>
  <si>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</si>
  <si>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</si>
  <si>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</si>
  <si>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</si>
  <si>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</si>
  <si>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</si>
  <si>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</si>
  <si>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</si>
  <si>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</si>
  <si>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</si>
  <si>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</si>
  <si>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</si>
  <si>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</si>
  <si>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</si>
  <si>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</si>
  <si>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</si>
  <si>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</si>
  <si>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</si>
  <si>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</si>
  <si>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</si>
  <si>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</si>
  <si>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</si>
  <si>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</si>
  <si>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</si>
  <si>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</si>
  <si>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</si>
  <si>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</si>
  <si>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</si>
  <si>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</si>
  <si>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</si>
  <si>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</si>
  <si>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</si>
  <si>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</si>
  <si>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</si>
  <si>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</si>
  <si>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</si>
  <si>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</si>
  <si>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</si>
  <si>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</si>
  <si>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</si>
  <si>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</si>
  <si>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</si>
  <si>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</si>
  <si>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</si>
  <si>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</si>
  <si>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</si>
  <si>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</si>
  <si>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</si>
  <si>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</si>
  <si>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</si>
  <si>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</si>
  <si>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</si>
  <si>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</si>
  <si>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</si>
  <si>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</si>
  <si>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</si>
  <si>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</si>
  <si>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</si>
  <si>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</si>
  <si>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</si>
  <si>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</si>
  <si>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</si>
  <si>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</si>
  <si>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</si>
  <si>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</si>
  <si>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</si>
  <si>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</si>
  <si>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</si>
  <si>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</si>
  <si>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</si>
  <si>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</si>
  <si>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</si>
  <si>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</si>
  <si>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</si>
  <si>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</si>
  <si>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</si>
  <si>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</si>
  <si>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</si>
  <si>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</si>
  <si>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</si>
  <si>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</si>
  <si>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</si>
  <si>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</si>
  <si>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</si>
  <si>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</si>
  <si>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</si>
  <si>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</si>
  <si>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</si>
  <si>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</si>
  <si>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</si>
  <si>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</si>
  <si>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</si>
  <si>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</si>
  <si>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</si>
  <si>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</si>
  <si>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</si>
  <si>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</si>
  <si>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</si>
  <si>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</si>
  <si>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</si>
  <si>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</si>
  <si>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</si>
  <si>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</si>
  <si>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</si>
  <si>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</si>
  <si>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</si>
  <si>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</si>
  <si>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</si>
  <si>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</si>
  <si>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</si>
  <si>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</si>
  <si>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</si>
  <si>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</si>
  <si>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</si>
  <si>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</si>
  <si>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</si>
  <si>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</si>
  <si>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</si>
  <si>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</si>
  <si>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</si>
  <si>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</si>
  <si>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</si>
  <si>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</si>
  <si>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</si>
  <si>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</si>
  <si>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</si>
  <si>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</si>
  <si>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</si>
  <si>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</si>
  <si>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</si>
  <si>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</si>
  <si>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</si>
  <si>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</si>
  <si>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</si>
  <si>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</si>
  <si>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</si>
  <si>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</si>
  <si>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</si>
  <si>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</si>
  <si>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</si>
  <si>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</si>
  <si>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</si>
  <si>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</si>
  <si>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</si>
  <si>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</si>
  <si>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</si>
  <si>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</si>
  <si>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</si>
  <si>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</si>
  <si>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</si>
  <si>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</si>
  <si>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</si>
  <si>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</si>
  <si>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</si>
  <si>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</si>
  <si>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</si>
  <si>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</si>
  <si>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</si>
  <si>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</si>
  <si>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</si>
  <si>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</si>
  <si>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</si>
  <si>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</si>
  <si>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</si>
  <si>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</si>
  <si>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</si>
  <si>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</si>
  <si>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</si>
  <si>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</si>
  <si>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</si>
  <si>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</si>
  <si>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</si>
  <si>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</si>
  <si>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</si>
  <si>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</si>
  <si>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</si>
  <si>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</si>
  <si>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</si>
  <si>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</si>
  <si>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</si>
  <si>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</si>
  <si>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</si>
  <si>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</si>
  <si>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</si>
  <si>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</si>
  <si>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</si>
  <si>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</si>
  <si>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</si>
  <si>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</si>
  <si>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</si>
  <si>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</si>
  <si>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</si>
  <si>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</si>
  <si>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</si>
  <si>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</si>
  <si>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</si>
  <si>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</si>
  <si>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</si>
  <si>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</si>
  <si>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</si>
  <si>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</si>
  <si>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</si>
  <si>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</si>
  <si>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</si>
  <si>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</si>
  <si>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</si>
  <si>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</si>
  <si>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</si>
  <si>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</si>
  <si>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</si>
  <si>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</si>
  <si>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</si>
  <si>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</si>
  <si>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</si>
  <si>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</si>
  <si>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</si>
  <si>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</si>
  <si>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</si>
  <si>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</si>
  <si>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</si>
  <si>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</si>
  <si>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</si>
  <si>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</si>
  <si>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</si>
  <si>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</si>
  <si>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</si>
  <si>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</si>
  <si>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</si>
  <si>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</si>
  <si>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</si>
  <si>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</si>
  <si>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</si>
  <si>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</si>
  <si>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</si>
  <si>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</si>
  <si>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</si>
  <si>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</si>
  <si>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</si>
  <si>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</si>
  <si>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</si>
  <si>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</si>
  <si>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</si>
  <si>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</si>
  <si>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</si>
  <si>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</si>
  <si>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</si>
  <si>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</si>
  <si>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</si>
  <si>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</si>
  <si>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</si>
  <si>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</si>
  <si>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</si>
  <si>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</si>
  <si>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</si>
  <si>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</si>
  <si>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</si>
  <si>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</si>
  <si>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</si>
  <si>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</si>
  <si>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</si>
  <si>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</si>
  <si>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</si>
  <si>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</si>
  <si>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</si>
  <si>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</si>
  <si>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</si>
  <si>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</si>
  <si>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</si>
  <si>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</si>
  <si>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</si>
  <si>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</si>
  <si>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</si>
  <si>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</si>
  <si>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</si>
  <si>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</si>
  <si>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</si>
  <si>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</si>
  <si>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</si>
  <si>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</si>
  <si>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</si>
  <si>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</si>
  <si>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</si>
  <si>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</si>
  <si>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</si>
  <si>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</si>
  <si>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</si>
  <si>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</si>
  <si>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</si>
  <si>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</si>
  <si>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</si>
  <si>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</si>
  <si>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</si>
  <si>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</si>
  <si>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</si>
  <si>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</si>
  <si>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</si>
  <si>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</si>
  <si>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</si>
  <si>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</si>
  <si>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</si>
  <si>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</si>
  <si>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</si>
  <si>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</si>
  <si>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</si>
  <si>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</si>
  <si>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</si>
  <si>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</si>
  <si>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</si>
  <si>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</si>
  <si>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</si>
  <si>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</si>
  <si>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</si>
  <si>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</si>
  <si>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</si>
  <si>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</si>
  <si>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</si>
  <si>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</si>
  <si>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</si>
  <si>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</si>
  <si>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</si>
  <si>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</si>
  <si>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</si>
  <si>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</si>
  <si>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</si>
  <si>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</si>
  <si>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</si>
  <si>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</si>
  <si>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</si>
  <si>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</si>
  <si>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</si>
  <si>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</si>
  <si>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</si>
  <si>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</si>
  <si>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</si>
  <si>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</si>
  <si>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</si>
  <si>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</si>
  <si>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</si>
  <si>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</si>
  <si>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</si>
  <si>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</si>
  <si>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</si>
  <si>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</si>
  <si>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</si>
  <si>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</si>
  <si>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</si>
  <si>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</si>
  <si>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</si>
  <si>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</si>
  <si>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</si>
  <si>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</si>
  <si>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</si>
  <si>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</si>
  <si>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</si>
  <si>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</si>
  <si>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</si>
  <si>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</si>
  <si>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</si>
  <si>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</si>
  <si>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</si>
  <si>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</si>
  <si>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</si>
  <si>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</si>
  <si>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</si>
  <si>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</si>
  <si>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</si>
  <si>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</si>
  <si>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</si>
  <si>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</si>
  <si>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</si>
  <si>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</si>
  <si>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</si>
  <si>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</si>
  <si>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</si>
  <si>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</si>
  <si>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</si>
  <si>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</si>
  <si>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</si>
  <si>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</si>
  <si>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</si>
  <si>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</si>
  <si>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</si>
  <si>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</si>
  <si>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</si>
  <si>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</si>
  <si>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</si>
  <si>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</si>
  <si>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</si>
  <si>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</si>
  <si>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</si>
  <si>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</si>
  <si>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</si>
  <si>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</si>
  <si>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</si>
  <si>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</si>
  <si>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</si>
  <si>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</si>
  <si>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</si>
  <si>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</si>
  <si>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</si>
  <si>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</si>
  <si>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</si>
  <si>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</si>
  <si>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</si>
  <si>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</si>
  <si>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</si>
  <si>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</si>
  <si>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</si>
  <si>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</si>
  <si>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</si>
  <si>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</si>
  <si>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</si>
  <si>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</si>
  <si>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</si>
  <si>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</si>
  <si>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</si>
  <si>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</si>
  <si>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</si>
  <si>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</si>
  <si>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</si>
  <si>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</si>
  <si>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</si>
  <si>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</si>
  <si>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</si>
  <si>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</si>
  <si>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</si>
  <si>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</si>
  <si>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</si>
  <si>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</si>
  <si>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</si>
  <si>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</si>
  <si>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</si>
  <si>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</si>
  <si>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</si>
  <si>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</si>
  <si>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</si>
  <si>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</si>
  <si>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</si>
  <si>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</si>
  <si>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</si>
  <si>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</si>
  <si>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</si>
  <si>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</si>
  <si>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</si>
  <si>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</si>
  <si>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</si>
  <si>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</si>
  <si>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</si>
  <si>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</si>
  <si>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</si>
  <si>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</si>
  <si>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</si>
  <si>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</si>
  <si>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</si>
  <si>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</si>
  <si>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</si>
  <si>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</si>
  <si>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</si>
  <si>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</si>
  <si>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</si>
  <si>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</si>
  <si>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</si>
  <si>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</si>
  <si>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</si>
  <si>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</si>
  <si>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</si>
  <si>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</si>
  <si>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</si>
  <si>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</si>
  <si>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</si>
  <si>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</si>
  <si>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</si>
  <si>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</si>
  <si>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</si>
  <si>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</si>
  <si>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</si>
  <si>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</si>
  <si>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</si>
  <si>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</si>
  <si>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</si>
  <si>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</si>
  <si>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</si>
  <si>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</si>
  <si>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</si>
  <si>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</si>
  <si>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</si>
  <si>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</si>
  <si>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</si>
  <si>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</si>
  <si>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</si>
  <si>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</si>
  <si>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</si>
  <si>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</si>
  <si>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</si>
  <si>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</si>
  <si>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</si>
  <si>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</si>
  <si>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</si>
  <si>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</si>
  <si>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</si>
  <si>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</si>
  <si>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</si>
  <si>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</si>
  <si>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</si>
  <si>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</si>
  <si>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</si>
  <si>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</si>
  <si>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</si>
  <si>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</si>
  <si>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</si>
  <si>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</si>
  <si>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</si>
  <si>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</si>
  <si>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</si>
  <si>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</si>
  <si>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</si>
  <si>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</si>
  <si>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</si>
  <si>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</si>
  <si>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</si>
  <si>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</si>
  <si>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</si>
  <si>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</si>
  <si>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</si>
  <si>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</si>
  <si>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</si>
  <si>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</si>
  <si>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</si>
  <si>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</si>
  <si>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</si>
  <si>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</si>
  <si>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</si>
  <si>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</si>
  <si>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</si>
  <si>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</si>
  <si>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</si>
  <si>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</si>
  <si>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</si>
  <si>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</si>
  <si>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</si>
  <si>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</si>
  <si>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</si>
  <si>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</si>
  <si>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</si>
  <si>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</si>
  <si>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</si>
  <si>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</si>
  <si>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</si>
  <si>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</si>
  <si>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</si>
  <si>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</si>
  <si>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</si>
  <si>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</si>
  <si>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</si>
  <si>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</si>
  <si>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</si>
  <si>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</si>
  <si>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</si>
  <si>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</si>
  <si>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</si>
  <si>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</si>
  <si>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</si>
  <si>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</si>
  <si>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</si>
  <si>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</si>
  <si>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</si>
  <si>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</si>
  <si>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</si>
  <si>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</si>
  <si>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</si>
  <si>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</si>
  <si>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</si>
  <si>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</si>
  <si>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</si>
  <si>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</si>
  <si>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</si>
  <si>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</si>
  <si>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</si>
  <si>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</si>
  <si>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</si>
  <si>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</si>
  <si>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</si>
  <si>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</si>
  <si>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</si>
  <si>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</si>
  <si>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</si>
  <si>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</si>
  <si>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</si>
  <si>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</si>
  <si>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</si>
  <si>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</si>
  <si>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</si>
  <si>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</si>
  <si>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</si>
  <si>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</si>
  <si>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</si>
  <si>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</si>
  <si>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</si>
  <si>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</si>
  <si>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</si>
  <si>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</si>
  <si>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</si>
  <si>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</si>
  <si>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</si>
  <si>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</si>
  <si>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</si>
  <si>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</si>
  <si>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</si>
  <si>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</si>
  <si>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</si>
  <si>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</si>
  <si>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</si>
  <si>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</si>
  <si>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</si>
  <si>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</si>
  <si>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</si>
  <si>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</si>
  <si>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</si>
  <si>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</si>
  <si>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</si>
  <si>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</si>
  <si>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</si>
  <si>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</si>
  <si>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</si>
  <si>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</si>
  <si>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</si>
  <si>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</si>
  <si>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</si>
  <si>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</si>
  <si>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</si>
  <si>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</si>
  <si>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</si>
  <si>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</si>
  <si>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</si>
  <si>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</si>
  <si>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</si>
  <si>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</si>
  <si>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</si>
  <si>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</si>
  <si>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</si>
  <si>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</si>
  <si>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</si>
  <si>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</si>
  <si>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</si>
  <si>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</si>
  <si>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</si>
  <si>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</si>
  <si>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</si>
  <si>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</si>
  <si>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</si>
  <si>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</si>
  <si>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</si>
  <si>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</si>
  <si>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</si>
  <si>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</si>
  <si>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</si>
  <si>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</si>
  <si>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</si>
  <si>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</si>
  <si>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</si>
  <si>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</si>
  <si>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</si>
  <si>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</si>
  <si>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</si>
  <si>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</si>
  <si>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</si>
  <si>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</si>
  <si>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</si>
  <si>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</si>
  <si>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</si>
  <si>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</si>
  <si>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</si>
  <si>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</si>
  <si>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</si>
  <si>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</si>
  <si>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</si>
  <si>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</si>
  <si>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</si>
  <si>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</si>
  <si>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</si>
  <si>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</si>
  <si>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</si>
  <si>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</si>
  <si>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</si>
  <si>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</si>
  <si>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</si>
  <si>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</si>
  <si>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</si>
  <si>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</si>
  <si>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</si>
  <si>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</si>
  <si>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</si>
  <si>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</si>
  <si>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</si>
  <si>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</si>
  <si>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</si>
  <si>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</si>
  <si>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</si>
  <si>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</si>
  <si>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</si>
  <si>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</si>
  <si>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</si>
  <si>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</si>
  <si>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</si>
  <si>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</si>
  <si>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</si>
  <si>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</si>
  <si>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</si>
  <si>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</si>
  <si>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</si>
  <si>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</si>
  <si>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</si>
  <si>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</si>
  <si>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</si>
  <si>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</si>
  <si>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</si>
  <si>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</si>
  <si>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</si>
  <si>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</si>
  <si>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</si>
  <si>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</si>
  <si>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</si>
  <si>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</si>
  <si>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</si>
  <si>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</si>
  <si>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</si>
  <si>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</si>
  <si>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</si>
  <si>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</si>
  <si>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</si>
  <si>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</si>
  <si>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</si>
  <si>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</si>
  <si>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</si>
  <si>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</si>
  <si>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</si>
  <si>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</si>
  <si>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</si>
  <si>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</si>
  <si>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</si>
  <si>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</si>
  <si>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</si>
  <si>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</si>
  <si>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</si>
  <si>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</si>
  <si>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</si>
  <si>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</si>
  <si>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</si>
  <si>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</si>
  <si>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</si>
  <si>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</si>
  <si>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</si>
  <si>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</si>
  <si>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</si>
  <si>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</si>
  <si>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</si>
  <si>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</si>
  <si>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</si>
  <si>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</si>
  <si>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</si>
  <si>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</si>
  <si>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</si>
  <si>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</si>
  <si>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</si>
  <si>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</si>
  <si>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</si>
  <si>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</si>
  <si>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</si>
  <si>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</si>
  <si>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</si>
  <si>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</si>
  <si>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</si>
  <si>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</si>
  <si>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</si>
  <si>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</si>
  <si>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</si>
  <si>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</si>
  <si>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</si>
  <si>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</si>
  <si>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</si>
  <si>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</si>
  <si>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</si>
  <si>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</si>
  <si>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</si>
  <si>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</si>
  <si>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</si>
  <si>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</si>
  <si>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</si>
  <si>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</si>
  <si>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</si>
  <si>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</si>
  <si>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</si>
  <si>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</si>
  <si>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</si>
  <si>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</si>
  <si>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</si>
  <si>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</si>
  <si>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</si>
  <si>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</si>
  <si>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</si>
  <si>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</si>
  <si>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</si>
  <si>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</si>
  <si>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</si>
  <si>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</si>
  <si>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</si>
  <si>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</si>
  <si>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</si>
  <si>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</si>
  <si>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</si>
  <si>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</si>
  <si>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</si>
  <si>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</si>
  <si>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</si>
  <si>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</si>
  <si>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</si>
  <si>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</si>
  <si>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</si>
  <si>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</si>
  <si>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</si>
  <si>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</si>
  <si>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</si>
  <si>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</si>
  <si>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</si>
  <si>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</si>
  <si>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</si>
  <si>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</si>
  <si>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</si>
  <si>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</si>
  <si>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</si>
  <si>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</si>
  <si>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</si>
  <si>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</si>
  <si>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</si>
  <si>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</si>
  <si>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</si>
  <si>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</si>
  <si>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</si>
  <si>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</si>
  <si>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</si>
  <si>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</si>
  <si>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</si>
  <si>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</si>
  <si>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</si>
  <si>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</si>
  <si>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</si>
  <si>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</si>
  <si>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</si>
  <si>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</si>
  <si>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</si>
  <si>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</si>
  <si>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</si>
  <si>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</si>
  <si>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</si>
  <si>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</si>
  <si>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</si>
  <si>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</si>
  <si>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</si>
  <si>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</si>
  <si>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</si>
  <si>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</si>
  <si>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</si>
  <si>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</si>
  <si>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</si>
  <si>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</si>
  <si>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</si>
  <si>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</si>
  <si>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</si>
  <si>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</si>
  <si>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</si>
  <si>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</si>
  <si>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</si>
  <si>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</si>
  <si>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</si>
  <si>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</si>
  <si>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</si>
  <si>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</si>
  <si>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</si>
  <si>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</si>
  <si>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</si>
  <si>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</si>
  <si>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</si>
  <si>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</si>
  <si>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</si>
  <si>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</si>
  <si>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</si>
  <si>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</si>
  <si>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</si>
  <si>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</si>
  <si>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</si>
  <si>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</si>
  <si>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</si>
  <si>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</si>
  <si>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</si>
  <si>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</si>
  <si>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</si>
  <si>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</si>
  <si>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</si>
  <si>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</si>
  <si>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</si>
  <si>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</si>
  <si>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</si>
  <si>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</si>
  <si>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</si>
  <si>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</si>
  <si>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</si>
  <si>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</si>
  <si>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</si>
  <si>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</si>
  <si>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</si>
  <si>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</si>
  <si>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</si>
  <si>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</si>
  <si>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</si>
  <si>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</si>
  <si>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</si>
  <si>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</si>
  <si>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</si>
  <si>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</si>
  <si>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</si>
  <si>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</si>
  <si>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</si>
  <si>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</si>
  <si>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</si>
  <si>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</si>
  <si>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</si>
  <si>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</si>
  <si>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</si>
  <si>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</si>
  <si>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</si>
  <si>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</si>
  <si>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</si>
  <si>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</si>
  <si>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</si>
  <si>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</si>
  <si>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</si>
  <si>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</si>
  <si>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</si>
  <si>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</si>
  <si>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</si>
  <si>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</si>
  <si>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</si>
  <si>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</si>
  <si>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</si>
  <si>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</si>
  <si>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</si>
  <si>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</si>
  <si>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</si>
  <si>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</si>
  <si>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</si>
  <si>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</si>
  <si>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</si>
  <si>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</si>
  <si>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</si>
  <si>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</si>
  <si>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</si>
  <si>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</si>
  <si>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</si>
  <si>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</si>
  <si>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</si>
  <si>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</si>
  <si>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</si>
  <si>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</si>
  <si>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</si>
  <si>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</si>
  <si>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</si>
  <si>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</si>
  <si>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</si>
  <si>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</si>
  <si>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</si>
  <si>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</si>
  <si>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</si>
  <si>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</si>
  <si>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</si>
  <si>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</si>
  <si>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</si>
  <si>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</si>
  <si>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</si>
  <si>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</si>
  <si>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</si>
  <si>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</si>
  <si>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</si>
  <si>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</si>
  <si>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</si>
  <si>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</si>
  <si>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</si>
  <si>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</si>
  <si>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</si>
  <si>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</si>
  <si>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</si>
  <si>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</si>
  <si>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</si>
  <si>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</si>
  <si>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</si>
  <si>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</si>
  <si>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</si>
  <si>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</si>
  <si>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</si>
  <si>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</si>
  <si>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</si>
  <si>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</si>
  <si>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</si>
  <si>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</si>
  <si>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</si>
  <si>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</si>
  <si>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</si>
  <si>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</si>
  <si>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</si>
  <si>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</si>
  <si>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</si>
  <si>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</si>
  <si>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</si>
  <si>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</si>
  <si>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</si>
  <si>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</si>
  <si>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</si>
  <si>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</si>
  <si>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</si>
  <si>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</si>
  <si>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</si>
  <si>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</si>
  <si>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</si>
  <si>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</si>
  <si>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</si>
  <si>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</si>
  <si>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</si>
  <si>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</si>
  <si>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</si>
  <si>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</si>
  <si>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</si>
  <si>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</si>
  <si>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</si>
  <si>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</si>
  <si>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</si>
  <si>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</si>
  <si>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</si>
  <si>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</si>
  <si>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</si>
  <si>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</si>
  <si>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</si>
  <si>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</si>
  <si>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</si>
  <si>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</si>
  <si>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</si>
  <si>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</si>
  <si>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</si>
  <si>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</si>
  <si>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</si>
  <si>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</si>
  <si>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</si>
  <si>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</si>
  <si>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</si>
  <si>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</si>
  <si>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</si>
  <si>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</si>
  <si>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</si>
  <si>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</si>
  <si>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</si>
  <si>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</si>
  <si>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</si>
  <si>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</si>
  <si>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</si>
  <si>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</si>
  <si>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</si>
  <si>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</si>
  <si>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</si>
  <si>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</si>
  <si>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</si>
  <si>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</si>
  <si>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</si>
  <si>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</si>
  <si>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</si>
  <si>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</si>
  <si>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</si>
  <si>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</si>
  <si>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</si>
  <si>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</si>
  <si>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</si>
  <si>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</si>
  <si>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</si>
  <si>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</si>
  <si>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</si>
  <si>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</si>
  <si>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</si>
  <si>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</si>
  <si>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</si>
  <si>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</si>
  <si>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</si>
  <si>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</si>
  <si>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</si>
  <si>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</si>
  <si>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</si>
  <si>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</si>
  <si>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</si>
  <si>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</si>
  <si>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</si>
  <si>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</si>
  <si>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</si>
  <si>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</si>
  <si>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</si>
  <si>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</si>
  <si>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</si>
  <si>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</si>
  <si>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</si>
  <si>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</si>
  <si>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</si>
  <si>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</si>
  <si>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</si>
  <si>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</si>
  <si>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</si>
  <si>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</si>
  <si>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</si>
  <si>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</si>
  <si>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</si>
  <si>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</si>
  <si>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</si>
  <si>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</si>
  <si>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</si>
  <si>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</si>
  <si>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</si>
  <si>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</si>
  <si>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</si>
  <si>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</si>
  <si>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</si>
  <si>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</si>
  <si>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</si>
  <si>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</si>
  <si>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</si>
  <si>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</si>
  <si>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</si>
  <si>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</si>
  <si>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</si>
  <si>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</si>
  <si>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</si>
  <si>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</si>
  <si>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</si>
  <si>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</si>
  <si>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</si>
  <si>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</si>
  <si>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</si>
  <si>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</si>
  <si>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</si>
  <si>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</si>
  <si>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</si>
  <si>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</si>
  <si>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</si>
  <si>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</si>
  <si>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</si>
  <si>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</si>
  <si>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</si>
  <si>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</si>
  <si>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</si>
  <si>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</si>
  <si>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</si>
  <si>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</si>
  <si>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</si>
  <si>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</si>
  <si>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</si>
  <si>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</si>
  <si>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</si>
  <si>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</si>
  <si>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</si>
  <si>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</si>
  <si>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</si>
  <si>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</si>
  <si>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</si>
  <si>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</si>
  <si>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</si>
  <si>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</si>
  <si>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</si>
  <si>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</si>
  <si>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</si>
  <si>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</si>
  <si>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</si>
  <si>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</si>
  <si>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</si>
  <si>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</si>
  <si>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</si>
  <si>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</si>
  <si>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</si>
  <si>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</si>
  <si>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</si>
  <si>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</si>
  <si>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</si>
  <si>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</si>
  <si>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</si>
  <si>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</si>
  <si>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</si>
  <si>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</si>
  <si>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</si>
  <si>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</si>
  <si>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</si>
  <si>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</si>
  <si>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</si>
  <si>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</si>
  <si>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</si>
  <si>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</si>
  <si>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</si>
  <si>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</si>
  <si>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</si>
  <si>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</si>
  <si>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</si>
  <si>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</si>
  <si>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</si>
  <si>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</si>
  <si>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</si>
  <si>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</si>
  <si>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</si>
  <si>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</si>
  <si>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</si>
  <si>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</si>
  <si>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</si>
  <si>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</si>
  <si>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</si>
  <si>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</si>
  <si>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</si>
  <si>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</si>
  <si>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</si>
  <si>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</si>
  <si>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</si>
  <si>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</si>
  <si>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</si>
  <si>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</si>
  <si>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</si>
  <si>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</si>
  <si>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</si>
  <si>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</si>
  <si>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</si>
  <si>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</si>
  <si>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</si>
  <si>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</si>
  <si>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</si>
  <si>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</si>
  <si>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</si>
  <si>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</si>
  <si>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</si>
  <si>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</si>
  <si>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</si>
  <si>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</si>
  <si>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</si>
  <si>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</si>
  <si>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</si>
  <si>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</si>
  <si>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</si>
  <si>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</si>
  <si>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</si>
  <si>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</si>
  <si>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</si>
  <si>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</si>
  <si>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</si>
  <si>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</si>
  <si>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</si>
  <si>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</si>
  <si>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</si>
  <si>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</si>
  <si>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</si>
  <si>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</si>
  <si>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</si>
  <si>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</si>
  <si>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</si>
  <si>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</si>
  <si>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</si>
  <si>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</si>
  <si>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</si>
  <si>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</si>
  <si>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</si>
  <si>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</si>
  <si>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</si>
  <si>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</si>
  <si>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</si>
  <si>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</si>
  <si>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</si>
  <si>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</si>
  <si>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</si>
  <si>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</si>
  <si>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</si>
  <si>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</si>
  <si>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</si>
  <si>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</si>
  <si>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</si>
  <si>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</si>
  <si>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</si>
  <si>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</si>
  <si>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</si>
  <si>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</si>
  <si>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</si>
  <si>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</si>
  <si>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</si>
  <si>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</si>
  <si>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</si>
  <si>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</si>
  <si>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</si>
  <si>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</si>
  <si>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</si>
  <si>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</si>
  <si>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</si>
  <si>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</si>
  <si>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</si>
  <si>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</si>
  <si>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</si>
  <si>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</si>
  <si>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</si>
  <si>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</si>
  <si>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</si>
  <si>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</si>
  <si>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</si>
  <si>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</si>
  <si>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</si>
  <si>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</si>
  <si>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</si>
  <si>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</si>
  <si>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</si>
  <si>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</si>
  <si>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</si>
  <si>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</si>
  <si>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</si>
  <si>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</si>
  <si>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</si>
  <si>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</si>
  <si>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</si>
  <si>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</si>
  <si>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</si>
  <si>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</si>
  <si>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</si>
  <si>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</si>
  <si>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</si>
  <si>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</si>
  <si>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</si>
  <si>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</si>
  <si>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</si>
  <si>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</si>
  <si>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</si>
  <si>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</si>
  <si>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</si>
  <si>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</si>
  <si>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</si>
  <si>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</si>
  <si>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</si>
  <si>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</si>
  <si>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</si>
  <si>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</si>
  <si>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</si>
  <si>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</si>
  <si>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</si>
  <si>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</si>
  <si>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</si>
  <si>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</si>
  <si>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</si>
  <si>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</si>
  <si>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</si>
  <si>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</si>
  <si>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</si>
  <si>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</si>
  <si>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</si>
  <si>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</si>
  <si>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</si>
  <si>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</si>
  <si>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</si>
  <si>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</si>
  <si>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</si>
  <si>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</si>
  <si>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</si>
  <si>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</si>
  <si>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</si>
  <si>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</si>
  <si>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</si>
  <si>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</si>
  <si>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</si>
  <si>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</si>
  <si>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</si>
  <si>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</si>
  <si>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</si>
  <si>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</si>
  <si>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</si>
  <si>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</si>
  <si>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</si>
  <si>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</si>
  <si>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</si>
  <si>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</si>
  <si>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</si>
  <si>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</si>
  <si>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</si>
  <si>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</si>
  <si>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</si>
  <si>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</si>
  <si>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</si>
  <si>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</si>
  <si>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</si>
  <si>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</si>
  <si>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</si>
  <si>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</si>
  <si>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</si>
  <si>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</si>
  <si>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</si>
  <si>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</si>
  <si>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</si>
  <si>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</si>
  <si>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</si>
  <si>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</si>
  <si>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</si>
  <si>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</si>
  <si>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</si>
  <si>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</si>
  <si>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</si>
  <si>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</si>
  <si>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</si>
  <si>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</si>
  <si>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</si>
  <si>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</si>
  <si>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</si>
  <si>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</si>
  <si>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</si>
  <si>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</si>
  <si>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</si>
  <si>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</si>
  <si>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</si>
  <si>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</si>
  <si>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</si>
  <si>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</si>
  <si>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</si>
  <si>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</si>
  <si>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</si>
  <si>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</si>
  <si>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</si>
  <si>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</si>
  <si>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</si>
  <si>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</si>
  <si>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</si>
  <si>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</si>
  <si>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</si>
  <si>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</si>
  <si>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</si>
  <si>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</si>
  <si>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</si>
  <si>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</si>
  <si>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</si>
  <si>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</si>
  <si>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</si>
  <si>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</si>
  <si>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</si>
  <si>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</si>
  <si>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</si>
  <si>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</si>
  <si>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</si>
  <si>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</si>
  <si>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</si>
  <si>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</si>
  <si>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</si>
  <si>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</si>
  <si>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</si>
  <si>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</si>
  <si>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</si>
  <si>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</si>
  <si>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</si>
  <si>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</si>
  <si>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</si>
  <si>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</si>
  <si>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</si>
  <si>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</si>
  <si>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</si>
  <si>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</si>
  <si>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</si>
  <si>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</si>
  <si>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</si>
  <si>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</si>
  <si>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</si>
  <si>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</si>
  <si>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</si>
  <si>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</si>
  <si>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</si>
  <si>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</si>
  <si>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</si>
  <si>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</si>
  <si>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</si>
  <si>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</si>
  <si>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</si>
  <si>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</si>
  <si>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</si>
  <si>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</si>
  <si>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</si>
  <si>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</si>
  <si>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</si>
  <si>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</si>
  <si>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</si>
  <si>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</si>
  <si>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</si>
  <si>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</si>
  <si>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</si>
  <si>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</si>
  <si>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</si>
  <si>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</si>
  <si>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</si>
  <si>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</si>
  <si>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</si>
  <si>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</si>
  <si>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</si>
  <si>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</si>
  <si>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</si>
  <si>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</si>
  <si>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</si>
  <si>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</si>
  <si>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</si>
  <si>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</si>
  <si>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</si>
  <si>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</si>
  <si>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</si>
  <si>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</si>
  <si>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</si>
  <si>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</si>
  <si>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</si>
  <si>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</si>
  <si>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</si>
  <si>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</si>
  <si>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</si>
  <si>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</si>
  <si>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</si>
  <si>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</si>
  <si>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</si>
  <si>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</si>
  <si>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</si>
  <si>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</si>
  <si>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</si>
  <si>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</si>
  <si>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</si>
  <si>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</si>
  <si>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</si>
  <si>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</si>
  <si>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</si>
  <si>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</si>
  <si>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</si>
  <si>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</si>
  <si>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</si>
  <si>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</si>
  <si>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</si>
  <si>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</si>
  <si>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</si>
  <si>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</si>
  <si>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</si>
  <si>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</si>
  <si>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</si>
  <si>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</si>
  <si>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</si>
  <si>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</si>
  <si>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</si>
  <si>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</si>
  <si>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</si>
  <si>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</si>
  <si>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</si>
  <si>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</si>
  <si>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</si>
  <si>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</si>
  <si>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</si>
  <si>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</si>
  <si>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</si>
  <si>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</si>
  <si>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</si>
  <si>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</si>
  <si>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</si>
  <si>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</si>
  <si>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</si>
  <si>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</si>
  <si>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</si>
  <si>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</si>
  <si>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</si>
  <si>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</si>
  <si>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</si>
  <si>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</si>
  <si>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</si>
  <si>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</si>
  <si>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</si>
  <si>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</si>
  <si>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</si>
  <si>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</si>
  <si>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</si>
  <si>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</si>
  <si>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</si>
  <si>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</si>
  <si>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</si>
  <si>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</si>
  <si>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</si>
  <si>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</si>
  <si>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</si>
  <si>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</si>
  <si>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</si>
  <si>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</si>
  <si>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</si>
  <si>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</si>
  <si>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</si>
  <si>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</si>
  <si>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</si>
  <si>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</si>
  <si>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</si>
  <si>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</si>
  <si>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</si>
  <si>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</si>
  <si>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</si>
  <si>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</si>
  <si>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</si>
  <si>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</si>
  <si>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</si>
  <si>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</si>
  <si>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</si>
  <si>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</si>
  <si>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</si>
  <si>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</si>
  <si>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</si>
  <si>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</si>
  <si>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</si>
  <si>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</si>
  <si>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</si>
  <si>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</si>
  <si>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</si>
  <si>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</si>
  <si>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</si>
  <si>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</si>
  <si>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</si>
  <si>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</si>
  <si>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</si>
  <si>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</si>
  <si>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</si>
  <si>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</si>
  <si>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</si>
  <si>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</si>
  <si>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</si>
  <si>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</si>
  <si>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</si>
  <si>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</si>
  <si>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</si>
  <si>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</si>
  <si>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</si>
  <si>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</si>
  <si>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</si>
  <si>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</si>
  <si>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</si>
  <si>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</si>
  <si>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</si>
  <si>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</si>
  <si>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</si>
  <si>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</si>
  <si>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</si>
  <si>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</si>
  <si>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</si>
  <si>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</si>
  <si>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</si>
  <si>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</si>
  <si>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</si>
  <si>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</si>
  <si>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</si>
  <si>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</si>
  <si>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</si>
  <si>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</si>
  <si>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</si>
  <si>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</si>
  <si>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</si>
  <si>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</si>
  <si>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</si>
  <si>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</si>
  <si>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</si>
  <si>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</si>
  <si>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</si>
  <si>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</si>
  <si>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</si>
  <si>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</si>
  <si>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</si>
  <si>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</si>
  <si>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</si>
  <si>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</si>
  <si>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</si>
  <si>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</si>
  <si>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</si>
  <si>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</si>
  <si>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</si>
  <si>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</si>
  <si>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</si>
  <si>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</si>
  <si>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</si>
  <si>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</si>
  <si>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</si>
  <si>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</si>
  <si>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</si>
  <si>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</si>
  <si>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</si>
  <si>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</si>
  <si>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</si>
  <si>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</si>
  <si>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</si>
  <si>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</si>
  <si>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</si>
  <si>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</si>
  <si>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</si>
  <si>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</si>
  <si>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</si>
  <si>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</si>
  <si>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</si>
  <si>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</si>
  <si>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</si>
  <si>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</si>
  <si>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</si>
  <si>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</si>
  <si>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</si>
  <si>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</si>
  <si>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</si>
  <si>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</si>
  <si>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</si>
  <si>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</si>
  <si>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</si>
  <si>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</si>
  <si>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</si>
  <si>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</si>
  <si>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</si>
  <si>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</si>
  <si>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</si>
  <si>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</si>
  <si>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</si>
  <si>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</si>
  <si>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</si>
  <si>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</si>
  <si>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</si>
  <si>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</si>
  <si>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</si>
  <si>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</si>
  <si>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</si>
  <si>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</si>
  <si>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</si>
  <si>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</si>
  <si>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</si>
  <si>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</si>
  <si>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</si>
  <si>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</si>
  <si>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</si>
  <si>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</si>
  <si>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</si>
  <si>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</si>
  <si>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</si>
  <si>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</si>
  <si>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</si>
  <si>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</si>
  <si>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</si>
  <si>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</si>
  <si>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</si>
  <si>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</si>
  <si>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</si>
  <si>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</si>
  <si>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</si>
  <si>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</si>
  <si>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</si>
  <si>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</si>
  <si>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</si>
  <si>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</si>
  <si>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</si>
  <si>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</si>
  <si>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</si>
  <si>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</si>
  <si>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</si>
  <si>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</si>
  <si>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</si>
  <si>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</si>
  <si>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</si>
  <si>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</si>
  <si>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</si>
  <si>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</si>
  <si>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</si>
  <si>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</si>
  <si>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</si>
  <si>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</si>
  <si>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</si>
  <si>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</si>
  <si>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</si>
  <si>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</si>
  <si>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</si>
  <si>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</si>
  <si>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</si>
  <si>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</si>
  <si>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</si>
  <si>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</si>
  <si>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</si>
  <si>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</si>
  <si>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</si>
  <si>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</si>
  <si>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</si>
  <si>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</si>
  <si>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</si>
  <si>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</si>
  <si>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</si>
  <si>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</si>
  <si>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</si>
  <si>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</si>
  <si>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</si>
  <si>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</si>
  <si>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</si>
  <si>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</si>
  <si>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</si>
  <si>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</si>
  <si>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</si>
  <si>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</si>
  <si>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</si>
  <si>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</si>
  <si>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</si>
  <si>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</si>
  <si>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</si>
  <si>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</si>
  <si>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</si>
  <si>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</si>
  <si>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</si>
  <si>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</si>
  <si>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</si>
  <si>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</si>
  <si>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</si>
  <si>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</si>
  <si>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</si>
  <si>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</si>
  <si>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</si>
  <si>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</si>
  <si>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</si>
  <si>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</si>
  <si>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</si>
  <si>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</si>
  <si>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</si>
  <si>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</si>
  <si>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</si>
  <si>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</si>
  <si>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</si>
  <si>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</si>
  <si>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</si>
  <si>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</si>
  <si>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</si>
  <si>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</si>
  <si>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</si>
  <si>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</si>
  <si>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</si>
  <si>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</si>
  <si>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</si>
  <si>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</si>
  <si>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</si>
  <si>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</si>
  <si>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</si>
  <si>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</si>
  <si>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</si>
  <si>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</si>
  <si>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</si>
  <si>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</si>
  <si>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</si>
  <si>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</si>
  <si>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</si>
  <si>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</si>
  <si>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</si>
  <si>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</si>
  <si>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</si>
  <si>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</si>
  <si>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</si>
  <si>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</si>
  <si>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</si>
  <si>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</si>
  <si>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</si>
  <si>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</si>
  <si>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</si>
  <si>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</si>
  <si>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</si>
  <si>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</si>
  <si>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</si>
  <si>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</si>
  <si>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</si>
  <si>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</si>
  <si>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</si>
  <si>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</si>
  <si>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</si>
  <si>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</si>
  <si>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</si>
  <si>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</si>
  <si>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</si>
  <si>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</si>
  <si>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</si>
  <si>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</si>
  <si>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</si>
  <si>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</si>
  <si>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</si>
  <si>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</si>
  <si>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</si>
  <si>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</si>
  <si>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</si>
  <si>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</si>
  <si>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</si>
  <si>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</si>
  <si>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</si>
  <si>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</si>
  <si>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</si>
  <si>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</si>
  <si>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</si>
  <si>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</si>
  <si>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</si>
  <si>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</si>
  <si>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</si>
  <si>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</si>
  <si>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</si>
  <si>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</si>
  <si>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</si>
  <si>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</si>
  <si>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</si>
  <si>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</si>
  <si>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</si>
  <si>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</si>
  <si>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</si>
  <si>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</si>
  <si>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</si>
  <si>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</si>
  <si>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</si>
  <si>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</si>
  <si>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</si>
  <si>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</si>
  <si>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</si>
  <si>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</si>
  <si>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</si>
  <si>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</si>
  <si>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</si>
  <si>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</si>
  <si>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</si>
  <si>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</si>
  <si>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</si>
  <si>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</si>
  <si>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</si>
  <si>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</si>
  <si>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</si>
  <si>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</si>
  <si>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</si>
  <si>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</si>
  <si>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</si>
  <si>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</si>
  <si>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</si>
  <si>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</si>
  <si>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</si>
  <si>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</si>
  <si>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</si>
  <si>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</si>
  <si>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</si>
  <si>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</si>
  <si>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</si>
  <si>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</si>
  <si>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</si>
  <si>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</si>
  <si>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</si>
  <si>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</si>
  <si>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</si>
  <si>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</si>
  <si>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</si>
  <si>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</si>
  <si>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</si>
  <si>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</si>
  <si>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</si>
  <si>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</si>
  <si>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</si>
  <si>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</si>
  <si>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</si>
  <si>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</si>
  <si>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</si>
  <si>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</si>
  <si>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</si>
  <si>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</si>
  <si>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</si>
  <si>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</si>
  <si>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</si>
  <si>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</si>
  <si>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</si>
  <si>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</si>
  <si>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</si>
  <si>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</si>
  <si>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</si>
  <si>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</si>
  <si>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</si>
  <si>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</si>
  <si>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</si>
  <si>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</si>
  <si>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</si>
  <si>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</si>
  <si>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</si>
  <si>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</si>
  <si>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</si>
  <si>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</si>
  <si>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</si>
  <si>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</si>
  <si>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</si>
  <si>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</si>
  <si>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</si>
  <si>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</si>
  <si>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</si>
  <si>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</si>
  <si>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</si>
  <si>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</si>
  <si>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</si>
  <si>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</si>
  <si>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</si>
  <si>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</si>
  <si>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</si>
  <si>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</si>
  <si>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</si>
  <si>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</si>
  <si>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</si>
  <si>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</si>
  <si>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</si>
  <si>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</si>
  <si>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</si>
  <si>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</si>
  <si>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</si>
  <si>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</si>
  <si>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</si>
  <si>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</si>
  <si>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</si>
  <si>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</si>
  <si>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</si>
  <si>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</si>
  <si>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</si>
  <si>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</si>
  <si>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</si>
  <si>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</si>
  <si>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</si>
  <si>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</si>
  <si>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</si>
  <si>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</si>
  <si>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</si>
  <si>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</si>
  <si>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</si>
  <si>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</si>
  <si>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</si>
  <si>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</si>
  <si>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</si>
  <si>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</si>
  <si>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</si>
  <si>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</si>
  <si>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</si>
  <si>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</si>
  <si>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</si>
  <si>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</si>
  <si>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</si>
  <si>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</si>
  <si>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</si>
  <si>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</si>
  <si>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</si>
  <si>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</si>
  <si>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</si>
  <si>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</si>
  <si>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</si>
  <si>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</si>
  <si>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</si>
  <si>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</si>
  <si>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</si>
  <si>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</si>
  <si>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</si>
  <si>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</si>
  <si>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</si>
  <si>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</si>
  <si>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</si>
  <si>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</si>
  <si>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</si>
  <si>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</si>
  <si>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</si>
  <si>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</si>
  <si>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</si>
  <si>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</si>
  <si>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</si>
  <si>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</si>
  <si>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</si>
  <si>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</si>
  <si>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</si>
  <si>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</si>
  <si>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</si>
  <si>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</si>
  <si>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</si>
  <si>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</si>
  <si>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</si>
  <si>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</si>
  <si>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</si>
  <si>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</si>
  <si>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</si>
  <si>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</si>
  <si>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</si>
  <si>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</si>
  <si>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</si>
  <si>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</si>
  <si>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</si>
  <si>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</si>
  <si>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</si>
  <si>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</si>
  <si>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</si>
  <si>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</si>
  <si>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</si>
  <si>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</si>
  <si>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</si>
  <si>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</si>
  <si>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</si>
  <si>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</si>
  <si>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</si>
  <si>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</si>
  <si>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</si>
  <si>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</si>
  <si>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</si>
  <si>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</si>
  <si>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</si>
  <si>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</si>
  <si>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</si>
  <si>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</si>
  <si>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</si>
  <si>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</si>
  <si>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</si>
  <si>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</si>
  <si>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</si>
  <si>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</si>
  <si>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</si>
  <si>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</si>
  <si>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</si>
  <si>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</si>
  <si>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</si>
  <si>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</si>
  <si>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</si>
  <si>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</si>
  <si>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</si>
  <si>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</si>
  <si>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</si>
  <si>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</si>
  <si>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</si>
  <si>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</si>
  <si>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</si>
  <si>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</si>
  <si>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</si>
  <si>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</si>
  <si>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</si>
  <si>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</si>
  <si>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</si>
  <si>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</si>
  <si>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</si>
  <si>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</si>
  <si>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</si>
  <si>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</si>
  <si>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</si>
  <si>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</si>
  <si>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</si>
  <si>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</si>
  <si>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</si>
  <si>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</si>
  <si>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</si>
  <si>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</si>
  <si>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</si>
  <si>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</si>
  <si>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</si>
  <si>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</si>
  <si>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</si>
  <si>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</si>
  <si>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</si>
  <si>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</si>
  <si>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</si>
  <si>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</si>
  <si>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</si>
  <si>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</si>
  <si>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</si>
  <si>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</si>
  <si>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</si>
  <si>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</si>
  <si>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</si>
  <si>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</si>
  <si>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</si>
  <si>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</si>
  <si>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</si>
  <si>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</si>
  <si>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</si>
  <si>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</si>
  <si>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</si>
  <si>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</si>
  <si>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</si>
  <si>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</si>
  <si>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</si>
  <si>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</si>
  <si>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</si>
  <si>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</si>
  <si>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</si>
  <si>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</si>
  <si>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</si>
  <si>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</si>
  <si>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</si>
  <si>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</si>
  <si>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</si>
  <si>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</si>
  <si>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</si>
  <si>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</si>
  <si>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</si>
  <si>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</si>
  <si>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</si>
  <si>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</si>
  <si>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</si>
  <si>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</si>
  <si>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</si>
  <si>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</si>
  <si>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</si>
  <si>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</si>
  <si>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</si>
  <si>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</si>
  <si>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</si>
  <si>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</si>
  <si>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</si>
  <si>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</si>
  <si>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</si>
  <si>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</si>
  <si>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</si>
  <si>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</si>
  <si>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</si>
  <si>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</si>
  <si>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</si>
  <si>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</si>
  <si>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</si>
  <si>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</si>
  <si>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</si>
  <si>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</si>
  <si>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</si>
  <si>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</si>
  <si>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</si>
  <si>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</si>
  <si>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</si>
  <si>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</si>
  <si>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</si>
  <si>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</si>
  <si>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</si>
  <si>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</si>
  <si>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</si>
  <si>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</si>
  <si>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</si>
  <si>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</si>
  <si>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</si>
  <si>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</si>
  <si>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</si>
  <si>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</si>
  <si>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</si>
  <si>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</si>
  <si>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</si>
  <si>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</si>
  <si>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</si>
  <si>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</si>
  <si>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</si>
  <si>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</si>
  <si>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</si>
  <si>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</si>
  <si>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</si>
  <si>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</si>
  <si>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</si>
  <si>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</si>
  <si>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</si>
  <si>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</si>
  <si>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</si>
  <si>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</si>
  <si>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</si>
  <si>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</si>
  <si>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</si>
  <si>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</si>
  <si>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</si>
  <si>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</si>
  <si>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</si>
  <si>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</si>
  <si>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</si>
  <si>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</si>
  <si>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</si>
  <si>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</si>
  <si>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</si>
  <si>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</si>
  <si>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</si>
  <si>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</si>
  <si>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</si>
  <si>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</si>
  <si>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</si>
  <si>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</si>
  <si>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</si>
  <si>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</si>
  <si>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</si>
  <si>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</si>
  <si>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</si>
  <si>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</si>
  <si>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</si>
  <si>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</si>
  <si>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</si>
  <si>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</si>
  <si>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</si>
  <si>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</si>
  <si>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</si>
  <si>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</si>
  <si>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</si>
  <si>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</si>
  <si>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</si>
  <si>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</si>
  <si>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</si>
  <si>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</si>
  <si>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</si>
  <si>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</si>
  <si>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</si>
  <si>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</si>
  <si>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</si>
  <si>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</si>
  <si>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</si>
  <si>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</si>
  <si>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</si>
  <si>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</si>
  <si>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</si>
  <si>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</si>
  <si>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</si>
  <si>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</si>
  <si>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</si>
  <si>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</si>
  <si>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</si>
  <si>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</si>
  <si>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</si>
  <si>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</si>
  <si>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</si>
  <si>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</si>
  <si>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</si>
  <si>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</si>
  <si>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</si>
  <si>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</si>
  <si>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</si>
  <si>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</si>
  <si>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</si>
  <si>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</si>
  <si>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</si>
  <si>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</si>
  <si>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</si>
  <si>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</si>
  <si>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</si>
  <si>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</si>
  <si>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</si>
  <si>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</si>
  <si>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</si>
  <si>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</si>
  <si>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</si>
  <si>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</si>
  <si>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</si>
  <si>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</si>
  <si>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</si>
  <si>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</si>
  <si>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</si>
  <si>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</si>
  <si>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</si>
  <si>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</si>
  <si>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</si>
  <si>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</si>
  <si>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</si>
  <si>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</si>
  <si>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</si>
  <si>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</si>
  <si>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</si>
  <si>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</si>
  <si>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</si>
  <si>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</si>
  <si>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</si>
  <si>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</si>
  <si>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</si>
  <si>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</si>
  <si>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</si>
  <si>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</si>
  <si>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</si>
  <si>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</si>
  <si>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</si>
  <si>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</si>
  <si>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</si>
  <si>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</si>
  <si>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</si>
  <si>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</si>
  <si>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</si>
  <si>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</si>
  <si>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</si>
  <si>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</si>
  <si>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</si>
  <si>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</si>
  <si>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</si>
  <si>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</si>
  <si>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</si>
  <si>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</si>
  <si>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</si>
  <si>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</si>
  <si>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</si>
  <si>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</si>
  <si>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</si>
  <si>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</si>
  <si>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</si>
  <si>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</si>
  <si>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</si>
  <si>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</si>
  <si>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</si>
  <si>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</si>
  <si>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</si>
  <si>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</si>
  <si>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</si>
  <si>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</si>
  <si>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</si>
  <si>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</si>
  <si>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</si>
  <si>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</si>
  <si>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</si>
  <si>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</si>
  <si>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</si>
  <si>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</si>
  <si>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</si>
  <si>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</si>
  <si>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</si>
  <si>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</si>
  <si>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</si>
  <si>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</si>
  <si>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</si>
  <si>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</si>
  <si>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</si>
  <si>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</si>
  <si>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</si>
  <si>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</si>
  <si>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</si>
  <si>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</si>
  <si>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</si>
  <si>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</si>
  <si>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</si>
  <si>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</si>
  <si>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</si>
  <si>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</si>
  <si>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</si>
  <si>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</si>
  <si>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</si>
  <si>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</si>
  <si>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</si>
  <si>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</si>
  <si>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</si>
  <si>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</si>
  <si>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</si>
  <si>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</si>
  <si>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</si>
  <si>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</si>
  <si>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</si>
  <si>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</si>
  <si>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</si>
  <si>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</si>
  <si>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</si>
  <si>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</si>
  <si>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</si>
  <si>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</si>
  <si>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</si>
  <si>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</si>
  <si>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</si>
  <si>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</si>
  <si>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</si>
  <si>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</si>
  <si>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</si>
  <si>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</si>
  <si>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</si>
  <si>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</si>
  <si>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</si>
  <si>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</si>
  <si>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</si>
  <si>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</si>
  <si>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</si>
  <si>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</si>
  <si>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</si>
  <si>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</si>
  <si>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</si>
  <si>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</si>
  <si>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</si>
  <si>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</si>
  <si>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</si>
  <si>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</si>
  <si>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</si>
  <si>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</si>
  <si>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</si>
  <si>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</si>
  <si>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</si>
  <si>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</si>
  <si>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</si>
  <si>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</si>
  <si>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</si>
  <si>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</si>
  <si>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</si>
  <si>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</si>
  <si>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</si>
  <si>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</si>
  <si>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</si>
  <si>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</si>
  <si>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</si>
  <si>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</si>
  <si>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</si>
  <si>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</si>
  <si>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</si>
  <si>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</si>
  <si>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</si>
  <si>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</si>
  <si>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</si>
  <si>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</si>
  <si>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</si>
  <si>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</si>
  <si>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</si>
  <si>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</si>
  <si>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</si>
  <si>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</si>
  <si>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</si>
  <si>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</si>
  <si>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</si>
  <si>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</si>
  <si>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</si>
  <si>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</si>
  <si>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</si>
  <si>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</si>
  <si>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</si>
  <si>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</si>
  <si>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</si>
  <si>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</si>
  <si>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</si>
  <si>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</si>
  <si>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</si>
  <si>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</si>
  <si>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</si>
  <si>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</si>
  <si>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</si>
  <si>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</si>
  <si>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</si>
  <si>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</si>
  <si>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</si>
  <si>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</si>
  <si>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</si>
  <si>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</si>
  <si>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</si>
  <si>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</si>
  <si>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</si>
  <si>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</si>
  <si>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</si>
  <si>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</si>
  <si>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</si>
  <si>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</si>
  <si>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</si>
  <si>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</si>
  <si>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</si>
  <si>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</si>
  <si>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</si>
  <si>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</si>
  <si>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</si>
  <si>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</si>
  <si>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</si>
  <si>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</si>
  <si>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</si>
  <si>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</si>
  <si>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</si>
  <si>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</si>
  <si>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</si>
  <si>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</si>
  <si>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</si>
  <si>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</si>
  <si>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</si>
  <si>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</si>
  <si>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</si>
  <si>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</si>
  <si>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</si>
  <si>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</si>
  <si>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</si>
  <si>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</si>
  <si>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</si>
  <si>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</si>
  <si>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</si>
  <si>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</si>
  <si>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</si>
  <si>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</si>
  <si>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</si>
  <si>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</si>
  <si>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</si>
  <si>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</si>
  <si>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</si>
  <si>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</si>
  <si>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</si>
  <si>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</si>
  <si>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</si>
  <si>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</si>
  <si>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</si>
  <si>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</si>
  <si>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</si>
  <si>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</si>
  <si>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</si>
  <si>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</si>
  <si>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</si>
  <si>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</si>
  <si>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</si>
  <si>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</si>
  <si>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</si>
  <si>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</si>
  <si>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</si>
  <si>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</si>
  <si>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</si>
  <si>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</si>
  <si>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</si>
  <si>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</si>
  <si>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</si>
  <si>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</si>
  <si>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</si>
  <si>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</si>
  <si>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</si>
  <si>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</si>
  <si>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</si>
  <si>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</si>
  <si>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</si>
  <si>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</si>
  <si>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</si>
  <si>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</si>
  <si>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</si>
  <si>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</si>
  <si>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</si>
  <si>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</si>
  <si>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</si>
  <si>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</si>
  <si>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</si>
  <si>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</si>
  <si>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</si>
  <si>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</si>
  <si>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</si>
  <si>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</si>
  <si>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</si>
  <si>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</si>
  <si>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</si>
  <si>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</si>
  <si>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</si>
  <si>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</si>
  <si>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</si>
  <si>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</si>
  <si>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</si>
  <si>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</si>
  <si>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</si>
  <si>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</si>
  <si>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</si>
  <si>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</si>
  <si>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</si>
  <si>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</si>
  <si>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</si>
  <si>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</si>
  <si>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</si>
  <si>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</si>
  <si>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</si>
  <si>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</si>
  <si>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</si>
  <si>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</si>
  <si>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</si>
  <si>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</si>
  <si>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</si>
  <si>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</si>
  <si>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</si>
  <si>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</si>
  <si>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</si>
  <si>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</si>
  <si>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</si>
  <si>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</si>
  <si>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</si>
  <si>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</si>
  <si>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</si>
  <si>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</si>
  <si>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</si>
  <si>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</si>
  <si>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</si>
  <si>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</si>
  <si>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</si>
  <si>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</si>
  <si>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</si>
  <si>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</si>
  <si>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</si>
  <si>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</si>
  <si>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</si>
  <si>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</si>
  <si>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</si>
  <si>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</si>
  <si>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</si>
  <si>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</si>
  <si>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</si>
  <si>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</si>
  <si>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</si>
  <si>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</si>
  <si>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</si>
  <si>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</si>
  <si>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</si>
  <si>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</si>
  <si>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</si>
  <si>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</si>
  <si>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</si>
  <si>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</si>
  <si>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</si>
  <si>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</si>
  <si>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</si>
  <si>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</si>
  <si>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</si>
  <si>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</si>
  <si>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</si>
  <si>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</si>
  <si>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</si>
  <si>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</si>
  <si>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</si>
  <si>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</si>
  <si>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</si>
  <si>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</si>
  <si>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</si>
  <si>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</si>
  <si>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</si>
  <si>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</si>
  <si>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</si>
  <si>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</si>
  <si>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</si>
  <si>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</si>
  <si>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</si>
  <si>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</si>
  <si>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</si>
  <si>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</si>
  <si>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</si>
  <si>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</si>
  <si>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</si>
  <si>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</si>
  <si>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</si>
  <si>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</si>
  <si>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</si>
  <si>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</si>
  <si>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</si>
  <si>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</si>
  <si>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</si>
  <si>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</si>
  <si>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</si>
  <si>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</si>
  <si>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</si>
  <si>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</si>
  <si>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</si>
  <si>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</si>
  <si>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</si>
  <si>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</si>
  <si>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</si>
  <si>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</si>
  <si>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</si>
  <si>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</si>
  <si>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</si>
  <si>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</si>
  <si>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</si>
  <si>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</si>
  <si>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</si>
  <si>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</si>
  <si>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</si>
  <si>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</si>
  <si>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</si>
  <si>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</si>
  <si>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</si>
  <si>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</si>
  <si>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</si>
  <si>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</si>
  <si>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</si>
  <si>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</si>
  <si>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</si>
  <si>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</si>
  <si>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</si>
  <si>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</si>
  <si>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</si>
  <si>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</si>
  <si>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</si>
  <si>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</si>
  <si>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</si>
  <si>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</si>
  <si>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</si>
  <si>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</si>
  <si>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</si>
  <si>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</si>
  <si>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</si>
  <si>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</si>
  <si>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</si>
  <si>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</si>
  <si>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</si>
  <si>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</si>
  <si>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</si>
  <si>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</si>
  <si>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</si>
  <si>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</si>
  <si>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攻击目标后会让目标受到伤害额外提升25%,此效果只对怪物有效。</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</si>
  <si>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</si>
  <si>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</si>
  <si>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</si>
  <si>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</si>
  <si>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</si>
  <si>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</si>
  <si>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</si>
  <si>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</si>
  <si>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</si>
  <si>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</si>
  <si>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</si>
  <si>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</si>
  <si>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</si>
  <si>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</si>
  <si>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</si>
  <si>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</si>
  <si>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</si>
  <si>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</si>
  <si>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</si>
  <si>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</si>
  <si>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</si>
  <si>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</si>
  <si>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</si>
  <si>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</si>
  <si>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</si>
  <si>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</si>
  <si>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</si>
  <si>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</si>
  <si>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</si>
  <si>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</si>
  <si>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</si>
  <si>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</si>
  <si>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</si>
  <si>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</si>
  <si>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</si>
  <si>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</si>
  <si>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</si>
  <si>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</si>
  <si>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</si>
  <si>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</si>
  <si>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</si>
  <si>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</si>
  <si>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</si>
  <si>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</si>
  <si>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</si>
  <si>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</si>
  <si>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</si>
  <si>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</si>
  <si>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</si>
  <si>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</si>
  <si>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</si>
  <si>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</si>
  <si>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</si>
  <si>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</si>
  <si>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</si>
  <si>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</si>
  <si>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</si>
  <si>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</si>
  <si>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</si>
  <si>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</si>
  <si>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</si>
  <si>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</si>
  <si>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</si>
  <si>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</si>
  <si>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</si>
  <si>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</si>
  <si>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</si>
  <si>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</si>
  <si>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</si>
  <si>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</si>
  <si>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</si>
  <si>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</si>
  <si>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</si>
  <si>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</si>
  <si>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</si>
  <si>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</si>
  <si>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</si>
  <si>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</si>
  <si>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</si>
  <si>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</si>
  <si>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</si>
  <si>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</si>
  <si>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</si>
  <si>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</si>
  <si>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</si>
  <si>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</si>
  <si>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</si>
  <si>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</si>
  <si>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</si>
  <si>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</si>
  <si>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</si>
  <si>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</si>
  <si>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</si>
  <si>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</si>
  <si>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</si>
  <si>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</si>
  <si>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</si>
  <si>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</si>
  <si>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</si>
  <si>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</si>
  <si>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</si>
  <si>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</si>
  <si>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</si>
  <si>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</si>
  <si>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</si>
  <si>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</si>
  <si>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</si>
  <si>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</si>
  <si>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</si>
  <si>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</si>
  <si>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</si>
  <si>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</si>
  <si>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</si>
  <si>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</si>
  <si>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</si>
  <si>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</si>
  <si>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</si>
  <si>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</si>
  <si>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</si>
  <si>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</si>
  <si>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</si>
  <si>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</si>
  <si>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</si>
  <si>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</si>
  <si>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</si>
  <si>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</si>
  <si>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</si>
  <si>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</si>
  <si>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</si>
  <si>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</si>
  <si>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</si>
  <si>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</si>
  <si>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</si>
  <si>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</si>
  <si>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</si>
  <si>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</si>
  <si>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</si>
  <si>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</si>
  <si>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</si>
  <si>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</si>
  <si>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</si>
  <si>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</si>
  <si>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</si>
  <si>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</si>
  <si>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</si>
  <si>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</si>
  <si>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</si>
  <si>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</si>
  <si>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</si>
  <si>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</si>
  <si>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</si>
  <si>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</si>
  <si>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</si>
  <si>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</si>
  <si>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</si>
  <si>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</si>
  <si>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</si>
  <si>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</si>
  <si>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</si>
  <si>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</si>
  <si>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</si>
  <si>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</si>
  <si>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</si>
  <si>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</si>
  <si>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</si>
  <si>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</si>
  <si>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</si>
  <si>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</si>
  <si>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</si>
  <si>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</si>
  <si>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</si>
  <si>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</si>
  <si>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</si>
  <si>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</si>
  <si>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</si>
  <si>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</si>
  <si>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</si>
  <si>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</si>
  <si>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</si>
  <si>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</si>
  <si>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</si>
  <si>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</si>
  <si>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</si>
  <si>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</si>
  <si>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</si>
  <si>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</si>
  <si>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</si>
  <si>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</si>
  <si>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</si>
  <si>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</si>
  <si>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</si>
  <si>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</si>
  <si>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</si>
  <si>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</si>
  <si>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</si>
  <si>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</si>
  <si>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</si>
  <si>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</si>
  <si>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</si>
  <si>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</si>
  <si>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</si>
  <si>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</si>
  <si>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</si>
  <si>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</si>
  <si>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</si>
  <si>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</si>
  <si>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</si>
  <si>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</si>
  <si>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</si>
  <si>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</si>
  <si>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</si>
  <si>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</si>
  <si>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</si>
  <si>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</si>
  <si>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</si>
  <si>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</si>
  <si>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</si>
  <si>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</si>
  <si>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</si>
  <si>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</si>
  <si>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</si>
  <si>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</si>
  <si>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</si>
  <si>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</si>
  <si>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</si>
  <si>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</si>
  <si>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</si>
  <si>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</si>
  <si>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</si>
  <si>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</si>
  <si>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</si>
  <si>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</si>
  <si>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</si>
  <si>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</si>
  <si>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</si>
  <si>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</si>
  <si>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</si>
  <si>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</si>
  <si>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</si>
  <si>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</si>
  <si>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</si>
  <si>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</si>
  <si>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</si>
  <si>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</si>
  <si>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</si>
  <si>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</si>
  <si>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</si>
  <si>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</si>
  <si>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</si>
  <si>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</si>
  <si>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</si>
  <si>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</si>
  <si>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</si>
  <si>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</si>
  <si>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</si>
  <si>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</si>
  <si>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</si>
  <si>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</si>
  <si>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</si>
  <si>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</si>
  <si>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</si>
  <si>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</si>
  <si>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</si>
  <si>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</si>
  <si>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</si>
  <si>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</si>
  <si>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</si>
  <si>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</si>
  <si>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</si>
  <si>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</si>
  <si>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</si>
  <si>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</si>
  <si>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</si>
  <si>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</si>
  <si>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</si>
  <si>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</si>
  <si>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</si>
  <si>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</si>
  <si>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</si>
  <si>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</si>
  <si>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</si>
  <si>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</si>
  <si>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</si>
  <si>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</si>
  <si>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</si>
  <si>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</si>
  <si>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</si>
  <si>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</si>
  <si>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</si>
  <si>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</si>
  <si>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</si>
  <si>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</si>
  <si>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</si>
  <si>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</si>
  <si>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</si>
  <si>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</si>
  <si>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</si>
  <si>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</si>
  <si>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</si>
  <si>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</si>
  <si>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</si>
  <si>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</si>
  <si>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</si>
  <si>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</si>
  <si>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</si>
  <si>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</si>
  <si>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</si>
  <si>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</si>
  <si>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</si>
  <si>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</si>
  <si>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</si>
  <si>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</si>
  <si>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</si>
  <si>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</si>
  <si>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</si>
  <si>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</si>
  <si>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</si>
  <si>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</si>
  <si>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</si>
  <si>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</si>
  <si>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</si>
  <si>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</si>
  <si>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</si>
  <si>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</si>
  <si>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</si>
  <si>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</si>
  <si>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</si>
  <si>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</si>
  <si>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</si>
  <si>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</si>
  <si>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</si>
  <si>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</si>
  <si>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</si>
  <si>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</si>
  <si>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</si>
  <si>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</si>
  <si>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</si>
  <si>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</si>
  <si>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</si>
  <si>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</si>
  <si>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</si>
  <si>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</si>
  <si>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</si>
  <si>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</si>
  <si>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</si>
  <si>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</si>
  <si>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</si>
  <si>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</si>
  <si>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</si>
  <si>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</si>
  <si>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</si>
  <si>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</si>
  <si>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</si>
  <si>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</si>
  <si>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</si>
  <si>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</si>
  <si>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</si>
  <si>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</si>
  <si>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</si>
  <si>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</si>
  <si>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</si>
  <si>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</si>
  <si>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</si>
  <si>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</si>
  <si>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</si>
  <si>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</si>
  <si>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</si>
  <si>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</si>
  <si>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</si>
  <si>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</si>
  <si>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</si>
  <si>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</si>
  <si>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</si>
  <si>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</si>
  <si>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</si>
  <si>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</si>
  <si>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</si>
  <si>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</si>
  <si>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</si>
  <si>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</si>
  <si>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</si>
  <si>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</si>
  <si>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</si>
  <si>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</si>
  <si>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</si>
  <si>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</si>
  <si>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</si>
  <si>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</si>
  <si>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</si>
  <si>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</si>
  <si>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</si>
  <si>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</si>
  <si>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</si>
  <si>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</si>
  <si>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</si>
  <si>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</si>
  <si>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</si>
  <si>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</si>
  <si>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</si>
  <si>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</si>
  <si>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</si>
  <si>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</si>
  <si>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</si>
  <si>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</si>
  <si>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</si>
  <si>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</si>
  <si>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</si>
  <si>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</si>
  <si>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</si>
  <si>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</si>
  <si>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</si>
  <si>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</si>
  <si>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</si>
  <si>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</si>
  <si>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</si>
  <si>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</si>
  <si>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</si>
  <si>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</si>
  <si>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</si>
  <si>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</si>
  <si>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</si>
  <si>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</si>
  <si>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</si>
  <si>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</si>
  <si>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</si>
  <si>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</si>
  <si>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</si>
  <si>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</si>
  <si>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</si>
  <si>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</si>
  <si>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</si>
  <si>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</si>
  <si>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</si>
  <si>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</si>
  <si>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</si>
  <si>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</si>
  <si>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</si>
  <si>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</si>
  <si>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</si>
  <si>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</si>
  <si>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</si>
  <si>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</si>
  <si>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</si>
  <si>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</si>
  <si>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</si>
  <si>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</si>
  <si>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</si>
  <si>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</si>
  <si>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</si>
  <si>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</si>
  <si>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</si>
  <si>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</si>
  <si>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</si>
  <si>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</si>
  <si>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</si>
  <si>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</si>
  <si>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</si>
  <si>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</si>
  <si>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</si>
  <si>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</si>
  <si>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</si>
  <si>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</si>
  <si>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</si>
  <si>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</si>
  <si>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</si>
  <si>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</si>
  <si>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</si>
  <si>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</si>
  <si>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</si>
  <si>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</si>
  <si>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</si>
  <si>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</si>
  <si>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</si>
  <si>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</si>
  <si>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</si>
  <si>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</si>
  <si>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</si>
  <si>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</si>
  <si>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</si>
  <si>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</si>
  <si>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</si>
  <si>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</si>
  <si>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</si>
  <si>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</si>
  <si>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</si>
  <si>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</si>
  <si>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</si>
  <si>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</si>
  <si>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</si>
  <si>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</si>
  <si>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</si>
  <si>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</si>
  <si>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</si>
  <si>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</si>
  <si>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</si>
  <si>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</si>
  <si>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</si>
  <si>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</si>
  <si>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</si>
  <si>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</si>
  <si>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</si>
  <si>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</si>
  <si>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</si>
  <si>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</si>
  <si>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</si>
  <si>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</si>
  <si>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</si>
  <si>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</si>
  <si>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</si>
  <si>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</si>
  <si>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</si>
  <si>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</si>
  <si>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</si>
  <si>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</si>
  <si>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</si>
  <si>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</si>
  <si>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</si>
  <si>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</si>
  <si>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</si>
  <si>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</si>
  <si>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</si>
  <si>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</si>
  <si>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</si>
  <si>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</si>
  <si>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</si>
  <si>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</si>
  <si>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</si>
  <si>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</si>
  <si>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</si>
  <si>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</si>
  <si>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</si>
  <si>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</si>
  <si>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</si>
  <si>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</si>
  <si>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</si>
  <si>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</si>
  <si>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</si>
  <si>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</si>
  <si>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</si>
  <si>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</si>
  <si>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</si>
  <si>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</si>
  <si>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</si>
  <si>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</si>
  <si>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</si>
  <si>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</si>
  <si>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</si>
  <si>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</si>
  <si>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</si>
  <si>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</si>
  <si>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</si>
  <si>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</si>
  <si>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</si>
  <si>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</si>
  <si>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</si>
  <si>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</si>
  <si>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</si>
  <si>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</si>
  <si>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</si>
  <si>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</si>
  <si>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</si>
  <si>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</si>
  <si>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</si>
  <si>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</si>
  <si>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</si>
  <si>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</si>
  <si>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</si>
  <si>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</si>
  <si>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</si>
  <si>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</si>
  <si>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</si>
  <si>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</si>
  <si>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</si>
  <si>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</si>
  <si>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</si>
  <si>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</si>
  <si>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</si>
  <si>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</si>
  <si>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</si>
  <si>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</si>
  <si>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</si>
  <si>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</si>
  <si>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</si>
  <si>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</si>
  <si>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</si>
  <si>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</si>
  <si>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</si>
  <si>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</si>
  <si>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</si>
  <si>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</si>
  <si>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</si>
  <si>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</si>
  <si>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</si>
  <si>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</si>
  <si>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</si>
  <si>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</si>
  <si>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</si>
  <si>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</si>
  <si>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</si>
  <si>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</si>
  <si>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</si>
  <si>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</si>
  <si>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</si>
  <si>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</si>
  <si>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</si>
  <si>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</si>
  <si>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</si>
  <si>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</si>
  <si>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</si>
  <si>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</si>
  <si>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</si>
  <si>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</si>
  <si>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</si>
  <si>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</si>
  <si>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</si>
  <si>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</si>
  <si>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</si>
  <si>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</si>
  <si>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</si>
  <si>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</si>
  <si>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</si>
  <si>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</si>
  <si>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</si>
  <si>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</si>
  <si>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</si>
  <si>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</si>
  <si>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</si>
  <si>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</si>
  <si>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</si>
  <si>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</si>
  <si>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</si>
  <si>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</si>
  <si>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</si>
  <si>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</si>
  <si>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</si>
  <si>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</si>
  <si>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</si>
  <si>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</si>
  <si>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</si>
  <si>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</si>
  <si>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</si>
  <si>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</si>
  <si>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</si>
  <si>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</si>
  <si>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</si>
  <si>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</si>
  <si>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</si>
  <si>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</si>
  <si>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</si>
  <si>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</si>
  <si>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</si>
  <si>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</si>
  <si>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</si>
  <si>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</si>
  <si>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</si>
  <si>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</si>
  <si>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</si>
  <si>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</si>
  <si>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</si>
  <si>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</si>
  <si>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</si>
  <si>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</si>
  <si>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</si>
  <si>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</si>
  <si>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</si>
  <si>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</si>
  <si>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</si>
  <si>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</si>
  <si>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</si>
  <si>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</si>
  <si>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</si>
  <si>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</si>
  <si>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</si>
  <si>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</si>
  <si>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</si>
  <si>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</si>
  <si>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</si>
  <si>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</si>
  <si>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</si>
  <si>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</si>
  <si>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</si>
  <si>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</si>
  <si>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</si>
  <si>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</si>
  <si>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</si>
  <si>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</si>
  <si>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</si>
  <si>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</si>
  <si>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</si>
  <si>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</si>
  <si>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</si>
  <si>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</si>
  <si>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</si>
  <si>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</si>
  <si>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</si>
  <si>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</si>
  <si>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</si>
  <si>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</si>
  <si>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</si>
  <si>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</si>
  <si>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</si>
  <si>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</si>
  <si>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</si>
  <si>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</si>
  <si>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</si>
  <si>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</si>
  <si>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</si>
  <si>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</si>
  <si>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</si>
  <si>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</si>
  <si>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</si>
  <si>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</si>
  <si>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</si>
  <si>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</si>
  <si>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</si>
  <si>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</si>
  <si>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</si>
  <si>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</si>
  <si>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</si>
  <si>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</si>
  <si>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</si>
  <si>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</si>
  <si>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</si>
  <si>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</si>
  <si>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</si>
  <si>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</si>
  <si>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</si>
  <si>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</si>
  <si>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</si>
  <si>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</si>
  <si>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</si>
  <si>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</si>
  <si>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</si>
  <si>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</si>
  <si>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</si>
  <si>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</si>
  <si>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</si>
  <si>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</si>
  <si>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</si>
  <si>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</si>
  <si>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</si>
  <si>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</si>
  <si>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</si>
  <si>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</si>
  <si>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</si>
  <si>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</si>
  <si>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</si>
  <si>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</si>
  <si>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</si>
  <si>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</si>
  <si>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</si>
  <si>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</si>
  <si>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</si>
  <si>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</si>
  <si>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</si>
  <si>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</si>
  <si>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</si>
  <si>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</si>
  <si>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</si>
  <si>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</si>
  <si>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</si>
  <si>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</si>
  <si>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</si>
  <si>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</si>
  <si>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</si>
  <si>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</si>
  <si>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</si>
  <si>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</si>
  <si>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</si>
  <si>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</si>
  <si>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</si>
  <si>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</si>
  <si>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</si>
  <si>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</si>
  <si>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</si>
  <si>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</si>
  <si>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</si>
  <si>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</si>
  <si>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</si>
  <si>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</si>
  <si>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</si>
  <si>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</si>
  <si>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</si>
  <si>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</si>
  <si>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</si>
  <si>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</si>
  <si>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</si>
  <si>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</si>
  <si>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</si>
  <si>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</si>
  <si>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</si>
  <si>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</si>
  <si>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</si>
  <si>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</si>
  <si>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</si>
  <si>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</si>
  <si>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</si>
  <si>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</si>
  <si>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</si>
  <si>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</si>
  <si>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</si>
  <si>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</si>
  <si>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</si>
  <si>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</si>
  <si>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</si>
  <si>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</si>
  <si>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</si>
  <si>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</si>
  <si>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</si>
  <si>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</si>
  <si>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</si>
  <si>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</si>
  <si>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</si>
  <si>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</si>
  <si>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</si>
  <si>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</si>
  <si>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</si>
  <si>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</si>
  <si>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</si>
  <si>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</si>
  <si>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</si>
  <si>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</si>
  <si>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</si>
  <si>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</si>
  <si>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</si>
  <si>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</si>
  <si>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</si>
  <si>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</si>
  <si>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</si>
  <si>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</si>
  <si>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</si>
  <si>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</si>
  <si>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</si>
  <si>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</si>
  <si>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</si>
  <si>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</si>
  <si>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</si>
  <si>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</si>
  <si>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</si>
  <si>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</si>
  <si>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</si>
  <si>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</si>
  <si>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</si>
  <si>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</si>
  <si>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</si>
  <si>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</si>
  <si>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</si>
  <si>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</si>
  <si>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</si>
  <si>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</si>
  <si>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</si>
  <si>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</si>
  <si>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</si>
  <si>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</si>
  <si>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</si>
  <si>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</si>
  <si>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</si>
  <si>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</si>
  <si>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</si>
  <si>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</si>
  <si>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</si>
  <si>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</si>
  <si>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</si>
  <si>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</si>
  <si>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</si>
  <si>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</si>
  <si>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</si>
  <si>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</si>
  <si>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</si>
  <si>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</si>
  <si>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</si>
  <si>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</si>
  <si>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</si>
  <si>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</si>
  <si>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</si>
  <si>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</si>
  <si>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</si>
  <si>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</si>
  <si>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</si>
  <si>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</si>
  <si>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</si>
  <si>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</si>
  <si>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</si>
  <si>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</si>
  <si>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</si>
  <si>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</si>
  <si>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</si>
  <si>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</si>
  <si>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</si>
  <si>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</si>
  <si>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</si>
  <si>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</si>
  <si>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</si>
  <si>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</si>
  <si>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</si>
  <si>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</si>
  <si>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</si>
  <si>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</si>
  <si>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</si>
  <si>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</si>
  <si>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</si>
  <si>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</si>
  <si>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</si>
  <si>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</si>
  <si>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</si>
  <si>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</si>
  <si>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</si>
  <si>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</si>
  <si>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</si>
  <si>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</si>
  <si>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</si>
  <si>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</si>
  <si>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</si>
  <si>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</si>
  <si>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</si>
  <si>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</si>
  <si>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</si>
  <si>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</si>
  <si>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</si>
  <si>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</si>
  <si>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</si>
  <si>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</si>
  <si>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</si>
  <si>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</si>
  <si>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</si>
  <si>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</si>
  <si>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</si>
  <si>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</si>
  <si>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</si>
  <si>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</si>
  <si>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</si>
  <si>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</si>
  <si>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</si>
  <si>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</si>
  <si>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</si>
  <si>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</si>
  <si>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</si>
  <si>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</si>
  <si>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</si>
  <si>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</si>
  <si>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</si>
  <si>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</si>
  <si>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</si>
  <si>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</si>
  <si>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</si>
  <si>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</si>
  <si>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</si>
  <si>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</si>
  <si>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</si>
  <si>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</si>
  <si>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</si>
  <si>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</si>
  <si>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</si>
  <si>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</si>
  <si>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</si>
  <si>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</si>
  <si>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</si>
  <si>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</si>
  <si>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</si>
  <si>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</si>
  <si>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</si>
  <si>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</si>
  <si>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</si>
  <si>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</si>
  <si>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</si>
  <si>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</si>
  <si>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</si>
  <si>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</si>
  <si>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</si>
  <si>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</si>
  <si>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</si>
  <si>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</si>
  <si>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</si>
  <si>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</si>
  <si>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</si>
  <si>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</si>
  <si>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</si>
  <si>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</si>
  <si>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</si>
  <si>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</si>
  <si>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</si>
  <si>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</si>
  <si>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</si>
  <si>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</si>
  <si>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</si>
  <si>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</si>
  <si>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</si>
  <si>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</si>
  <si>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</si>
  <si>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</si>
  <si>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</si>
  <si>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</si>
  <si>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</si>
  <si>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</si>
  <si>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</si>
  <si>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</si>
  <si>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</si>
  <si>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</si>
  <si>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</si>
  <si>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</si>
  <si>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</si>
  <si>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</si>
  <si>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</si>
  <si>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</si>
  <si>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</si>
  <si>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</si>
  <si>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</si>
  <si>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</si>
  <si>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</si>
  <si>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</si>
  <si>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</si>
  <si>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</si>
  <si>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</si>
  <si>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</si>
  <si>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</si>
  <si>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</si>
  <si>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</si>
  <si>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</si>
  <si>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</si>
  <si>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</si>
  <si>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</si>
  <si>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</si>
  <si>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</si>
  <si>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</si>
  <si>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</si>
  <si>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</si>
  <si>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</si>
  <si>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</si>
  <si>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</si>
  <si>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</si>
  <si>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</si>
  <si>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</si>
  <si>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</si>
  <si>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</si>
  <si>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</si>
  <si>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</si>
  <si>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</si>
  <si>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</si>
  <si>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</si>
  <si>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</si>
  <si>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</si>
  <si>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</si>
  <si>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</si>
  <si>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</si>
  <si>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</si>
  <si>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</si>
  <si>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</si>
  <si>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</si>
  <si>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</si>
  <si>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</si>
  <si>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</si>
  <si>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</si>
  <si>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</si>
  <si>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</si>
  <si>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</si>
  <si>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</si>
  <si>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</si>
  <si>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</si>
  <si>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</si>
  <si>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</si>
  <si>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</si>
  <si>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</si>
  <si>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</si>
  <si>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</si>
  <si>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</si>
  <si>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</si>
  <si>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</si>
  <si>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</si>
  <si>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</si>
  <si>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</si>
  <si>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</si>
  <si>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</si>
  <si>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</si>
  <si>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</si>
  <si>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</si>
  <si>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</si>
  <si>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</si>
  <si>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</si>
  <si>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</si>
  <si>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</si>
  <si>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</si>
  <si>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</si>
  <si>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</si>
  <si>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</si>
  <si>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</si>
  <si>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</si>
  <si>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</si>
  <si>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</si>
  <si>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</si>
  <si>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</si>
  <si>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</si>
  <si>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</si>
  <si>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</si>
  <si>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</si>
  <si>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</si>
  <si>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</si>
  <si>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</si>
  <si>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</si>
  <si>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</si>
  <si>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</si>
  <si>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</si>
  <si>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</si>
  <si>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</si>
  <si>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</si>
  <si>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</si>
  <si>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</si>
  <si>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</si>
  <si>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</si>
  <si>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</si>
  <si>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</si>
  <si>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</si>
  <si>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</si>
  <si>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</si>
  <si>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</si>
  <si>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</si>
  <si>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</si>
  <si>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</si>
  <si>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</si>
  <si>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</si>
  <si>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</si>
  <si>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</si>
  <si>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</si>
  <si>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</si>
  <si>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</si>
  <si>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</si>
  <si>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</si>
  <si>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</si>
  <si>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</si>
  <si>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</si>
  <si>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</si>
  <si>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</si>
  <si>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</si>
  <si>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</si>
  <si>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</si>
  <si>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</si>
  <si>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</si>
  <si>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</si>
  <si>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</si>
  <si>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</si>
  <si>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</si>
  <si>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</si>
  <si>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</si>
  <si>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</si>
  <si>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</si>
  <si>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</si>
  <si>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</si>
  <si>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</si>
  <si>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</si>
  <si>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</si>
  <si>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</si>
  <si>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</si>
  <si>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</si>
  <si>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</si>
  <si>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</si>
  <si>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</si>
  <si>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</si>
  <si>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</si>
  <si>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</si>
  <si>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</si>
  <si>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</si>
  <si>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</si>
  <si>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</si>
  <si>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</si>
  <si>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</si>
  <si>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</si>
  <si>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</si>
  <si>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</si>
  <si>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</si>
  <si>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</si>
  <si>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</si>
  <si>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</si>
  <si>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</si>
  <si>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</si>
  <si>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</si>
  <si>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</si>
  <si>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</si>
  <si>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</si>
  <si>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</si>
  <si>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</si>
  <si>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</si>
  <si>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</si>
  <si>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</si>
  <si>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</si>
  <si>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</si>
  <si>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</si>
  <si>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</si>
  <si>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</si>
  <si>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</si>
  <si>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</si>
  <si>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</si>
  <si>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</si>
  <si>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</si>
  <si>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</si>
  <si>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</si>
  <si>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</si>
  <si>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</si>
  <si>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</si>
  <si>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</si>
  <si>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</si>
  <si>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</si>
  <si>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</si>
  <si>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</si>
  <si>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</si>
  <si>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</si>
  <si>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</si>
  <si>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</si>
  <si>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</si>
  <si>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</si>
  <si>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</si>
  <si>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</si>
  <si>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</si>
  <si>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</si>
  <si>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</si>
  <si>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</si>
  <si>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</si>
  <si>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</si>
  <si>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</si>
  <si>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</si>
  <si>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</si>
  <si>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</si>
  <si>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</si>
  <si>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</si>
  <si>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</si>
  <si>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</si>
  <si>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</si>
  <si>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</si>
  <si>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</si>
  <si>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</si>
  <si>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</si>
  <si>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</si>
  <si>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</si>
  <si>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</si>
  <si>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</si>
  <si>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</si>
  <si>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</si>
  <si>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</si>
  <si>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</si>
  <si>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</si>
  <si>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</si>
  <si>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</si>
  <si>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</si>
  <si>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</si>
  <si>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</si>
  <si>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</si>
  <si>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</si>
  <si>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</si>
  <si>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</si>
  <si>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</si>
  <si>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</si>
  <si>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</si>
  <si>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</si>
  <si>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</si>
  <si>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</si>
  <si>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</si>
  <si>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</si>
  <si>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</si>
  <si>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</si>
  <si>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</si>
  <si>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</si>
  <si>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</si>
  <si>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</si>
  <si>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</si>
  <si>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</si>
  <si>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</si>
  <si>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</si>
  <si>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</si>
  <si>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</si>
  <si>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</si>
  <si>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</si>
  <si>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</si>
  <si>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</si>
  <si>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</si>
  <si>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</si>
  <si>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</si>
  <si>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</si>
  <si>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</si>
  <si>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</si>
  <si>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</si>
  <si>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</si>
  <si>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</si>
  <si>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</si>
  <si>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</si>
  <si>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</si>
  <si>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</si>
  <si>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</si>
  <si>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</si>
  <si>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</si>
  <si>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</si>
  <si>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</si>
  <si>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</si>
  <si>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</si>
  <si>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</si>
  <si>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</si>
  <si>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</si>
  <si>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</si>
  <si>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</si>
  <si>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</si>
  <si>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</si>
  <si>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</si>
  <si>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</si>
  <si>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</si>
  <si>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</si>
  <si>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</si>
  <si>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</si>
  <si>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</si>
  <si>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</si>
  <si>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</si>
  <si>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</si>
  <si>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</si>
  <si>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</si>
  <si>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</si>
  <si>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</si>
  <si>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</si>
  <si>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</si>
  <si>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</si>
  <si>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</si>
  <si>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</si>
  <si>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</si>
  <si>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</si>
  <si>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</si>
  <si>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</si>
  <si>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</si>
  <si>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</si>
  <si>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</si>
  <si>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</si>
  <si>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</si>
  <si>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</si>
  <si>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</si>
  <si>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</si>
  <si>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</si>
  <si>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</si>
  <si>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</si>
  <si>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</si>
  <si>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</si>
  <si>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</si>
  <si>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</si>
  <si>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</si>
  <si>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</si>
  <si>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</si>
  <si>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</si>
  <si>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</si>
  <si>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</si>
  <si>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</si>
  <si>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</si>
  <si>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</si>
  <si>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</si>
  <si>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</si>
  <si>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</si>
  <si>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</si>
  <si>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</si>
  <si>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</si>
  <si>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</si>
  <si>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</si>
  <si>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</si>
  <si>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</si>
  <si>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</si>
  <si>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</si>
  <si>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</si>
  <si>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</si>
  <si>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</si>
  <si>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</si>
  <si>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</si>
  <si>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</si>
  <si>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</si>
  <si>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</si>
  <si>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</si>
  <si>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</si>
  <si>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</si>
  <si>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</si>
  <si>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</si>
  <si>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</si>
  <si>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</si>
  <si>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</si>
  <si>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</si>
  <si>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</si>
  <si>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</si>
  <si>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</si>
  <si>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</si>
  <si>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</si>
  <si>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</si>
  <si>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</si>
  <si>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</si>
  <si>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</si>
  <si>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</si>
  <si>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</si>
  <si>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</si>
  <si>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</si>
  <si>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</si>
  <si>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</si>
  <si>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</si>
  <si>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</si>
  <si>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</si>
  <si>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</si>
  <si>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</si>
  <si>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</si>
  <si>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</si>
  <si>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</si>
  <si>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</si>
  <si>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</si>
  <si>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</si>
  <si>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</si>
  <si>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</si>
  <si>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</si>
  <si>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</si>
  <si>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</si>
  <si>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</si>
  <si>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</si>
  <si>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</si>
  <si>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</si>
  <si>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</si>
  <si>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</si>
  <si>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</si>
  <si>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</si>
  <si>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</si>
  <si>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</si>
  <si>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</si>
  <si>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</si>
  <si>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</si>
  <si>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</si>
  <si>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</si>
  <si>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</si>
  <si>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</si>
  <si>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</si>
  <si>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</si>
  <si>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</si>
  <si>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</si>
  <si>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</si>
  <si>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</si>
  <si>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</si>
  <si>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</si>
  <si>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</si>
  <si>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</si>
  <si>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</si>
  <si>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</si>
  <si>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</si>
  <si>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</si>
  <si>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</si>
  <si>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</si>
  <si>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</si>
  <si>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</si>
  <si>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</si>
  <si>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</si>
  <si>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</si>
  <si>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</si>
  <si>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</si>
  <si>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</si>
  <si>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</si>
  <si>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</si>
  <si>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</si>
  <si>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</si>
  <si>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</si>
  <si>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</si>
  <si>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</si>
  <si>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</si>
  <si>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</si>
  <si>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</si>
  <si>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</si>
  <si>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</si>
  <si>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</si>
  <si>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</si>
  <si>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</si>
  <si>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</si>
  <si>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</si>
  <si>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</si>
  <si>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</si>
  <si>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</si>
  <si>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</si>
  <si>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</si>
  <si>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</si>
  <si>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</si>
  <si>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</si>
  <si>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</si>
  <si>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</si>
  <si>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</si>
  <si>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</si>
  <si>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</si>
  <si>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</si>
  <si>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</si>
  <si>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</si>
  <si>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</si>
  <si>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</si>
  <si>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</si>
  <si>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</si>
  <si>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</si>
  <si>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</si>
  <si>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</si>
  <si>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</si>
  <si>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</si>
  <si>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</si>
  <si>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</si>
  <si>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</si>
  <si>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</si>
  <si>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</si>
  <si>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</si>
  <si>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</si>
  <si>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</si>
  <si>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</si>
  <si>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</si>
  <si>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</si>
  <si>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</si>
  <si>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</si>
  <si>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</si>
  <si>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</si>
  <si>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</si>
  <si>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</si>
  <si>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</si>
  <si>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</si>
  <si>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</si>
  <si>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</si>
  <si>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</si>
  <si>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</si>
  <si>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</si>
  <si>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</si>
  <si>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</si>
  <si>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</si>
  <si>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</si>
  <si>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</si>
  <si>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</si>
  <si>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</si>
  <si>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</si>
  <si>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</si>
  <si>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</si>
  <si>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</si>
  <si>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</si>
  <si>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</si>
  <si>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</si>
  <si>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</si>
  <si>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</si>
  <si>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</si>
  <si>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</si>
  <si>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</si>
  <si>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</si>
  <si>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</si>
  <si>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</si>
  <si>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</si>
  <si>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</si>
  <si>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</si>
  <si>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</si>
  <si>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</si>
  <si>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</si>
  <si>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</si>
  <si>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</si>
  <si>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</si>
  <si>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</si>
  <si>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</si>
  <si>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</si>
  <si>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</si>
  <si>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</si>
  <si>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</si>
  <si>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</si>
  <si>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</si>
  <si>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</si>
  <si>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</si>
  <si>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</si>
  <si>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</si>
  <si>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</si>
  <si>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</si>
  <si>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</si>
  <si>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</si>
  <si>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</si>
  <si>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</si>
  <si>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</si>
  <si>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</si>
  <si>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</si>
  <si>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</si>
  <si>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</si>
  <si>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</si>
  <si>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</si>
  <si>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</si>
  <si>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</si>
  <si>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</si>
  <si>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</si>
  <si>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</si>
  <si>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</si>
  <si>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</si>
  <si>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</si>
  <si>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</si>
  <si>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</si>
  <si>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</si>
  <si>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</si>
  <si>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</si>
  <si>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</si>
  <si>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</si>
  <si>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</si>
  <si>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</si>
  <si>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</si>
  <si>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</si>
  <si>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</si>
  <si>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</si>
  <si>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</si>
  <si>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</si>
  <si>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</si>
  <si>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</si>
  <si>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</si>
  <si>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</si>
  <si>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</si>
  <si>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</si>
  <si>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</si>
  <si>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</si>
  <si>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</si>
  <si>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</si>
  <si>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</si>
  <si>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</si>
  <si>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</si>
  <si>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</si>
  <si>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</si>
  <si>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</si>
  <si>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</si>
  <si>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</si>
  <si>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</si>
  <si>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</si>
  <si>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</si>
  <si>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</si>
  <si>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</si>
  <si>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</si>
  <si>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</si>
  <si>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</si>
  <si>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</si>
  <si>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</si>
  <si>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</si>
  <si>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</si>
  <si>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</si>
  <si>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</si>
  <si>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</si>
  <si>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</si>
  <si>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</si>
  <si>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</si>
  <si>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</si>
  <si>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</si>
  <si>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</si>
  <si>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</si>
  <si>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</si>
  <si>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</si>
  <si>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</si>
  <si>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</si>
  <si>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</si>
  <si>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</si>
  <si>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</si>
  <si>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</si>
  <si>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</si>
  <si>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</si>
  <si>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</si>
  <si>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</si>
  <si>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</si>
  <si>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</si>
  <si>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</si>
  <si>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</si>
  <si>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</si>
  <si>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</si>
  <si>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</si>
  <si>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</si>
  <si>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</si>
  <si>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</si>
  <si>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</si>
  <si>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</si>
  <si>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</si>
  <si>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</si>
  <si>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</si>
  <si>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</si>
  <si>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</si>
  <si>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</si>
  <si>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</si>
  <si>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</si>
  <si>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</si>
  <si>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</si>
  <si>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</si>
  <si>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</si>
  <si>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</si>
  <si>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</si>
  <si>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</si>
  <si>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</si>
  <si>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</si>
  <si>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</si>
  <si>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</si>
  <si>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</si>
  <si>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</si>
  <si>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</si>
  <si>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</si>
  <si>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</si>
  <si>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</si>
  <si>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</si>
  <si>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</si>
  <si>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</si>
  <si>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</si>
  <si>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</si>
  <si>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</si>
  <si>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</si>
  <si>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</si>
  <si>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</si>
  <si>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</si>
  <si>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</si>
  <si>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</si>
  <si>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</si>
  <si>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</si>
  <si>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</si>
  <si>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</si>
  <si>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</si>
  <si>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</si>
  <si>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</si>
  <si>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</si>
  <si>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</si>
  <si>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</si>
  <si>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</si>
  <si>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</si>
  <si>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</si>
  <si>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</si>
  <si>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</si>
  <si>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</si>
  <si>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</si>
  <si>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</si>
  <si>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</si>
  <si>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</si>
  <si>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</si>
  <si>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</si>
  <si>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</si>
  <si>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</si>
  <si>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</si>
  <si>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</si>
  <si>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</si>
  <si>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</si>
  <si>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</si>
  <si>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</si>
  <si>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</si>
  <si>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</si>
  <si>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</si>
  <si>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</si>
  <si>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</si>
  <si>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</si>
  <si>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</si>
  <si>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</si>
  <si>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</si>
  <si>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</si>
  <si>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</si>
  <si>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</si>
  <si>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</si>
  <si>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</si>
  <si>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</si>
  <si>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</si>
  <si>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</si>
  <si>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</si>
  <si>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</si>
  <si>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</si>
  <si>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</si>
  <si>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</si>
  <si>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</si>
  <si>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</si>
  <si>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</si>
  <si>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</si>
  <si>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</si>
  <si>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</si>
  <si>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</si>
  <si>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</si>
  <si>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</si>
  <si>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</si>
  <si>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</si>
  <si>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</si>
  <si>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</si>
  <si>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</si>
  <si>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</si>
  <si>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</si>
  <si>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</si>
  <si>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</si>
  <si>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</si>
  <si>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</si>
  <si>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</si>
  <si>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</si>
  <si>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</si>
  <si>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</si>
  <si>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</si>
  <si>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</si>
  <si>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</si>
  <si>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</si>
  <si>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</si>
  <si>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</si>
  <si>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</si>
  <si>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</si>
  <si>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</si>
  <si>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</si>
  <si>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</si>
  <si>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</si>
  <si>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</si>
  <si>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</si>
  <si>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</si>
  <si>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</si>
  <si>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</si>
  <si>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</si>
  <si>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</si>
  <si>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</si>
  <si>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</si>
  <si>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</si>
  <si>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</si>
  <si>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</si>
  <si>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</si>
  <si>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</si>
  <si>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</si>
  <si>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</si>
  <si>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</si>
  <si>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</si>
  <si>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</si>
  <si>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</si>
  <si>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</si>
  <si>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</si>
  <si>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</si>
  <si>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</si>
  <si>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</si>
  <si>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</si>
  <si>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</si>
  <si>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</si>
  <si>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</si>
  <si>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</si>
  <si>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</si>
  <si>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</si>
  <si>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</si>
  <si>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</si>
  <si>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</si>
  <si>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</si>
  <si>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</si>
  <si>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</si>
  <si>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</si>
  <si>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</si>
  <si>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</si>
  <si>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</si>
  <si>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</si>
  <si>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</si>
  <si>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</si>
  <si>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</si>
  <si>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</si>
  <si>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</si>
  <si>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</si>
  <si>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</si>
  <si>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</si>
  <si>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</si>
  <si>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</si>
  <si>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</si>
  <si>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</si>
  <si>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</si>
  <si>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</si>
  <si>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</si>
  <si>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</si>
  <si>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</si>
  <si>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</si>
  <si>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</si>
  <si>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</si>
  <si>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</si>
  <si>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</si>
  <si>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</si>
  <si>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</si>
  <si>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</si>
  <si>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</si>
  <si>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</si>
  <si>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</si>
  <si>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</si>
  <si>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</si>
  <si>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</si>
  <si>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</si>
  <si>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</si>
  <si>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</si>
  <si>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</si>
  <si>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</si>
  <si>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</si>
  <si>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</si>
  <si>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</si>
  <si>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</si>
  <si>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</si>
  <si>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</si>
  <si>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</si>
  <si>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</si>
  <si>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</si>
  <si>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</si>
  <si>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</si>
  <si>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</si>
  <si>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</si>
  <si>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</si>
  <si>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</si>
  <si>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</si>
  <si>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</si>
  <si>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</si>
  <si>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</si>
  <si>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</si>
  <si>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</si>
  <si>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</si>
  <si>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</si>
  <si>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</si>
  <si>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</si>
  <si>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</si>
  <si>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</si>
  <si>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</si>
  <si>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</si>
  <si>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</si>
  <si>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</si>
  <si>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</si>
  <si>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</si>
  <si>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</si>
  <si>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</si>
  <si>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</si>
  <si>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</si>
  <si>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</si>
  <si>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</si>
  <si>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</si>
  <si>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</si>
  <si>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</si>
  <si>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</si>
  <si>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</si>
  <si>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</si>
  <si>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</si>
  <si>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</si>
  <si>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</si>
  <si>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</si>
  <si>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</si>
  <si>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</si>
  <si>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</si>
  <si>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</si>
  <si>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</si>
  <si>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</si>
  <si>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</si>
  <si>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</si>
  <si>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</si>
  <si>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</si>
  <si>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</si>
  <si>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</si>
  <si>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</si>
  <si>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</si>
  <si>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</si>
  <si>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</si>
  <si>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</si>
  <si>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</si>
  <si>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</si>
  <si>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</si>
  <si>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</si>
  <si>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</si>
  <si>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</si>
  <si>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</si>
  <si>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</si>
  <si>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</si>
  <si>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</si>
  <si>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</si>
  <si>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</si>
  <si>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</si>
  <si>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</si>
  <si>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</si>
  <si>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</si>
  <si>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</si>
  <si>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</si>
  <si>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</si>
  <si>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</si>
  <si>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</si>
  <si>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</si>
  <si>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</si>
  <si>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</si>
  <si>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</si>
  <si>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</si>
  <si>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</si>
  <si>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</si>
  <si>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</si>
  <si>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</si>
  <si>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</si>
  <si>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</si>
  <si>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</si>
  <si>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</si>
  <si>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</si>
  <si>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</si>
  <si>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</si>
  <si>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</si>
  <si>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</si>
  <si>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</si>
  <si>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</si>
  <si>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</si>
  <si>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</si>
  <si>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</si>
  <si>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</si>
  <si>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</si>
  <si>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</si>
  <si>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</si>
  <si>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</si>
  <si>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</si>
  <si>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</si>
  <si>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</si>
  <si>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</si>
  <si>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</si>
  <si>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</si>
  <si>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</si>
  <si>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</si>
  <si>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</si>
  <si>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</si>
  <si>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</si>
  <si>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</si>
  <si>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</si>
  <si>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</si>
  <si>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</si>
  <si>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</si>
  <si>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</si>
  <si>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</si>
  <si>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</si>
  <si>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</si>
  <si>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</si>
  <si>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</si>
  <si>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</si>
  <si>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</si>
  <si>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</si>
  <si>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</si>
  <si>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</si>
  <si>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</si>
  <si>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</si>
  <si>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</si>
  <si>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</si>
  <si>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</si>
  <si>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</si>
  <si>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</si>
  <si>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</si>
  <si>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</si>
  <si>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</si>
  <si>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</si>
  <si>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</si>
  <si>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</si>
  <si>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</si>
  <si>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</si>
  <si>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</si>
  <si>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</si>
  <si>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</si>
  <si>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</si>
  <si>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</si>
  <si>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</si>
  <si>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</si>
  <si>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</si>
  <si>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</si>
  <si>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</si>
  <si>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</si>
  <si>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</si>
  <si>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</si>
  <si>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</si>
  <si>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</si>
  <si>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</si>
  <si>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</si>
  <si>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</si>
  <si>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</si>
  <si>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</si>
  <si>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</si>
  <si>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</si>
  <si>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</si>
  <si>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</si>
  <si>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</si>
  <si>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</si>
  <si>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</si>
  <si>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</si>
  <si>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</si>
  <si>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</si>
  <si>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</si>
  <si>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</si>
  <si>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</si>
  <si>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</si>
  <si>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</si>
  <si>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</si>
  <si>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</si>
  <si>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</si>
  <si>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</si>
  <si>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</si>
  <si>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</si>
  <si>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</si>
  <si>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</si>
  <si>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</si>
  <si>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</si>
  <si>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</si>
  <si>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</si>
  <si>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</si>
  <si>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</si>
  <si>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</si>
  <si>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</si>
  <si>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</si>
  <si>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</si>
  <si>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</si>
  <si>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</si>
  <si>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</si>
  <si>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</si>
  <si>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</si>
  <si>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</si>
  <si>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</si>
  <si>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</si>
  <si>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</si>
  <si>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</si>
  <si>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</si>
  <si>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</si>
  <si>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</si>
  <si>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</si>
  <si>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</si>
  <si>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</si>
  <si>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</si>
  <si>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</si>
  <si>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</si>
  <si>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</si>
  <si>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</si>
  <si>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</si>
  <si>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</si>
  <si>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</si>
  <si>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</si>
  <si>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</si>
  <si>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</si>
  <si>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</si>
  <si>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</si>
  <si>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</si>
  <si>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</si>
  <si>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</si>
  <si>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</si>
  <si>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</si>
  <si>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</si>
  <si>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</si>
  <si>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</si>
  <si>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</si>
  <si>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</si>
  <si>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</si>
  <si>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</si>
  <si>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</si>
  <si>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</si>
  <si>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</si>
  <si>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</si>
  <si>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</si>
  <si>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</si>
  <si>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</si>
  <si>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</si>
  <si>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</si>
  <si>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</si>
  <si>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</si>
  <si>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</si>
  <si>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</si>
  <si>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</si>
  <si>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</si>
  <si>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</si>
  <si>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</si>
  <si>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</si>
  <si>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</si>
  <si>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</si>
  <si>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</si>
  <si>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</si>
  <si>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</si>
  <si>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</si>
  <si>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</si>
  <si>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</si>
  <si>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</si>
  <si>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</si>
  <si>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</si>
  <si>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</si>
  <si>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</si>
  <si>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</si>
  <si>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</si>
  <si>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</si>
  <si>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</si>
  <si>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</si>
  <si>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</si>
  <si>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</si>
  <si>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</si>
  <si>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</si>
  <si>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</si>
  <si>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</si>
  <si>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</si>
  <si>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</si>
  <si>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</si>
  <si>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</si>
  <si>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</si>
  <si>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</si>
  <si>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</si>
  <si>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</si>
  <si>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</si>
  <si>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</si>
  <si>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</si>
  <si>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</si>
  <si>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</si>
  <si>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</si>
  <si>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</si>
  <si>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</si>
  <si>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</si>
  <si>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</si>
  <si>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</si>
  <si>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</si>
  <si>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</si>
  <si>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</si>
  <si>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</si>
  <si>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</si>
  <si>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</si>
  <si>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</si>
  <si>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</si>
  <si>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</si>
  <si>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</si>
  <si>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</si>
  <si>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</si>
  <si>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</si>
  <si>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</si>
  <si>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</si>
  <si>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</si>
  <si>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</si>
  <si>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</si>
  <si>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</si>
  <si>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</si>
  <si>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</si>
  <si>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</si>
  <si>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</si>
  <si>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</si>
  <si>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</si>
  <si>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</si>
  <si>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</si>
  <si>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</si>
  <si>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</si>
  <si>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</si>
  <si>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</si>
  <si>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</si>
  <si>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</si>
  <si>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</si>
  <si>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</si>
  <si>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</si>
  <si>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</si>
  <si>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</si>
  <si>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</si>
  <si>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</si>
  <si>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</si>
  <si>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</si>
  <si>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</si>
  <si>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</si>
  <si>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</si>
  <si>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</si>
  <si>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</si>
  <si>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</si>
  <si>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</si>
  <si>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</si>
  <si>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</si>
  <si>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</si>
  <si>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</si>
  <si>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</si>
  <si>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</si>
  <si>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</si>
  <si>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</si>
  <si>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</si>
  <si>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</si>
  <si>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</si>
  <si>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</si>
  <si>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</si>
  <si>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</si>
  <si>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</si>
  <si>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</si>
  <si>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</si>
  <si>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</si>
  <si>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</si>
  <si>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</si>
  <si>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</si>
  <si>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</si>
  <si>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</si>
  <si>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</si>
  <si>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</si>
  <si>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</si>
  <si>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</si>
  <si>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</si>
  <si>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</si>
  <si>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</si>
  <si>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</si>
  <si>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</si>
  <si>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</si>
  <si>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</si>
  <si>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</si>
  <si>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</si>
  <si>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</si>
  <si>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</si>
  <si>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</si>
  <si>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</si>
  <si>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</si>
  <si>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</si>
  <si>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</si>
  <si>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</si>
  <si>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</si>
  <si>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</si>
  <si>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</si>
  <si>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</si>
  <si>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</si>
  <si>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</si>
  <si>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</si>
  <si>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</si>
  <si>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</si>
  <si>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</si>
  <si>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</si>
  <si>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</si>
  <si>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</si>
  <si>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</si>
  <si>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</si>
  <si>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</si>
  <si>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</si>
  <si>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</si>
  <si>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</si>
  <si>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</si>
  <si>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</si>
  <si>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</si>
  <si>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</si>
  <si>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</si>
  <si>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</si>
  <si>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</si>
  <si>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</si>
  <si>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</si>
  <si>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</si>
  <si>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</si>
  <si>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</si>
  <si>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</si>
  <si>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</si>
  <si>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</si>
  <si>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</si>
  <si>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</si>
  <si>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</si>
  <si>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</si>
  <si>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</si>
  <si>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</si>
  <si>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</si>
  <si>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</si>
  <si>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</si>
  <si>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</si>
  <si>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</si>
  <si>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</si>
  <si>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</si>
  <si>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</si>
  <si>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</si>
  <si>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</si>
  <si>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</si>
  <si>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</si>
  <si>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</si>
  <si>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</si>
  <si>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</si>
  <si>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</si>
  <si>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</si>
  <si>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</si>
  <si>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</si>
  <si>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</si>
  <si>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</si>
  <si>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</si>
  <si>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</si>
  <si>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</si>
  <si>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</si>
  <si>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</si>
  <si>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</si>
  <si>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</si>
  <si>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</si>
  <si>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</si>
  <si>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</si>
  <si>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</si>
  <si>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</si>
  <si>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</si>
  <si>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</si>
  <si>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</si>
  <si>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</si>
  <si>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</si>
  <si>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</si>
  <si>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</si>
  <si>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</si>
  <si>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</si>
  <si>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</si>
  <si>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</si>
  <si>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</si>
  <si>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</si>
  <si>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</si>
  <si>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</si>
  <si>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</si>
  <si>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</si>
  <si>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</si>
  <si>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</si>
  <si>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</si>
  <si>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</si>
  <si>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</si>
  <si>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</si>
  <si>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</si>
  <si>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</si>
  <si>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</si>
  <si>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</si>
  <si>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</si>
  <si>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</si>
  <si>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</si>
  <si>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</si>
  <si>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</si>
  <si>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</si>
  <si>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</si>
  <si>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</si>
  <si>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</si>
  <si>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</si>
  <si>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</si>
  <si>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</si>
  <si>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</si>
  <si>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</si>
  <si>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</si>
  <si>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</si>
  <si>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</si>
  <si>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</si>
  <si>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</si>
  <si>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</si>
  <si>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</si>
  <si>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</si>
  <si>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</si>
  <si>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</si>
  <si>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</si>
  <si>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</si>
  <si>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</si>
  <si>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</si>
  <si>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</si>
  <si>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</si>
  <si>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</si>
  <si>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</si>
  <si>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</si>
  <si>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</si>
  <si>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</si>
  <si>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</si>
  <si>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</si>
  <si>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</si>
  <si>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</si>
  <si>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</si>
  <si>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</si>
  <si>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</si>
  <si>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</si>
  <si>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</si>
  <si>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</si>
  <si>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</si>
  <si>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</si>
  <si>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</si>
  <si>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</si>
  <si>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</si>
  <si>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</si>
  <si>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</si>
  <si>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</si>
  <si>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</si>
  <si>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</si>
  <si>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</si>
  <si>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</si>
  <si>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</si>
  <si>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</si>
  <si>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</si>
  <si>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</si>
  <si>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</si>
  <si>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</si>
  <si>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</si>
  <si>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</si>
  <si>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</si>
  <si>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</si>
  <si>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</si>
  <si>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</si>
  <si>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</si>
  <si>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</si>
  <si>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</si>
  <si>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</si>
  <si>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</si>
  <si>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</si>
  <si>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</si>
  <si>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</si>
  <si>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</si>
  <si>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</si>
  <si>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</si>
  <si>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</si>
  <si>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</si>
  <si>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</si>
  <si>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</si>
  <si>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</si>
  <si>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</si>
  <si>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</si>
  <si>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</si>
  <si>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</si>
  <si>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</si>
  <si>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</si>
  <si>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</si>
  <si>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</si>
  <si>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</si>
  <si>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</si>
  <si>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</si>
  <si>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</si>
  <si>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</si>
  <si>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</si>
  <si>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</si>
  <si>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</si>
  <si>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</si>
  <si>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</si>
  <si>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</si>
  <si>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</si>
  <si>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</si>
  <si>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</si>
  <si>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</si>
  <si>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</si>
  <si>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</si>
  <si>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</si>
  <si>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</si>
  <si>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</si>
  <si>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</si>
  <si>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</si>
  <si>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</si>
  <si>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</si>
  <si>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</si>
  <si>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</si>
  <si>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</si>
  <si>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</si>
  <si>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</si>
  <si>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</si>
  <si>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</si>
  <si>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</si>
  <si>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</si>
  <si>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</si>
  <si>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</si>
  <si>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</si>
  <si>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</si>
  <si>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</si>
  <si>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</si>
  <si>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</si>
  <si>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</si>
  <si>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</si>
  <si>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</si>
  <si>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</si>
  <si>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</si>
  <si>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</si>
  <si>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</si>
  <si>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</si>
  <si>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</si>
  <si>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</si>
  <si>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Skill_Com_Summon_7</t>
  </si>
  <si>
    <t>90000314;0;3;6;1,0.8,1,1,1,1,1,1,1;5000,0,0,0,0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</si>
</sst>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b/>
      <sz val="9"/>
      <name val="宋体"/>
      <charset val="134"/>
    </font>
    <font>
      <sz val="9"/>
      <name val="宋体"/>
      <charset val="134"/>
    </font>
    <font>
      <sz val="9"/>
      <name val="Tahoma"/>
      <charset val="134"/>
    </font>
    <font>
      <sz val="11"/>
      <color indexed="8"/>
      <name val="宋体"/>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xf numFmtId="0" fontId="54"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0" fillId="0" borderId="0" xfId="0" applyNumberFormat="1" applyFon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0" fillId="0" borderId="0" xfId="0" applyFont="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80"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80"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80"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0"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0" fontId="11"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5" fillId="17" borderId="3" xfId="0" applyNumberFormat="1" applyFont="1" applyFill="1" applyBorder="1" applyAlignment="1">
      <alignment horizontal="center" vertical="center"/>
    </xf>
    <xf numFmtId="3" fontId="13" fillId="2" borderId="3"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49" fontId="7" fillId="17"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6" fillId="17" borderId="4" xfId="0" applyFont="1" applyFill="1" applyBorder="1" applyAlignment="1">
      <alignment horizontal="center" vertical="center"/>
    </xf>
    <xf numFmtId="3" fontId="6" fillId="10" borderId="4"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2" borderId="6" xfId="0" applyFont="1" applyFill="1" applyBorder="1" applyAlignment="1">
      <alignment horizontal="left" vertical="center"/>
    </xf>
    <xf numFmtId="0" fontId="26" fillId="2" borderId="0" xfId="0" applyFont="1" applyFill="1" applyBorder="1" applyAlignment="1">
      <alignment horizontal="lef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82"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6" fillId="7" borderId="6"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0" fontId="6" fillId="7"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0" fontId="5"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44571092-A876-4977-9B70-E16596D02A9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AE1352" activePane="bottomRight" state="frozen"/>
      <selection/>
      <selection pane="topRight"/>
      <selection pane="bottomLeft"/>
      <selection pane="bottomRight" activeCell="AI1372" sqref="AI1372"/>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0"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0"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0"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0"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0"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0"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7"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7"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7"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7"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7"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7"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8"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8"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8"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8"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8"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8"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8"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8"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8"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8"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8"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8"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8"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8"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8"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8"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8"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8"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0"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0"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0"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0"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0"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0"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58"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9"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9"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9"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9"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9"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9"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8"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8"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8"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8"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8"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0"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0"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0"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0"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0"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0"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8"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8"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8"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8"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8"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8"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8"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8"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8"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8"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8"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8"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8"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8"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8"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8"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8"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8"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8"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0"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0"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0"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0"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0"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0"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8"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8"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8"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8"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8"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8"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1"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1"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1"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1"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1"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1"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0"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0"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0"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0"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0"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0"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8"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8"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8"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8"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8"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8"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8"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8"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8"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8"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8"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8"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0"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0"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0"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0"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0"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0"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0"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0"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0"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0"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0"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0"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2"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2"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2"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2"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2"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2"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2"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2"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2"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2"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2"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2"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3"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3"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3"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3"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3"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3"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3"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3"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3"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3" t="s">
        <v>2088</v>
      </c>
      <c r="AU934" s="363"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3"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3"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0"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4"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4"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4"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4"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4"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4"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8"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4"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8"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4"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8"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4"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8"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4"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8"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4"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8"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4"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4"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4"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4"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4"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4"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4"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65"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65"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65"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65"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9" t="s">
        <v>2200</v>
      </c>
      <c r="AV988" s="364"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9" t="s">
        <v>2200</v>
      </c>
      <c r="AV989" s="364"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9" t="s">
        <v>2200</v>
      </c>
      <c r="AV990" s="364"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9" t="s">
        <v>2200</v>
      </c>
      <c r="AV991" s="364"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9" t="s">
        <v>2200</v>
      </c>
      <c r="AV992" s="364"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9" t="s">
        <v>2200</v>
      </c>
      <c r="AV993" s="364"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4"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4"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4"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4"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4"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4"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4"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4"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4"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4"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4"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4"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4"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4"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4"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4"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4"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4"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4" t="s">
        <v>2244</v>
      </c>
      <c r="AV1024" s="364"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1"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4" t="s">
        <v>2244</v>
      </c>
      <c r="AV1025" s="364"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1"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4" t="s">
        <v>2244</v>
      </c>
      <c r="AV1026" s="364"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1"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4" t="s">
        <v>2244</v>
      </c>
      <c r="AV1027" s="364"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1"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4" t="s">
        <v>2244</v>
      </c>
      <c r="AV1028" s="364"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1"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4" t="s">
        <v>2244</v>
      </c>
      <c r="AV1029" s="364"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1"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6" t="s">
        <v>2258</v>
      </c>
      <c r="AU1030" s="50">
        <v>0</v>
      </c>
      <c r="AV1030" s="50"/>
      <c r="AW1030" s="51" t="s">
        <v>198</v>
      </c>
      <c r="AX1030" s="50" t="s">
        <v>545</v>
      </c>
      <c r="AY1030" s="50">
        <v>0</v>
      </c>
      <c r="AZ1030" s="50">
        <v>77005103</v>
      </c>
      <c r="BA1030" s="51" t="s">
        <v>1174</v>
      </c>
      <c r="BB1030" s="366"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6" t="s">
        <v>2258</v>
      </c>
      <c r="AU1031" s="50">
        <v>0</v>
      </c>
      <c r="AV1031" s="50"/>
      <c r="AW1031" s="51" t="s">
        <v>198</v>
      </c>
      <c r="AX1031" s="50" t="s">
        <v>545</v>
      </c>
      <c r="AY1031" s="50">
        <v>0</v>
      </c>
      <c r="AZ1031" s="50">
        <v>77005103</v>
      </c>
      <c r="BA1031" s="51" t="s">
        <v>1174</v>
      </c>
      <c r="BB1031" s="366"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6" t="s">
        <v>2258</v>
      </c>
      <c r="AU1032" s="50">
        <v>0</v>
      </c>
      <c r="AV1032" s="50"/>
      <c r="AW1032" s="51" t="s">
        <v>198</v>
      </c>
      <c r="AX1032" s="50" t="s">
        <v>545</v>
      </c>
      <c r="AY1032" s="50">
        <v>0</v>
      </c>
      <c r="AZ1032" s="50">
        <v>77005103</v>
      </c>
      <c r="BA1032" s="51" t="s">
        <v>1174</v>
      </c>
      <c r="BB1032" s="366"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6" t="s">
        <v>2258</v>
      </c>
      <c r="AU1033" s="50">
        <v>0</v>
      </c>
      <c r="AV1033" s="50"/>
      <c r="AW1033" s="51" t="s">
        <v>198</v>
      </c>
      <c r="AX1033" s="50" t="s">
        <v>545</v>
      </c>
      <c r="AY1033" s="50">
        <v>0</v>
      </c>
      <c r="AZ1033" s="50">
        <v>77005103</v>
      </c>
      <c r="BA1033" s="51" t="s">
        <v>1174</v>
      </c>
      <c r="BB1033" s="366"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6" t="s">
        <v>2258</v>
      </c>
      <c r="AU1034" s="50">
        <v>0</v>
      </c>
      <c r="AV1034" s="50"/>
      <c r="AW1034" s="51" t="s">
        <v>198</v>
      </c>
      <c r="AX1034" s="50" t="s">
        <v>545</v>
      </c>
      <c r="AY1034" s="50">
        <v>0</v>
      </c>
      <c r="AZ1034" s="50">
        <v>77005103</v>
      </c>
      <c r="BA1034" s="51" t="s">
        <v>1174</v>
      </c>
      <c r="BB1034" s="366"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6" t="s">
        <v>2258</v>
      </c>
      <c r="AU1035" s="50">
        <v>0</v>
      </c>
      <c r="AV1035" s="50"/>
      <c r="AW1035" s="51" t="s">
        <v>198</v>
      </c>
      <c r="AX1035" s="50" t="s">
        <v>545</v>
      </c>
      <c r="AY1035" s="50">
        <v>0</v>
      </c>
      <c r="AZ1035" s="50">
        <v>77005103</v>
      </c>
      <c r="BA1035" s="51" t="s">
        <v>1174</v>
      </c>
      <c r="BB1035" s="366"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4" t="s">
        <v>2264</v>
      </c>
      <c r="AU1036" s="103" t="s">
        <v>198</v>
      </c>
      <c r="AV1036" s="364"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4" t="s">
        <v>2264</v>
      </c>
      <c r="AU1037" s="103" t="s">
        <v>198</v>
      </c>
      <c r="AV1037" s="364"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4" t="s">
        <v>2264</v>
      </c>
      <c r="AU1038" s="103" t="s">
        <v>198</v>
      </c>
      <c r="AV1038" s="364"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4" t="s">
        <v>2264</v>
      </c>
      <c r="AU1039" s="103" t="s">
        <v>198</v>
      </c>
      <c r="AV1039" s="364"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4" t="s">
        <v>2264</v>
      </c>
      <c r="AU1040" s="103" t="s">
        <v>198</v>
      </c>
      <c r="AV1040" s="364"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4" t="s">
        <v>2264</v>
      </c>
      <c r="AU1041" s="103" t="s">
        <v>198</v>
      </c>
      <c r="AV1041" s="364"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65"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4"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4"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4"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4"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4"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4"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9" t="s">
        <v>2286</v>
      </c>
      <c r="AV1055" s="364"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9" t="s">
        <v>2286</v>
      </c>
      <c r="AV1056" s="364"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9" t="s">
        <v>2286</v>
      </c>
      <c r="AV1057" s="364"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9" t="s">
        <v>2286</v>
      </c>
      <c r="AV1058" s="364"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9" t="s">
        <v>2286</v>
      </c>
      <c r="AV1059" s="364"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9" t="s">
        <v>2286</v>
      </c>
      <c r="AV1060" s="364"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4"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4"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4"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4"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4"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4"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1" t="s">
        <v>2308</v>
      </c>
      <c r="AU1067" s="364"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1" t="s">
        <v>2308</v>
      </c>
      <c r="AU1068" s="364"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1" t="s">
        <v>2308</v>
      </c>
      <c r="AU1069" s="364"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1" t="s">
        <v>2308</v>
      </c>
      <c r="AU1070" s="364"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1" t="s">
        <v>2308</v>
      </c>
      <c r="AU1071" s="364"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1" t="s">
        <v>2308</v>
      </c>
      <c r="AU1072" s="364"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9" t="s">
        <v>2286</v>
      </c>
      <c r="AV1073" s="364"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9" t="s">
        <v>2286</v>
      </c>
      <c r="AV1074" s="364"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9" t="s">
        <v>2286</v>
      </c>
      <c r="AV1075" s="364"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9" t="s">
        <v>2286</v>
      </c>
      <c r="AV1076" s="364"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9" t="s">
        <v>2286</v>
      </c>
      <c r="AV1077" s="364"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65"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65"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65"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65"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5"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5"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5"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65"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65"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65"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5"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5"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5"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3"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3"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3"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3" t="s">
        <v>2088</v>
      </c>
      <c r="AU1100" s="363"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3"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3"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4"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4"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4"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4"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4"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4"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4"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4"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4"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4"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4"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4"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67"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8"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8"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8"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8"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8"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8"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2380</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2.75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8" t="s">
        <v>2381</v>
      </c>
      <c r="AV1155" s="19"/>
      <c r="AW1155" s="20" t="s">
        <v>256</v>
      </c>
      <c r="AX1155" s="19" t="s">
        <v>545</v>
      </c>
      <c r="AY1155" s="19">
        <v>10001007</v>
      </c>
      <c r="AZ1155" s="19">
        <v>21010030</v>
      </c>
      <c r="BA1155" s="20" t="s">
        <v>200</v>
      </c>
      <c r="BB1155" s="20">
        <v>0</v>
      </c>
      <c r="BC1155" s="28">
        <v>0</v>
      </c>
      <c r="BD1155" s="28">
        <v>0</v>
      </c>
      <c r="BE1155" s="186" t="str">
        <f>"立即对前方范围内的敌人造成"&amp;X1155*100&amp;"%攻击伤害+"&amp;Z1155&amp;"点固定伤害,并将其置空1秒"</f>
        <v>立即对前方范围内的敌人造成275%攻击伤害+1000点固定伤害,并将其置空1秒</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2380</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2.75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8" t="s">
        <v>2381</v>
      </c>
      <c r="AV1156" s="19"/>
      <c r="AW1156" s="20" t="s">
        <v>256</v>
      </c>
      <c r="AX1156" s="19" t="s">
        <v>545</v>
      </c>
      <c r="AY1156" s="19">
        <v>10001007</v>
      </c>
      <c r="AZ1156" s="19">
        <v>21010030</v>
      </c>
      <c r="BA1156" s="20" t="s">
        <v>200</v>
      </c>
      <c r="BB1156" s="20">
        <v>0</v>
      </c>
      <c r="BC1156" s="28">
        <v>0</v>
      </c>
      <c r="BD1156" s="28">
        <v>0</v>
      </c>
      <c r="BE1156" s="186" t="str">
        <f t="shared" ref="BE1156:BE1160" si="132">"立即对前方范围内的敌人造成"&amp;X1156*100&amp;"%攻击伤害+"&amp;Z1156&amp;"点固定伤害,并将其置空1秒"</f>
        <v>立即对前方范围内的敌人造成275%攻击伤害+1000点固定伤害,并将其置空1秒</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2380</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3</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8" t="s">
        <v>2381</v>
      </c>
      <c r="AV1157" s="19"/>
      <c r="AW1157" s="20" t="s">
        <v>256</v>
      </c>
      <c r="AX1157" s="19" t="s">
        <v>545</v>
      </c>
      <c r="AY1157" s="19">
        <v>10001007</v>
      </c>
      <c r="AZ1157" s="19">
        <v>21010030</v>
      </c>
      <c r="BA1157" s="20" t="s">
        <v>200</v>
      </c>
      <c r="BB1157" s="20">
        <v>0</v>
      </c>
      <c r="BC1157" s="28">
        <v>0</v>
      </c>
      <c r="BD1157" s="28">
        <v>0</v>
      </c>
      <c r="BE1157" s="186" t="str">
        <f t="shared" si="132"/>
        <v>立即对前方范围内的敌人造成300%攻击伤害+1500点固定伤害,并将其置空1秒</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2380</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8" t="s">
        <v>2381</v>
      </c>
      <c r="AV1158" s="19"/>
      <c r="AW1158" s="20" t="s">
        <v>256</v>
      </c>
      <c r="AX1158" s="19" t="s">
        <v>545</v>
      </c>
      <c r="AY1158" s="19">
        <v>10001007</v>
      </c>
      <c r="AZ1158" s="19">
        <v>21010030</v>
      </c>
      <c r="BA1158" s="20" t="s">
        <v>200</v>
      </c>
      <c r="BB1158" s="20">
        <v>0</v>
      </c>
      <c r="BC1158" s="28">
        <v>0</v>
      </c>
      <c r="BD1158" s="28">
        <v>0</v>
      </c>
      <c r="BE1158" s="186" t="str">
        <f t="shared" si="132"/>
        <v>立即对前方范围内的敌人造成330%攻击伤害+2000点固定伤害,并将其置空1秒</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2380</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3.6</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8" t="s">
        <v>2381</v>
      </c>
      <c r="AV1159" s="19"/>
      <c r="AW1159" s="20" t="s">
        <v>256</v>
      </c>
      <c r="AX1159" s="19" t="s">
        <v>545</v>
      </c>
      <c r="AY1159" s="19">
        <v>10001007</v>
      </c>
      <c r="AZ1159" s="19">
        <v>21010030</v>
      </c>
      <c r="BA1159" s="20" t="s">
        <v>200</v>
      </c>
      <c r="BB1159" s="20">
        <v>0</v>
      </c>
      <c r="BC1159" s="28">
        <v>0</v>
      </c>
      <c r="BD1159" s="28">
        <v>0</v>
      </c>
      <c r="BE1159" s="186" t="str">
        <f t="shared" si="132"/>
        <v>立即对前方范围内的敌人造成360%攻击伤害+2750点固定伤害,并将其置空1秒</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2380</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4</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8" t="s">
        <v>2381</v>
      </c>
      <c r="AV1160" s="19"/>
      <c r="AW1160" s="20" t="s">
        <v>256</v>
      </c>
      <c r="AX1160" s="19" t="s">
        <v>545</v>
      </c>
      <c r="AY1160" s="19">
        <v>10001007</v>
      </c>
      <c r="AZ1160" s="19">
        <v>21010030</v>
      </c>
      <c r="BA1160" s="20" t="s">
        <v>200</v>
      </c>
      <c r="BB1160" s="20">
        <v>0</v>
      </c>
      <c r="BC1160" s="28">
        <v>0</v>
      </c>
      <c r="BD1160" s="28">
        <v>0</v>
      </c>
      <c r="BE1160" s="186" t="str">
        <f t="shared" si="132"/>
        <v>立即对前方范围内的敌人造成400%攻击伤害+3500点固定伤害,并将其置空1秒</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2382</v>
      </c>
      <c r="E1161" s="61" t="s">
        <v>2383</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2</v>
      </c>
      <c r="Y1161" s="13">
        <v>0</v>
      </c>
      <c r="Z1161" s="62">
        <v>500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3000</v>
      </c>
      <c r="AR1161" s="62">
        <v>0</v>
      </c>
      <c r="AS1161" s="62">
        <v>0</v>
      </c>
      <c r="AT1161" s="13">
        <v>0</v>
      </c>
      <c r="AU1161" s="62">
        <v>0</v>
      </c>
      <c r="AV1161" s="62"/>
      <c r="AW1161" s="61" t="s">
        <v>287</v>
      </c>
      <c r="AX1161" s="17">
        <v>0</v>
      </c>
      <c r="AY1161" s="66">
        <v>0</v>
      </c>
      <c r="AZ1161" s="19">
        <v>77010111</v>
      </c>
      <c r="BA1161" s="61" t="s">
        <v>2384</v>
      </c>
      <c r="BB1161" s="62">
        <v>60</v>
      </c>
      <c r="BC1161" s="68">
        <v>0</v>
      </c>
      <c r="BD1161" s="68">
        <v>0</v>
      </c>
      <c r="BE1161" s="186" t="str">
        <f>"自身变成无敌状态且向前方发射一个能量光柱对前方敌方目标造持续造成"&amp;X1161*100&amp;"%攻击伤害+"&amp;Z1161&amp;"点固定伤害,持续3秒，可以操控转移方向。"</f>
        <v>自身变成无敌状态且向前方发射一个能量光柱对前方敌方目标造持续造成200%攻击伤害+500点固定伤害,持续3秒，可以操控转移方向。</v>
      </c>
      <c r="BF1161" s="92"/>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2382</v>
      </c>
      <c r="E1162" s="61" t="s">
        <v>2383</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2</v>
      </c>
      <c r="Y1162" s="13">
        <v>0</v>
      </c>
      <c r="Z1162" s="62">
        <v>500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3000</v>
      </c>
      <c r="AR1162" s="62">
        <v>0</v>
      </c>
      <c r="AS1162" s="62">
        <v>0</v>
      </c>
      <c r="AT1162" s="13">
        <v>0</v>
      </c>
      <c r="AU1162" s="62">
        <v>0</v>
      </c>
      <c r="AV1162" s="62"/>
      <c r="AW1162" s="61" t="s">
        <v>287</v>
      </c>
      <c r="AX1162" s="17">
        <v>0</v>
      </c>
      <c r="AY1162" s="66">
        <v>0</v>
      </c>
      <c r="AZ1162" s="19">
        <v>77010111</v>
      </c>
      <c r="BA1162" s="61" t="s">
        <v>2384</v>
      </c>
      <c r="BB1162" s="62">
        <v>60</v>
      </c>
      <c r="BC1162" s="68">
        <v>0</v>
      </c>
      <c r="BD1162" s="68">
        <v>0</v>
      </c>
      <c r="BE1162" s="186" t="str">
        <f t="shared" ref="BE1162:BE1166" si="133">"自身变成无敌状态且向前方发射一个能量光柱对前方敌方目标造持续造成"&amp;X1162*100&amp;"%攻击伤害+"&amp;Z1162&amp;"点固定伤害,持续3秒，可以操控转移方向。"</f>
        <v>自身变成无敌状态且向前方发射一个能量光柱对前方敌方目标造持续造成200%攻击伤害+500点固定伤害,持续3秒，可以操控转移方向。</v>
      </c>
      <c r="BF1162" s="92"/>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2382</v>
      </c>
      <c r="E1163" s="61" t="s">
        <v>2383</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2.25</v>
      </c>
      <c r="Y1163" s="13">
        <v>0</v>
      </c>
      <c r="Z1163" s="62">
        <v>750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3000</v>
      </c>
      <c r="AR1163" s="62">
        <v>0</v>
      </c>
      <c r="AS1163" s="62">
        <v>0</v>
      </c>
      <c r="AT1163" s="13">
        <v>0</v>
      </c>
      <c r="AU1163" s="62">
        <v>0</v>
      </c>
      <c r="AV1163" s="62"/>
      <c r="AW1163" s="61" t="s">
        <v>287</v>
      </c>
      <c r="AX1163" s="17">
        <v>0</v>
      </c>
      <c r="AY1163" s="66">
        <v>0</v>
      </c>
      <c r="AZ1163" s="19">
        <v>77010111</v>
      </c>
      <c r="BA1163" s="61" t="s">
        <v>2384</v>
      </c>
      <c r="BB1163" s="62">
        <v>60</v>
      </c>
      <c r="BC1163" s="68">
        <v>0</v>
      </c>
      <c r="BD1163" s="68">
        <v>0</v>
      </c>
      <c r="BE1163" s="186" t="str">
        <f t="shared" si="133"/>
        <v>自身变成无敌状态且向前方发射一个能量光柱对前方敌方目标造持续造成225%攻击伤害+750点固定伤害,持续3秒，可以操控转移方向。</v>
      </c>
      <c r="BF1163" s="92"/>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2382</v>
      </c>
      <c r="E1164" s="61" t="s">
        <v>2383</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2.5</v>
      </c>
      <c r="Y1164" s="13">
        <v>0</v>
      </c>
      <c r="Z1164" s="62">
        <v>1000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77010111</v>
      </c>
      <c r="BA1164" s="61" t="s">
        <v>2384</v>
      </c>
      <c r="BB1164" s="62">
        <v>60</v>
      </c>
      <c r="BC1164" s="68">
        <v>0</v>
      </c>
      <c r="BD1164" s="68">
        <v>0</v>
      </c>
      <c r="BE1164" s="186" t="str">
        <f t="shared" si="133"/>
        <v>自身变成无敌状态且向前方发射一个能量光柱对前方敌方目标造持续造成250%攻击伤害+1000点固定伤害,持续3秒，可以操控转移方向。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2382</v>
      </c>
      <c r="E1165" s="61" t="s">
        <v>2383</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2.75</v>
      </c>
      <c r="Y1165" s="13">
        <v>0</v>
      </c>
      <c r="Z1165" s="62">
        <v>1250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77010111</v>
      </c>
      <c r="BA1165" s="61" t="s">
        <v>2384</v>
      </c>
      <c r="BB1165" s="62">
        <v>60</v>
      </c>
      <c r="BC1165" s="68">
        <v>0</v>
      </c>
      <c r="BD1165" s="68">
        <v>0</v>
      </c>
      <c r="BE1165" s="186" t="str">
        <f t="shared" si="133"/>
        <v>自身变成无敌状态且向前方发射一个能量光柱对前方敌方目标造持续造成275%攻击伤害+1250点固定伤害,持续3秒，可以操控转移方向。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2382</v>
      </c>
      <c r="E1166" s="61" t="s">
        <v>2383</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3</v>
      </c>
      <c r="Y1166" s="13">
        <v>0</v>
      </c>
      <c r="Z1166" s="62">
        <v>1500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77010111</v>
      </c>
      <c r="BA1166" s="61" t="s">
        <v>2384</v>
      </c>
      <c r="BB1166" s="62">
        <v>60</v>
      </c>
      <c r="BC1166" s="68">
        <v>0</v>
      </c>
      <c r="BD1166" s="68">
        <v>0</v>
      </c>
      <c r="BE1166" s="186" t="str">
        <f t="shared" si="133"/>
        <v>自身变成无敌状态且向前方发射一个能量光柱对前方敌方目标造持续造成300%攻击伤害+1500点固定伤害,持续3秒，可以操控转移方向。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2385</v>
      </c>
      <c r="E1167" s="14" t="s">
        <v>1568</v>
      </c>
      <c r="F1167" s="13">
        <v>0</v>
      </c>
      <c r="G1167" s="13">
        <v>61022201</v>
      </c>
      <c r="H1167" s="174">
        <v>65021302</v>
      </c>
      <c r="I1167" s="13">
        <v>0</v>
      </c>
      <c r="J1167" s="17">
        <v>30</v>
      </c>
      <c r="K1167" s="19">
        <v>5</v>
      </c>
      <c r="L1167" s="13">
        <v>0</v>
      </c>
      <c r="M1167" s="13">
        <v>0</v>
      </c>
      <c r="N1167" s="19">
        <v>0</v>
      </c>
      <c r="O1167" s="19">
        <v>1</v>
      </c>
      <c r="P1167" s="19">
        <v>0</v>
      </c>
      <c r="Q1167" s="19">
        <v>0</v>
      </c>
      <c r="R1167" s="19">
        <v>0</v>
      </c>
      <c r="S1167" s="13">
        <v>0</v>
      </c>
      <c r="T1167" s="28">
        <v>0</v>
      </c>
      <c r="U1167" s="17">
        <v>1</v>
      </c>
      <c r="V1167" s="19">
        <v>2</v>
      </c>
      <c r="W1167" s="19">
        <v>0</v>
      </c>
      <c r="X1167" s="19">
        <v>1</v>
      </c>
      <c r="Y1167" s="13">
        <v>0</v>
      </c>
      <c r="Z1167" s="19">
        <v>500</v>
      </c>
      <c r="AA1167" s="19">
        <v>0</v>
      </c>
      <c r="AB1167" s="19">
        <v>0</v>
      </c>
      <c r="AC1167" s="19">
        <v>0</v>
      </c>
      <c r="AD1167" s="19">
        <v>0</v>
      </c>
      <c r="AE1167" s="19">
        <v>0</v>
      </c>
      <c r="AF1167" s="19">
        <v>30</v>
      </c>
      <c r="AG1167" s="19">
        <v>1</v>
      </c>
      <c r="AH1167" s="19">
        <v>2.5</v>
      </c>
      <c r="AI1167" s="13">
        <v>2</v>
      </c>
      <c r="AJ1167" s="13">
        <v>0</v>
      </c>
      <c r="AK1167" s="13">
        <v>0</v>
      </c>
      <c r="AL1167" s="13">
        <v>1.5</v>
      </c>
      <c r="AM1167" s="19">
        <v>0</v>
      </c>
      <c r="AN1167" s="19">
        <v>0</v>
      </c>
      <c r="AO1167" s="19">
        <v>0</v>
      </c>
      <c r="AP1167" s="19">
        <v>0.5</v>
      </c>
      <c r="AQ1167" s="19">
        <v>5000</v>
      </c>
      <c r="AR1167" s="19">
        <v>0.5</v>
      </c>
      <c r="AS1167" s="19">
        <v>0</v>
      </c>
      <c r="AT1167" s="350" t="s">
        <v>2386</v>
      </c>
      <c r="AU1167" s="19">
        <v>0</v>
      </c>
      <c r="AV1167" s="19"/>
      <c r="AW1167" s="20" t="s">
        <v>1536</v>
      </c>
      <c r="AX1167" s="19" t="s">
        <v>1408</v>
      </c>
      <c r="AY1167" s="19">
        <v>10002001</v>
      </c>
      <c r="AZ1167" s="19">
        <v>21030040</v>
      </c>
      <c r="BA1167" s="20" t="s">
        <v>315</v>
      </c>
      <c r="BB1167" s="20" t="s">
        <v>371</v>
      </c>
      <c r="BC1167" s="28">
        <v>0</v>
      </c>
      <c r="BD1167" s="28">
        <v>0</v>
      </c>
      <c r="BE1167" s="186" t="str">
        <f>"给自己附加巨剑之力，自身变大且攻击提升20%，且附近单位每秒造成"&amp;X1167*100&amp;"%攻击伤害+"&amp;Z1167&amp;"点固定伤害, 持续5秒。"</f>
        <v>给自己附加巨剑之力，自身变大且攻击提升20%，且附近单位每秒造成100%攻击伤害+500点固定伤害, 持续5秒。</v>
      </c>
      <c r="BF1167" s="186" t="s">
        <v>1660</v>
      </c>
      <c r="BG1167" s="19">
        <v>0</v>
      </c>
      <c r="BH1167" s="17">
        <v>61023501</v>
      </c>
      <c r="BI1167" s="19">
        <v>0</v>
      </c>
      <c r="BJ1167" s="19">
        <v>0</v>
      </c>
      <c r="BK1167" s="19">
        <v>0</v>
      </c>
      <c r="BL1167" s="19">
        <v>0</v>
      </c>
      <c r="BM1167" s="16">
        <v>0</v>
      </c>
      <c r="BN1167" s="13">
        <v>0</v>
      </c>
      <c r="BO1167" s="13">
        <v>0</v>
      </c>
      <c r="BP1167" s="13">
        <v>0</v>
      </c>
      <c r="BQ1167" s="13">
        <v>0</v>
      </c>
      <c r="BR1167" s="13">
        <v>0</v>
      </c>
      <c r="BS1167" s="13">
        <v>0</v>
      </c>
      <c r="BT1167" s="13">
        <v>0</v>
      </c>
      <c r="BU1167" s="49">
        <v>0</v>
      </c>
      <c r="BV1167" s="49"/>
      <c r="BW1167" s="49"/>
    </row>
    <row r="1168" ht="20.1" customHeight="1" spans="3:75">
      <c r="C1168" s="174">
        <v>65021302</v>
      </c>
      <c r="D1168" s="14" t="s">
        <v>2385</v>
      </c>
      <c r="E1168" s="14" t="s">
        <v>1568</v>
      </c>
      <c r="F1168" s="13">
        <v>1</v>
      </c>
      <c r="G1168" s="13">
        <v>61022201</v>
      </c>
      <c r="H1168" s="174">
        <v>65021303</v>
      </c>
      <c r="I1168" s="13">
        <v>0</v>
      </c>
      <c r="J1168" s="17">
        <v>37</v>
      </c>
      <c r="K1168" s="19">
        <v>2</v>
      </c>
      <c r="L1168" s="13">
        <v>0</v>
      </c>
      <c r="M1168" s="13">
        <v>0</v>
      </c>
      <c r="N1168" s="19">
        <v>0</v>
      </c>
      <c r="O1168" s="19">
        <v>1</v>
      </c>
      <c r="P1168" s="19">
        <v>0</v>
      </c>
      <c r="Q1168" s="19">
        <v>0</v>
      </c>
      <c r="R1168" s="19">
        <v>0</v>
      </c>
      <c r="S1168" s="13">
        <v>0</v>
      </c>
      <c r="T1168" s="28">
        <v>0</v>
      </c>
      <c r="U1168" s="17">
        <v>1</v>
      </c>
      <c r="V1168" s="19">
        <v>2</v>
      </c>
      <c r="W1168" s="19">
        <v>0</v>
      </c>
      <c r="X1168" s="19">
        <v>1</v>
      </c>
      <c r="Y1168" s="13">
        <v>0</v>
      </c>
      <c r="Z1168" s="19">
        <v>500</v>
      </c>
      <c r="AA1168" s="19">
        <v>0</v>
      </c>
      <c r="AB1168" s="19">
        <v>0</v>
      </c>
      <c r="AC1168" s="19">
        <v>0</v>
      </c>
      <c r="AD1168" s="19">
        <v>0</v>
      </c>
      <c r="AE1168" s="19">
        <v>0</v>
      </c>
      <c r="AF1168" s="19">
        <v>30</v>
      </c>
      <c r="AG1168" s="19">
        <v>1</v>
      </c>
      <c r="AH1168" s="19">
        <v>2.5</v>
      </c>
      <c r="AI1168" s="13">
        <v>2</v>
      </c>
      <c r="AJ1168" s="13">
        <v>0</v>
      </c>
      <c r="AK1168" s="13">
        <v>0</v>
      </c>
      <c r="AL1168" s="13">
        <v>1.5</v>
      </c>
      <c r="AM1168" s="19">
        <v>0</v>
      </c>
      <c r="AN1168" s="19">
        <v>0</v>
      </c>
      <c r="AO1168" s="19">
        <v>0</v>
      </c>
      <c r="AP1168" s="19">
        <v>0.5</v>
      </c>
      <c r="AQ1168" s="19">
        <v>5000</v>
      </c>
      <c r="AR1168" s="19">
        <v>0.5</v>
      </c>
      <c r="AS1168" s="19">
        <v>0</v>
      </c>
      <c r="AT1168" s="350" t="s">
        <v>2386</v>
      </c>
      <c r="AU1168" s="19">
        <v>0</v>
      </c>
      <c r="AV1168" s="19"/>
      <c r="AW1168" s="20" t="s">
        <v>1536</v>
      </c>
      <c r="AX1168" s="19" t="s">
        <v>1408</v>
      </c>
      <c r="AY1168" s="19">
        <v>10002001</v>
      </c>
      <c r="AZ1168" s="19">
        <v>21030040</v>
      </c>
      <c r="BA1168" s="20" t="s">
        <v>315</v>
      </c>
      <c r="BB1168" s="20" t="s">
        <v>371</v>
      </c>
      <c r="BC1168" s="28">
        <v>0</v>
      </c>
      <c r="BD1168" s="28">
        <v>0</v>
      </c>
      <c r="BE1168" s="186" t="str">
        <f>"给自己附加巨剑之力，自身变大且攻击提升20%，且附近单位每秒造成"&amp;X1168*100&amp;"%攻击伤害+"&amp;Z1168&amp;"点固定伤害, 持续5秒。"</f>
        <v>给自己附加巨剑之力，自身变大且攻击提升20%，且附近单位每秒造成100%攻击伤害+500点固定伤害, 持续5秒。</v>
      </c>
      <c r="BF1168" s="186" t="s">
        <v>1660</v>
      </c>
      <c r="BG1168" s="19">
        <v>0</v>
      </c>
      <c r="BH1168" s="17">
        <v>61023501</v>
      </c>
      <c r="BI1168" s="19">
        <v>0</v>
      </c>
      <c r="BJ1168" s="19">
        <v>0</v>
      </c>
      <c r="BK1168" s="19">
        <v>0</v>
      </c>
      <c r="BL1168" s="19">
        <v>0</v>
      </c>
      <c r="BM1168" s="16">
        <v>0</v>
      </c>
      <c r="BN1168" s="13">
        <v>0</v>
      </c>
      <c r="BO1168" s="13">
        <v>0</v>
      </c>
      <c r="BP1168" s="13">
        <v>0</v>
      </c>
      <c r="BQ1168" s="13">
        <v>0</v>
      </c>
      <c r="BR1168" s="13">
        <v>0</v>
      </c>
      <c r="BS1168" s="13">
        <v>0</v>
      </c>
      <c r="BT1168" s="13">
        <v>0</v>
      </c>
      <c r="BU1168" s="49">
        <v>0</v>
      </c>
      <c r="BV1168" s="49"/>
      <c r="BW1168" s="49"/>
    </row>
    <row r="1169" ht="20.1" customHeight="1" spans="3:75">
      <c r="C1169" s="174">
        <v>65021303</v>
      </c>
      <c r="D1169" s="14" t="s">
        <v>2385</v>
      </c>
      <c r="E1169" s="14" t="s">
        <v>1568</v>
      </c>
      <c r="F1169" s="13">
        <v>2</v>
      </c>
      <c r="G1169" s="13">
        <v>61022201</v>
      </c>
      <c r="H1169" s="174">
        <v>65021304</v>
      </c>
      <c r="I1169" s="13">
        <v>0</v>
      </c>
      <c r="J1169" s="17">
        <v>42</v>
      </c>
      <c r="K1169" s="19">
        <v>2</v>
      </c>
      <c r="L1169" s="13">
        <v>0</v>
      </c>
      <c r="M1169" s="13">
        <v>0</v>
      </c>
      <c r="N1169" s="19">
        <v>0</v>
      </c>
      <c r="O1169" s="19">
        <v>1</v>
      </c>
      <c r="P1169" s="19">
        <v>0</v>
      </c>
      <c r="Q1169" s="19">
        <v>0</v>
      </c>
      <c r="R1169" s="19">
        <v>0</v>
      </c>
      <c r="S1169" s="13">
        <v>0</v>
      </c>
      <c r="T1169" s="28">
        <v>0</v>
      </c>
      <c r="U1169" s="17">
        <v>1</v>
      </c>
      <c r="V1169" s="19">
        <v>2</v>
      </c>
      <c r="W1169" s="19">
        <v>0</v>
      </c>
      <c r="X1169" s="19">
        <v>1.2</v>
      </c>
      <c r="Y1169" s="13">
        <v>0</v>
      </c>
      <c r="Z1169" s="19">
        <v>800</v>
      </c>
      <c r="AA1169" s="19">
        <v>0</v>
      </c>
      <c r="AB1169" s="19">
        <v>0</v>
      </c>
      <c r="AC1169" s="19">
        <v>0</v>
      </c>
      <c r="AD1169" s="19">
        <v>0</v>
      </c>
      <c r="AE1169" s="19">
        <v>0</v>
      </c>
      <c r="AF1169" s="19">
        <v>30</v>
      </c>
      <c r="AG1169" s="19">
        <v>1</v>
      </c>
      <c r="AH1169" s="19">
        <v>2.5</v>
      </c>
      <c r="AI1169" s="13">
        <v>2</v>
      </c>
      <c r="AJ1169" s="13">
        <v>0</v>
      </c>
      <c r="AK1169" s="13">
        <v>0</v>
      </c>
      <c r="AL1169" s="13">
        <v>1.5</v>
      </c>
      <c r="AM1169" s="19">
        <v>0</v>
      </c>
      <c r="AN1169" s="19">
        <v>0</v>
      </c>
      <c r="AO1169" s="19">
        <v>0</v>
      </c>
      <c r="AP1169" s="19">
        <v>0.5</v>
      </c>
      <c r="AQ1169" s="19">
        <v>5000</v>
      </c>
      <c r="AR1169" s="19">
        <v>0.5</v>
      </c>
      <c r="AS1169" s="19">
        <v>0</v>
      </c>
      <c r="AT1169" s="350" t="s">
        <v>2387</v>
      </c>
      <c r="AU1169" s="19">
        <v>0</v>
      </c>
      <c r="AV1169" s="19"/>
      <c r="AW1169" s="20" t="s">
        <v>1536</v>
      </c>
      <c r="AX1169" s="19" t="s">
        <v>1408</v>
      </c>
      <c r="AY1169" s="19">
        <v>10002001</v>
      </c>
      <c r="AZ1169" s="19">
        <v>21030040</v>
      </c>
      <c r="BA1169" s="20" t="s">
        <v>315</v>
      </c>
      <c r="BB1169" s="20" t="s">
        <v>371</v>
      </c>
      <c r="BC1169" s="28">
        <v>0</v>
      </c>
      <c r="BD1169" s="28">
        <v>0</v>
      </c>
      <c r="BE1169" s="186" t="str">
        <f>"给自己附加巨剑之力，自身变大且攻击提升25%，且附近单位每秒造成"&amp;X1169*100&amp;"%攻击伤害+"&amp;Z1169&amp;"点固定伤害, 持续5秒。"</f>
        <v>给自己附加巨剑之力，自身变大且攻击提升25%，且附近单位每秒造成120%攻击伤害+800点固定伤害, 持续5秒。</v>
      </c>
      <c r="BF1169" s="186" t="s">
        <v>1662</v>
      </c>
      <c r="BG1169" s="19">
        <v>0</v>
      </c>
      <c r="BH1169" s="17">
        <v>61023501</v>
      </c>
      <c r="BI1169" s="19">
        <v>0</v>
      </c>
      <c r="BJ1169" s="19">
        <v>0</v>
      </c>
      <c r="BK1169" s="19">
        <v>0</v>
      </c>
      <c r="BL1169" s="19">
        <v>0</v>
      </c>
      <c r="BM1169" s="16">
        <v>0</v>
      </c>
      <c r="BN1169" s="13">
        <v>0</v>
      </c>
      <c r="BO1169" s="13">
        <v>0</v>
      </c>
      <c r="BP1169" s="13">
        <v>0</v>
      </c>
      <c r="BQ1169" s="13">
        <v>0</v>
      </c>
      <c r="BR1169" s="13">
        <v>0</v>
      </c>
      <c r="BS1169" s="13">
        <v>0</v>
      </c>
      <c r="BT1169" s="13">
        <v>0</v>
      </c>
      <c r="BU1169" s="49">
        <v>0</v>
      </c>
      <c r="BV1169" s="49"/>
      <c r="BW1169" s="49"/>
    </row>
    <row r="1170" ht="20.1" customHeight="1" spans="3:75">
      <c r="C1170" s="174">
        <v>65021304</v>
      </c>
      <c r="D1170" s="14" t="s">
        <v>2385</v>
      </c>
      <c r="E1170" s="14" t="s">
        <v>1568</v>
      </c>
      <c r="F1170" s="13">
        <v>3</v>
      </c>
      <c r="G1170" s="13">
        <v>61022201</v>
      </c>
      <c r="H1170" s="13">
        <v>0</v>
      </c>
      <c r="I1170" s="13">
        <v>0</v>
      </c>
      <c r="J1170" s="19">
        <v>0</v>
      </c>
      <c r="K1170" s="19">
        <v>0</v>
      </c>
      <c r="L1170" s="13">
        <v>0</v>
      </c>
      <c r="M1170" s="13">
        <v>0</v>
      </c>
      <c r="N1170" s="19">
        <v>0</v>
      </c>
      <c r="O1170" s="19">
        <v>1</v>
      </c>
      <c r="P1170" s="19">
        <v>0</v>
      </c>
      <c r="Q1170" s="19">
        <v>0</v>
      </c>
      <c r="R1170" s="19">
        <v>0</v>
      </c>
      <c r="S1170" s="13">
        <v>0</v>
      </c>
      <c r="T1170" s="28">
        <v>0</v>
      </c>
      <c r="U1170" s="17">
        <v>1</v>
      </c>
      <c r="V1170" s="19">
        <v>2</v>
      </c>
      <c r="W1170" s="19">
        <v>0</v>
      </c>
      <c r="X1170" s="19">
        <v>1.4</v>
      </c>
      <c r="Y1170" s="13">
        <v>0</v>
      </c>
      <c r="Z1170" s="19">
        <v>1150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0" t="s">
        <v>2388</v>
      </c>
      <c r="AU1170" s="19">
        <v>0</v>
      </c>
      <c r="AV1170" s="19"/>
      <c r="AW1170" s="20" t="s">
        <v>1536</v>
      </c>
      <c r="AX1170" s="19" t="s">
        <v>1408</v>
      </c>
      <c r="AY1170" s="19">
        <v>10002001</v>
      </c>
      <c r="AZ1170" s="19">
        <v>21030040</v>
      </c>
      <c r="BA1170" s="20" t="s">
        <v>315</v>
      </c>
      <c r="BB1170" s="20" t="s">
        <v>371</v>
      </c>
      <c r="BC1170" s="28">
        <v>0</v>
      </c>
      <c r="BD1170" s="28">
        <v>0</v>
      </c>
      <c r="BE1170" s="186" t="str">
        <f t="shared" ref="BE1170" si="134">"给自己附加巨剑之力，自身变大且攻击提升30%，且附近单位每秒造成"&amp;X1170*100&amp;"%攻击伤害+"&amp;Z1170&amp;"点固定伤害, 持续5秒。"</f>
        <v>给自己附加巨剑之力，自身变大且攻击提升30%，且附近单位每秒造成140%攻击伤害+1150点固定伤害, 持续5秒。</v>
      </c>
      <c r="BF1170" s="186" t="s">
        <v>1664</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ht="20.1" customHeight="1" spans="3:75">
      <c r="C1171" s="174">
        <v>65021305</v>
      </c>
      <c r="D1171" s="14" t="s">
        <v>2385</v>
      </c>
      <c r="E1171" s="14" t="s">
        <v>1568</v>
      </c>
      <c r="F1171" s="13">
        <v>4</v>
      </c>
      <c r="G1171" s="13">
        <v>61022201</v>
      </c>
      <c r="H1171" s="13">
        <v>0</v>
      </c>
      <c r="I1171" s="13">
        <v>0</v>
      </c>
      <c r="J1171" s="19">
        <v>0</v>
      </c>
      <c r="K1171" s="19">
        <v>0</v>
      </c>
      <c r="L1171" s="13">
        <v>0</v>
      </c>
      <c r="M1171" s="13">
        <v>0</v>
      </c>
      <c r="N1171" s="19">
        <v>0</v>
      </c>
      <c r="O1171" s="19">
        <v>1</v>
      </c>
      <c r="P1171" s="19">
        <v>0</v>
      </c>
      <c r="Q1171" s="19">
        <v>0</v>
      </c>
      <c r="R1171" s="19">
        <v>0</v>
      </c>
      <c r="S1171" s="13">
        <v>0</v>
      </c>
      <c r="T1171" s="28">
        <v>0</v>
      </c>
      <c r="U1171" s="17">
        <v>1</v>
      </c>
      <c r="V1171" s="19">
        <v>2</v>
      </c>
      <c r="W1171" s="19">
        <v>0</v>
      </c>
      <c r="X1171" s="19">
        <v>1.6</v>
      </c>
      <c r="Y1171" s="13">
        <v>0</v>
      </c>
      <c r="Z1171" s="19">
        <v>1550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0" t="s">
        <v>2389</v>
      </c>
      <c r="AU1171" s="19">
        <v>0</v>
      </c>
      <c r="AV1171" s="19"/>
      <c r="AW1171" s="20" t="s">
        <v>1536</v>
      </c>
      <c r="AX1171" s="19" t="s">
        <v>1408</v>
      </c>
      <c r="AY1171" s="19">
        <v>10002001</v>
      </c>
      <c r="AZ1171" s="19">
        <v>21030040</v>
      </c>
      <c r="BA1171" s="20" t="s">
        <v>315</v>
      </c>
      <c r="BB1171" s="20" t="s">
        <v>371</v>
      </c>
      <c r="BC1171" s="28">
        <v>0</v>
      </c>
      <c r="BD1171" s="28">
        <v>0</v>
      </c>
      <c r="BE1171" s="186" t="str">
        <f>"给自己附加巨剑之力，自身变大且攻击提升35%，且附近单位每秒造成"&amp;X1171*100&amp;"%攻击伤害+"&amp;Z1171&amp;"点固定伤害, 持续5秒。"</f>
        <v>给自己附加巨剑之力，自身变大且攻击提升35%，且附近单位每秒造成160%攻击伤害+1550点固定伤害, 持续5秒。</v>
      </c>
      <c r="BF1171" s="186" t="s">
        <v>1666</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ht="20.1" customHeight="1" spans="3:75">
      <c r="C1172" s="174">
        <v>65021306</v>
      </c>
      <c r="D1172" s="14" t="s">
        <v>2385</v>
      </c>
      <c r="E1172" s="14" t="s">
        <v>1568</v>
      </c>
      <c r="F1172" s="13">
        <v>5</v>
      </c>
      <c r="G1172" s="13">
        <v>61022201</v>
      </c>
      <c r="H1172" s="13">
        <v>0</v>
      </c>
      <c r="I1172" s="13">
        <v>0</v>
      </c>
      <c r="J1172" s="19">
        <v>0</v>
      </c>
      <c r="K1172" s="19">
        <v>0</v>
      </c>
      <c r="L1172" s="13">
        <v>0</v>
      </c>
      <c r="M1172" s="13">
        <v>0</v>
      </c>
      <c r="N1172" s="19">
        <v>0</v>
      </c>
      <c r="O1172" s="19">
        <v>1</v>
      </c>
      <c r="P1172" s="19">
        <v>0</v>
      </c>
      <c r="Q1172" s="19">
        <v>0</v>
      </c>
      <c r="R1172" s="19">
        <v>0</v>
      </c>
      <c r="S1172" s="13">
        <v>0</v>
      </c>
      <c r="T1172" s="28">
        <v>0</v>
      </c>
      <c r="U1172" s="17">
        <v>1</v>
      </c>
      <c r="V1172" s="19">
        <v>2</v>
      </c>
      <c r="W1172" s="19">
        <v>0</v>
      </c>
      <c r="X1172" s="19">
        <v>1.8</v>
      </c>
      <c r="Y1172" s="13">
        <v>0</v>
      </c>
      <c r="Z1172" s="19">
        <v>2050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0" t="s">
        <v>2390</v>
      </c>
      <c r="AU1172" s="19">
        <v>0</v>
      </c>
      <c r="AV1172" s="19"/>
      <c r="AW1172" s="20" t="s">
        <v>1536</v>
      </c>
      <c r="AX1172" s="19" t="s">
        <v>1408</v>
      </c>
      <c r="AY1172" s="19">
        <v>10002001</v>
      </c>
      <c r="AZ1172" s="19">
        <v>21030040</v>
      </c>
      <c r="BA1172" s="20" t="s">
        <v>315</v>
      </c>
      <c r="BB1172" s="20" t="s">
        <v>371</v>
      </c>
      <c r="BC1172" s="28">
        <v>0</v>
      </c>
      <c r="BD1172" s="28">
        <v>0</v>
      </c>
      <c r="BE1172" s="186" t="str">
        <f>"给自己附加巨剑之力，自身变大且攻击提升40%，且附近单位每秒造成"&amp;X1172*100&amp;"%攻击伤害+"&amp;Z1172&amp;"点固定伤害, 持续5秒。"</f>
        <v>给自己附加巨剑之力，自身变大且攻击提升40%，且附近单位每秒造成180%攻击伤害+2050点固定伤害, 持续5秒。</v>
      </c>
      <c r="BF1172" s="186" t="s">
        <v>1668</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ht="20.1" customHeight="1" spans="3:75">
      <c r="C1173" s="174">
        <v>65021401</v>
      </c>
      <c r="D1173" s="20" t="s">
        <v>2391</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3</v>
      </c>
      <c r="Y1173" s="13">
        <v>0</v>
      </c>
      <c r="Z1173" s="19">
        <v>900</v>
      </c>
      <c r="AA1173" s="19">
        <v>1</v>
      </c>
      <c r="AB1173" s="19">
        <v>0</v>
      </c>
      <c r="AC1173" s="19">
        <v>0</v>
      </c>
      <c r="AD1173" s="19">
        <v>0</v>
      </c>
      <c r="AE1173" s="19">
        <v>0</v>
      </c>
      <c r="AF1173" s="19">
        <v>9</v>
      </c>
      <c r="AG1173" s="19">
        <v>1</v>
      </c>
      <c r="AH1173" s="19">
        <v>5</v>
      </c>
      <c r="AI1173" s="13">
        <v>0</v>
      </c>
      <c r="AJ1173" s="13">
        <v>0</v>
      </c>
      <c r="AK1173" s="13">
        <v>0</v>
      </c>
      <c r="AL1173" s="13">
        <v>3</v>
      </c>
      <c r="AM1173" s="19">
        <v>0</v>
      </c>
      <c r="AN1173" s="19">
        <v>0</v>
      </c>
      <c r="AO1173" s="19">
        <v>0</v>
      </c>
      <c r="AP1173" s="19">
        <v>0.3</v>
      </c>
      <c r="AQ1173" s="19">
        <v>2000</v>
      </c>
      <c r="AR1173" s="19">
        <v>0.5</v>
      </c>
      <c r="AS1173" s="19">
        <v>0</v>
      </c>
      <c r="AT1173" s="13">
        <v>0</v>
      </c>
      <c r="AU1173" s="358" t="s">
        <v>1618</v>
      </c>
      <c r="AV1173" s="19"/>
      <c r="AW1173" s="20" t="s">
        <v>1526</v>
      </c>
      <c r="AX1173" s="19" t="s">
        <v>534</v>
      </c>
      <c r="AY1173" s="19">
        <v>10000009</v>
      </c>
      <c r="AZ1173" s="19">
        <v>21020050</v>
      </c>
      <c r="BA1173" s="18" t="s">
        <v>1528</v>
      </c>
      <c r="BB1173" s="20">
        <v>0</v>
      </c>
      <c r="BC1173" s="28">
        <v>0</v>
      </c>
      <c r="BD1173" s="28">
        <v>0</v>
      </c>
      <c r="BE1173" s="186" t="str">
        <f>"立即对自身周围的敌方单位造成"&amp;X1173*100&amp;"%攻击伤害+"&amp;Z1173&amp;"点固定伤害，并眩晕1秒，并对目标种下一个印记，印记在1秒后对范围内造成250%伤害。"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2391</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3</v>
      </c>
      <c r="Y1174" s="13">
        <v>0</v>
      </c>
      <c r="Z1174" s="19">
        <v>900</v>
      </c>
      <c r="AA1174" s="19">
        <v>1</v>
      </c>
      <c r="AB1174" s="19">
        <v>0</v>
      </c>
      <c r="AC1174" s="19">
        <v>0</v>
      </c>
      <c r="AD1174" s="19">
        <v>0</v>
      </c>
      <c r="AE1174" s="19">
        <v>0</v>
      </c>
      <c r="AF1174" s="19">
        <v>9</v>
      </c>
      <c r="AG1174" s="19">
        <v>1</v>
      </c>
      <c r="AH1174" s="19">
        <v>5</v>
      </c>
      <c r="AI1174" s="13">
        <v>0</v>
      </c>
      <c r="AJ1174" s="13">
        <v>0</v>
      </c>
      <c r="AK1174" s="13">
        <v>0</v>
      </c>
      <c r="AL1174" s="13">
        <v>3</v>
      </c>
      <c r="AM1174" s="19">
        <v>0</v>
      </c>
      <c r="AN1174" s="19">
        <v>0</v>
      </c>
      <c r="AO1174" s="19">
        <v>0</v>
      </c>
      <c r="AP1174" s="19">
        <v>0.3</v>
      </c>
      <c r="AQ1174" s="19">
        <v>2000</v>
      </c>
      <c r="AR1174" s="19">
        <v>0.5</v>
      </c>
      <c r="AS1174" s="19">
        <v>0</v>
      </c>
      <c r="AT1174" s="13">
        <v>0</v>
      </c>
      <c r="AU1174" s="358" t="s">
        <v>1618</v>
      </c>
      <c r="AV1174" s="19"/>
      <c r="AW1174" s="20" t="s">
        <v>1526</v>
      </c>
      <c r="AX1174" s="19" t="s">
        <v>534</v>
      </c>
      <c r="AY1174" s="19">
        <v>10000009</v>
      </c>
      <c r="AZ1174" s="19">
        <v>21030010</v>
      </c>
      <c r="BA1174" s="18" t="s">
        <v>1528</v>
      </c>
      <c r="BB1174" s="20">
        <v>0</v>
      </c>
      <c r="BC1174" s="28">
        <v>0</v>
      </c>
      <c r="BD1174" s="28">
        <v>0</v>
      </c>
      <c r="BE1174" s="186" t="str">
        <f t="shared" ref="BE1174:BE1178" si="135">"立即对自身周围的敌方单位造成"&amp;X1174*100&amp;"%攻击伤害+"&amp;Z1174&amp;"点固定伤害，并眩晕1秒，并对目标种下一个印记，印记在1秒后对范围内造成250%伤害。"</f>
        <v>立即对自身周围的敌方单位造成300%攻击伤害+900点固定伤害，并眩晕1秒，并对目标种下一个印记，印记在1秒后对范围内造成250%伤害。</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2391</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3.25</v>
      </c>
      <c r="Y1175" s="13">
        <v>0</v>
      </c>
      <c r="Z1175" s="19">
        <v>1800</v>
      </c>
      <c r="AA1175" s="19">
        <v>1</v>
      </c>
      <c r="AB1175" s="19">
        <v>0</v>
      </c>
      <c r="AC1175" s="19">
        <v>0</v>
      </c>
      <c r="AD1175" s="19">
        <v>0</v>
      </c>
      <c r="AE1175" s="19">
        <v>0</v>
      </c>
      <c r="AF1175" s="19">
        <v>9</v>
      </c>
      <c r="AG1175" s="19">
        <v>1</v>
      </c>
      <c r="AH1175" s="19">
        <v>5</v>
      </c>
      <c r="AI1175" s="13">
        <v>0</v>
      </c>
      <c r="AJ1175" s="13">
        <v>0</v>
      </c>
      <c r="AK1175" s="13">
        <v>0</v>
      </c>
      <c r="AL1175" s="13">
        <v>3</v>
      </c>
      <c r="AM1175" s="19">
        <v>0</v>
      </c>
      <c r="AN1175" s="19">
        <v>0</v>
      </c>
      <c r="AO1175" s="19">
        <v>0</v>
      </c>
      <c r="AP1175" s="19">
        <v>0.3</v>
      </c>
      <c r="AQ1175" s="19">
        <v>2000</v>
      </c>
      <c r="AR1175" s="19">
        <v>0.5</v>
      </c>
      <c r="AS1175" s="19">
        <v>0</v>
      </c>
      <c r="AT1175" s="13">
        <v>0</v>
      </c>
      <c r="AU1175" s="358" t="s">
        <v>1618</v>
      </c>
      <c r="AV1175" s="19"/>
      <c r="AW1175" s="20" t="s">
        <v>1526</v>
      </c>
      <c r="AX1175" s="19" t="s">
        <v>534</v>
      </c>
      <c r="AY1175" s="19">
        <v>10000009</v>
      </c>
      <c r="AZ1175" s="19">
        <v>21030010</v>
      </c>
      <c r="BA1175" s="18" t="s">
        <v>1528</v>
      </c>
      <c r="BB1175" s="20">
        <v>0</v>
      </c>
      <c r="BC1175" s="28">
        <v>0</v>
      </c>
      <c r="BD1175" s="28">
        <v>0</v>
      </c>
      <c r="BE1175" s="186" t="str">
        <f t="shared" si="135"/>
        <v>立即对自身周围的敌方单位造成325%攻击伤害+1800点固定伤害，并眩晕1秒，并对目标种下一个印记，印记在1秒后对范围内造成250%伤害。</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2391</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3.5</v>
      </c>
      <c r="Y1176" s="13">
        <v>0</v>
      </c>
      <c r="Z1176" s="19">
        <v>2800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58" t="s">
        <v>1618</v>
      </c>
      <c r="AV1176" s="19"/>
      <c r="AW1176" s="20" t="s">
        <v>1526</v>
      </c>
      <c r="AX1176" s="19" t="s">
        <v>534</v>
      </c>
      <c r="AY1176" s="19">
        <v>10000009</v>
      </c>
      <c r="AZ1176" s="19">
        <v>21030010</v>
      </c>
      <c r="BA1176" s="18" t="s">
        <v>1528</v>
      </c>
      <c r="BB1176" s="20">
        <v>0</v>
      </c>
      <c r="BC1176" s="28">
        <v>0</v>
      </c>
      <c r="BD1176" s="28">
        <v>0</v>
      </c>
      <c r="BE1176" s="186" t="str">
        <f t="shared" si="135"/>
        <v>立即对自身周围的敌方单位造成350%攻击伤害+2800点固定伤害，并眩晕1秒，并对目标种下一个印记，印记在1秒后对范围内造成250%伤害。</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2391</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3.75</v>
      </c>
      <c r="Y1177" s="13">
        <v>0</v>
      </c>
      <c r="Z1177" s="19">
        <v>4000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58" t="s">
        <v>1618</v>
      </c>
      <c r="AV1177" s="19"/>
      <c r="AW1177" s="20" t="s">
        <v>1526</v>
      </c>
      <c r="AX1177" s="19" t="s">
        <v>534</v>
      </c>
      <c r="AY1177" s="19">
        <v>10000009</v>
      </c>
      <c r="AZ1177" s="19">
        <v>21030010</v>
      </c>
      <c r="BA1177" s="18" t="s">
        <v>1528</v>
      </c>
      <c r="BB1177" s="20">
        <v>0</v>
      </c>
      <c r="BC1177" s="28">
        <v>0</v>
      </c>
      <c r="BD1177" s="28">
        <v>0</v>
      </c>
      <c r="BE1177" s="186" t="str">
        <f t="shared" si="135"/>
        <v>立即对自身周围的敌方单位造成375%攻击伤害+4000点固定伤害，并眩晕1秒，并对目标种下一个印记，印记在1秒后对范围内造成250%伤害。</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2391</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4</v>
      </c>
      <c r="Y1178" s="13">
        <v>0</v>
      </c>
      <c r="Z1178" s="19">
        <v>5200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58" t="s">
        <v>1618</v>
      </c>
      <c r="AV1178" s="19"/>
      <c r="AW1178" s="20" t="s">
        <v>1526</v>
      </c>
      <c r="AX1178" s="19" t="s">
        <v>534</v>
      </c>
      <c r="AY1178" s="19">
        <v>10000009</v>
      </c>
      <c r="AZ1178" s="19">
        <v>21030010</v>
      </c>
      <c r="BA1178" s="18" t="s">
        <v>1528</v>
      </c>
      <c r="BB1178" s="20">
        <v>0</v>
      </c>
      <c r="BC1178" s="28">
        <v>0</v>
      </c>
      <c r="BD1178" s="28">
        <v>0</v>
      </c>
      <c r="BE1178" s="186" t="str">
        <f t="shared" si="135"/>
        <v>立即对自身周围的敌方单位造成400%攻击伤害+5200点固定伤害，并眩晕1秒，并对目标种下一个印记，印记在1秒后对范围内造成250%伤害。</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2392</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0" t="s">
        <v>2393</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2392</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0" t="s">
        <v>2393</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2392</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0" t="s">
        <v>2393</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2392</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0" t="s">
        <v>2393</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2392</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0" t="s">
        <v>2393</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2392</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0" t="s">
        <v>2393</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8"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8" t="s">
        <v>1618</v>
      </c>
      <c r="AV1186" s="19"/>
      <c r="AW1186" s="20" t="s">
        <v>1526</v>
      </c>
      <c r="AX1186" s="19" t="s">
        <v>534</v>
      </c>
      <c r="AY1186" s="19">
        <v>10000009</v>
      </c>
      <c r="AZ1186" s="19">
        <v>21030010</v>
      </c>
      <c r="BA1186" s="18" t="s">
        <v>1528</v>
      </c>
      <c r="BB1186" s="20">
        <v>0</v>
      </c>
      <c r="BC1186" s="28">
        <v>0</v>
      </c>
      <c r="BD1186" s="28">
        <v>0</v>
      </c>
      <c r="BE1186" s="186" t="str">
        <f t="shared" ref="BE1186:BE1190" si="136">"立即对目标范围内的怪物造成"&amp;X1186*100&amp;"%攻击伤害+"&amp;Z1186&amp;"点固定伤害,并附带1秒眩晕效果,对怪物将怪立即拉近至自身攻击范围并将眩晕效果将提升至2秒"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8" t="s">
        <v>1618</v>
      </c>
      <c r="AV1187" s="19"/>
      <c r="AW1187" s="20" t="s">
        <v>1526</v>
      </c>
      <c r="AX1187" s="19" t="s">
        <v>534</v>
      </c>
      <c r="AY1187" s="19">
        <v>10000009</v>
      </c>
      <c r="AZ1187" s="19">
        <v>21030010</v>
      </c>
      <c r="BA1187" s="18" t="s">
        <v>1528</v>
      </c>
      <c r="BB1187" s="20">
        <v>0</v>
      </c>
      <c r="BC1187" s="28">
        <v>0</v>
      </c>
      <c r="BD1187" s="28">
        <v>0</v>
      </c>
      <c r="BE1187" s="186" t="str">
        <f t="shared" si="136"/>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8" t="s">
        <v>1618</v>
      </c>
      <c r="AV1188" s="19"/>
      <c r="AW1188" s="20" t="s">
        <v>1526</v>
      </c>
      <c r="AX1188" s="19" t="s">
        <v>534</v>
      </c>
      <c r="AY1188" s="19">
        <v>10000009</v>
      </c>
      <c r="AZ1188" s="19">
        <v>21030010</v>
      </c>
      <c r="BA1188" s="18" t="s">
        <v>1528</v>
      </c>
      <c r="BB1188" s="20">
        <v>0</v>
      </c>
      <c r="BC1188" s="28">
        <v>0</v>
      </c>
      <c r="BD1188" s="28">
        <v>0</v>
      </c>
      <c r="BE1188" s="186" t="str">
        <f t="shared" si="136"/>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8" t="s">
        <v>1618</v>
      </c>
      <c r="AV1189" s="19"/>
      <c r="AW1189" s="20" t="s">
        <v>1526</v>
      </c>
      <c r="AX1189" s="19" t="s">
        <v>534</v>
      </c>
      <c r="AY1189" s="19">
        <v>10000009</v>
      </c>
      <c r="AZ1189" s="19">
        <v>21030010</v>
      </c>
      <c r="BA1189" s="18" t="s">
        <v>1528</v>
      </c>
      <c r="BB1189" s="20">
        <v>0</v>
      </c>
      <c r="BC1189" s="28">
        <v>0</v>
      </c>
      <c r="BD1189" s="28">
        <v>0</v>
      </c>
      <c r="BE1189" s="186" t="str">
        <f t="shared" si="136"/>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8" t="s">
        <v>1618</v>
      </c>
      <c r="AV1190" s="19"/>
      <c r="AW1190" s="20" t="s">
        <v>1526</v>
      </c>
      <c r="AX1190" s="19" t="s">
        <v>534</v>
      </c>
      <c r="AY1190" s="19">
        <v>10000009</v>
      </c>
      <c r="AZ1190" s="19">
        <v>21030010</v>
      </c>
      <c r="BA1190" s="18" t="s">
        <v>1528</v>
      </c>
      <c r="BB1190" s="20">
        <v>0</v>
      </c>
      <c r="BC1190" s="28">
        <v>0</v>
      </c>
      <c r="BD1190" s="28">
        <v>0</v>
      </c>
      <c r="BE1190" s="186" t="str">
        <f t="shared" si="136"/>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2394</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4" t="s">
        <v>2395</v>
      </c>
      <c r="AU1191" s="103" t="s">
        <v>198</v>
      </c>
      <c r="AV1191" s="62"/>
      <c r="AW1191" s="101" t="s">
        <v>198</v>
      </c>
      <c r="AX1191" s="103" t="s">
        <v>545</v>
      </c>
      <c r="AY1191" s="102">
        <v>0</v>
      </c>
      <c r="AZ1191" s="102">
        <v>77005104</v>
      </c>
      <c r="BA1191" s="101" t="s">
        <v>1165</v>
      </c>
      <c r="BB1191" s="103">
        <v>0</v>
      </c>
      <c r="BC1191" s="107">
        <v>0</v>
      </c>
      <c r="BD1191" s="107">
        <v>0</v>
      </c>
      <c r="BE1191" s="186" t="str">
        <f>"自身变成一个风暴进行快速移动且自身为无敌状态，对途径的敌方单位造成"&amp;X1191*100&amp;"%攻击伤害+"&amp;Z1191&amp;"点固定伤害"</f>
        <v>自身变成一个风暴进行快速移动且自身为无敌状态，对途径的敌方单位造成240%攻击伤害+900点固定伤害</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2394</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4" t="s">
        <v>2395</v>
      </c>
      <c r="AU1192" s="103" t="s">
        <v>198</v>
      </c>
      <c r="AV1192" s="62"/>
      <c r="AW1192" s="101" t="s">
        <v>198</v>
      </c>
      <c r="AX1192" s="103" t="s">
        <v>545</v>
      </c>
      <c r="AY1192" s="102">
        <v>0</v>
      </c>
      <c r="AZ1192" s="102">
        <v>77005104</v>
      </c>
      <c r="BA1192" s="101" t="s">
        <v>1165</v>
      </c>
      <c r="BB1192" s="103">
        <v>0</v>
      </c>
      <c r="BC1192" s="107">
        <v>0</v>
      </c>
      <c r="BD1192" s="107">
        <v>0</v>
      </c>
      <c r="BE1192" s="186" t="str">
        <f t="shared" ref="BE1192:BE1196" si="137">"自身变成一个风暴进行快速移动且自身为无敌状态，对途径的敌方单位造成"&amp;X1192*100&amp;"%攻击伤害+"&amp;Z1192&amp;"点固定伤害"</f>
        <v>自身变成一个风暴进行快速移动且自身为无敌状态，对途径的敌方单位造成240%攻击伤害+900点固定伤害</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2394</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4" t="s">
        <v>2395</v>
      </c>
      <c r="AU1193" s="103" t="s">
        <v>198</v>
      </c>
      <c r="AV1193" s="62"/>
      <c r="AW1193" s="101" t="s">
        <v>198</v>
      </c>
      <c r="AX1193" s="103" t="s">
        <v>545</v>
      </c>
      <c r="AY1193" s="102">
        <v>0</v>
      </c>
      <c r="AZ1193" s="102">
        <v>77005104</v>
      </c>
      <c r="BA1193" s="101" t="s">
        <v>1165</v>
      </c>
      <c r="BB1193" s="103">
        <v>0</v>
      </c>
      <c r="BC1193" s="107">
        <v>0</v>
      </c>
      <c r="BD1193" s="107">
        <v>0</v>
      </c>
      <c r="BE1193" s="186" t="str">
        <f t="shared" si="137"/>
        <v>自身变成一个风暴进行快速移动且自身为无敌状态，对途径的敌方单位造成270%攻击伤害+1800点固定伤害</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2394</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4" t="s">
        <v>2395</v>
      </c>
      <c r="AU1194" s="103" t="s">
        <v>198</v>
      </c>
      <c r="AV1194" s="62"/>
      <c r="AW1194" s="101" t="s">
        <v>198</v>
      </c>
      <c r="AX1194" s="103" t="s">
        <v>545</v>
      </c>
      <c r="AY1194" s="102">
        <v>0</v>
      </c>
      <c r="AZ1194" s="102">
        <v>77005104</v>
      </c>
      <c r="BA1194" s="101" t="s">
        <v>1165</v>
      </c>
      <c r="BB1194" s="103">
        <v>0</v>
      </c>
      <c r="BC1194" s="107">
        <v>0</v>
      </c>
      <c r="BD1194" s="107">
        <v>0</v>
      </c>
      <c r="BE1194" s="186" t="str">
        <f t="shared" si="137"/>
        <v>自身变成一个风暴进行快速移动且自身为无敌状态，对途径的敌方单位造成300%攻击伤害+2800点固定伤害</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2394</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4" t="s">
        <v>2395</v>
      </c>
      <c r="AU1195" s="103" t="s">
        <v>198</v>
      </c>
      <c r="AV1195" s="62"/>
      <c r="AW1195" s="101" t="s">
        <v>198</v>
      </c>
      <c r="AX1195" s="103" t="s">
        <v>545</v>
      </c>
      <c r="AY1195" s="102">
        <v>0</v>
      </c>
      <c r="AZ1195" s="102">
        <v>77005104</v>
      </c>
      <c r="BA1195" s="101" t="s">
        <v>1165</v>
      </c>
      <c r="BB1195" s="103">
        <v>0</v>
      </c>
      <c r="BC1195" s="107">
        <v>0</v>
      </c>
      <c r="BD1195" s="107">
        <v>0</v>
      </c>
      <c r="BE1195" s="186" t="str">
        <f t="shared" si="137"/>
        <v>自身变成一个风暴进行快速移动且自身为无敌状态，对途径的敌方单位造成330%攻击伤害+4000点固定伤害</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2394</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4" t="s">
        <v>2395</v>
      </c>
      <c r="AU1196" s="103" t="s">
        <v>198</v>
      </c>
      <c r="AV1196" s="62"/>
      <c r="AW1196" s="101" t="s">
        <v>198</v>
      </c>
      <c r="AX1196" s="103" t="s">
        <v>545</v>
      </c>
      <c r="AY1196" s="102">
        <v>0</v>
      </c>
      <c r="AZ1196" s="102">
        <v>77005104</v>
      </c>
      <c r="BA1196" s="101" t="s">
        <v>1165</v>
      </c>
      <c r="BB1196" s="103">
        <v>0</v>
      </c>
      <c r="BC1196" s="107">
        <v>0</v>
      </c>
      <c r="BD1196" s="107">
        <v>0</v>
      </c>
      <c r="BE1196" s="186" t="str">
        <f t="shared" si="137"/>
        <v>自身变成一个风暴进行快速移动且自身为无敌状态，对途径的敌方单位造成360%攻击伤害+5200点固定伤害</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3"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3"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3"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3"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3"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3"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2396</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1" t="s">
        <v>2397</v>
      </c>
      <c r="BC1203" s="28">
        <v>0</v>
      </c>
      <c r="BD1203" s="28">
        <v>0</v>
      </c>
      <c r="BE1203" s="46" t="s">
        <v>2398</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2396</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1" t="s">
        <v>2397</v>
      </c>
      <c r="BC1204" s="28">
        <v>0</v>
      </c>
      <c r="BD1204" s="28">
        <v>0</v>
      </c>
      <c r="BE1204" s="46" t="s">
        <v>2398</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2396</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1" t="s">
        <v>2399</v>
      </c>
      <c r="BC1205" s="28">
        <v>0</v>
      </c>
      <c r="BD1205" s="28">
        <v>0</v>
      </c>
      <c r="BE1205" s="46" t="s">
        <v>2400</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2396</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1" t="s">
        <v>2401</v>
      </c>
      <c r="BC1206" s="28">
        <v>0</v>
      </c>
      <c r="BD1206" s="28">
        <v>0</v>
      </c>
      <c r="BE1206" s="46" t="s">
        <v>2402</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2396</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1" t="s">
        <v>2403</v>
      </c>
      <c r="BC1207" s="28">
        <v>0</v>
      </c>
      <c r="BD1207" s="28">
        <v>0</v>
      </c>
      <c r="BE1207" s="46" t="s">
        <v>2404</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2396</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1" t="s">
        <v>2405</v>
      </c>
      <c r="BC1208" s="28">
        <v>0</v>
      </c>
      <c r="BD1208" s="28">
        <v>0</v>
      </c>
      <c r="BE1208" s="46" t="s">
        <v>2406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2407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0" t="s">
        <v>2408</v>
      </c>
      <c r="AU1209" s="13" t="s">
        <v>198</v>
      </c>
      <c r="AV1209" s="13"/>
      <c r="AW1209" s="14" t="s">
        <v>199</v>
      </c>
      <c r="AX1209" s="13" t="s">
        <v>1408</v>
      </c>
      <c r="AY1209" s="13">
        <v>0</v>
      </c>
      <c r="AZ1209" s="13">
        <v>21020020</v>
      </c>
      <c r="BA1209" s="14" t="s">
        <v>200</v>
      </c>
      <c r="BB1209" s="14">
        <v>0</v>
      </c>
      <c r="BC1209" s="13">
        <v>0</v>
      </c>
      <c r="BD1209" s="13">
        <v>0</v>
      </c>
      <c r="BE1209" s="187" t="s">
        <v>2409</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2407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0" t="s">
        <v>2408</v>
      </c>
      <c r="AU1210" s="13" t="s">
        <v>198</v>
      </c>
      <c r="AV1210" s="13"/>
      <c r="AW1210" s="14" t="s">
        <v>199</v>
      </c>
      <c r="AX1210" s="13" t="s">
        <v>1408</v>
      </c>
      <c r="AY1210" s="13">
        <v>0</v>
      </c>
      <c r="AZ1210" s="13">
        <v>21020020</v>
      </c>
      <c r="BA1210" s="14" t="s">
        <v>200</v>
      </c>
      <c r="BB1210" s="14">
        <v>0</v>
      </c>
      <c r="BC1210" s="13">
        <v>0</v>
      </c>
      <c r="BD1210" s="13">
        <v>0</v>
      </c>
      <c r="BE1210" s="187" t="s">
        <v>2409</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2407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0" t="s">
        <v>2410</v>
      </c>
      <c r="AU1211" s="13" t="s">
        <v>198</v>
      </c>
      <c r="AV1211" s="13"/>
      <c r="AW1211" s="14" t="s">
        <v>199</v>
      </c>
      <c r="AX1211" s="13" t="s">
        <v>1408</v>
      </c>
      <c r="AY1211" s="13">
        <v>0</v>
      </c>
      <c r="AZ1211" s="13">
        <v>21020020</v>
      </c>
      <c r="BA1211" s="14" t="s">
        <v>200</v>
      </c>
      <c r="BB1211" s="14">
        <v>0</v>
      </c>
      <c r="BC1211" s="13">
        <v>0</v>
      </c>
      <c r="BD1211" s="13">
        <v>0</v>
      </c>
      <c r="BE1211" s="187" t="s">
        <v>2411</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2407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0" t="s">
        <v>2412</v>
      </c>
      <c r="AU1212" s="13" t="s">
        <v>198</v>
      </c>
      <c r="AV1212" s="13"/>
      <c r="AW1212" s="14" t="s">
        <v>199</v>
      </c>
      <c r="AX1212" s="13" t="s">
        <v>1408</v>
      </c>
      <c r="AY1212" s="13">
        <v>0</v>
      </c>
      <c r="AZ1212" s="13">
        <v>21020020</v>
      </c>
      <c r="BA1212" s="14" t="s">
        <v>200</v>
      </c>
      <c r="BB1212" s="14">
        <v>0</v>
      </c>
      <c r="BC1212" s="13">
        <v>0</v>
      </c>
      <c r="BD1212" s="13">
        <v>0</v>
      </c>
      <c r="BE1212" s="187" t="s">
        <v>2413</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2407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0" t="s">
        <v>2414</v>
      </c>
      <c r="AU1213" s="13" t="s">
        <v>198</v>
      </c>
      <c r="AV1213" s="13"/>
      <c r="AW1213" s="14" t="s">
        <v>199</v>
      </c>
      <c r="AX1213" s="13" t="s">
        <v>1408</v>
      </c>
      <c r="AY1213" s="13">
        <v>0</v>
      </c>
      <c r="AZ1213" s="13">
        <v>21020020</v>
      </c>
      <c r="BA1213" s="14" t="s">
        <v>200</v>
      </c>
      <c r="BB1213" s="14">
        <v>0</v>
      </c>
      <c r="BC1213" s="13">
        <v>0</v>
      </c>
      <c r="BD1213" s="13">
        <v>0</v>
      </c>
      <c r="BE1213" s="187" t="s">
        <v>2415</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2407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0" t="s">
        <v>2416</v>
      </c>
      <c r="AU1214" s="13" t="s">
        <v>198</v>
      </c>
      <c r="AV1214" s="13"/>
      <c r="AW1214" s="14" t="s">
        <v>199</v>
      </c>
      <c r="AX1214" s="13" t="s">
        <v>1408</v>
      </c>
      <c r="AY1214" s="13">
        <v>0</v>
      </c>
      <c r="AZ1214" s="13">
        <v>21020020</v>
      </c>
      <c r="BA1214" s="14" t="s">
        <v>200</v>
      </c>
      <c r="BB1214" s="14">
        <v>0</v>
      </c>
      <c r="BC1214" s="13">
        <v>0</v>
      </c>
      <c r="BD1214" s="13">
        <v>0</v>
      </c>
      <c r="BE1214" s="187" t="s">
        <v>2417</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2418</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92041060</v>
      </c>
      <c r="AV1215" s="19"/>
      <c r="AW1215" s="20" t="s">
        <v>199</v>
      </c>
      <c r="AX1215" s="19" t="s">
        <v>534</v>
      </c>
      <c r="AY1215" s="19">
        <v>10003002</v>
      </c>
      <c r="AZ1215" s="19">
        <v>21100060</v>
      </c>
      <c r="BA1215" s="20" t="s">
        <v>200</v>
      </c>
      <c r="BB1215" s="20">
        <v>0</v>
      </c>
      <c r="BC1215" s="28">
        <v>0</v>
      </c>
      <c r="BD1215" s="28">
        <v>0</v>
      </c>
      <c r="BE1215" s="186" t="str">
        <f>"对前方敌人造成"&amp;X1215*100&amp;"%攻击伤害+"&amp;Z1215&amp;"点固定伤害,并置空1秒,如果目标血量低于30%则额外提升50%伤害。"</f>
        <v>对前方敌人造成325%攻击伤害+1350点固定伤害,并置空1秒,如果目标血量低于30%则额外提升50%伤害。</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t="s">
        <v>2419</v>
      </c>
      <c r="BW1215" s="49"/>
    </row>
    <row r="1216" ht="19.5" customHeight="1" spans="3:75">
      <c r="C1216" s="17">
        <v>65023302</v>
      </c>
      <c r="D1216" s="20" t="s">
        <v>2418</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92041060</v>
      </c>
      <c r="AV1216" s="19"/>
      <c r="AW1216" s="20" t="s">
        <v>199</v>
      </c>
      <c r="AX1216" s="19" t="s">
        <v>534</v>
      </c>
      <c r="AY1216" s="19">
        <v>10003002</v>
      </c>
      <c r="AZ1216" s="19">
        <v>21100060</v>
      </c>
      <c r="BA1216" s="20" t="s">
        <v>200</v>
      </c>
      <c r="BB1216" s="20">
        <v>0</v>
      </c>
      <c r="BC1216" s="28">
        <v>0</v>
      </c>
      <c r="BD1216" s="28">
        <v>0</v>
      </c>
      <c r="BE1216" s="186" t="str">
        <f t="shared" ref="BE1216:BE1220" si="138">"对前方敌人造成"&amp;X1216*100&amp;"%攻击伤害+"&amp;Z1216&amp;"点固定伤害,并置空1秒,如果目标血量低于30%则额外提升50%伤害。"</f>
        <v>对前方敌人造成325%攻击伤害+1350点固定伤害,并置空1秒,如果目标血量低于30%则额外提升50%伤害。</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t="s">
        <v>2419</v>
      </c>
      <c r="BW1216" s="49"/>
    </row>
    <row r="1217" ht="19.5" customHeight="1" spans="3:75">
      <c r="C1217" s="17">
        <v>65023303</v>
      </c>
      <c r="D1217" s="20" t="s">
        <v>2418</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92041060</v>
      </c>
      <c r="AV1217" s="19"/>
      <c r="AW1217" s="20" t="s">
        <v>199</v>
      </c>
      <c r="AX1217" s="19" t="s">
        <v>534</v>
      </c>
      <c r="AY1217" s="19">
        <v>10003002</v>
      </c>
      <c r="AZ1217" s="19">
        <v>21100060</v>
      </c>
      <c r="BA1217" s="20" t="s">
        <v>200</v>
      </c>
      <c r="BB1217" s="20">
        <v>0</v>
      </c>
      <c r="BC1217" s="28">
        <v>0</v>
      </c>
      <c r="BD1217" s="28">
        <v>0</v>
      </c>
      <c r="BE1217" s="186" t="str">
        <f t="shared" si="138"/>
        <v>对前方敌人造成350%攻击伤害+2700点固定伤害,并置空1秒,如果目标血量低于30%则额外提升50%伤害。</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t="s">
        <v>2419</v>
      </c>
      <c r="BW1217" s="49"/>
    </row>
    <row r="1218" ht="19.5" customHeight="1" spans="3:75">
      <c r="C1218" s="17">
        <v>65023304</v>
      </c>
      <c r="D1218" s="20" t="s">
        <v>2418</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92041060</v>
      </c>
      <c r="AV1218" s="19"/>
      <c r="AW1218" s="20" t="s">
        <v>199</v>
      </c>
      <c r="AX1218" s="19" t="s">
        <v>534</v>
      </c>
      <c r="AY1218" s="19">
        <v>10003002</v>
      </c>
      <c r="AZ1218" s="19">
        <v>21100060</v>
      </c>
      <c r="BA1218" s="20" t="s">
        <v>200</v>
      </c>
      <c r="BB1218" s="20">
        <v>0</v>
      </c>
      <c r="BC1218" s="28">
        <v>0</v>
      </c>
      <c r="BD1218" s="28">
        <v>0</v>
      </c>
      <c r="BE1218" s="186" t="str">
        <f t="shared" si="138"/>
        <v>对前方敌人造成375%攻击伤害+4200点固定伤害,并置空1秒,如果目标血量低于30%则额外提升50%伤害。</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t="s">
        <v>2419</v>
      </c>
      <c r="BW1218" s="49"/>
    </row>
    <row r="1219" ht="19.5" customHeight="1" spans="3:75">
      <c r="C1219" s="17">
        <v>65023305</v>
      </c>
      <c r="D1219" s="20" t="s">
        <v>2418</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21100060</v>
      </c>
      <c r="BA1219" s="20" t="s">
        <v>200</v>
      </c>
      <c r="BB1219" s="20">
        <v>0</v>
      </c>
      <c r="BC1219" s="28">
        <v>0</v>
      </c>
      <c r="BD1219" s="28">
        <v>0</v>
      </c>
      <c r="BE1219" s="186" t="str">
        <f t="shared" si="138"/>
        <v>对前方敌人造成400%攻击伤害+6000点固定伤害,并置空1秒,如果目标血量低于30%则额外提升50%伤害。</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2419</v>
      </c>
      <c r="BW1219" s="49"/>
    </row>
    <row r="1220" ht="19.5" customHeight="1" spans="3:75">
      <c r="C1220" s="17">
        <v>65023306</v>
      </c>
      <c r="D1220" s="20" t="s">
        <v>2418</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21100060</v>
      </c>
      <c r="BA1220" s="20" t="s">
        <v>200</v>
      </c>
      <c r="BB1220" s="20">
        <v>0</v>
      </c>
      <c r="BC1220" s="28">
        <v>0</v>
      </c>
      <c r="BD1220" s="28">
        <v>0</v>
      </c>
      <c r="BE1220" s="186" t="str">
        <f t="shared" si="138"/>
        <v>对前方敌人造成425%攻击伤害+7800点固定伤害,并置空1秒,如果目标血量低于30%则额外提升50%伤害。</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2419</v>
      </c>
      <c r="BW1220" s="49"/>
    </row>
    <row r="1221" ht="20.1" customHeight="1" spans="3:75">
      <c r="C1221" s="19">
        <v>65023401</v>
      </c>
      <c r="D1221" s="20" t="s">
        <v>2420</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19">
        <v>92041070</v>
      </c>
      <c r="AV1221" s="19"/>
      <c r="AW1221" s="20" t="s">
        <v>1526</v>
      </c>
      <c r="AX1221" s="19" t="s">
        <v>534</v>
      </c>
      <c r="AY1221" s="19">
        <v>10000009</v>
      </c>
      <c r="AZ1221" s="19">
        <v>21020050</v>
      </c>
      <c r="BA1221" s="18" t="s">
        <v>1528</v>
      </c>
      <c r="BB1221" s="20">
        <v>0</v>
      </c>
      <c r="BC1221" s="28">
        <v>0</v>
      </c>
      <c r="BD1221" s="28">
        <v>0</v>
      </c>
      <c r="BE1221" s="186" t="str">
        <f>"对自身大范围内的敌人目标造成"&amp;X1221*100&amp;"%攻击伤害+"&amp;Z1221&amp;"点固定伤害,，并将其快速拉回到自身前面，并造成1秒置空。"</f>
        <v>对自身大范围内的敌人目标造成250%攻击伤害+900点固定伤害,，并将其快速拉回到自身前面，并造成1秒置空。</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2420</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19">
        <v>92041070</v>
      </c>
      <c r="AV1222" s="19"/>
      <c r="AW1222" s="20" t="s">
        <v>1526</v>
      </c>
      <c r="AX1222" s="19" t="s">
        <v>534</v>
      </c>
      <c r="AY1222" s="19">
        <v>10000009</v>
      </c>
      <c r="AZ1222" s="19">
        <v>21030010</v>
      </c>
      <c r="BA1222" s="18" t="s">
        <v>1528</v>
      </c>
      <c r="BB1222" s="20">
        <v>0</v>
      </c>
      <c r="BC1222" s="28">
        <v>0</v>
      </c>
      <c r="BD1222" s="28">
        <v>0</v>
      </c>
      <c r="BE1222" s="186" t="str">
        <f t="shared" ref="BE1222:BE1226" si="139">"对自身大范围内的敌人目标造成"&amp;X1222*100&amp;"%攻击伤害+"&amp;Z1222&amp;"点固定伤害,，并将其快速拉回到自身前面，并造成1秒置空。"</f>
        <v>对自身大范围内的敌人目标造成250%攻击伤害+900点固定伤害,，并将其快速拉回到自身前面，并造成1秒置空。</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2420</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19">
        <v>92041070</v>
      </c>
      <c r="AV1223" s="19"/>
      <c r="AW1223" s="20" t="s">
        <v>1526</v>
      </c>
      <c r="AX1223" s="19" t="s">
        <v>534</v>
      </c>
      <c r="AY1223" s="19">
        <v>10000009</v>
      </c>
      <c r="AZ1223" s="19">
        <v>21030010</v>
      </c>
      <c r="BA1223" s="18" t="s">
        <v>1528</v>
      </c>
      <c r="BB1223" s="20">
        <v>0</v>
      </c>
      <c r="BC1223" s="28">
        <v>0</v>
      </c>
      <c r="BD1223" s="28">
        <v>0</v>
      </c>
      <c r="BE1223" s="186" t="str">
        <f t="shared" si="139"/>
        <v>对自身大范围内的敌人目标造成275%攻击伤害+1800点固定伤害,，并将其快速拉回到自身前面，并造成1秒置空。</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2420</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19">
        <v>92041070</v>
      </c>
      <c r="AV1224" s="19"/>
      <c r="AW1224" s="20" t="s">
        <v>1526</v>
      </c>
      <c r="AX1224" s="19" t="s">
        <v>534</v>
      </c>
      <c r="AY1224" s="19">
        <v>10000009</v>
      </c>
      <c r="AZ1224" s="19">
        <v>21030010</v>
      </c>
      <c r="BA1224" s="18" t="s">
        <v>1528</v>
      </c>
      <c r="BB1224" s="20">
        <v>0</v>
      </c>
      <c r="BC1224" s="28">
        <v>0</v>
      </c>
      <c r="BD1224" s="28">
        <v>0</v>
      </c>
      <c r="BE1224" s="186" t="str">
        <f t="shared" si="139"/>
        <v>对自身大范围内的敌人目标造成300%攻击伤害+2800点固定伤害,，并将其快速拉回到自身前面，并造成1秒置空。</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2420</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1526</v>
      </c>
      <c r="AX1225" s="19" t="s">
        <v>534</v>
      </c>
      <c r="AY1225" s="19">
        <v>10000009</v>
      </c>
      <c r="AZ1225" s="19">
        <v>21030010</v>
      </c>
      <c r="BA1225" s="18" t="s">
        <v>1528</v>
      </c>
      <c r="BB1225" s="20">
        <v>0</v>
      </c>
      <c r="BC1225" s="28">
        <v>0</v>
      </c>
      <c r="BD1225" s="28">
        <v>0</v>
      </c>
      <c r="BE1225" s="186" t="str">
        <f t="shared" si="139"/>
        <v>对自身大范围内的敌人目标造成325%攻击伤害+4000点固定伤害,，并将其快速拉回到自身前面，并造成1秒置空。</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2420</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1526</v>
      </c>
      <c r="AX1226" s="19" t="s">
        <v>534</v>
      </c>
      <c r="AY1226" s="19">
        <v>10000009</v>
      </c>
      <c r="AZ1226" s="19">
        <v>21030010</v>
      </c>
      <c r="BA1226" s="18" t="s">
        <v>1528</v>
      </c>
      <c r="BB1226" s="20">
        <v>0</v>
      </c>
      <c r="BC1226" s="28">
        <v>0</v>
      </c>
      <c r="BD1226" s="28">
        <v>0</v>
      </c>
      <c r="BE1226" s="186" t="str">
        <f t="shared" si="139"/>
        <v>对自身大范围内的敌人目标造成350%攻击伤害+5200点固定伤害,，并将其快速拉回到自身前面，并造成1秒置空。</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2421</v>
      </c>
      <c r="E1227" s="14" t="s">
        <v>2422</v>
      </c>
      <c r="F1227" s="19">
        <v>1</v>
      </c>
      <c r="G1227" s="19">
        <v>60031111</v>
      </c>
      <c r="H1227" s="19">
        <v>0</v>
      </c>
      <c r="I1227" s="28">
        <v>0</v>
      </c>
      <c r="J1227" s="19">
        <v>60</v>
      </c>
      <c r="K1227" s="19">
        <v>0</v>
      </c>
      <c r="L1227" s="19">
        <v>0</v>
      </c>
      <c r="M1227" s="17">
        <v>0</v>
      </c>
      <c r="N1227" s="17">
        <v>0</v>
      </c>
      <c r="O1227" s="19">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2423</v>
      </c>
      <c r="AX1227" s="17" t="s">
        <v>534</v>
      </c>
      <c r="AY1227" s="19">
        <v>10000007</v>
      </c>
      <c r="AZ1227" s="19">
        <v>22001001</v>
      </c>
      <c r="BA1227" s="20" t="s">
        <v>586</v>
      </c>
      <c r="BB1227" s="28" t="s">
        <v>2424</v>
      </c>
      <c r="BC1227" s="28">
        <v>0</v>
      </c>
      <c r="BD1227" s="28">
        <v>1</v>
      </c>
      <c r="BE1227" s="46" t="s">
        <v>2425</v>
      </c>
      <c r="BF1227" s="46" t="s">
        <v>2426</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2427</v>
      </c>
      <c r="E1228" s="14" t="s">
        <v>2428</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2429</v>
      </c>
      <c r="BF1228" s="186" t="s">
        <v>2430</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2431</v>
      </c>
      <c r="E1229" s="14" t="s">
        <v>2432</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8" t="s">
        <v>2433</v>
      </c>
      <c r="AV1229" s="19"/>
      <c r="AW1229" s="14" t="s">
        <v>199</v>
      </c>
      <c r="AX1229" s="19" t="s">
        <v>1408</v>
      </c>
      <c r="AY1229" s="13" t="s">
        <v>198</v>
      </c>
      <c r="AZ1229" s="358" t="s">
        <v>2434</v>
      </c>
      <c r="BA1229" s="14" t="s">
        <v>200</v>
      </c>
      <c r="BB1229" s="13">
        <v>0</v>
      </c>
      <c r="BC1229" s="28">
        <v>0</v>
      </c>
      <c r="BD1229" s="28">
        <v>1</v>
      </c>
      <c r="BE1229" s="186" t="s">
        <v>2435</v>
      </c>
      <c r="BF1229" s="186" t="s">
        <v>2436</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2437</v>
      </c>
      <c r="E1230" s="14" t="s">
        <v>2438</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2439</v>
      </c>
      <c r="E1231" s="14" t="s">
        <v>2440</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2441</v>
      </c>
      <c r="BB1231" s="20" t="s">
        <v>371</v>
      </c>
      <c r="BC1231" s="28">
        <v>0</v>
      </c>
      <c r="BD1231" s="28">
        <v>1</v>
      </c>
      <c r="BE1231" s="186" t="s">
        <v>2442</v>
      </c>
      <c r="BF1231" s="186" t="s">
        <v>2443</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2444</v>
      </c>
      <c r="E1232" s="14" t="s">
        <v>2445</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2446</v>
      </c>
      <c r="BF1232" s="186" t="s">
        <v>2447</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2448</v>
      </c>
      <c r="E1233" s="14" t="s">
        <v>2449</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8" t="s">
        <v>2450</v>
      </c>
      <c r="AV1233" s="19"/>
      <c r="AW1233" s="20" t="s">
        <v>1536</v>
      </c>
      <c r="AX1233" s="19" t="s">
        <v>1408</v>
      </c>
      <c r="AY1233" s="19">
        <v>10002001</v>
      </c>
      <c r="AZ1233" s="19">
        <v>22001006</v>
      </c>
      <c r="BA1233" s="20" t="s">
        <v>2451</v>
      </c>
      <c r="BB1233" s="28" t="s">
        <v>2452</v>
      </c>
      <c r="BC1233" s="28">
        <v>0</v>
      </c>
      <c r="BD1233" s="28">
        <v>1</v>
      </c>
      <c r="BE1233" s="186" t="s">
        <v>2453</v>
      </c>
      <c r="BF1233" s="186" t="s">
        <v>2454</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2455</v>
      </c>
      <c r="E1234" s="151" t="s">
        <v>2456</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2457</v>
      </c>
      <c r="BF1234" s="170" t="s">
        <v>2458</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2459</v>
      </c>
      <c r="E1235" s="203" t="s">
        <v>2460</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2461</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2462</v>
      </c>
      <c r="E1236" s="202" t="s">
        <v>2463</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2464</v>
      </c>
      <c r="BC1236" s="176">
        <v>0</v>
      </c>
      <c r="BD1236" s="176" t="s">
        <v>2465</v>
      </c>
      <c r="BE1236" s="208" t="s">
        <v>2466</v>
      </c>
      <c r="BF1236" s="208" t="s">
        <v>2467</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2468</v>
      </c>
      <c r="E1237" s="175" t="s">
        <v>2469</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2470</v>
      </c>
      <c r="BC1237" s="176">
        <v>0</v>
      </c>
      <c r="BD1237" s="176">
        <v>0</v>
      </c>
      <c r="BE1237" s="208" t="s">
        <v>2471</v>
      </c>
      <c r="BF1237" s="208" t="s">
        <v>2472</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2473</v>
      </c>
      <c r="E1238" s="61" t="s">
        <v>2474</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4" t="s">
        <v>2475</v>
      </c>
      <c r="BC1238" s="68">
        <v>0</v>
      </c>
      <c r="BD1238" s="68">
        <v>0</v>
      </c>
      <c r="BE1238" s="92" t="s">
        <v>2476</v>
      </c>
      <c r="BF1238" s="92" t="s">
        <v>2477</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2478</v>
      </c>
      <c r="E1239" s="202" t="s">
        <v>2479</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2464</v>
      </c>
      <c r="BC1239" s="176">
        <v>0</v>
      </c>
      <c r="BD1239" s="176" t="s">
        <v>2465</v>
      </c>
      <c r="BE1239" s="208" t="s">
        <v>2466</v>
      </c>
      <c r="BF1239" s="208" t="s">
        <v>2467</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2480</v>
      </c>
      <c r="E1240" s="14" t="s">
        <v>2481</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2446</v>
      </c>
      <c r="BF1240" s="186" t="s">
        <v>2447</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2482</v>
      </c>
      <c r="E1241" s="14" t="s">
        <v>2483</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2423</v>
      </c>
      <c r="AX1241" s="17" t="s">
        <v>534</v>
      </c>
      <c r="AY1241" s="19">
        <v>10000007</v>
      </c>
      <c r="AZ1241" s="19">
        <v>22001001</v>
      </c>
      <c r="BA1241" s="20" t="s">
        <v>586</v>
      </c>
      <c r="BB1241" s="28" t="s">
        <v>2464</v>
      </c>
      <c r="BC1241" s="28">
        <v>0</v>
      </c>
      <c r="BD1241" s="28">
        <v>1</v>
      </c>
      <c r="BE1241" s="46" t="s">
        <v>2484</v>
      </c>
      <c r="BF1241" s="46" t="s">
        <v>2485</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2486</v>
      </c>
      <c r="E1242" s="14" t="s">
        <v>2487</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2488</v>
      </c>
      <c r="E1243" s="14" t="s">
        <v>2489</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8" t="s">
        <v>2433</v>
      </c>
      <c r="AV1243" s="19"/>
      <c r="AW1243" s="14" t="s">
        <v>199</v>
      </c>
      <c r="AX1243" s="19" t="s">
        <v>1408</v>
      </c>
      <c r="AY1243" s="13" t="s">
        <v>198</v>
      </c>
      <c r="AZ1243" s="358" t="s">
        <v>2434</v>
      </c>
      <c r="BA1243" s="14" t="s">
        <v>200</v>
      </c>
      <c r="BB1243" s="13">
        <v>0</v>
      </c>
      <c r="BC1243" s="28">
        <v>0</v>
      </c>
      <c r="BD1243" s="28">
        <v>1</v>
      </c>
      <c r="BE1243" s="186" t="s">
        <v>2435</v>
      </c>
      <c r="BF1243" s="186" t="s">
        <v>2436</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2490</v>
      </c>
      <c r="E1244" s="14" t="s">
        <v>2491</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2441</v>
      </c>
      <c r="BB1244" s="20" t="s">
        <v>371</v>
      </c>
      <c r="BC1244" s="28">
        <v>0</v>
      </c>
      <c r="BD1244" s="28">
        <v>1</v>
      </c>
      <c r="BE1244" s="186" t="s">
        <v>2442</v>
      </c>
      <c r="BF1244" s="186" t="s">
        <v>2443</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2492</v>
      </c>
      <c r="E1245" s="14" t="s">
        <v>2493</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2446</v>
      </c>
      <c r="BF1245" s="186" t="s">
        <v>2447</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2494</v>
      </c>
      <c r="E1246" s="14" t="s">
        <v>2495</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8" t="s">
        <v>2450</v>
      </c>
      <c r="AV1246" s="19"/>
      <c r="AW1246" s="20" t="s">
        <v>1536</v>
      </c>
      <c r="AX1246" s="19" t="s">
        <v>1408</v>
      </c>
      <c r="AY1246" s="19">
        <v>10002001</v>
      </c>
      <c r="AZ1246" s="19">
        <v>22001006</v>
      </c>
      <c r="BA1246" s="20" t="s">
        <v>2451</v>
      </c>
      <c r="BB1246" s="28" t="s">
        <v>2452</v>
      </c>
      <c r="BC1246" s="28">
        <v>0</v>
      </c>
      <c r="BD1246" s="28">
        <v>1</v>
      </c>
      <c r="BE1246" s="186" t="s">
        <v>2453</v>
      </c>
      <c r="BF1246" s="186" t="s">
        <v>2454</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2496</v>
      </c>
      <c r="E1247" s="203" t="s">
        <v>2497</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8" t="s">
        <v>2450</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2498</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2499</v>
      </c>
      <c r="E1248" s="202" t="s">
        <v>2500</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2423</v>
      </c>
      <c r="AX1248" s="174" t="s">
        <v>534</v>
      </c>
      <c r="AY1248" s="178">
        <v>10000007</v>
      </c>
      <c r="AZ1248" s="178">
        <v>21202090</v>
      </c>
      <c r="BA1248" s="203" t="s">
        <v>586</v>
      </c>
      <c r="BB1248" s="176" t="s">
        <v>2464</v>
      </c>
      <c r="BC1248" s="176">
        <v>0</v>
      </c>
      <c r="BD1248" s="176">
        <v>1</v>
      </c>
      <c r="BE1248" s="208" t="s">
        <v>2484</v>
      </c>
      <c r="BF1248" s="208" t="s">
        <v>2485</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2501</v>
      </c>
      <c r="E1249" s="175" t="s">
        <v>2502</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2503</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2504</v>
      </c>
      <c r="E1250" s="14" t="s">
        <v>2505</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2506</v>
      </c>
      <c r="BF1250" s="44" t="s">
        <v>2507</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2508</v>
      </c>
      <c r="BF1251" s="241" t="s">
        <v>2509</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2510</v>
      </c>
      <c r="E1252" s="14" t="s">
        <v>2511</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2512</v>
      </c>
      <c r="BA1252" s="14" t="s">
        <v>200</v>
      </c>
      <c r="BB1252" s="13">
        <v>0</v>
      </c>
      <c r="BC1252" s="13">
        <v>0</v>
      </c>
      <c r="BD1252" s="13">
        <v>0</v>
      </c>
      <c r="BE1252" s="44" t="s">
        <v>2513</v>
      </c>
      <c r="BF1252" s="44" t="s">
        <v>2514</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2515</v>
      </c>
      <c r="BF1253" s="242" t="s">
        <v>2516</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2517</v>
      </c>
      <c r="E1254" s="14" t="s">
        <v>2518</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0" t="s">
        <v>2519</v>
      </c>
      <c r="AU1254" s="13" t="s">
        <v>198</v>
      </c>
      <c r="AV1254" s="13"/>
      <c r="AW1254" s="14" t="s">
        <v>199</v>
      </c>
      <c r="AX1254" s="13" t="s">
        <v>2081</v>
      </c>
      <c r="AY1254" s="13">
        <v>0</v>
      </c>
      <c r="AZ1254" s="13">
        <v>0</v>
      </c>
      <c r="BA1254" s="14" t="s">
        <v>200</v>
      </c>
      <c r="BB1254" s="14" t="s">
        <v>198</v>
      </c>
      <c r="BC1254" s="13">
        <v>0</v>
      </c>
      <c r="BD1254" s="13">
        <v>0</v>
      </c>
      <c r="BE1254" s="44" t="s">
        <v>2520</v>
      </c>
      <c r="BF1254" s="44" t="s">
        <v>2521</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2522</v>
      </c>
      <c r="E1255" s="126" t="s">
        <v>2523</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2524</v>
      </c>
      <c r="BF1255" s="242" t="s">
        <v>2525</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2512</v>
      </c>
      <c r="BA1256" s="14" t="s">
        <v>200</v>
      </c>
      <c r="BB1256" s="13">
        <v>0</v>
      </c>
      <c r="BC1256" s="13" t="s">
        <v>2526</v>
      </c>
      <c r="BD1256" s="13">
        <v>0</v>
      </c>
      <c r="BE1256" s="44" t="s">
        <v>2527</v>
      </c>
      <c r="BF1256" s="44" t="s">
        <v>2528</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2529</v>
      </c>
      <c r="BF1257" s="241" t="s">
        <v>2530</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2531</v>
      </c>
      <c r="E1258" s="126" t="s">
        <v>2532</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1" t="s">
        <v>2533</v>
      </c>
      <c r="AU1258" s="70" t="s">
        <v>198</v>
      </c>
      <c r="AV1258" s="70"/>
      <c r="AW1258" s="126" t="s">
        <v>199</v>
      </c>
      <c r="AX1258" s="70" t="s">
        <v>1816</v>
      </c>
      <c r="AY1258" s="70">
        <v>0</v>
      </c>
      <c r="AZ1258" s="66">
        <v>21030020</v>
      </c>
      <c r="BA1258" s="126" t="s">
        <v>200</v>
      </c>
      <c r="BB1258" s="126" t="s">
        <v>198</v>
      </c>
      <c r="BC1258" s="70">
        <v>0</v>
      </c>
      <c r="BD1258" s="70">
        <v>0</v>
      </c>
      <c r="BE1258" s="242" t="s">
        <v>2534</v>
      </c>
      <c r="BF1258" s="242" t="s">
        <v>2535</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2536</v>
      </c>
      <c r="E1259" s="14" t="s">
        <v>2537</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0" t="s">
        <v>2538</v>
      </c>
      <c r="AU1259" s="13" t="s">
        <v>198</v>
      </c>
      <c r="AV1259" s="13"/>
      <c r="AW1259" s="14" t="s">
        <v>199</v>
      </c>
      <c r="AX1259" s="13" t="s">
        <v>348</v>
      </c>
      <c r="AY1259" s="13">
        <v>0</v>
      </c>
      <c r="AZ1259" s="13">
        <v>22000040</v>
      </c>
      <c r="BA1259" s="14" t="s">
        <v>200</v>
      </c>
      <c r="BB1259" s="14" t="s">
        <v>198</v>
      </c>
      <c r="BC1259" s="13">
        <v>0</v>
      </c>
      <c r="BD1259" s="13">
        <v>0</v>
      </c>
      <c r="BE1259" s="44" t="s">
        <v>2539</v>
      </c>
      <c r="BF1259" s="44" t="s">
        <v>2540</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2541</v>
      </c>
      <c r="E1260" s="14" t="s">
        <v>2542</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2543</v>
      </c>
      <c r="BF1260" s="44" t="s">
        <v>2544</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2545</v>
      </c>
      <c r="E1261" s="14" t="s">
        <v>2546</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2547</v>
      </c>
      <c r="BF1261" s="44" t="s">
        <v>2548</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2549</v>
      </c>
      <c r="E1262" s="14" t="s">
        <v>2550</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2551</v>
      </c>
      <c r="BF1262" s="44" t="s">
        <v>2552</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2553</v>
      </c>
      <c r="E1263" s="14" t="s">
        <v>2554</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2555</v>
      </c>
      <c r="BF1263" s="44" t="s">
        <v>2556</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2557</v>
      </c>
      <c r="E1264" s="14" t="s">
        <v>2558</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2559</v>
      </c>
      <c r="BF1264" s="44" t="s">
        <v>2560</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2561</v>
      </c>
      <c r="E1265" s="240" t="s">
        <v>2562</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2563</v>
      </c>
      <c r="BF1265" s="243" t="s">
        <v>2564</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2565</v>
      </c>
      <c r="E1266" s="240" t="s">
        <v>2566</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2567</v>
      </c>
      <c r="BF1266" s="46" t="s">
        <v>2568</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2569</v>
      </c>
      <c r="E1267" s="14" t="s">
        <v>2570</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2571</v>
      </c>
      <c r="BF1267" s="44" t="s">
        <v>2572</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2573</v>
      </c>
      <c r="E1268" s="14" t="s">
        <v>2574</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2575</v>
      </c>
      <c r="BF1268" s="44" t="s">
        <v>2576</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2577</v>
      </c>
      <c r="E1269" s="240" t="s">
        <v>2578</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2579</v>
      </c>
      <c r="BF1269" s="243" t="s">
        <v>2580</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2581</v>
      </c>
      <c r="E1270" s="14" t="s">
        <v>2582</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0" t="s">
        <v>2583</v>
      </c>
      <c r="AV1270" s="13"/>
      <c r="AW1270" s="14" t="s">
        <v>199</v>
      </c>
      <c r="AX1270" s="13" t="s">
        <v>1816</v>
      </c>
      <c r="AY1270" s="13">
        <v>0</v>
      </c>
      <c r="AZ1270" s="13">
        <v>0</v>
      </c>
      <c r="BA1270" s="14" t="s">
        <v>200</v>
      </c>
      <c r="BB1270" s="14" t="s">
        <v>198</v>
      </c>
      <c r="BC1270" s="13">
        <v>0</v>
      </c>
      <c r="BD1270" s="13">
        <v>0</v>
      </c>
      <c r="BE1270" s="44" t="s">
        <v>2584</v>
      </c>
      <c r="BF1270" s="44" t="s">
        <v>2585</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2586</v>
      </c>
      <c r="E1271" s="18" t="s">
        <v>2587</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2588</v>
      </c>
      <c r="BC1271" s="28">
        <v>0</v>
      </c>
      <c r="BD1271" s="28">
        <v>1</v>
      </c>
      <c r="BE1271" s="46" t="s">
        <v>2589</v>
      </c>
      <c r="BF1271" s="46" t="s">
        <v>2590</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2591</v>
      </c>
      <c r="E1272" s="240" t="s">
        <v>2592</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2593</v>
      </c>
      <c r="BF1272" s="46" t="s">
        <v>2594</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2595</v>
      </c>
      <c r="E1273" s="240" t="s">
        <v>2596</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2593</v>
      </c>
      <c r="BF1273" s="46" t="s">
        <v>2594</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2597</v>
      </c>
      <c r="E1274" s="18" t="s">
        <v>2598</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2599</v>
      </c>
      <c r="BC1274" s="28">
        <v>0</v>
      </c>
      <c r="BD1274" s="28">
        <v>0</v>
      </c>
      <c r="BE1274" s="46" t="s">
        <v>2600</v>
      </c>
      <c r="BF1274" s="46" t="s">
        <v>2601</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2602</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2512</v>
      </c>
      <c r="BA1275" s="14" t="s">
        <v>200</v>
      </c>
      <c r="BB1275" s="13">
        <v>0</v>
      </c>
      <c r="BC1275" s="13">
        <v>0</v>
      </c>
      <c r="BD1275" s="13">
        <v>0</v>
      </c>
      <c r="BE1275" s="44" t="s">
        <v>2603</v>
      </c>
      <c r="BF1275" s="44" t="s">
        <v>2604</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2605</v>
      </c>
      <c r="E1276" s="238" t="s">
        <v>2606</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2607</v>
      </c>
      <c r="BF1276" s="241" t="s">
        <v>2608</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2609</v>
      </c>
      <c r="E1277" s="14" t="s">
        <v>2610</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2611</v>
      </c>
      <c r="BF1277" s="44" t="s">
        <v>2612</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2613</v>
      </c>
      <c r="E1278" s="65" t="s">
        <v>2614</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2615</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2616</v>
      </c>
      <c r="E1279" s="65" t="s">
        <v>2617</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2618</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2619</v>
      </c>
      <c r="E1280" s="238" t="s">
        <v>2620</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69" t="s">
        <v>2621</v>
      </c>
      <c r="AU1280" s="239" t="s">
        <v>198</v>
      </c>
      <c r="AV1280" s="239"/>
      <c r="AW1280" s="238" t="s">
        <v>199</v>
      </c>
      <c r="AX1280" s="239" t="s">
        <v>1816</v>
      </c>
      <c r="AY1280" s="239">
        <v>0</v>
      </c>
      <c r="AZ1280" s="239">
        <v>40000003</v>
      </c>
      <c r="BA1280" s="238" t="s">
        <v>200</v>
      </c>
      <c r="BB1280" s="239" t="s">
        <v>198</v>
      </c>
      <c r="BC1280" s="239">
        <v>0</v>
      </c>
      <c r="BD1280" s="239">
        <v>0</v>
      </c>
      <c r="BE1280" s="241" t="s">
        <v>2622</v>
      </c>
      <c r="BF1280" s="241" t="s">
        <v>2623</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0" t="s">
        <v>2624</v>
      </c>
      <c r="AV1281" s="251"/>
      <c r="AW1281" s="20" t="s">
        <v>198</v>
      </c>
      <c r="AX1281" s="50" t="s">
        <v>545</v>
      </c>
      <c r="AY1281" s="50">
        <v>10000001</v>
      </c>
      <c r="AZ1281" s="50">
        <v>77005302</v>
      </c>
      <c r="BA1281" s="51" t="s">
        <v>200</v>
      </c>
      <c r="BB1281" s="50" t="s">
        <v>2625</v>
      </c>
      <c r="BC1281" s="50">
        <v>0</v>
      </c>
      <c r="BD1281" s="50">
        <v>0</v>
      </c>
      <c r="BE1281" s="55" t="s">
        <v>2626</v>
      </c>
      <c r="BF1281" s="55" t="s">
        <v>2627</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2586</v>
      </c>
      <c r="E1282" s="18" t="s">
        <v>2587</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2588</v>
      </c>
      <c r="BC1282" s="28">
        <v>0</v>
      </c>
      <c r="BD1282" s="28">
        <v>1</v>
      </c>
      <c r="BE1282" s="46" t="s">
        <v>2589</v>
      </c>
      <c r="BF1282" s="46" t="s">
        <v>2590</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2573</v>
      </c>
      <c r="E1283" s="14" t="s">
        <v>2574</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2575</v>
      </c>
      <c r="BF1283" s="44" t="s">
        <v>2576</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4" t="s">
        <v>2628</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2629</v>
      </c>
      <c r="E1285" s="20" t="s">
        <v>2630</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2631</v>
      </c>
      <c r="BF1285" s="46" t="s">
        <v>2632</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40">"立即对目标范围内的怪物造成"&amp;X1286*100&amp;"%攻击伤害+"&amp;Z1286&amp;"点固定伤害"&amp;",并使目标移动速度降低50%,持续3秒"</f>
        <v>立即对目标范围内的怪物造成180%攻击伤害+700点固定伤害,并使目标移动速度降低50%,持续3秒</v>
      </c>
      <c r="BF1286" s="92" t="s">
        <v>2633</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2634</v>
      </c>
      <c r="E1287" s="20" t="s">
        <v>2635</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2636</v>
      </c>
      <c r="BF1287" s="46" t="s">
        <v>2637</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2638</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2639</v>
      </c>
      <c r="E1289" s="65" t="s">
        <v>2640</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2641</v>
      </c>
      <c r="BF1289" s="92" t="s">
        <v>2642</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2643</v>
      </c>
      <c r="E1290" s="65" t="s">
        <v>2644</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2645</v>
      </c>
      <c r="BF1290" s="94" t="s">
        <v>2646</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2616</v>
      </c>
      <c r="E1291" s="20" t="s">
        <v>2617</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2647</v>
      </c>
      <c r="AV1291" s="19"/>
      <c r="AW1291" s="18" t="s">
        <v>199</v>
      </c>
      <c r="AX1291" s="19" t="s">
        <v>534</v>
      </c>
      <c r="AY1291" s="19">
        <v>10000009</v>
      </c>
      <c r="AZ1291" s="19">
        <v>20001030</v>
      </c>
      <c r="BA1291" s="20" t="s">
        <v>200</v>
      </c>
      <c r="BB1291" s="20">
        <v>0</v>
      </c>
      <c r="BC1291" s="28">
        <v>0</v>
      </c>
      <c r="BD1291" s="28">
        <v>0</v>
      </c>
      <c r="BE1291" s="46" t="s">
        <v>2648</v>
      </c>
      <c r="BF1291" s="46" t="s">
        <v>2649</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2650</v>
      </c>
      <c r="E1292" s="247" t="s">
        <v>2651</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2652</v>
      </c>
      <c r="BF1292" s="253" t="s">
        <v>2653</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2654</v>
      </c>
      <c r="E1293" s="20" t="s">
        <v>2655</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2656</v>
      </c>
      <c r="BF1293" s="186" t="s">
        <v>2657</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2658</v>
      </c>
      <c r="E1294" s="65" t="s">
        <v>2659</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2660</v>
      </c>
      <c r="BB1294" s="65">
        <v>0</v>
      </c>
      <c r="BC1294" s="68">
        <v>0</v>
      </c>
      <c r="BD1294" s="68">
        <v>0</v>
      </c>
      <c r="BE1294" s="209" t="s">
        <v>2661</v>
      </c>
      <c r="BF1294" s="209" t="s">
        <v>2662</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2663</v>
      </c>
      <c r="E1295" s="18" t="s">
        <v>2664</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2665</v>
      </c>
      <c r="BC1295" s="28">
        <v>0</v>
      </c>
      <c r="BD1295" s="28">
        <v>0</v>
      </c>
      <c r="BE1295" s="46" t="s">
        <v>2666</v>
      </c>
      <c r="BF1295" s="46" t="s">
        <v>2667</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2668</v>
      </c>
      <c r="E1296" s="18" t="s">
        <v>2669</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2670</v>
      </c>
      <c r="BF1296" s="46" t="s">
        <v>2671</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2672</v>
      </c>
      <c r="E1297" s="240" t="s">
        <v>2673</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2674</v>
      </c>
      <c r="BG1297" s="182">
        <v>0</v>
      </c>
      <c r="BH1297" s="17">
        <v>0</v>
      </c>
      <c r="BI1297" s="182">
        <v>0</v>
      </c>
      <c r="BJ1297" s="182">
        <v>0</v>
      </c>
      <c r="BK1297" s="182">
        <v>0</v>
      </c>
      <c r="BL1297" s="182">
        <v>0</v>
      </c>
      <c r="BM1297" s="371" t="s">
        <v>2675</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2676</v>
      </c>
      <c r="E1298" s="39" t="s">
        <v>2677</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2678</v>
      </c>
      <c r="BC1298" s="31">
        <v>0</v>
      </c>
      <c r="BD1298" s="31">
        <v>0</v>
      </c>
      <c r="BE1298" s="216" t="s">
        <v>2679</v>
      </c>
      <c r="BF1298" s="216" t="s">
        <v>2680</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2681</v>
      </c>
      <c r="E1299" s="18" t="s">
        <v>2682</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2660</v>
      </c>
      <c r="BB1299" s="17">
        <v>0</v>
      </c>
      <c r="BC1299" s="28">
        <v>0</v>
      </c>
      <c r="BD1299" s="28">
        <v>0</v>
      </c>
      <c r="BE1299" s="46" t="s">
        <v>2683</v>
      </c>
      <c r="BF1299" s="46" t="s">
        <v>2684</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2668</v>
      </c>
      <c r="E1300" s="18" t="s">
        <v>2669</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2670</v>
      </c>
      <c r="BF1300" s="46" t="s">
        <v>2671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2685</v>
      </c>
      <c r="E1301" s="18" t="s">
        <v>2686</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2687</v>
      </c>
      <c r="BC1301" s="28"/>
      <c r="BD1301" s="28">
        <v>0</v>
      </c>
      <c r="BE1301" s="46" t="s">
        <v>2688</v>
      </c>
      <c r="BF1301" s="46" t="s">
        <v>2689</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2690</v>
      </c>
      <c r="E1302" s="240" t="s">
        <v>2691</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0" t="s">
        <v>2692</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2693</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2694</v>
      </c>
      <c r="E1303" s="18" t="s">
        <v>2695</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2696</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2697</v>
      </c>
      <c r="E1304" s="18" t="s">
        <v>2698</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2660</v>
      </c>
      <c r="BB1304" s="17">
        <v>0</v>
      </c>
      <c r="BC1304" s="28">
        <v>0</v>
      </c>
      <c r="BD1304" s="28">
        <v>0</v>
      </c>
      <c r="BE1304" s="46" t="s">
        <v>2699</v>
      </c>
      <c r="BF1304" s="46" t="s">
        <v>2700</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2701</v>
      </c>
      <c r="E1305" s="18" t="s">
        <v>2702</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2703</v>
      </c>
      <c r="BF1305" s="46" t="s">
        <v>2704</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2705</v>
      </c>
      <c r="E1306" s="18" t="s">
        <v>2686</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2706</v>
      </c>
      <c r="BC1306" s="28"/>
      <c r="BD1306" s="28">
        <v>0</v>
      </c>
      <c r="BE1306" s="46" t="s">
        <v>2707</v>
      </c>
      <c r="BF1306" s="46" t="s">
        <v>2708</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2709</v>
      </c>
      <c r="E1307" s="240" t="s">
        <v>2710</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2711</v>
      </c>
      <c r="BF1307" s="254" t="s">
        <v>2712</v>
      </c>
      <c r="BG1307" s="182">
        <v>0</v>
      </c>
      <c r="BH1307" s="17">
        <v>0</v>
      </c>
      <c r="BI1307" s="182">
        <v>0</v>
      </c>
      <c r="BJ1307" s="182">
        <v>0</v>
      </c>
      <c r="BK1307" s="182">
        <v>0</v>
      </c>
      <c r="BL1307" s="182">
        <v>0</v>
      </c>
      <c r="BM1307" s="372" t="s">
        <v>2713</v>
      </c>
      <c r="BN1307" s="13">
        <v>1</v>
      </c>
      <c r="BO1307" s="13">
        <v>0</v>
      </c>
      <c r="BP1307" s="13">
        <v>0</v>
      </c>
      <c r="BQ1307" s="13">
        <v>0</v>
      </c>
      <c r="BR1307" s="13">
        <v>0</v>
      </c>
      <c r="BS1307" s="13">
        <v>0</v>
      </c>
      <c r="BT1307" s="13">
        <v>0</v>
      </c>
      <c r="BU1307" s="49">
        <v>0</v>
      </c>
      <c r="BV1307" s="49"/>
      <c r="BW1307" s="49"/>
    </row>
    <row r="1308" ht="20.1" customHeight="1" spans="3:75">
      <c r="C1308" s="17">
        <v>63003005</v>
      </c>
      <c r="D1308" s="18" t="s">
        <v>2714</v>
      </c>
      <c r="E1308" s="18" t="s">
        <v>2715</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2716</v>
      </c>
      <c r="BF1308" s="46" t="s">
        <v>2717</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2718</v>
      </c>
      <c r="E1309" s="18" t="s">
        <v>2719</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2660</v>
      </c>
      <c r="BB1309" s="17">
        <v>0</v>
      </c>
      <c r="BC1309" s="28">
        <v>0</v>
      </c>
      <c r="BD1309" s="28">
        <v>0</v>
      </c>
      <c r="BE1309" s="46" t="s">
        <v>2720</v>
      </c>
      <c r="BF1309" s="46" t="s">
        <v>2721</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2722</v>
      </c>
      <c r="E1310" s="18" t="s">
        <v>2723</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2724</v>
      </c>
      <c r="BC1310" s="28"/>
      <c r="BD1310" s="28">
        <v>0</v>
      </c>
      <c r="BE1310" s="46" t="s">
        <v>2725</v>
      </c>
      <c r="BF1310" s="46" t="s">
        <v>2726</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2727</v>
      </c>
      <c r="E1311" s="18" t="s">
        <v>2728</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2729</v>
      </c>
      <c r="BF1311" s="46" t="s">
        <v>2730</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2731</v>
      </c>
      <c r="E1312" s="240" t="s">
        <v>2732</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2733</v>
      </c>
      <c r="BF1312" s="254" t="s">
        <v>2734</v>
      </c>
      <c r="BG1312" s="182">
        <v>0</v>
      </c>
      <c r="BH1312" s="17">
        <v>0</v>
      </c>
      <c r="BI1312" s="182">
        <v>0</v>
      </c>
      <c r="BJ1312" s="182">
        <v>0</v>
      </c>
      <c r="BK1312" s="182">
        <v>0</v>
      </c>
      <c r="BL1312" s="182">
        <v>0</v>
      </c>
      <c r="BM1312" s="372" t="s">
        <v>2735</v>
      </c>
      <c r="BN1312" s="13">
        <v>0</v>
      </c>
      <c r="BO1312" s="13">
        <v>0</v>
      </c>
      <c r="BP1312" s="13">
        <v>0</v>
      </c>
      <c r="BQ1312" s="13">
        <v>0</v>
      </c>
      <c r="BR1312" s="13">
        <v>0</v>
      </c>
      <c r="BS1312" s="13">
        <v>0</v>
      </c>
      <c r="BT1312" s="13">
        <v>0</v>
      </c>
      <c r="BU1312" s="49">
        <v>0</v>
      </c>
      <c r="BV1312" s="49"/>
      <c r="BW1312" s="49"/>
    </row>
    <row r="1313" ht="20.1" customHeight="1" spans="3:75">
      <c r="C1313" s="17">
        <v>63102001</v>
      </c>
      <c r="D1313" s="18" t="s">
        <v>2736</v>
      </c>
      <c r="E1313" s="18" t="s">
        <v>2737</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2660</v>
      </c>
      <c r="BB1313" s="17">
        <v>0</v>
      </c>
      <c r="BC1313" s="28">
        <v>0</v>
      </c>
      <c r="BD1313" s="28">
        <v>0</v>
      </c>
      <c r="BE1313" s="46" t="s">
        <v>2738</v>
      </c>
      <c r="BF1313" s="46" t="s">
        <v>2739</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2727</v>
      </c>
      <c r="E1314" s="18" t="s">
        <v>2728</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2729</v>
      </c>
      <c r="BF1314" s="46" t="s">
        <v>2730</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2740</v>
      </c>
      <c r="E1315" s="18" t="s">
        <v>2741</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2742</v>
      </c>
      <c r="BC1315" s="28"/>
      <c r="BD1315" s="28">
        <v>0</v>
      </c>
      <c r="BE1315" s="46" t="s">
        <v>2743</v>
      </c>
      <c r="BF1315" s="46" t="s">
        <v>2744</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2745</v>
      </c>
      <c r="E1316" s="240" t="s">
        <v>2746</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2747</v>
      </c>
      <c r="BF1316" s="254" t="s">
        <v>2748</v>
      </c>
      <c r="BG1316" s="182">
        <v>0</v>
      </c>
      <c r="BH1316" s="17">
        <v>0</v>
      </c>
      <c r="BI1316" s="182">
        <v>0</v>
      </c>
      <c r="BJ1316" s="182">
        <v>0</v>
      </c>
      <c r="BK1316" s="182">
        <v>0</v>
      </c>
      <c r="BL1316" s="182">
        <v>0</v>
      </c>
      <c r="BM1316" s="372" t="s">
        <v>2749</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2750</v>
      </c>
      <c r="E1317" s="18" t="s">
        <v>2751</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2752</v>
      </c>
      <c r="BF1317" s="46" t="s">
        <v>2753</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2701</v>
      </c>
      <c r="E1318" s="18" t="s">
        <v>2702</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2703</v>
      </c>
      <c r="BF1318" s="46" t="s">
        <v>2704</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2754</v>
      </c>
      <c r="E1319" s="18" t="s">
        <v>2755</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2756</v>
      </c>
      <c r="BC1319" s="28">
        <v>0</v>
      </c>
      <c r="BD1319" s="28">
        <v>0</v>
      </c>
      <c r="BE1319" s="46" t="s">
        <v>2757</v>
      </c>
      <c r="BF1319" s="46" t="s">
        <v>2758</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2759</v>
      </c>
      <c r="E1320" s="240" t="s">
        <v>2760</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2761</v>
      </c>
      <c r="BF1320" s="254" t="s">
        <v>2762</v>
      </c>
      <c r="BG1320" s="182">
        <v>0</v>
      </c>
      <c r="BH1320" s="17">
        <v>0</v>
      </c>
      <c r="BI1320" s="182">
        <v>0</v>
      </c>
      <c r="BJ1320" s="182">
        <v>0</v>
      </c>
      <c r="BK1320" s="182">
        <v>0</v>
      </c>
      <c r="BL1320" s="182">
        <v>0</v>
      </c>
      <c r="BM1320" s="372" t="s">
        <v>2763</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2764</v>
      </c>
      <c r="E1321" s="39" t="s">
        <v>2765</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2766</v>
      </c>
      <c r="BF1321" s="185" t="s">
        <v>2767</v>
      </c>
      <c r="BG1321" s="31">
        <v>0</v>
      </c>
      <c r="BH1321" s="31">
        <v>0</v>
      </c>
      <c r="BI1321" s="31">
        <v>0</v>
      </c>
      <c r="BJ1321" s="31">
        <v>0</v>
      </c>
      <c r="BK1321" s="31">
        <v>0</v>
      </c>
      <c r="BL1321" s="31">
        <v>0</v>
      </c>
      <c r="BM1321" s="373" t="s">
        <v>2768</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2769</v>
      </c>
      <c r="E1322" s="39" t="s">
        <v>2770</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2771</v>
      </c>
      <c r="BB1322" s="31">
        <v>0</v>
      </c>
      <c r="BC1322" s="31">
        <v>0</v>
      </c>
      <c r="BD1322" s="31">
        <v>0</v>
      </c>
      <c r="BE1322" s="216" t="s">
        <v>2772</v>
      </c>
      <c r="BF1322" s="216" t="s">
        <v>2773</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2774</v>
      </c>
      <c r="E1323" s="61" t="s">
        <v>2775</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2776</v>
      </c>
      <c r="BF1323" s="92" t="s">
        <v>2777</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1"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2778</v>
      </c>
      <c r="E1325" s="61" t="s">
        <v>2779</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2780</v>
      </c>
      <c r="BC1325" s="68"/>
      <c r="BD1325" s="68">
        <v>1</v>
      </c>
      <c r="BE1325" s="92" t="s">
        <v>2781</v>
      </c>
      <c r="BF1325" s="92" t="s">
        <v>2782</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2783</v>
      </c>
      <c r="BF1326" s="255" t="s">
        <v>2784</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2785</v>
      </c>
      <c r="E1327" s="61" t="s">
        <v>2786</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2787</v>
      </c>
      <c r="BF1327" s="92" t="s">
        <v>2788</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2789</v>
      </c>
      <c r="E1328" s="61" t="s">
        <v>2790</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2791</v>
      </c>
      <c r="BC1328" s="68"/>
      <c r="BD1328" s="68">
        <v>1</v>
      </c>
      <c r="BE1328" s="92" t="s">
        <v>2792</v>
      </c>
      <c r="BF1328" s="92" t="s">
        <v>2793</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2794</v>
      </c>
      <c r="E1329" s="61" t="s">
        <v>2795</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2796</v>
      </c>
      <c r="BC1329" s="68"/>
      <c r="BD1329" s="68">
        <v>1</v>
      </c>
      <c r="BE1329" s="92" t="s">
        <v>2797</v>
      </c>
      <c r="BF1329" s="92" t="s">
        <v>2798</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2799</v>
      </c>
      <c r="BF1330" s="209" t="s">
        <v>2800</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2709</v>
      </c>
      <c r="E1331" s="240" t="s">
        <v>2710</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2801</v>
      </c>
      <c r="BF1331" s="254" t="s">
        <v>2802</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2803</v>
      </c>
      <c r="E1332" s="175" t="s">
        <v>2804</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2660</v>
      </c>
      <c r="BB1332" s="174">
        <v>0</v>
      </c>
      <c r="BC1332" s="176">
        <v>0</v>
      </c>
      <c r="BD1332" s="176">
        <v>0</v>
      </c>
      <c r="BE1332" s="208" t="s">
        <v>2805</v>
      </c>
      <c r="BF1332" s="208" t="s">
        <v>2806</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2727</v>
      </c>
      <c r="E1333" s="175" t="s">
        <v>2728</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2729</v>
      </c>
      <c r="BF1333" s="208" t="s">
        <v>2730</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2807</v>
      </c>
      <c r="E1334" s="175" t="s">
        <v>2808</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2809</v>
      </c>
      <c r="BC1334" s="176"/>
      <c r="BD1334" s="176"/>
      <c r="BE1334" s="208" t="s">
        <v>2810</v>
      </c>
      <c r="BF1334" s="208" t="s">
        <v>2811</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2812</v>
      </c>
      <c r="E1335" s="212" t="s">
        <v>2813</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4" t="s">
        <v>2814</v>
      </c>
      <c r="BC1335" s="68">
        <v>0</v>
      </c>
      <c r="BD1335" s="68">
        <v>0</v>
      </c>
      <c r="BE1335" s="214" t="s">
        <v>2815</v>
      </c>
      <c r="BF1335" s="214" t="s">
        <v>2816</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2812</v>
      </c>
      <c r="E1336" s="212" t="s">
        <v>2813</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2817</v>
      </c>
      <c r="BF1336" s="214" t="s">
        <v>2818</v>
      </c>
      <c r="BG1336" s="204">
        <v>0</v>
      </c>
      <c r="BH1336" s="174">
        <v>0</v>
      </c>
      <c r="BI1336" s="204">
        <v>0</v>
      </c>
      <c r="BJ1336" s="204">
        <v>0</v>
      </c>
      <c r="BK1336" s="204">
        <v>0</v>
      </c>
      <c r="BL1336" s="204">
        <v>0</v>
      </c>
      <c r="BM1336" s="375" t="s">
        <v>2819</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2820</v>
      </c>
      <c r="E1337" s="175" t="s">
        <v>2821</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2660</v>
      </c>
      <c r="BB1337" s="174">
        <v>0</v>
      </c>
      <c r="BC1337" s="176">
        <v>0</v>
      </c>
      <c r="BD1337" s="176">
        <v>0</v>
      </c>
      <c r="BE1337" s="208" t="s">
        <v>2822</v>
      </c>
      <c r="BF1337" s="208" t="s">
        <v>2823</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2668</v>
      </c>
      <c r="E1338" s="175" t="s">
        <v>2669</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2670</v>
      </c>
      <c r="BF1338" s="208" t="s">
        <v>2671</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2807</v>
      </c>
      <c r="E1339" s="175" t="s">
        <v>2808</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2824</v>
      </c>
      <c r="BC1339" s="176"/>
      <c r="BD1339" s="176"/>
      <c r="BE1339" s="208" t="s">
        <v>2825</v>
      </c>
      <c r="BF1339" s="208" t="s">
        <v>2826</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2827</v>
      </c>
      <c r="E1340" s="212" t="s">
        <v>2828</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2829</v>
      </c>
      <c r="BF1340" s="205" t="s">
        <v>2830</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2827</v>
      </c>
      <c r="E1341" s="212" t="s">
        <v>2828</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6" t="s">
        <v>2831</v>
      </c>
      <c r="AU1341" s="204">
        <v>90000015</v>
      </c>
      <c r="AV1341" s="204"/>
      <c r="AW1341" s="212" t="s">
        <v>198</v>
      </c>
      <c r="AX1341" s="204">
        <v>0</v>
      </c>
      <c r="AY1341" s="204">
        <v>0</v>
      </c>
      <c r="AZ1341" s="204">
        <v>0</v>
      </c>
      <c r="BA1341" s="212" t="s">
        <v>200</v>
      </c>
      <c r="BB1341" s="212">
        <v>0</v>
      </c>
      <c r="BC1341" s="204">
        <v>0</v>
      </c>
      <c r="BD1341" s="204">
        <v>1</v>
      </c>
      <c r="BE1341" s="214" t="s">
        <v>2832</v>
      </c>
      <c r="BF1341" s="214" t="s">
        <v>2833</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2834</v>
      </c>
      <c r="E1342" s="175" t="s">
        <v>2835</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2660</v>
      </c>
      <c r="BB1342" s="174">
        <v>0</v>
      </c>
      <c r="BC1342" s="176">
        <v>0</v>
      </c>
      <c r="BD1342" s="176">
        <v>0</v>
      </c>
      <c r="BE1342" s="208" t="s">
        <v>2836</v>
      </c>
      <c r="BF1342" s="208" t="s">
        <v>2837</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2701</v>
      </c>
      <c r="E1343" s="175" t="s">
        <v>2702</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2703</v>
      </c>
      <c r="BF1343" s="208" t="s">
        <v>2704</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2807</v>
      </c>
      <c r="E1344" s="175" t="s">
        <v>2808</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2809</v>
      </c>
      <c r="BC1344" s="176"/>
      <c r="BD1344" s="176"/>
      <c r="BE1344" s="208" t="s">
        <v>2810</v>
      </c>
      <c r="BF1344" s="208" t="s">
        <v>2811</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2838</v>
      </c>
      <c r="E1345" s="212" t="s">
        <v>2839</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2840</v>
      </c>
      <c r="BC1345" s="28"/>
      <c r="BD1345" s="28"/>
      <c r="BE1345" s="46" t="s">
        <v>2841</v>
      </c>
      <c r="BF1345" s="46" t="s">
        <v>2842</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2843</v>
      </c>
      <c r="E1346" s="149" t="s">
        <v>2844</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4" t="s">
        <v>2845</v>
      </c>
      <c r="BC1346" s="68">
        <v>0</v>
      </c>
      <c r="BD1346" s="68">
        <v>0</v>
      </c>
      <c r="BE1346" s="92" t="s">
        <v>2846</v>
      </c>
      <c r="BF1346" s="92" t="s">
        <v>2847</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3" t="s">
        <v>2244</v>
      </c>
      <c r="AV1347" s="81"/>
      <c r="AW1347" s="61" t="s">
        <v>199</v>
      </c>
      <c r="AX1347" s="62" t="s">
        <v>215</v>
      </c>
      <c r="AY1347" s="66">
        <v>10000011</v>
      </c>
      <c r="AZ1347" s="66">
        <v>77005105</v>
      </c>
      <c r="BA1347" s="61" t="s">
        <v>216</v>
      </c>
      <c r="BB1347" s="62">
        <v>0</v>
      </c>
      <c r="BC1347" s="68">
        <v>0</v>
      </c>
      <c r="BD1347" s="68">
        <v>0</v>
      </c>
      <c r="BE1347" s="92" t="s">
        <v>2848</v>
      </c>
      <c r="BF1347" s="92" t="s">
        <v>2849</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2722</v>
      </c>
      <c r="E1348" s="18" t="s">
        <v>2723</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2724</v>
      </c>
      <c r="BC1348" s="28"/>
      <c r="BD1348" s="28">
        <v>0</v>
      </c>
      <c r="BE1348" s="46" t="s">
        <v>2725</v>
      </c>
      <c r="BF1348" s="46" t="s">
        <v>2726</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2668</v>
      </c>
      <c r="E1349" s="175" t="s">
        <v>2669</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2670</v>
      </c>
      <c r="BF1349" s="208" t="s">
        <v>2671</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2850</v>
      </c>
      <c r="E1350" s="175" t="s">
        <v>2851</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2660</v>
      </c>
      <c r="BB1350" s="174">
        <v>0</v>
      </c>
      <c r="BC1350" s="176">
        <v>0</v>
      </c>
      <c r="BD1350" s="176">
        <v>0</v>
      </c>
      <c r="BE1350" s="260" t="s">
        <v>2852</v>
      </c>
      <c r="BF1350" s="261" t="s">
        <v>2853</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2854</v>
      </c>
      <c r="E1351" s="61" t="s">
        <v>2855</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3" t="s">
        <v>2270</v>
      </c>
      <c r="AV1351" s="81"/>
      <c r="AW1351" s="65" t="s">
        <v>198</v>
      </c>
      <c r="AX1351" s="62" t="s">
        <v>534</v>
      </c>
      <c r="AY1351" s="66">
        <v>0</v>
      </c>
      <c r="AZ1351" s="66">
        <v>0</v>
      </c>
      <c r="BA1351" s="61" t="s">
        <v>200</v>
      </c>
      <c r="BB1351" s="62">
        <v>0</v>
      </c>
      <c r="BC1351" s="68">
        <v>0</v>
      </c>
      <c r="BD1351" s="68">
        <v>0</v>
      </c>
      <c r="BE1351" s="92" t="s">
        <v>2856</v>
      </c>
      <c r="BF1351" s="92" t="s">
        <v>2857</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2740</v>
      </c>
      <c r="E1352" s="18" t="s">
        <v>2741</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2742</v>
      </c>
      <c r="BC1352" s="28"/>
      <c r="BD1352" s="28">
        <v>0</v>
      </c>
      <c r="BE1352" s="46" t="s">
        <v>2743</v>
      </c>
      <c r="BF1352" s="46" t="s">
        <v>2744</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2727</v>
      </c>
      <c r="E1353" s="175" t="s">
        <v>2728</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2729</v>
      </c>
      <c r="BF1353" s="208" t="s">
        <v>2730</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2858</v>
      </c>
      <c r="E1354" s="175" t="s">
        <v>2859</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2660</v>
      </c>
      <c r="BB1354" s="174">
        <v>0</v>
      </c>
      <c r="BC1354" s="176">
        <v>0</v>
      </c>
      <c r="BD1354" s="176">
        <v>0</v>
      </c>
      <c r="BE1354" s="208" t="s">
        <v>2860</v>
      </c>
      <c r="BF1354" s="208" t="s">
        <v>2861</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2862</v>
      </c>
      <c r="E1355" s="149" t="s">
        <v>2863</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4" t="s">
        <v>2864</v>
      </c>
      <c r="BC1355" s="68">
        <v>0</v>
      </c>
      <c r="BD1355" s="68">
        <v>0</v>
      </c>
      <c r="BE1355" s="92" t="s">
        <v>2865</v>
      </c>
      <c r="BF1355" s="92" t="s">
        <v>2866</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2754</v>
      </c>
      <c r="E1356" s="18" t="s">
        <v>2755</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2756</v>
      </c>
      <c r="BC1356" s="28">
        <v>0</v>
      </c>
      <c r="BD1356" s="28">
        <v>0</v>
      </c>
      <c r="BE1356" s="46" t="s">
        <v>2757</v>
      </c>
      <c r="BF1356" s="46" t="s">
        <v>2758</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2701</v>
      </c>
      <c r="E1357" s="175" t="s">
        <v>2702</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2703</v>
      </c>
      <c r="BF1357" s="208" t="s">
        <v>2704</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2867</v>
      </c>
      <c r="E1358" s="175" t="s">
        <v>2868</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2660</v>
      </c>
      <c r="BB1358" s="174">
        <v>0</v>
      </c>
      <c r="BC1358" s="176">
        <v>0</v>
      </c>
      <c r="BD1358" s="176">
        <v>0</v>
      </c>
      <c r="BE1358" s="208" t="s">
        <v>2836</v>
      </c>
      <c r="BF1358" s="208" t="s">
        <v>2837</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2869</v>
      </c>
      <c r="E1359" s="149" t="s">
        <v>2870</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2871</v>
      </c>
      <c r="BF1359" s="92" t="s">
        <v>2872</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2873</v>
      </c>
      <c r="E1360" s="149" t="s">
        <v>2874</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2875</v>
      </c>
      <c r="BF1360" s="92" t="s">
        <v>2876</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3" t="s">
        <v>2877</v>
      </c>
      <c r="AV1361" s="81"/>
      <c r="AW1361" s="65" t="s">
        <v>198</v>
      </c>
      <c r="AX1361" s="62" t="s">
        <v>534</v>
      </c>
      <c r="AY1361" s="66">
        <v>0</v>
      </c>
      <c r="AZ1361" s="66">
        <v>77005401</v>
      </c>
      <c r="BA1361" s="61" t="s">
        <v>200</v>
      </c>
      <c r="BB1361" s="62">
        <v>0</v>
      </c>
      <c r="BC1361" s="68">
        <v>0</v>
      </c>
      <c r="BD1361" s="68">
        <v>0</v>
      </c>
      <c r="BE1361" s="92" t="s">
        <v>2878</v>
      </c>
      <c r="BF1361" s="92" t="s">
        <v>2879</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2880</v>
      </c>
      <c r="E1362" s="61" t="s">
        <v>2881</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2882</v>
      </c>
      <c r="BF1362" s="92" t="s">
        <v>2883</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2884</v>
      </c>
      <c r="E1363" s="61" t="s">
        <v>2885</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2886</v>
      </c>
      <c r="BF1363" s="92" t="s">
        <v>2887</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2888</v>
      </c>
      <c r="E1364" s="149" t="s">
        <v>2889</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1" t="s">
        <v>2890</v>
      </c>
      <c r="AU1364" s="62">
        <v>0</v>
      </c>
      <c r="AV1364" s="62"/>
      <c r="AW1364" s="61" t="s">
        <v>198</v>
      </c>
      <c r="AX1364" s="62" t="s">
        <v>545</v>
      </c>
      <c r="AY1364" s="66">
        <v>0</v>
      </c>
      <c r="AZ1364" s="66">
        <v>0</v>
      </c>
      <c r="BA1364" s="61" t="s">
        <v>200</v>
      </c>
      <c r="BB1364" s="62">
        <v>0</v>
      </c>
      <c r="BC1364" s="68">
        <v>0</v>
      </c>
      <c r="BD1364" s="68">
        <v>0</v>
      </c>
      <c r="BE1364" s="92" t="s">
        <v>2875</v>
      </c>
      <c r="BF1364" s="92" t="s">
        <v>2876</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2891</v>
      </c>
      <c r="E1365" s="18"/>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359" t="s">
        <v>2892</v>
      </c>
      <c r="AV1365" s="17"/>
      <c r="AW1365" s="18" t="s">
        <v>198</v>
      </c>
      <c r="AX1365" s="17">
        <v>0</v>
      </c>
      <c r="AY1365" s="19">
        <v>0</v>
      </c>
      <c r="AZ1365" s="19">
        <v>0</v>
      </c>
      <c r="BA1365" s="18" t="s">
        <v>2660</v>
      </c>
      <c r="BB1365" s="17">
        <v>0</v>
      </c>
      <c r="BC1365" s="28">
        <v>0</v>
      </c>
      <c r="BD1365" s="28">
        <v>0</v>
      </c>
      <c r="BE1365" s="46" t="s">
        <v>2893</v>
      </c>
      <c r="BF1365" s="46"/>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2705</v>
      </c>
      <c r="E1366" s="18"/>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2706</v>
      </c>
      <c r="BC1366" s="28"/>
      <c r="BD1366" s="28">
        <v>0</v>
      </c>
      <c r="BE1366" s="46" t="s">
        <v>2707</v>
      </c>
      <c r="BF1366" s="46"/>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2701</v>
      </c>
      <c r="E1367" s="18"/>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2703</v>
      </c>
      <c r="BF1367" s="46"/>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2894</v>
      </c>
      <c r="E1368" s="240"/>
      <c r="F1368" s="182">
        <v>1</v>
      </c>
      <c r="G1368" s="182">
        <v>63001004</v>
      </c>
      <c r="H1368" s="182">
        <v>0</v>
      </c>
      <c r="I1368" s="182">
        <v>0</v>
      </c>
      <c r="J1368" s="19">
        <v>1</v>
      </c>
      <c r="K1368" s="19">
        <v>0</v>
      </c>
      <c r="L1368" s="17">
        <v>0</v>
      </c>
      <c r="M1368" s="182">
        <v>0</v>
      </c>
      <c r="N1368" s="182">
        <v>0</v>
      </c>
      <c r="O1368" s="182">
        <v>2</v>
      </c>
      <c r="P1368" s="182">
        <v>17</v>
      </c>
      <c r="Q1368" s="182">
        <v>0.05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7</v>
      </c>
      <c r="AJ1368" s="182">
        <v>0</v>
      </c>
      <c r="AK1368" s="13">
        <v>0</v>
      </c>
      <c r="AL1368" s="182">
        <v>2</v>
      </c>
      <c r="AM1368" s="182">
        <v>0</v>
      </c>
      <c r="AN1368" s="182">
        <v>0</v>
      </c>
      <c r="AO1368" s="182">
        <v>0</v>
      </c>
      <c r="AP1368" s="17">
        <v>0</v>
      </c>
      <c r="AQ1368" s="182">
        <v>10000</v>
      </c>
      <c r="AR1368" s="182">
        <v>0.5</v>
      </c>
      <c r="AS1368" s="182">
        <v>0</v>
      </c>
      <c r="AT1368" s="182">
        <v>0</v>
      </c>
      <c r="AU1368" s="182" t="s">
        <v>198</v>
      </c>
      <c r="AV1368" s="182"/>
      <c r="AW1368" s="240"/>
      <c r="AX1368" s="182">
        <v>0</v>
      </c>
      <c r="AY1368" s="182">
        <v>0</v>
      </c>
      <c r="AZ1368" s="182">
        <v>0</v>
      </c>
      <c r="BA1368" s="240" t="s">
        <v>200</v>
      </c>
      <c r="BB1368" s="240" t="s">
        <v>198</v>
      </c>
      <c r="BC1368" s="182">
        <v>0</v>
      </c>
      <c r="BD1368" s="182">
        <v>0</v>
      </c>
      <c r="BE1368" s="254" t="s">
        <v>2895</v>
      </c>
      <c r="BF1368" s="254"/>
      <c r="BG1368" s="182">
        <v>0</v>
      </c>
      <c r="BH1368" s="17">
        <v>0</v>
      </c>
      <c r="BI1368" s="182">
        <v>0</v>
      </c>
      <c r="BJ1368" s="182">
        <v>0</v>
      </c>
      <c r="BK1368" s="182">
        <v>0</v>
      </c>
      <c r="BL1368" s="182">
        <v>0</v>
      </c>
      <c r="BM1368" s="372" t="s">
        <v>2735</v>
      </c>
      <c r="BN1368" s="13">
        <v>0</v>
      </c>
      <c r="BO1368" s="13">
        <v>0</v>
      </c>
      <c r="BP1368" s="13">
        <v>0</v>
      </c>
      <c r="BQ1368" s="13">
        <v>0</v>
      </c>
      <c r="BR1368" s="13">
        <v>0</v>
      </c>
      <c r="BS1368" s="13">
        <v>0</v>
      </c>
      <c r="BT1368" s="13">
        <v>0</v>
      </c>
      <c r="BU1368" s="49">
        <v>0</v>
      </c>
      <c r="BV1368" s="49"/>
      <c r="BW1368" s="49"/>
    </row>
    <row r="1369" ht="20.1" customHeight="1" spans="3:75">
      <c r="C1369" s="17">
        <v>63402001</v>
      </c>
      <c r="D1369" s="18" t="s">
        <v>2736</v>
      </c>
      <c r="E1369" s="18"/>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2660</v>
      </c>
      <c r="BB1369" s="17">
        <v>0</v>
      </c>
      <c r="BC1369" s="28">
        <v>0</v>
      </c>
      <c r="BD1369" s="28">
        <v>0</v>
      </c>
      <c r="BE1369" s="46" t="s">
        <v>2738</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8" t="s">
        <v>2668</v>
      </c>
      <c r="E1370" s="18"/>
      <c r="F1370" s="17">
        <v>1</v>
      </c>
      <c r="G1370" s="17">
        <v>63002002</v>
      </c>
      <c r="H1370" s="17">
        <v>0</v>
      </c>
      <c r="I1370" s="28">
        <v>0</v>
      </c>
      <c r="J1370" s="19">
        <v>1</v>
      </c>
      <c r="K1370" s="19">
        <v>0</v>
      </c>
      <c r="L1370" s="17">
        <v>0</v>
      </c>
      <c r="M1370" s="17">
        <v>0</v>
      </c>
      <c r="N1370" s="17">
        <v>0</v>
      </c>
      <c r="O1370" s="17">
        <v>2</v>
      </c>
      <c r="P1370" s="17">
        <v>0</v>
      </c>
      <c r="Q1370" s="17">
        <v>0</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v>0</v>
      </c>
      <c r="BC1370" s="28"/>
      <c r="BD1370" s="28"/>
      <c r="BE1370" s="46" t="s">
        <v>2670</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ht="20.1" customHeight="1" spans="3:75">
      <c r="C1371" s="17">
        <v>63402003</v>
      </c>
      <c r="D1371" s="18" t="s">
        <v>2705</v>
      </c>
      <c r="E1371" s="18"/>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2706</v>
      </c>
      <c r="BC1371" s="28"/>
      <c r="BD1371" s="28">
        <v>0</v>
      </c>
      <c r="BE1371" s="46" t="s">
        <v>2707</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2896</v>
      </c>
      <c r="E1372" s="18" t="s">
        <v>2755</v>
      </c>
      <c r="F1372" s="17">
        <v>1</v>
      </c>
      <c r="G1372" s="17">
        <v>63003003</v>
      </c>
      <c r="H1372" s="17">
        <v>0</v>
      </c>
      <c r="I1372" s="28">
        <v>0</v>
      </c>
      <c r="J1372" s="19">
        <v>1</v>
      </c>
      <c r="K1372" s="19">
        <v>0</v>
      </c>
      <c r="L1372" s="17">
        <v>0</v>
      </c>
      <c r="M1372" s="17">
        <v>0</v>
      </c>
      <c r="N1372" s="17">
        <v>0</v>
      </c>
      <c r="O1372" s="17">
        <v>8</v>
      </c>
      <c r="P1372" s="17">
        <v>0</v>
      </c>
      <c r="Q1372" s="17">
        <v>0</v>
      </c>
      <c r="R1372" s="17">
        <v>0</v>
      </c>
      <c r="S1372" s="13">
        <v>0</v>
      </c>
      <c r="T1372" s="17">
        <v>0</v>
      </c>
      <c r="U1372" s="17">
        <v>1</v>
      </c>
      <c r="V1372" s="17">
        <v>0</v>
      </c>
      <c r="W1372" s="17">
        <v>0</v>
      </c>
      <c r="X1372" s="19">
        <v>0</v>
      </c>
      <c r="Y1372" s="13">
        <v>0</v>
      </c>
      <c r="Z1372" s="19">
        <v>0</v>
      </c>
      <c r="AA1372" s="17">
        <v>0</v>
      </c>
      <c r="AB1372" s="17">
        <v>0</v>
      </c>
      <c r="AC1372" s="17">
        <v>0</v>
      </c>
      <c r="AD1372" s="17">
        <v>1</v>
      </c>
      <c r="AE1372" s="17">
        <v>0</v>
      </c>
      <c r="AF1372" s="17">
        <v>0</v>
      </c>
      <c r="AG1372" s="17">
        <v>0</v>
      </c>
      <c r="AH1372" s="17" t="s">
        <v>198</v>
      </c>
      <c r="AI1372" s="13">
        <v>0</v>
      </c>
      <c r="AJ1372" s="13">
        <v>0</v>
      </c>
      <c r="AK1372" s="13">
        <v>0</v>
      </c>
      <c r="AL1372" s="13">
        <v>0</v>
      </c>
      <c r="AM1372" s="17">
        <v>0</v>
      </c>
      <c r="AN1372" s="17">
        <v>0</v>
      </c>
      <c r="AO1372" s="17">
        <v>0</v>
      </c>
      <c r="AP1372" s="17">
        <v>0</v>
      </c>
      <c r="AQ1372" s="17">
        <v>0</v>
      </c>
      <c r="AR1372" s="17">
        <v>0</v>
      </c>
      <c r="AS1372" s="17">
        <v>0</v>
      </c>
      <c r="AT1372" s="13">
        <v>0</v>
      </c>
      <c r="AU1372" s="17" t="s">
        <v>198</v>
      </c>
      <c r="AV1372" s="17"/>
      <c r="AW1372" s="18" t="s">
        <v>198</v>
      </c>
      <c r="AX1372" s="17">
        <v>0</v>
      </c>
      <c r="AY1372" s="19">
        <v>0</v>
      </c>
      <c r="AZ1372" s="19">
        <v>0</v>
      </c>
      <c r="BA1372" s="18" t="s">
        <v>198</v>
      </c>
      <c r="BB1372" s="17" t="s">
        <v>2756</v>
      </c>
      <c r="BC1372" s="28">
        <v>0</v>
      </c>
      <c r="BD1372" s="28">
        <v>0</v>
      </c>
      <c r="BE1372" s="46" t="s">
        <v>2757</v>
      </c>
      <c r="BF1372" s="46" t="s">
        <v>2758</v>
      </c>
      <c r="BG1372" s="17">
        <v>0</v>
      </c>
      <c r="BH1372" s="17">
        <v>0</v>
      </c>
      <c r="BI1372" s="17">
        <v>0</v>
      </c>
      <c r="BJ1372" s="17">
        <v>0</v>
      </c>
      <c r="BK1372" s="17">
        <v>0</v>
      </c>
      <c r="BL1372" s="17">
        <v>0</v>
      </c>
      <c r="BM1372" s="16">
        <v>0</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2750</v>
      </c>
      <c r="E1373" s="18"/>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2897</v>
      </c>
      <c r="BF1373" s="46"/>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2701</v>
      </c>
      <c r="E1374" s="18"/>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2703</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2705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2706</v>
      </c>
      <c r="BC1375" s="28"/>
      <c r="BD1375" s="28">
        <v>0</v>
      </c>
      <c r="BE1375" s="46" t="s">
        <v>2707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2898</v>
      </c>
      <c r="E1376" s="212" t="s">
        <v>2828</v>
      </c>
      <c r="F1376" s="204">
        <v>1</v>
      </c>
      <c r="G1376" s="204">
        <v>63001004</v>
      </c>
      <c r="H1376" s="204">
        <v>0</v>
      </c>
      <c r="I1376" s="204">
        <v>0</v>
      </c>
      <c r="J1376" s="204">
        <v>1</v>
      </c>
      <c r="K1376" s="204">
        <v>0</v>
      </c>
      <c r="L1376" s="204">
        <v>0</v>
      </c>
      <c r="M1376" s="204">
        <v>0</v>
      </c>
      <c r="N1376" s="204">
        <v>0</v>
      </c>
      <c r="O1376" s="204">
        <v>2</v>
      </c>
      <c r="P1376" s="204">
        <v>1</v>
      </c>
      <c r="Q1376" s="204">
        <v>0.15</v>
      </c>
      <c r="R1376" s="204">
        <v>0</v>
      </c>
      <c r="S1376" s="204">
        <v>0</v>
      </c>
      <c r="T1376" s="204">
        <v>0</v>
      </c>
      <c r="U1376" s="204">
        <v>1</v>
      </c>
      <c r="V1376" s="204">
        <v>2</v>
      </c>
      <c r="W1376" s="204">
        <v>0</v>
      </c>
      <c r="X1376" s="204">
        <v>0</v>
      </c>
      <c r="Y1376" s="13">
        <v>0</v>
      </c>
      <c r="Z1376" s="204">
        <v>0</v>
      </c>
      <c r="AA1376" s="204">
        <v>0</v>
      </c>
      <c r="AB1376" s="204">
        <v>0</v>
      </c>
      <c r="AC1376" s="204">
        <v>0</v>
      </c>
      <c r="AD1376" s="174">
        <v>1</v>
      </c>
      <c r="AE1376" s="204">
        <v>0</v>
      </c>
      <c r="AF1376" s="204">
        <v>3</v>
      </c>
      <c r="AG1376" s="204">
        <v>0</v>
      </c>
      <c r="AH1376" s="204">
        <v>0</v>
      </c>
      <c r="AI1376" s="204">
        <v>7</v>
      </c>
      <c r="AJ1376" s="204">
        <v>0</v>
      </c>
      <c r="AK1376" s="204">
        <v>0</v>
      </c>
      <c r="AL1376" s="204">
        <v>3</v>
      </c>
      <c r="AM1376" s="204">
        <v>0</v>
      </c>
      <c r="AN1376" s="204">
        <v>0</v>
      </c>
      <c r="AO1376" s="204">
        <v>0</v>
      </c>
      <c r="AP1376" s="204">
        <v>0</v>
      </c>
      <c r="AQ1376" s="204">
        <v>3000</v>
      </c>
      <c r="AR1376" s="204">
        <v>0.5</v>
      </c>
      <c r="AS1376" s="204">
        <v>0</v>
      </c>
      <c r="AT1376" s="376" t="s">
        <v>2899</v>
      </c>
      <c r="AU1376" s="204">
        <v>0</v>
      </c>
      <c r="AV1376" s="204"/>
      <c r="AW1376" s="212" t="s">
        <v>198</v>
      </c>
      <c r="AX1376" s="204">
        <v>0</v>
      </c>
      <c r="AY1376" s="204">
        <v>0</v>
      </c>
      <c r="AZ1376" s="204">
        <v>0</v>
      </c>
      <c r="BA1376" s="212" t="s">
        <v>200</v>
      </c>
      <c r="BB1376" s="212">
        <v>0</v>
      </c>
      <c r="BC1376" s="204">
        <v>0</v>
      </c>
      <c r="BD1376" s="204">
        <v>1</v>
      </c>
      <c r="BE1376" s="214" t="s">
        <v>2900</v>
      </c>
      <c r="BF1376" s="214" t="s">
        <v>2833</v>
      </c>
      <c r="BG1376" s="204">
        <v>0</v>
      </c>
      <c r="BH1376" s="204">
        <v>0</v>
      </c>
      <c r="BI1376" s="204">
        <v>0</v>
      </c>
      <c r="BJ1376" s="204">
        <v>0</v>
      </c>
      <c r="BK1376" s="204">
        <v>0</v>
      </c>
      <c r="BL1376" s="204">
        <v>0</v>
      </c>
      <c r="BM1376" s="217">
        <v>0</v>
      </c>
      <c r="BN1376" s="204">
        <v>0</v>
      </c>
      <c r="BO1376" s="177">
        <v>0</v>
      </c>
      <c r="BP1376" s="177">
        <v>0</v>
      </c>
      <c r="BQ1376" s="177">
        <v>0</v>
      </c>
      <c r="BR1376" s="177">
        <v>0</v>
      </c>
      <c r="BS1376" s="177">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v>0</v>
      </c>
      <c r="AV1377" s="19"/>
      <c r="AW1377" s="20" t="s">
        <v>199</v>
      </c>
      <c r="AX1377" s="19" t="s">
        <v>1816</v>
      </c>
      <c r="AY1377" s="19">
        <v>0</v>
      </c>
      <c r="AZ1377" s="19">
        <v>40000003</v>
      </c>
      <c r="BA1377" s="20" t="s">
        <v>200</v>
      </c>
      <c r="BB1377" s="20" t="s">
        <v>198</v>
      </c>
      <c r="BC1377" s="28">
        <v>0</v>
      </c>
      <c r="BD1377" s="28">
        <v>0</v>
      </c>
      <c r="BE1377" s="89" t="s">
        <v>2901</v>
      </c>
      <c r="BF1377" s="89" t="s">
        <v>2902</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2510</v>
      </c>
      <c r="E1378" s="20" t="s">
        <v>2511</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v>0</v>
      </c>
      <c r="AV1378" s="19"/>
      <c r="AW1378" s="20" t="s">
        <v>199</v>
      </c>
      <c r="AX1378" s="19" t="s">
        <v>1816</v>
      </c>
      <c r="AY1378" s="19">
        <v>0</v>
      </c>
      <c r="AZ1378" s="19">
        <v>0</v>
      </c>
      <c r="BA1378" s="20" t="s">
        <v>200</v>
      </c>
      <c r="BB1378" s="20" t="s">
        <v>198</v>
      </c>
      <c r="BC1378" s="28">
        <v>0</v>
      </c>
      <c r="BD1378" s="28">
        <v>0</v>
      </c>
      <c r="BE1378" s="89" t="s">
        <v>2903</v>
      </c>
      <c r="BF1378" s="89" t="s">
        <v>2904</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2905</v>
      </c>
      <c r="E1379" s="20" t="s">
        <v>2906</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v>0</v>
      </c>
      <c r="AV1379" s="19"/>
      <c r="AW1379" s="20" t="s">
        <v>199</v>
      </c>
      <c r="AX1379" s="19" t="s">
        <v>1816</v>
      </c>
      <c r="AY1379" s="19">
        <v>0</v>
      </c>
      <c r="AZ1379" s="19">
        <v>0</v>
      </c>
      <c r="BA1379" s="20" t="s">
        <v>200</v>
      </c>
      <c r="BB1379" s="20" t="s">
        <v>198</v>
      </c>
      <c r="BC1379" s="28">
        <v>0</v>
      </c>
      <c r="BD1379" s="28">
        <v>0</v>
      </c>
      <c r="BE1379" s="89" t="s">
        <v>2907</v>
      </c>
      <c r="BF1379" s="89" t="s">
        <v>2908</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2909</v>
      </c>
      <c r="E1380" s="20" t="s">
        <v>2910</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v>0</v>
      </c>
      <c r="AV1380" s="19"/>
      <c r="AW1380" s="20" t="s">
        <v>199</v>
      </c>
      <c r="AX1380" s="19" t="s">
        <v>1816</v>
      </c>
      <c r="AY1380" s="19">
        <v>0</v>
      </c>
      <c r="AZ1380" s="19">
        <v>0</v>
      </c>
      <c r="BA1380" s="20" t="s">
        <v>200</v>
      </c>
      <c r="BB1380" s="20" t="s">
        <v>198</v>
      </c>
      <c r="BC1380" s="28">
        <v>0</v>
      </c>
      <c r="BD1380" s="28">
        <v>0</v>
      </c>
      <c r="BE1380" s="89" t="s">
        <v>2911</v>
      </c>
      <c r="BF1380" s="89" t="s">
        <v>2912</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v>0</v>
      </c>
      <c r="AV1381" s="19"/>
      <c r="AW1381" s="20" t="s">
        <v>199</v>
      </c>
      <c r="AX1381" s="19" t="s">
        <v>1816</v>
      </c>
      <c r="AY1381" s="19">
        <v>0</v>
      </c>
      <c r="AZ1381" s="19">
        <v>0</v>
      </c>
      <c r="BA1381" s="20" t="s">
        <v>200</v>
      </c>
      <c r="BB1381" s="20" t="s">
        <v>198</v>
      </c>
      <c r="BC1381" s="28">
        <v>0</v>
      </c>
      <c r="BD1381" s="28">
        <v>0</v>
      </c>
      <c r="BE1381" s="89" t="s">
        <v>2913</v>
      </c>
      <c r="BF1381" s="89" t="s">
        <v>2914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2915</v>
      </c>
      <c r="E1382" s="20" t="s">
        <v>2916</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v>0</v>
      </c>
      <c r="AV1382" s="19"/>
      <c r="AW1382" s="20" t="s">
        <v>199</v>
      </c>
      <c r="AX1382" s="19" t="s">
        <v>1816</v>
      </c>
      <c r="AY1382" s="19">
        <v>0</v>
      </c>
      <c r="AZ1382" s="19">
        <v>0</v>
      </c>
      <c r="BA1382" s="20" t="s">
        <v>200</v>
      </c>
      <c r="BB1382" s="20" t="s">
        <v>198</v>
      </c>
      <c r="BC1382" s="28">
        <v>0</v>
      </c>
      <c r="BD1382" s="28">
        <v>0</v>
      </c>
      <c r="BE1382" s="89" t="s">
        <v>2917</v>
      </c>
      <c r="BF1382" s="89" t="s">
        <v>2918</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2919</v>
      </c>
      <c r="E1383" s="20" t="s">
        <v>2920</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v>0</v>
      </c>
      <c r="AV1383" s="19"/>
      <c r="AW1383" s="20" t="s">
        <v>199</v>
      </c>
      <c r="AX1383" s="19" t="s">
        <v>1816</v>
      </c>
      <c r="AY1383" s="19">
        <v>0</v>
      </c>
      <c r="AZ1383" s="19">
        <v>0</v>
      </c>
      <c r="BA1383" s="20" t="s">
        <v>200</v>
      </c>
      <c r="BB1383" s="20" t="s">
        <v>198</v>
      </c>
      <c r="BC1383" s="28">
        <v>0</v>
      </c>
      <c r="BD1383" s="28">
        <v>0</v>
      </c>
      <c r="BE1383" s="89" t="s">
        <v>2921</v>
      </c>
      <c r="BF1383" s="89" t="s">
        <v>2922</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2923</v>
      </c>
      <c r="BF1384" s="89" t="s">
        <v>2924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2925</v>
      </c>
      <c r="E1385" s="20" t="s">
        <v>2926</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2927</v>
      </c>
      <c r="BF1385" s="44" t="s">
        <v>2928</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2929</v>
      </c>
      <c r="E1386" s="20" t="s">
        <v>2930</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2927</v>
      </c>
      <c r="BF1386" s="44" t="s">
        <v>2928</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2931</v>
      </c>
      <c r="E1387" s="18" t="s">
        <v>2932</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2933</v>
      </c>
      <c r="BC1387" s="28">
        <v>0</v>
      </c>
      <c r="BD1387" s="28">
        <v>0</v>
      </c>
      <c r="BE1387" s="46" t="s">
        <v>2934</v>
      </c>
      <c r="BF1387" s="46" t="s">
        <v>2935</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2936</v>
      </c>
      <c r="E1388" s="20" t="s">
        <v>2937</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2927</v>
      </c>
      <c r="BF1388" s="44" t="s">
        <v>2928</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2629</v>
      </c>
      <c r="E1389" s="20" t="s">
        <v>2630</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2938</v>
      </c>
      <c r="BF1389" s="46" t="s">
        <v>2939</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2940</v>
      </c>
      <c r="BF1390" s="89" t="s">
        <v>2941</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2931</v>
      </c>
      <c r="E1391" s="18" t="s">
        <v>2932</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2942</v>
      </c>
      <c r="BC1391" s="28">
        <v>0</v>
      </c>
      <c r="BD1391" s="28">
        <v>0</v>
      </c>
      <c r="BE1391" s="46" t="s">
        <v>2934</v>
      </c>
      <c r="BF1391" s="46" t="s">
        <v>2935</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2629</v>
      </c>
      <c r="E1392" s="20" t="s">
        <v>2630</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2938</v>
      </c>
      <c r="BF1392" s="46" t="s">
        <v>2939</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2943</v>
      </c>
      <c r="E1393" s="18" t="s">
        <v>2944</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1" t="s">
        <v>2945</v>
      </c>
      <c r="BC1393" s="28">
        <v>0</v>
      </c>
      <c r="BD1393" s="28">
        <v>0</v>
      </c>
      <c r="BE1393" s="46" t="s">
        <v>2946</v>
      </c>
      <c r="BF1393" s="46" t="s">
        <v>2947</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41">"立即对指定前方区域释放冲击波,冲击波对触碰的怪物造成"&amp;X1394*100&amp;"%攻击伤害+"&amp;Z1394&amp;"点固定伤害"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2">"立即对目标范围内的怪物造成"&amp;X1395*100&amp;"%攻击伤害+"&amp;Z1395&amp;"点固定伤害"</f>
        <v>立即对目标范围内的怪物造成250%攻击伤害+1000点固定伤害</v>
      </c>
      <c r="BF1395" s="186" t="s">
        <v>2948</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2949</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2950</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2951</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2951</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2951</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2951</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2951</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2952</v>
      </c>
      <c r="E1405" s="20" t="s">
        <v>2953</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0" t="s">
        <v>2954</v>
      </c>
      <c r="AU1405" s="19" t="s">
        <v>198</v>
      </c>
      <c r="AV1405" s="19"/>
      <c r="AW1405" s="20" t="s">
        <v>199</v>
      </c>
      <c r="AX1405" s="19" t="s">
        <v>2951</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2955</v>
      </c>
      <c r="E1406" s="20" t="s">
        <v>2956</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2951</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2957</v>
      </c>
      <c r="E1407" s="20" t="s">
        <v>2958</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2959</v>
      </c>
      <c r="AU1407" s="19" t="s">
        <v>198</v>
      </c>
      <c r="AV1407" s="19"/>
      <c r="AW1407" s="20" t="s">
        <v>199</v>
      </c>
      <c r="AX1407" s="19" t="s">
        <v>2951</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2960</v>
      </c>
      <c r="E1408" s="20" t="s">
        <v>2961</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2951</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2962</v>
      </c>
      <c r="E1409" s="20" t="s">
        <v>2956</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2951</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2963</v>
      </c>
      <c r="E1410" s="20" t="s">
        <v>2964</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2965</v>
      </c>
      <c r="AU1410" s="19" t="s">
        <v>198</v>
      </c>
      <c r="AV1410" s="19"/>
      <c r="AW1410" s="20" t="s">
        <v>199</v>
      </c>
      <c r="AX1410" s="19" t="s">
        <v>2951</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2966</v>
      </c>
      <c r="E1411" s="20" t="s">
        <v>2967</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2951</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2968</v>
      </c>
      <c r="E1412" s="20" t="s">
        <v>2969</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2951</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2970</v>
      </c>
      <c r="E1413" s="20" t="s">
        <v>2971</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2951</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2972</v>
      </c>
      <c r="E1414" s="20" t="s">
        <v>2973</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2951</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2974</v>
      </c>
      <c r="E1415" s="20" t="s">
        <v>2975</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2951</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2976</v>
      </c>
      <c r="E1416" s="20" t="s">
        <v>2977</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0" t="s">
        <v>2978</v>
      </c>
      <c r="AU1416" s="19" t="s">
        <v>198</v>
      </c>
      <c r="AV1416" s="19"/>
      <c r="AW1416" s="20" t="s">
        <v>199</v>
      </c>
      <c r="AX1416" s="19" t="s">
        <v>2951</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2979</v>
      </c>
      <c r="E1417" s="20" t="s">
        <v>2980</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2951</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2981</v>
      </c>
      <c r="E1418" s="20" t="s">
        <v>2982</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2983</v>
      </c>
      <c r="AU1418" s="19" t="s">
        <v>198</v>
      </c>
      <c r="AV1418" s="19"/>
      <c r="AW1418" s="20" t="s">
        <v>199</v>
      </c>
      <c r="AX1418" s="19" t="s">
        <v>2951</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2984</v>
      </c>
      <c r="E1419" s="20" t="s">
        <v>2985</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2951</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2986</v>
      </c>
      <c r="E1420" s="20" t="s">
        <v>2987</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2951</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2988</v>
      </c>
      <c r="E1421" s="20" t="s">
        <v>2989</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2990</v>
      </c>
      <c r="AU1421" s="19" t="s">
        <v>198</v>
      </c>
      <c r="AV1421" s="19"/>
      <c r="AW1421" s="20" t="s">
        <v>199</v>
      </c>
      <c r="AX1421" s="19" t="s">
        <v>2951</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2991</v>
      </c>
      <c r="E1422" s="20" t="s">
        <v>2992</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2951</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2993</v>
      </c>
      <c r="E1423" s="20" t="s">
        <v>2994</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2951</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2995</v>
      </c>
      <c r="E1424" s="20" t="s">
        <v>2996</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2951</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2997</v>
      </c>
      <c r="E1425" s="20" t="s">
        <v>2998</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2951</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2999</v>
      </c>
      <c r="E1426" s="20" t="s">
        <v>3000</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2951</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3001</v>
      </c>
      <c r="E1427" s="20" t="s">
        <v>3002</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0" t="s">
        <v>3003</v>
      </c>
      <c r="AU1427" s="19" t="s">
        <v>198</v>
      </c>
      <c r="AV1427" s="19"/>
      <c r="AW1427" s="20" t="s">
        <v>199</v>
      </c>
      <c r="AX1427" s="19" t="s">
        <v>2951</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3004</v>
      </c>
      <c r="E1428" s="20" t="s">
        <v>3005</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2951</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3006</v>
      </c>
      <c r="E1429" s="20" t="s">
        <v>3007</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3008</v>
      </c>
      <c r="AU1429" s="19" t="s">
        <v>198</v>
      </c>
      <c r="AV1429" s="19"/>
      <c r="AW1429" s="20" t="s">
        <v>199</v>
      </c>
      <c r="AX1429" s="19" t="s">
        <v>2951</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3009</v>
      </c>
      <c r="E1430" s="20" t="s">
        <v>3010</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2951</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3011</v>
      </c>
      <c r="E1431" s="20" t="s">
        <v>3012</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2951</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3013</v>
      </c>
      <c r="E1432" s="20" t="s">
        <v>3014</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3015</v>
      </c>
      <c r="AU1432" s="19" t="s">
        <v>198</v>
      </c>
      <c r="AV1432" s="19"/>
      <c r="AW1432" s="20" t="s">
        <v>199</v>
      </c>
      <c r="AX1432" s="19" t="s">
        <v>2951</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3016</v>
      </c>
      <c r="E1433" s="20" t="s">
        <v>3017</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2951</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3018</v>
      </c>
      <c r="E1434" s="20" t="s">
        <v>3019</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2951</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3020</v>
      </c>
      <c r="E1435" s="20" t="s">
        <v>3021</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2951</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3022</v>
      </c>
      <c r="E1436" s="20" t="s">
        <v>3023</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2951</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3024</v>
      </c>
      <c r="E1437" s="20" t="s">
        <v>3025</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2951</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3026</v>
      </c>
      <c r="E1438" s="20" t="s">
        <v>3027</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0" t="s">
        <v>3028</v>
      </c>
      <c r="AU1438" s="19" t="s">
        <v>198</v>
      </c>
      <c r="AV1438" s="19"/>
      <c r="AW1438" s="20" t="s">
        <v>199</v>
      </c>
      <c r="AX1438" s="19" t="s">
        <v>2951</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3029</v>
      </c>
      <c r="E1439" s="20" t="s">
        <v>3030</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2951</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3031</v>
      </c>
      <c r="E1440" s="20" t="s">
        <v>3032</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3033</v>
      </c>
      <c r="AU1440" s="19" t="s">
        <v>198</v>
      </c>
      <c r="AV1440" s="19"/>
      <c r="AW1440" s="20" t="s">
        <v>199</v>
      </c>
      <c r="AX1440" s="19" t="s">
        <v>2951</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3034</v>
      </c>
      <c r="E1441" s="20" t="s">
        <v>3035</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2951</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3036</v>
      </c>
      <c r="E1442" s="20" t="s">
        <v>3037</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2951</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3038</v>
      </c>
      <c r="E1443" s="20" t="s">
        <v>3039</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3040</v>
      </c>
      <c r="AU1443" s="19" t="s">
        <v>198</v>
      </c>
      <c r="AV1443" s="19"/>
      <c r="AW1443" s="20" t="s">
        <v>199</v>
      </c>
      <c r="AX1443" s="19" t="s">
        <v>2951</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3041</v>
      </c>
      <c r="E1444" s="20" t="s">
        <v>3042</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2951</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3043</v>
      </c>
      <c r="E1445" s="20" t="s">
        <v>3044</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2951</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3045</v>
      </c>
      <c r="E1446" s="20" t="s">
        <v>3021</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2951</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3046</v>
      </c>
      <c r="E1447" s="20" t="s">
        <v>3047</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2951</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3048</v>
      </c>
      <c r="E1448" s="20" t="s">
        <v>3049</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2951</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3050</v>
      </c>
      <c r="E1449" s="20" t="s">
        <v>3051</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0" t="s">
        <v>3052</v>
      </c>
      <c r="AU1449" s="19" t="s">
        <v>198</v>
      </c>
      <c r="AV1449" s="19"/>
      <c r="AW1449" s="20" t="s">
        <v>199</v>
      </c>
      <c r="AX1449" s="19" t="s">
        <v>2951</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3053</v>
      </c>
      <c r="E1450" s="20" t="s">
        <v>3054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2951</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3055</v>
      </c>
      <c r="E1451" s="20" t="s">
        <v>3056</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3057</v>
      </c>
      <c r="AU1451" s="19" t="s">
        <v>198</v>
      </c>
      <c r="AV1451" s="19"/>
      <c r="AW1451" s="20" t="s">
        <v>199</v>
      </c>
      <c r="AX1451" s="19" t="s">
        <v>2951</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3058</v>
      </c>
      <c r="E1452" s="20" t="s">
        <v>3059</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2951</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3060</v>
      </c>
      <c r="E1453" s="20" t="s">
        <v>3061</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2951</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3062</v>
      </c>
      <c r="E1454" s="20" t="s">
        <v>3063</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3064</v>
      </c>
      <c r="AU1454" s="19" t="s">
        <v>198</v>
      </c>
      <c r="AV1454" s="19"/>
      <c r="AW1454" s="20" t="s">
        <v>199</v>
      </c>
      <c r="AX1454" s="19" t="s">
        <v>2951</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3065</v>
      </c>
      <c r="E1455" s="20" t="s">
        <v>3066</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2951</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3067</v>
      </c>
      <c r="E1456" s="20" t="s">
        <v>3068</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2951</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3069</v>
      </c>
      <c r="E1457" s="20" t="s">
        <v>3070</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2951</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3071</v>
      </c>
      <c r="E1458" s="20" t="s">
        <v>3072</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2951</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3073</v>
      </c>
      <c r="E1459" s="20" t="s">
        <v>3074</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2951</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3075</v>
      </c>
      <c r="E1460" s="20" t="s">
        <v>3076</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0" t="s">
        <v>3077</v>
      </c>
      <c r="AU1460" s="19" t="s">
        <v>198</v>
      </c>
      <c r="AV1460" s="19"/>
      <c r="AW1460" s="20" t="s">
        <v>199</v>
      </c>
      <c r="AX1460" s="19" t="s">
        <v>2951</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3078</v>
      </c>
      <c r="E1461" s="20" t="s">
        <v>3079</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2951</v>
      </c>
      <c r="AY1461" s="19">
        <v>0</v>
      </c>
      <c r="AZ1461" s="19">
        <v>40000003</v>
      </c>
      <c r="BA1461" s="20" t="s">
        <v>200</v>
      </c>
      <c r="BB1461" s="20" t="s">
        <v>198</v>
      </c>
      <c r="BC1461" s="28">
        <v>0</v>
      </c>
      <c r="BD1461" s="28">
        <v>0</v>
      </c>
      <c r="BE1461" s="89" t="s">
        <v>3080</v>
      </c>
      <c r="BF1461" s="89" t="s">
        <v>3081</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3082</v>
      </c>
      <c r="E1462" s="18" t="s">
        <v>3083</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3084</v>
      </c>
      <c r="BF1462" s="46" t="s">
        <v>3085</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3086</v>
      </c>
      <c r="E1463" s="18" t="s">
        <v>3087</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3088</v>
      </c>
      <c r="BF1463" s="46" t="s">
        <v>3089</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3090</v>
      </c>
      <c r="AU1464" s="19" t="s">
        <v>198</v>
      </c>
      <c r="AV1464" s="19"/>
      <c r="AW1464" s="20" t="s">
        <v>199</v>
      </c>
      <c r="AX1464" s="19" t="s">
        <v>2951</v>
      </c>
      <c r="AY1464" s="19">
        <v>0</v>
      </c>
      <c r="AZ1464" s="19">
        <v>66001001</v>
      </c>
      <c r="BA1464" s="20" t="s">
        <v>200</v>
      </c>
      <c r="BB1464" s="20" t="s">
        <v>198</v>
      </c>
      <c r="BC1464" s="28">
        <v>0</v>
      </c>
      <c r="BD1464" s="28">
        <v>0</v>
      </c>
      <c r="BE1464" s="89" t="s">
        <v>3091</v>
      </c>
      <c r="BF1464" s="89" t="s">
        <v>3092</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3093</v>
      </c>
      <c r="E1465" s="20" t="s">
        <v>3094</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3095</v>
      </c>
      <c r="BF1465" s="89" t="s">
        <v>3096</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3097</v>
      </c>
      <c r="E1466" s="20" t="s">
        <v>3098</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2951</v>
      </c>
      <c r="AY1466" s="19">
        <v>0</v>
      </c>
      <c r="AZ1466" s="19">
        <v>66001003</v>
      </c>
      <c r="BA1466" s="20" t="s">
        <v>200</v>
      </c>
      <c r="BB1466" s="20" t="s">
        <v>198</v>
      </c>
      <c r="BC1466" s="28">
        <v>0</v>
      </c>
      <c r="BD1466" s="28">
        <v>0</v>
      </c>
      <c r="BE1466" s="89" t="s">
        <v>3099</v>
      </c>
      <c r="BF1466" s="89" t="s">
        <v>3100</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3101</v>
      </c>
      <c r="E1467" s="20" t="s">
        <v>3102</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2951</v>
      </c>
      <c r="AY1467" s="19">
        <v>0</v>
      </c>
      <c r="AZ1467" s="19">
        <v>66001004</v>
      </c>
      <c r="BA1467" s="20" t="s">
        <v>200</v>
      </c>
      <c r="BB1467" s="20" t="s">
        <v>198</v>
      </c>
      <c r="BC1467" s="28">
        <v>0</v>
      </c>
      <c r="BD1467" s="28">
        <v>0</v>
      </c>
      <c r="BE1467" s="89" t="s">
        <v>3103</v>
      </c>
      <c r="BF1467" s="89" t="s">
        <v>3104</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3105</v>
      </c>
      <c r="E1468" s="14" t="s">
        <v>3106</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2951</v>
      </c>
      <c r="AY1468" s="13" t="s">
        <v>198</v>
      </c>
      <c r="AZ1468" s="13">
        <v>66001005</v>
      </c>
      <c r="BA1468" s="14" t="s">
        <v>200</v>
      </c>
      <c r="BB1468" s="13">
        <v>0</v>
      </c>
      <c r="BC1468" s="13">
        <v>0</v>
      </c>
      <c r="BD1468" s="13">
        <v>0</v>
      </c>
      <c r="BE1468" s="44" t="s">
        <v>3107</v>
      </c>
      <c r="BF1468" s="44" t="s">
        <v>3108</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3109</v>
      </c>
      <c r="E1469" s="20" t="s">
        <v>3110</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2951</v>
      </c>
      <c r="AY1469" s="19">
        <v>0</v>
      </c>
      <c r="AZ1469" s="19">
        <v>66001006</v>
      </c>
      <c r="BA1469" s="20" t="s">
        <v>200</v>
      </c>
      <c r="BB1469" s="20" t="s">
        <v>198</v>
      </c>
      <c r="BC1469" s="28">
        <v>0</v>
      </c>
      <c r="BD1469" s="28">
        <v>0</v>
      </c>
      <c r="BE1469" s="89" t="s">
        <v>3111</v>
      </c>
      <c r="BF1469" s="89" t="s">
        <v>3112</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3113</v>
      </c>
      <c r="E1470" s="14" t="s">
        <v>3114</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3115</v>
      </c>
      <c r="BF1470" s="44" t="s">
        <v>3116</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3117</v>
      </c>
      <c r="E1471" s="20" t="s">
        <v>3118</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3119</v>
      </c>
      <c r="BF1471" s="89" t="s">
        <v>3120</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3121</v>
      </c>
      <c r="E1472" s="20" t="s">
        <v>3122</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3123</v>
      </c>
      <c r="BF1472" s="89" t="s">
        <v>3124</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2951</v>
      </c>
      <c r="AY1473" s="19">
        <v>0</v>
      </c>
      <c r="AZ1473" s="19">
        <v>66001010</v>
      </c>
      <c r="BA1473" s="20" t="s">
        <v>200</v>
      </c>
      <c r="BB1473" s="20" t="s">
        <v>198</v>
      </c>
      <c r="BC1473" s="28">
        <v>0</v>
      </c>
      <c r="BD1473" s="28">
        <v>0</v>
      </c>
      <c r="BE1473" s="89" t="s">
        <v>3125</v>
      </c>
      <c r="BF1473" s="89" t="s">
        <v>3126</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3127</v>
      </c>
      <c r="E1474" s="18" t="s">
        <v>3128</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3129</v>
      </c>
      <c r="BF1474" s="46" t="s">
        <v>3130</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3131</v>
      </c>
      <c r="BF1475" s="94" t="s">
        <v>3132</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3133</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3134</v>
      </c>
      <c r="BF1476" s="209" t="s">
        <v>3135</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3136</v>
      </c>
      <c r="E1477" s="65" t="s">
        <v>3137</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3138</v>
      </c>
      <c r="BF1477" s="209" t="s">
        <v>3139</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3140</v>
      </c>
      <c r="E1478" s="65" t="s">
        <v>3141</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3142</v>
      </c>
      <c r="BF1478" s="209" t="s">
        <v>3143</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3144</v>
      </c>
      <c r="E1479" s="65" t="s">
        <v>3145</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3146</v>
      </c>
      <c r="BF1479" s="94" t="s">
        <v>3147</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3148</v>
      </c>
      <c r="E1480" s="61" t="s">
        <v>3149</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4" t="s">
        <v>3150</v>
      </c>
      <c r="BC1480" s="68">
        <v>0</v>
      </c>
      <c r="BD1480" s="68">
        <v>0</v>
      </c>
      <c r="BE1480" s="92" t="s">
        <v>3151</v>
      </c>
      <c r="BF1480" s="92" t="s">
        <v>3152</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3153</v>
      </c>
      <c r="E1481" s="65" t="s">
        <v>3154</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3155</v>
      </c>
      <c r="BF1481" s="209" t="s">
        <v>3156</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3157</v>
      </c>
      <c r="E1482" s="61" t="s">
        <v>3158</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2660</v>
      </c>
      <c r="BB1482" s="62">
        <v>0</v>
      </c>
      <c r="BC1482" s="68">
        <v>0</v>
      </c>
      <c r="BD1482" s="68">
        <v>0</v>
      </c>
      <c r="BE1482" s="92" t="s">
        <v>3159</v>
      </c>
      <c r="BF1482" s="92" t="s">
        <v>3160</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3161</v>
      </c>
      <c r="E1483" s="20" t="s">
        <v>3162</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3163</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3164</v>
      </c>
      <c r="BC1484" s="28">
        <v>0</v>
      </c>
      <c r="BD1484" s="28">
        <v>0</v>
      </c>
      <c r="BE1484" s="89" t="s">
        <v>3165</v>
      </c>
      <c r="BF1484" s="89" t="s">
        <v>3166</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3167</v>
      </c>
      <c r="E1485" s="20" t="s">
        <v>3168</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3169</v>
      </c>
      <c r="BF1485" s="89" t="s">
        <v>3170</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3171</v>
      </c>
      <c r="E1486" s="20" t="s">
        <v>3172</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3173</v>
      </c>
      <c r="BF1486" s="89" t="s">
        <v>3174</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3175</v>
      </c>
      <c r="E1487" s="20" t="s">
        <v>3176</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1" t="s">
        <v>3177</v>
      </c>
      <c r="BC1487" s="28">
        <v>0</v>
      </c>
      <c r="BD1487" s="28">
        <v>0</v>
      </c>
      <c r="BE1487" s="46" t="s">
        <v>3178</v>
      </c>
      <c r="BF1487" s="46" t="s">
        <v>3179</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3180</v>
      </c>
      <c r="E1488" s="20" t="s">
        <v>3181</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3182</v>
      </c>
      <c r="BF1488" s="89" t="s">
        <v>3183</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3184</v>
      </c>
      <c r="E1489" s="20" t="s">
        <v>3185</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3186</v>
      </c>
      <c r="BF1489" s="89" t="s">
        <v>3187</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3188</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3189</v>
      </c>
      <c r="BF1490" s="89" t="s">
        <v>3190</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3191</v>
      </c>
      <c r="E1491" s="20" t="s">
        <v>2916</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3192</v>
      </c>
      <c r="BC1491" s="28">
        <v>0</v>
      </c>
      <c r="BD1491" s="28">
        <v>0</v>
      </c>
      <c r="BE1491" s="89" t="s">
        <v>3193</v>
      </c>
      <c r="BF1491" s="89" t="s">
        <v>3194</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3195</v>
      </c>
      <c r="E1492" s="20" t="s">
        <v>3196</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3197</v>
      </c>
      <c r="BF1492" s="89" t="s">
        <v>3198</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3199</v>
      </c>
      <c r="E1493" s="20" t="s">
        <v>3200</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3201</v>
      </c>
      <c r="BC1493" s="28">
        <v>0</v>
      </c>
      <c r="BD1493" s="28">
        <v>0</v>
      </c>
      <c r="BE1493" s="89" t="s">
        <v>3202</v>
      </c>
      <c r="BF1493" s="89" t="s">
        <v>3203</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3204</v>
      </c>
      <c r="E1494" s="20" t="s">
        <v>3205</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3206</v>
      </c>
      <c r="BF1494" s="89" t="s">
        <v>3207</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3208</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3209</v>
      </c>
      <c r="BC1495" s="28">
        <v>0</v>
      </c>
      <c r="BD1495" s="28">
        <v>0</v>
      </c>
      <c r="BE1495" s="89" t="s">
        <v>3210</v>
      </c>
      <c r="BF1495" s="89" t="s">
        <v>3211</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3212</v>
      </c>
      <c r="E1496" s="20" t="s">
        <v>3213</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3214</v>
      </c>
      <c r="BC1496" s="28">
        <v>0</v>
      </c>
      <c r="BD1496" s="28">
        <v>0</v>
      </c>
      <c r="BE1496" s="89" t="s">
        <v>3215</v>
      </c>
      <c r="BF1496" s="89" t="s">
        <v>3216</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3217</v>
      </c>
      <c r="E1497" s="20" t="s">
        <v>3218</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3219</v>
      </c>
      <c r="BC1497" s="28">
        <v>0</v>
      </c>
      <c r="BD1497" s="28">
        <v>0</v>
      </c>
      <c r="BE1497" s="89" t="s">
        <v>3220</v>
      </c>
      <c r="BF1497" s="89" t="s">
        <v>3221</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3222</v>
      </c>
      <c r="E1498" s="20" t="s">
        <v>3223</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3224</v>
      </c>
      <c r="BC1498" s="28">
        <v>0</v>
      </c>
      <c r="BD1498" s="28">
        <v>0</v>
      </c>
      <c r="BE1498" s="89" t="s">
        <v>3225</v>
      </c>
      <c r="BF1498" s="89" t="s">
        <v>3226</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3227</v>
      </c>
      <c r="E1499" s="20" t="s">
        <v>3228</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3229</v>
      </c>
      <c r="BC1499" s="28">
        <v>0</v>
      </c>
      <c r="BD1499" s="28">
        <v>0</v>
      </c>
      <c r="BE1499" s="89" t="s">
        <v>3230</v>
      </c>
      <c r="BF1499" s="89" t="s">
        <v>3231</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3232</v>
      </c>
      <c r="E1500" s="20" t="s">
        <v>3233</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3234</v>
      </c>
      <c r="BC1500" s="28">
        <v>0</v>
      </c>
      <c r="BD1500" s="28">
        <v>0</v>
      </c>
      <c r="BE1500" s="89" t="s">
        <v>3235</v>
      </c>
      <c r="BF1500" s="89" t="s">
        <v>3236</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3237</v>
      </c>
      <c r="E1501" s="20" t="s">
        <v>3238</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3239</v>
      </c>
      <c r="BC1501" s="28">
        <v>0</v>
      </c>
      <c r="BD1501" s="28">
        <v>0</v>
      </c>
      <c r="BE1501" s="46" t="s">
        <v>3240</v>
      </c>
      <c r="BF1501" s="46" t="s">
        <v>3241</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3242</v>
      </c>
      <c r="E1502" s="20" t="s">
        <v>3243</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3244</v>
      </c>
      <c r="BC1502" s="28">
        <v>0</v>
      </c>
      <c r="BD1502" s="28">
        <v>0</v>
      </c>
      <c r="BE1502" s="89" t="s">
        <v>3245</v>
      </c>
      <c r="BF1502" s="89" t="s">
        <v>3246</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3247</v>
      </c>
      <c r="E1503" s="20" t="s">
        <v>3248</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3249</v>
      </c>
      <c r="BF1503" s="89" t="s">
        <v>3250</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3251</v>
      </c>
      <c r="E1504" s="20" t="s">
        <v>3252</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3253</v>
      </c>
      <c r="BF1504" s="89" t="s">
        <v>3254</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3255</v>
      </c>
      <c r="E1505" s="20" t="s">
        <v>3256</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3257</v>
      </c>
      <c r="BF1505" s="89" t="s">
        <v>3258</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3259</v>
      </c>
      <c r="E1506" s="20" t="s">
        <v>3260</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3261</v>
      </c>
      <c r="BF1506" s="89" t="s">
        <v>3262</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3263</v>
      </c>
      <c r="E1507" s="20" t="s">
        <v>3264</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3265</v>
      </c>
      <c r="BF1507" s="89" t="s">
        <v>3266</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3267</v>
      </c>
      <c r="E1508" s="20" t="s">
        <v>3268</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3269</v>
      </c>
      <c r="BF1508" s="89" t="s">
        <v>3270</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3271</v>
      </c>
      <c r="E1509" s="20" t="s">
        <v>3272</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3273</v>
      </c>
      <c r="BF1509" s="89" t="s">
        <v>3274</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3275</v>
      </c>
      <c r="E1510" s="20" t="s">
        <v>3276</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3277</v>
      </c>
      <c r="BC1510" s="28">
        <v>0</v>
      </c>
      <c r="BD1510" s="28">
        <v>0</v>
      </c>
      <c r="BE1510" s="89" t="s">
        <v>3278</v>
      </c>
      <c r="BF1510" s="89" t="s">
        <v>3279</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3280</v>
      </c>
      <c r="E1511" s="20" t="s">
        <v>3281</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7" t="s">
        <v>3282</v>
      </c>
      <c r="AU1511" s="19" t="s">
        <v>198</v>
      </c>
      <c r="AV1511" s="19"/>
      <c r="AW1511" s="20" t="s">
        <v>199</v>
      </c>
      <c r="AX1511" s="19">
        <v>0</v>
      </c>
      <c r="AY1511" s="19">
        <v>0</v>
      </c>
      <c r="AZ1511" s="19">
        <v>0</v>
      </c>
      <c r="BA1511" s="20" t="s">
        <v>200</v>
      </c>
      <c r="BB1511" s="20" t="s">
        <v>198</v>
      </c>
      <c r="BC1511" s="28">
        <v>0</v>
      </c>
      <c r="BD1511" s="28">
        <v>0</v>
      </c>
      <c r="BE1511" s="89" t="s">
        <v>3283</v>
      </c>
      <c r="BF1511" s="89" t="s">
        <v>3284</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3285</v>
      </c>
      <c r="E1512" s="20" t="s">
        <v>3286</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7" t="s">
        <v>3282</v>
      </c>
      <c r="AU1512" s="19" t="s">
        <v>198</v>
      </c>
      <c r="AV1512" s="19"/>
      <c r="AW1512" s="20" t="s">
        <v>199</v>
      </c>
      <c r="AX1512" s="19">
        <v>0</v>
      </c>
      <c r="AY1512" s="19">
        <v>0</v>
      </c>
      <c r="AZ1512" s="19">
        <v>0</v>
      </c>
      <c r="BA1512" s="20" t="s">
        <v>200</v>
      </c>
      <c r="BB1512" s="20" t="s">
        <v>198</v>
      </c>
      <c r="BC1512" s="28">
        <v>0</v>
      </c>
      <c r="BD1512" s="28">
        <v>0</v>
      </c>
      <c r="BE1512" s="89" t="s">
        <v>3287</v>
      </c>
      <c r="BF1512" s="89" t="s">
        <v>3288</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3289</v>
      </c>
      <c r="E1513" s="20" t="s">
        <v>3290</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7" t="s">
        <v>3282</v>
      </c>
      <c r="AU1513" s="19" t="s">
        <v>198</v>
      </c>
      <c r="AV1513" s="19"/>
      <c r="AW1513" s="20" t="s">
        <v>199</v>
      </c>
      <c r="AX1513" s="19">
        <v>0</v>
      </c>
      <c r="AY1513" s="19">
        <v>0</v>
      </c>
      <c r="AZ1513" s="19">
        <v>0</v>
      </c>
      <c r="BA1513" s="20" t="s">
        <v>200</v>
      </c>
      <c r="BB1513" s="20" t="s">
        <v>198</v>
      </c>
      <c r="BC1513" s="28">
        <v>0</v>
      </c>
      <c r="BD1513" s="28">
        <v>0</v>
      </c>
      <c r="BE1513" s="89" t="s">
        <v>3291</v>
      </c>
      <c r="BF1513" s="89" t="s">
        <v>3292</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2888</v>
      </c>
      <c r="E1514" s="20" t="s">
        <v>3293</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3294</v>
      </c>
      <c r="BF1514" s="89" t="s">
        <v>3295</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3296</v>
      </c>
      <c r="E1515" s="96" t="s">
        <v>3297</v>
      </c>
      <c r="F1515" s="16">
        <v>1</v>
      </c>
      <c r="G1515" s="19">
        <v>60090002</v>
      </c>
      <c r="H1515" s="16">
        <v>0</v>
      </c>
      <c r="I1515" s="27">
        <v>0</v>
      </c>
      <c r="J1515" s="16">
        <v>1</v>
      </c>
      <c r="K1515" s="16">
        <v>0</v>
      </c>
      <c r="L1515" s="27">
        <v>0</v>
      </c>
      <c r="M1515" s="27">
        <v>0</v>
      </c>
      <c r="N1515" s="16" t="s">
        <v>3298</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3299</v>
      </c>
      <c r="BF1515" s="270" t="s">
        <v>3300</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3301</v>
      </c>
      <c r="E1516" s="20" t="s">
        <v>3302</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3303</v>
      </c>
      <c r="BF1516" s="89" t="s">
        <v>3304</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3305</v>
      </c>
      <c r="E1517" s="96" t="s">
        <v>3306</v>
      </c>
      <c r="F1517" s="16">
        <v>1</v>
      </c>
      <c r="G1517" s="19">
        <v>60090002</v>
      </c>
      <c r="H1517" s="16">
        <v>0</v>
      </c>
      <c r="I1517" s="27">
        <v>0</v>
      </c>
      <c r="J1517" s="16">
        <v>1</v>
      </c>
      <c r="K1517" s="16">
        <v>0</v>
      </c>
      <c r="L1517" s="27">
        <v>0</v>
      </c>
      <c r="M1517" s="27">
        <v>0</v>
      </c>
      <c r="N1517" s="16" t="s">
        <v>3307</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3299</v>
      </c>
      <c r="BF1517" s="270" t="s">
        <v>3300</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3308</v>
      </c>
      <c r="E1518" s="20" t="s">
        <v>3309</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3310</v>
      </c>
      <c r="BF1518" s="44" t="s">
        <v>3311</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3312</v>
      </c>
      <c r="E1519" s="96" t="s">
        <v>3313</v>
      </c>
      <c r="F1519" s="16">
        <v>1</v>
      </c>
      <c r="G1519" s="19">
        <v>60090002</v>
      </c>
      <c r="H1519" s="16">
        <v>0</v>
      </c>
      <c r="I1519" s="27">
        <v>0</v>
      </c>
      <c r="J1519" s="16">
        <v>1</v>
      </c>
      <c r="K1519" s="16">
        <v>0</v>
      </c>
      <c r="L1519" s="27">
        <v>0</v>
      </c>
      <c r="M1519" s="27">
        <v>0</v>
      </c>
      <c r="N1519" s="16" t="s">
        <v>3314</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3299</v>
      </c>
      <c r="BF1519" s="270" t="s">
        <v>3300</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3315</v>
      </c>
      <c r="E1520" s="14" t="s">
        <v>3316</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3317</v>
      </c>
      <c r="BF1520" s="44" t="s">
        <v>3318</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3319</v>
      </c>
      <c r="E1521" s="14" t="s">
        <v>3320</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3321</v>
      </c>
      <c r="BF1521" s="44" t="s">
        <v>3322</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3323</v>
      </c>
      <c r="E1522" s="96" t="s">
        <v>3324</v>
      </c>
      <c r="F1522" s="16">
        <v>1</v>
      </c>
      <c r="G1522" s="19">
        <v>60090002</v>
      </c>
      <c r="H1522" s="16">
        <v>0</v>
      </c>
      <c r="I1522" s="27">
        <v>0</v>
      </c>
      <c r="J1522" s="16">
        <v>1</v>
      </c>
      <c r="K1522" s="16">
        <v>0</v>
      </c>
      <c r="L1522" s="27">
        <v>0</v>
      </c>
      <c r="M1522" s="27">
        <v>0</v>
      </c>
      <c r="N1522" s="16" t="s">
        <v>3325</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3299</v>
      </c>
      <c r="BF1522" s="270" t="s">
        <v>3300</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3326</v>
      </c>
      <c r="E1523" s="96" t="s">
        <v>3327</v>
      </c>
      <c r="F1523" s="16">
        <v>1</v>
      </c>
      <c r="G1523" s="19">
        <v>60090002</v>
      </c>
      <c r="H1523" s="16">
        <v>0</v>
      </c>
      <c r="I1523" s="27">
        <v>0</v>
      </c>
      <c r="J1523" s="16">
        <v>1</v>
      </c>
      <c r="K1523" s="16">
        <v>0</v>
      </c>
      <c r="L1523" s="27">
        <v>0</v>
      </c>
      <c r="M1523" s="27">
        <v>0</v>
      </c>
      <c r="N1523" s="16" t="s">
        <v>3325</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3299</v>
      </c>
      <c r="BF1523" s="270" t="s">
        <v>3300</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3328</v>
      </c>
      <c r="E1524" s="20" t="s">
        <v>3329</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3303</v>
      </c>
      <c r="BF1524" s="89" t="s">
        <v>3304</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3330</v>
      </c>
      <c r="E1525" s="14" t="s">
        <v>3331</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3321</v>
      </c>
      <c r="BF1525" s="44" t="s">
        <v>3322</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3332</v>
      </c>
      <c r="E1526" s="14" t="s">
        <v>3333</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3334</v>
      </c>
      <c r="BF1526" s="44" t="s">
        <v>3335</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3336</v>
      </c>
      <c r="E1527" s="262" t="s">
        <v>3337</v>
      </c>
      <c r="F1527" s="16">
        <v>1</v>
      </c>
      <c r="G1527" s="19">
        <v>60090002</v>
      </c>
      <c r="H1527" s="16">
        <v>0</v>
      </c>
      <c r="I1527" s="27">
        <v>0</v>
      </c>
      <c r="J1527" s="16">
        <v>1</v>
      </c>
      <c r="K1527" s="16">
        <v>0</v>
      </c>
      <c r="L1527" s="27">
        <v>0</v>
      </c>
      <c r="M1527" s="27">
        <v>0</v>
      </c>
      <c r="N1527" s="16" t="s">
        <v>3338</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3299</v>
      </c>
      <c r="BF1527" s="270" t="s">
        <v>3300</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3339</v>
      </c>
      <c r="E1528" s="262" t="s">
        <v>3340</v>
      </c>
      <c r="F1528" s="16">
        <v>1</v>
      </c>
      <c r="G1528" s="19">
        <v>60090002</v>
      </c>
      <c r="H1528" s="16">
        <v>0</v>
      </c>
      <c r="I1528" s="27">
        <v>0</v>
      </c>
      <c r="J1528" s="16">
        <v>1</v>
      </c>
      <c r="K1528" s="16">
        <v>0</v>
      </c>
      <c r="L1528" s="27">
        <v>0</v>
      </c>
      <c r="M1528" s="27">
        <v>0</v>
      </c>
      <c r="N1528" s="16" t="s">
        <v>3341</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3299</v>
      </c>
      <c r="BF1528" s="270" t="s">
        <v>3300</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3342</v>
      </c>
      <c r="E1529" s="262" t="s">
        <v>3343</v>
      </c>
      <c r="F1529" s="16">
        <v>1</v>
      </c>
      <c r="G1529" s="19">
        <v>60090002</v>
      </c>
      <c r="H1529" s="16">
        <v>0</v>
      </c>
      <c r="I1529" s="27">
        <v>0</v>
      </c>
      <c r="J1529" s="16">
        <v>1</v>
      </c>
      <c r="K1529" s="16">
        <v>0</v>
      </c>
      <c r="L1529" s="27">
        <v>0</v>
      </c>
      <c r="M1529" s="27">
        <v>0</v>
      </c>
      <c r="N1529" s="16" t="s">
        <v>3344</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3299</v>
      </c>
      <c r="BF1529" s="270" t="s">
        <v>3300</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3345</v>
      </c>
      <c r="E1530" s="262" t="s">
        <v>3346</v>
      </c>
      <c r="F1530" s="16">
        <v>1</v>
      </c>
      <c r="G1530" s="19">
        <v>60090002</v>
      </c>
      <c r="H1530" s="16">
        <v>0</v>
      </c>
      <c r="I1530" s="27">
        <v>0</v>
      </c>
      <c r="J1530" s="16">
        <v>1</v>
      </c>
      <c r="K1530" s="16">
        <v>0</v>
      </c>
      <c r="L1530" s="27">
        <v>0</v>
      </c>
      <c r="M1530" s="27">
        <v>0</v>
      </c>
      <c r="N1530" s="16" t="s">
        <v>3347</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3299</v>
      </c>
      <c r="BF1530" s="270" t="s">
        <v>3300</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3348</v>
      </c>
      <c r="E1531" s="262" t="s">
        <v>3349</v>
      </c>
      <c r="F1531" s="16">
        <v>1</v>
      </c>
      <c r="G1531" s="19">
        <v>60090002</v>
      </c>
      <c r="H1531" s="16">
        <v>0</v>
      </c>
      <c r="I1531" s="27">
        <v>0</v>
      </c>
      <c r="J1531" s="16">
        <v>1</v>
      </c>
      <c r="K1531" s="16">
        <v>0</v>
      </c>
      <c r="L1531" s="27">
        <v>0</v>
      </c>
      <c r="M1531" s="27">
        <v>0</v>
      </c>
      <c r="N1531" s="16" t="s">
        <v>3350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3299</v>
      </c>
      <c r="BF1531" s="270" t="s">
        <v>3300</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3351</v>
      </c>
      <c r="E1532" s="263" t="s">
        <v>3352</v>
      </c>
      <c r="F1532" s="95">
        <v>1</v>
      </c>
      <c r="G1532" s="66">
        <v>60090002</v>
      </c>
      <c r="H1532" s="95">
        <v>0</v>
      </c>
      <c r="I1532" s="127">
        <v>0</v>
      </c>
      <c r="J1532" s="95">
        <v>1</v>
      </c>
      <c r="K1532" s="95">
        <v>0</v>
      </c>
      <c r="L1532" s="127">
        <v>0</v>
      </c>
      <c r="M1532" s="127">
        <v>0</v>
      </c>
      <c r="N1532" s="95" t="s">
        <v>3353</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3299</v>
      </c>
      <c r="BF1532" s="271" t="s">
        <v>3300</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3354</v>
      </c>
      <c r="E1533" s="264" t="s">
        <v>3355</v>
      </c>
      <c r="F1533" s="76">
        <v>1</v>
      </c>
      <c r="G1533" s="76">
        <v>60090002</v>
      </c>
      <c r="H1533" s="74">
        <v>0</v>
      </c>
      <c r="I1533" s="74">
        <v>0</v>
      </c>
      <c r="J1533" s="76">
        <v>1</v>
      </c>
      <c r="K1533" s="76">
        <v>0</v>
      </c>
      <c r="L1533" s="74">
        <v>0</v>
      </c>
      <c r="M1533" s="74">
        <v>0</v>
      </c>
      <c r="N1533" s="74" t="s">
        <v>3356</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3354</v>
      </c>
      <c r="BF1533" s="264" t="s">
        <v>3355</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3357</v>
      </c>
      <c r="E1534" s="264" t="s">
        <v>3358</v>
      </c>
      <c r="F1534" s="76">
        <v>1</v>
      </c>
      <c r="G1534" s="76">
        <v>60090002</v>
      </c>
      <c r="H1534" s="74">
        <v>0</v>
      </c>
      <c r="I1534" s="74">
        <v>0</v>
      </c>
      <c r="J1534" s="76">
        <v>1</v>
      </c>
      <c r="K1534" s="76">
        <v>0</v>
      </c>
      <c r="L1534" s="74">
        <v>0</v>
      </c>
      <c r="M1534" s="74">
        <v>0</v>
      </c>
      <c r="N1534" s="74" t="s">
        <v>3325</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3357</v>
      </c>
      <c r="BF1534" s="264" t="s">
        <v>3358</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3359</v>
      </c>
      <c r="E1535" s="264" t="s">
        <v>3360</v>
      </c>
      <c r="F1535" s="76">
        <v>1</v>
      </c>
      <c r="G1535" s="76">
        <v>60090002</v>
      </c>
      <c r="H1535" s="74">
        <v>0</v>
      </c>
      <c r="I1535" s="74">
        <v>0</v>
      </c>
      <c r="J1535" s="76">
        <v>1</v>
      </c>
      <c r="K1535" s="76">
        <v>0</v>
      </c>
      <c r="L1535" s="74">
        <v>0</v>
      </c>
      <c r="M1535" s="74">
        <v>0</v>
      </c>
      <c r="N1535" s="74" t="s">
        <v>3361</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3359</v>
      </c>
      <c r="BF1535" s="264" t="s">
        <v>3360</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3362</v>
      </c>
      <c r="E1536" s="264" t="s">
        <v>3363</v>
      </c>
      <c r="F1536" s="76">
        <v>1</v>
      </c>
      <c r="G1536" s="76">
        <v>60090002</v>
      </c>
      <c r="H1536" s="74">
        <v>0</v>
      </c>
      <c r="I1536" s="74">
        <v>0</v>
      </c>
      <c r="J1536" s="76">
        <v>1</v>
      </c>
      <c r="K1536" s="76">
        <v>0</v>
      </c>
      <c r="L1536" s="74">
        <v>0</v>
      </c>
      <c r="M1536" s="74">
        <v>0</v>
      </c>
      <c r="N1536" s="74" t="s">
        <v>3364</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3362</v>
      </c>
      <c r="BF1536" s="264" t="s">
        <v>3363</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3365</v>
      </c>
      <c r="E1537" s="264" t="s">
        <v>3366</v>
      </c>
      <c r="F1537" s="76">
        <v>1</v>
      </c>
      <c r="G1537" s="76">
        <v>60090002</v>
      </c>
      <c r="H1537" s="74">
        <v>0</v>
      </c>
      <c r="I1537" s="74">
        <v>0</v>
      </c>
      <c r="J1537" s="76">
        <v>1</v>
      </c>
      <c r="K1537" s="76">
        <v>0</v>
      </c>
      <c r="L1537" s="74">
        <v>0</v>
      </c>
      <c r="M1537" s="74">
        <v>0</v>
      </c>
      <c r="N1537" s="74" t="s">
        <v>3298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3365</v>
      </c>
      <c r="BF1537" s="264" t="s">
        <v>3366</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3367</v>
      </c>
      <c r="E1538" s="264" t="s">
        <v>3368</v>
      </c>
      <c r="F1538" s="76">
        <v>1</v>
      </c>
      <c r="G1538" s="76">
        <v>60090002</v>
      </c>
      <c r="H1538" s="74">
        <v>0</v>
      </c>
      <c r="I1538" s="74">
        <v>0</v>
      </c>
      <c r="J1538" s="76">
        <v>1</v>
      </c>
      <c r="K1538" s="76">
        <v>0</v>
      </c>
      <c r="L1538" s="74">
        <v>0</v>
      </c>
      <c r="M1538" s="74">
        <v>0</v>
      </c>
      <c r="N1538" s="74" t="s">
        <v>3338</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3367</v>
      </c>
      <c r="BF1538" s="264" t="s">
        <v>3368</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3369</v>
      </c>
      <c r="E1539" s="264" t="s">
        <v>3370</v>
      </c>
      <c r="F1539" s="76">
        <v>1</v>
      </c>
      <c r="G1539" s="76">
        <v>60090002</v>
      </c>
      <c r="H1539" s="74">
        <v>0</v>
      </c>
      <c r="I1539" s="74">
        <v>0</v>
      </c>
      <c r="J1539" s="76">
        <v>1</v>
      </c>
      <c r="K1539" s="76">
        <v>0</v>
      </c>
      <c r="L1539" s="74">
        <v>0</v>
      </c>
      <c r="M1539" s="74">
        <v>0</v>
      </c>
      <c r="N1539" s="74" t="s">
        <v>3371</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3369</v>
      </c>
      <c r="BF1539" s="264" t="s">
        <v>3370</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3372</v>
      </c>
      <c r="E1540" s="264" t="s">
        <v>3373</v>
      </c>
      <c r="F1540" s="76">
        <v>1</v>
      </c>
      <c r="G1540" s="76">
        <v>60090002</v>
      </c>
      <c r="H1540" s="74">
        <v>0</v>
      </c>
      <c r="I1540" s="74">
        <v>0</v>
      </c>
      <c r="J1540" s="76">
        <v>1</v>
      </c>
      <c r="K1540" s="76">
        <v>0</v>
      </c>
      <c r="L1540" s="74">
        <v>0</v>
      </c>
      <c r="M1540" s="74">
        <v>0</v>
      </c>
      <c r="N1540" s="74" t="s">
        <v>3374</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3372</v>
      </c>
      <c r="BF1540" s="264" t="s">
        <v>3373</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3375</v>
      </c>
      <c r="E1541" s="264" t="s">
        <v>3376</v>
      </c>
      <c r="F1541" s="76">
        <v>1</v>
      </c>
      <c r="G1541" s="76">
        <v>60090002</v>
      </c>
      <c r="H1541" s="74">
        <v>0</v>
      </c>
      <c r="I1541" s="74">
        <v>0</v>
      </c>
      <c r="J1541" s="76">
        <v>1</v>
      </c>
      <c r="K1541" s="76">
        <v>0</v>
      </c>
      <c r="L1541" s="74">
        <v>0</v>
      </c>
      <c r="M1541" s="74">
        <v>0</v>
      </c>
      <c r="N1541" s="74" t="s">
        <v>3377</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3375</v>
      </c>
      <c r="BF1541" s="264" t="s">
        <v>3376</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3378</v>
      </c>
      <c r="E1542" s="264" t="s">
        <v>3379</v>
      </c>
      <c r="F1542" s="76">
        <v>1</v>
      </c>
      <c r="G1542" s="76">
        <v>60090002</v>
      </c>
      <c r="H1542" s="74">
        <v>0</v>
      </c>
      <c r="I1542" s="74">
        <v>0</v>
      </c>
      <c r="J1542" s="76">
        <v>1</v>
      </c>
      <c r="K1542" s="76">
        <v>0</v>
      </c>
      <c r="L1542" s="74">
        <v>0</v>
      </c>
      <c r="M1542" s="74">
        <v>0</v>
      </c>
      <c r="N1542" s="74" t="s">
        <v>3380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3378</v>
      </c>
      <c r="BF1542" s="264" t="s">
        <v>3379</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3381</v>
      </c>
      <c r="E1543" s="264" t="s">
        <v>3382</v>
      </c>
      <c r="F1543" s="76">
        <v>1</v>
      </c>
      <c r="G1543" s="76">
        <v>60090002</v>
      </c>
      <c r="H1543" s="74">
        <v>0</v>
      </c>
      <c r="I1543" s="74">
        <v>0</v>
      </c>
      <c r="J1543" s="76">
        <v>1</v>
      </c>
      <c r="K1543" s="76">
        <v>0</v>
      </c>
      <c r="L1543" s="74">
        <v>0</v>
      </c>
      <c r="M1543" s="74">
        <v>0</v>
      </c>
      <c r="N1543" s="74" t="s">
        <v>3383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3381</v>
      </c>
      <c r="BF1543" s="264" t="s">
        <v>3382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3384</v>
      </c>
      <c r="E1544" s="264" t="s">
        <v>3385</v>
      </c>
      <c r="F1544" s="76">
        <v>1</v>
      </c>
      <c r="G1544" s="76">
        <v>60090002</v>
      </c>
      <c r="H1544" s="74">
        <v>0</v>
      </c>
      <c r="I1544" s="74">
        <v>0</v>
      </c>
      <c r="J1544" s="76">
        <v>1</v>
      </c>
      <c r="K1544" s="76">
        <v>0</v>
      </c>
      <c r="L1544" s="74">
        <v>0</v>
      </c>
      <c r="M1544" s="74">
        <v>0</v>
      </c>
      <c r="N1544" s="74" t="s">
        <v>3386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3384</v>
      </c>
      <c r="BF1544" s="264" t="s">
        <v>3385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3387</v>
      </c>
      <c r="E1545" s="264" t="s">
        <v>3388</v>
      </c>
      <c r="F1545" s="76">
        <v>1</v>
      </c>
      <c r="G1545" s="76">
        <v>60090002</v>
      </c>
      <c r="H1545" s="74">
        <v>0</v>
      </c>
      <c r="I1545" s="74">
        <v>0</v>
      </c>
      <c r="J1545" s="76">
        <v>1</v>
      </c>
      <c r="K1545" s="76">
        <v>0</v>
      </c>
      <c r="L1545" s="74">
        <v>0</v>
      </c>
      <c r="M1545" s="74">
        <v>0</v>
      </c>
      <c r="N1545" s="74" t="s">
        <v>3389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3387</v>
      </c>
      <c r="BF1545" s="264" t="s">
        <v>3388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3390</v>
      </c>
      <c r="E1546" s="264" t="s">
        <v>3391</v>
      </c>
      <c r="F1546" s="76">
        <v>1</v>
      </c>
      <c r="G1546" s="76">
        <v>60090002</v>
      </c>
      <c r="H1546" s="74">
        <v>0</v>
      </c>
      <c r="I1546" s="74">
        <v>0</v>
      </c>
      <c r="J1546" s="76">
        <v>1</v>
      </c>
      <c r="K1546" s="76">
        <v>0</v>
      </c>
      <c r="L1546" s="74">
        <v>0</v>
      </c>
      <c r="M1546" s="74">
        <v>0</v>
      </c>
      <c r="N1546" s="74" t="s">
        <v>3392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3390</v>
      </c>
      <c r="BF1546" s="264" t="s">
        <v>3391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3393</v>
      </c>
      <c r="E1547" s="264" t="s">
        <v>3394</v>
      </c>
      <c r="F1547" s="76">
        <v>1</v>
      </c>
      <c r="G1547" s="76">
        <v>60090002</v>
      </c>
      <c r="H1547" s="74">
        <v>0</v>
      </c>
      <c r="I1547" s="74">
        <v>0</v>
      </c>
      <c r="J1547" s="76">
        <v>1</v>
      </c>
      <c r="K1547" s="76">
        <v>0</v>
      </c>
      <c r="L1547" s="74">
        <v>0</v>
      </c>
      <c r="M1547" s="74">
        <v>0</v>
      </c>
      <c r="N1547" s="74" t="s">
        <v>3395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3393</v>
      </c>
      <c r="BF1547" s="264" t="s">
        <v>3394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3396</v>
      </c>
      <c r="E1548" s="264" t="s">
        <v>3397</v>
      </c>
      <c r="F1548" s="76">
        <v>1</v>
      </c>
      <c r="G1548" s="76">
        <v>60090002</v>
      </c>
      <c r="H1548" s="74">
        <v>0</v>
      </c>
      <c r="I1548" s="74">
        <v>0</v>
      </c>
      <c r="J1548" s="76">
        <v>1</v>
      </c>
      <c r="K1548" s="76">
        <v>0</v>
      </c>
      <c r="L1548" s="74">
        <v>0</v>
      </c>
      <c r="M1548" s="74">
        <v>0</v>
      </c>
      <c r="N1548" s="74" t="s">
        <v>3398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3396</v>
      </c>
      <c r="BF1548" s="264" t="s">
        <v>3397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3399</v>
      </c>
      <c r="E1549" s="264" t="s">
        <v>3400</v>
      </c>
      <c r="F1549" s="76">
        <v>1</v>
      </c>
      <c r="G1549" s="76">
        <v>60090002</v>
      </c>
      <c r="H1549" s="74">
        <v>0</v>
      </c>
      <c r="I1549" s="74">
        <v>0</v>
      </c>
      <c r="J1549" s="76">
        <v>1</v>
      </c>
      <c r="K1549" s="76">
        <v>0</v>
      </c>
      <c r="L1549" s="74">
        <v>0</v>
      </c>
      <c r="M1549" s="74">
        <v>0</v>
      </c>
      <c r="N1549" s="74" t="s">
        <v>3401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3399</v>
      </c>
      <c r="BF1549" s="264" t="s">
        <v>3400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3402</v>
      </c>
      <c r="E1550" s="264" t="s">
        <v>3403</v>
      </c>
      <c r="F1550" s="76">
        <v>1</v>
      </c>
      <c r="G1550" s="76">
        <v>60090002</v>
      </c>
      <c r="H1550" s="74">
        <v>0</v>
      </c>
      <c r="I1550" s="74">
        <v>0</v>
      </c>
      <c r="J1550" s="76">
        <v>1</v>
      </c>
      <c r="K1550" s="76">
        <v>0</v>
      </c>
      <c r="L1550" s="74">
        <v>0</v>
      </c>
      <c r="M1550" s="74">
        <v>0</v>
      </c>
      <c r="N1550" s="74" t="s">
        <v>3404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3402</v>
      </c>
      <c r="BF1550" s="264" t="s">
        <v>3403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3405</v>
      </c>
      <c r="E1551" s="264" t="s">
        <v>3406</v>
      </c>
      <c r="F1551" s="76">
        <v>1</v>
      </c>
      <c r="G1551" s="76">
        <v>60090002</v>
      </c>
      <c r="H1551" s="74">
        <v>0</v>
      </c>
      <c r="I1551" s="74">
        <v>0</v>
      </c>
      <c r="J1551" s="76">
        <v>1</v>
      </c>
      <c r="K1551" s="76">
        <v>0</v>
      </c>
      <c r="L1551" s="74">
        <v>0</v>
      </c>
      <c r="M1551" s="74">
        <v>0</v>
      </c>
      <c r="N1551" s="74" t="s">
        <v>3353</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3405</v>
      </c>
      <c r="BF1551" s="264" t="s">
        <v>3406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3407</v>
      </c>
      <c r="E1552" s="264" t="s">
        <v>3408</v>
      </c>
      <c r="F1552" s="76">
        <v>1</v>
      </c>
      <c r="G1552" s="76">
        <v>60090002</v>
      </c>
      <c r="H1552" s="74">
        <v>0</v>
      </c>
      <c r="I1552" s="74">
        <v>0</v>
      </c>
      <c r="J1552" s="76">
        <v>1</v>
      </c>
      <c r="K1552" s="76">
        <v>0</v>
      </c>
      <c r="L1552" s="74">
        <v>0</v>
      </c>
      <c r="M1552" s="74">
        <v>0</v>
      </c>
      <c r="N1552" s="74" t="s">
        <v>3314</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3407</v>
      </c>
      <c r="BF1552" s="264" t="s">
        <v>3408</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3409</v>
      </c>
      <c r="E1553" s="264" t="s">
        <v>3410</v>
      </c>
      <c r="F1553" s="76">
        <v>1</v>
      </c>
      <c r="G1553" s="76">
        <v>60090002</v>
      </c>
      <c r="H1553" s="74">
        <v>0</v>
      </c>
      <c r="I1553" s="74">
        <v>0</v>
      </c>
      <c r="J1553" s="76">
        <v>1</v>
      </c>
      <c r="K1553" s="76">
        <v>0</v>
      </c>
      <c r="L1553" s="74">
        <v>0</v>
      </c>
      <c r="M1553" s="74">
        <v>0</v>
      </c>
      <c r="N1553" s="74" t="s">
        <v>3411</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3409</v>
      </c>
      <c r="BF1553" s="264" t="s">
        <v>3410</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3412</v>
      </c>
      <c r="E1554" s="264" t="s">
        <v>3413</v>
      </c>
      <c r="F1554" s="76">
        <v>1</v>
      </c>
      <c r="G1554" s="76">
        <v>60090002</v>
      </c>
      <c r="H1554" s="74">
        <v>0</v>
      </c>
      <c r="I1554" s="74">
        <v>0</v>
      </c>
      <c r="J1554" s="76">
        <v>1</v>
      </c>
      <c r="K1554" s="76">
        <v>0</v>
      </c>
      <c r="L1554" s="74">
        <v>0</v>
      </c>
      <c r="M1554" s="74">
        <v>0</v>
      </c>
      <c r="N1554" s="74" t="s">
        <v>3414</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3412</v>
      </c>
      <c r="BF1554" s="264" t="s">
        <v>3413</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3415</v>
      </c>
      <c r="E1555" s="264" t="s">
        <v>3416</v>
      </c>
      <c r="F1555" s="76">
        <v>1</v>
      </c>
      <c r="G1555" s="76">
        <v>60090002</v>
      </c>
      <c r="H1555" s="74">
        <v>0</v>
      </c>
      <c r="I1555" s="74">
        <v>0</v>
      </c>
      <c r="J1555" s="76">
        <v>1</v>
      </c>
      <c r="K1555" s="76">
        <v>0</v>
      </c>
      <c r="L1555" s="74">
        <v>0</v>
      </c>
      <c r="M1555" s="74">
        <v>0</v>
      </c>
      <c r="N1555" s="74" t="s">
        <v>3307</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3415</v>
      </c>
      <c r="BF1555" s="264" t="s">
        <v>3416</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3417</v>
      </c>
      <c r="E1556" s="264" t="s">
        <v>3418</v>
      </c>
      <c r="F1556" s="76">
        <v>1</v>
      </c>
      <c r="G1556" s="76">
        <v>60090002</v>
      </c>
      <c r="H1556" s="74">
        <v>0</v>
      </c>
      <c r="I1556" s="74">
        <v>0</v>
      </c>
      <c r="J1556" s="76">
        <v>1</v>
      </c>
      <c r="K1556" s="76">
        <v>0</v>
      </c>
      <c r="L1556" s="74">
        <v>0</v>
      </c>
      <c r="M1556" s="74">
        <v>0</v>
      </c>
      <c r="N1556" s="74" t="s">
        <v>3419</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3417</v>
      </c>
      <c r="BF1556" s="264" t="s">
        <v>3418</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3420</v>
      </c>
      <c r="E1557" s="264" t="s">
        <v>3421</v>
      </c>
      <c r="F1557" s="76">
        <v>1</v>
      </c>
      <c r="G1557" s="76">
        <v>60090002</v>
      </c>
      <c r="H1557" s="74">
        <v>0</v>
      </c>
      <c r="I1557" s="74">
        <v>0</v>
      </c>
      <c r="J1557" s="76">
        <v>1</v>
      </c>
      <c r="K1557" s="76">
        <v>0</v>
      </c>
      <c r="L1557" s="74">
        <v>0</v>
      </c>
      <c r="M1557" s="74">
        <v>0</v>
      </c>
      <c r="N1557" s="74" t="s">
        <v>3422</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3420</v>
      </c>
      <c r="BF1557" s="264" t="s">
        <v>3421</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3423</v>
      </c>
      <c r="E1558" s="264" t="s">
        <v>3424</v>
      </c>
      <c r="F1558" s="76">
        <v>1</v>
      </c>
      <c r="G1558" s="76">
        <v>60090002</v>
      </c>
      <c r="H1558" s="74">
        <v>0</v>
      </c>
      <c r="I1558" s="74">
        <v>0</v>
      </c>
      <c r="J1558" s="76">
        <v>1</v>
      </c>
      <c r="K1558" s="76">
        <v>0</v>
      </c>
      <c r="L1558" s="74">
        <v>0</v>
      </c>
      <c r="M1558" s="74">
        <v>0</v>
      </c>
      <c r="N1558" s="74" t="s">
        <v>3425</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3423</v>
      </c>
      <c r="BF1558" s="264" t="s">
        <v>3424</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3426</v>
      </c>
      <c r="E1559" s="264" t="s">
        <v>3427</v>
      </c>
      <c r="F1559" s="76">
        <v>1</v>
      </c>
      <c r="G1559" s="76">
        <v>60090002</v>
      </c>
      <c r="H1559" s="74">
        <v>0</v>
      </c>
      <c r="I1559" s="74">
        <v>0</v>
      </c>
      <c r="J1559" s="76">
        <v>1</v>
      </c>
      <c r="K1559" s="76">
        <v>0</v>
      </c>
      <c r="L1559" s="74">
        <v>0</v>
      </c>
      <c r="M1559" s="74">
        <v>0</v>
      </c>
      <c r="N1559" s="74" t="s">
        <v>3428</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3426</v>
      </c>
      <c r="BF1559" s="264" t="s">
        <v>3427</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3429</v>
      </c>
      <c r="E1560" s="264" t="s">
        <v>3430</v>
      </c>
      <c r="F1560" s="76">
        <v>1</v>
      </c>
      <c r="G1560" s="76">
        <v>60090002</v>
      </c>
      <c r="H1560" s="74">
        <v>0</v>
      </c>
      <c r="I1560" s="74">
        <v>0</v>
      </c>
      <c r="J1560" s="76">
        <v>1</v>
      </c>
      <c r="K1560" s="76">
        <v>0</v>
      </c>
      <c r="L1560" s="74">
        <v>0</v>
      </c>
      <c r="M1560" s="74">
        <v>0</v>
      </c>
      <c r="N1560" s="74" t="s">
        <v>3431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3429</v>
      </c>
      <c r="BF1560" s="264" t="s">
        <v>3430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3432</v>
      </c>
      <c r="E1561" s="264" t="s">
        <v>3433</v>
      </c>
      <c r="F1561" s="76">
        <v>1</v>
      </c>
      <c r="G1561" s="76">
        <v>60090002</v>
      </c>
      <c r="H1561" s="74">
        <v>0</v>
      </c>
      <c r="I1561" s="74">
        <v>0</v>
      </c>
      <c r="J1561" s="76">
        <v>1</v>
      </c>
      <c r="K1561" s="76">
        <v>0</v>
      </c>
      <c r="L1561" s="74">
        <v>0</v>
      </c>
      <c r="M1561" s="74">
        <v>0</v>
      </c>
      <c r="N1561" s="74" t="s">
        <v>3434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3432</v>
      </c>
      <c r="BF1561" s="264" t="s">
        <v>3433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3435</v>
      </c>
      <c r="E1562" s="264" t="s">
        <v>3436</v>
      </c>
      <c r="F1562" s="76">
        <v>1</v>
      </c>
      <c r="G1562" s="76">
        <v>60090002</v>
      </c>
      <c r="H1562" s="74">
        <v>0</v>
      </c>
      <c r="I1562" s="74">
        <v>0</v>
      </c>
      <c r="J1562" s="76">
        <v>1</v>
      </c>
      <c r="K1562" s="76">
        <v>0</v>
      </c>
      <c r="L1562" s="74">
        <v>0</v>
      </c>
      <c r="M1562" s="74">
        <v>0</v>
      </c>
      <c r="N1562" s="74" t="s">
        <v>3437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3435</v>
      </c>
      <c r="BF1562" s="264" t="s">
        <v>3436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3438</v>
      </c>
      <c r="E1563" s="264" t="s">
        <v>3439</v>
      </c>
      <c r="F1563" s="76">
        <v>1</v>
      </c>
      <c r="G1563" s="76">
        <v>60090002</v>
      </c>
      <c r="H1563" s="74">
        <v>0</v>
      </c>
      <c r="I1563" s="74">
        <v>0</v>
      </c>
      <c r="J1563" s="76">
        <v>1</v>
      </c>
      <c r="K1563" s="76">
        <v>0</v>
      </c>
      <c r="L1563" s="74">
        <v>0</v>
      </c>
      <c r="M1563" s="74">
        <v>0</v>
      </c>
      <c r="N1563" s="74" t="s">
        <v>3440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3438</v>
      </c>
      <c r="BF1563" s="264" t="s">
        <v>3439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3441</v>
      </c>
      <c r="E1564" s="264" t="s">
        <v>3442</v>
      </c>
      <c r="F1564" s="76">
        <v>1</v>
      </c>
      <c r="G1564" s="76">
        <v>60090002</v>
      </c>
      <c r="H1564" s="74">
        <v>0</v>
      </c>
      <c r="I1564" s="74">
        <v>0</v>
      </c>
      <c r="J1564" s="76">
        <v>1</v>
      </c>
      <c r="K1564" s="76">
        <v>0</v>
      </c>
      <c r="L1564" s="74">
        <v>0</v>
      </c>
      <c r="M1564" s="74">
        <v>0</v>
      </c>
      <c r="N1564" s="74" t="s">
        <v>3443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3441</v>
      </c>
      <c r="BF1564" s="264" t="s">
        <v>3442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3444</v>
      </c>
      <c r="E1565" s="264" t="s">
        <v>3445</v>
      </c>
      <c r="F1565" s="76">
        <v>1</v>
      </c>
      <c r="G1565" s="76">
        <v>60090002</v>
      </c>
      <c r="H1565" s="74">
        <v>0</v>
      </c>
      <c r="I1565" s="74">
        <v>0</v>
      </c>
      <c r="J1565" s="76">
        <v>1</v>
      </c>
      <c r="K1565" s="76">
        <v>0</v>
      </c>
      <c r="L1565" s="74">
        <v>0</v>
      </c>
      <c r="M1565" s="74">
        <v>0</v>
      </c>
      <c r="N1565" s="74" t="s">
        <v>3446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3444</v>
      </c>
      <c r="BF1565" s="264" t="s">
        <v>3445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3447</v>
      </c>
      <c r="E1566" s="264" t="s">
        <v>3448</v>
      </c>
      <c r="F1566" s="76">
        <v>1</v>
      </c>
      <c r="G1566" s="76">
        <v>60090002</v>
      </c>
      <c r="H1566" s="74">
        <v>0</v>
      </c>
      <c r="I1566" s="74">
        <v>0</v>
      </c>
      <c r="J1566" s="76">
        <v>1</v>
      </c>
      <c r="K1566" s="76">
        <v>0</v>
      </c>
      <c r="L1566" s="74">
        <v>0</v>
      </c>
      <c r="M1566" s="74">
        <v>0</v>
      </c>
      <c r="N1566" s="74" t="s">
        <v>3449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3447</v>
      </c>
      <c r="BF1566" s="264" t="s">
        <v>3448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3450</v>
      </c>
      <c r="E1567" s="264" t="s">
        <v>3451</v>
      </c>
      <c r="F1567" s="76">
        <v>1</v>
      </c>
      <c r="G1567" s="76">
        <v>60090002</v>
      </c>
      <c r="H1567" s="74">
        <v>0</v>
      </c>
      <c r="I1567" s="74">
        <v>0</v>
      </c>
      <c r="J1567" s="76">
        <v>1</v>
      </c>
      <c r="K1567" s="76">
        <v>0</v>
      </c>
      <c r="L1567" s="74">
        <v>0</v>
      </c>
      <c r="M1567" s="74">
        <v>0</v>
      </c>
      <c r="N1567" s="74" t="s">
        <v>3452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3450</v>
      </c>
      <c r="BF1567" s="264" t="s">
        <v>3451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3453</v>
      </c>
      <c r="E1568" s="264" t="s">
        <v>3454</v>
      </c>
      <c r="F1568" s="76">
        <v>1</v>
      </c>
      <c r="G1568" s="76">
        <v>60090002</v>
      </c>
      <c r="H1568" s="74">
        <v>0</v>
      </c>
      <c r="I1568" s="74">
        <v>0</v>
      </c>
      <c r="J1568" s="76">
        <v>1</v>
      </c>
      <c r="K1568" s="76">
        <v>0</v>
      </c>
      <c r="L1568" s="74">
        <v>0</v>
      </c>
      <c r="M1568" s="74">
        <v>0</v>
      </c>
      <c r="N1568" s="74" t="s">
        <v>3455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3453</v>
      </c>
      <c r="BF1568" s="264" t="s">
        <v>3454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3456</v>
      </c>
      <c r="E1569" s="272" t="s">
        <v>3457</v>
      </c>
      <c r="F1569" s="273">
        <v>1</v>
      </c>
      <c r="G1569" s="273">
        <v>60090002</v>
      </c>
      <c r="H1569" s="274">
        <v>0</v>
      </c>
      <c r="I1569" s="274">
        <v>0</v>
      </c>
      <c r="J1569" s="273">
        <v>1</v>
      </c>
      <c r="K1569" s="273">
        <v>0</v>
      </c>
      <c r="L1569" s="274">
        <v>0</v>
      </c>
      <c r="M1569" s="274">
        <v>0</v>
      </c>
      <c r="N1569" s="274" t="s">
        <v>3458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3456</v>
      </c>
      <c r="BF1569" s="264" t="s">
        <v>3457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3459</v>
      </c>
      <c r="E1570" s="272" t="s">
        <v>3460</v>
      </c>
      <c r="F1570" s="273">
        <v>1</v>
      </c>
      <c r="G1570" s="273">
        <v>60090002</v>
      </c>
      <c r="H1570" s="274">
        <v>0</v>
      </c>
      <c r="I1570" s="274">
        <v>0</v>
      </c>
      <c r="J1570" s="273">
        <v>1</v>
      </c>
      <c r="K1570" s="273">
        <v>0</v>
      </c>
      <c r="L1570" s="274">
        <v>0</v>
      </c>
      <c r="M1570" s="274">
        <v>0</v>
      </c>
      <c r="N1570" s="274" t="s">
        <v>3344</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3459</v>
      </c>
      <c r="BF1570" s="264" t="s">
        <v>3460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3461</v>
      </c>
      <c r="E1571" s="272" t="s">
        <v>3462</v>
      </c>
      <c r="F1571" s="273">
        <v>1</v>
      </c>
      <c r="G1571" s="273">
        <v>60090002</v>
      </c>
      <c r="H1571" s="274">
        <v>0</v>
      </c>
      <c r="I1571" s="274">
        <v>0</v>
      </c>
      <c r="J1571" s="273">
        <v>1</v>
      </c>
      <c r="K1571" s="273">
        <v>0</v>
      </c>
      <c r="L1571" s="274">
        <v>0</v>
      </c>
      <c r="M1571" s="274">
        <v>0</v>
      </c>
      <c r="N1571" s="274" t="s">
        <v>3341</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3461</v>
      </c>
      <c r="BF1571" s="264" t="s">
        <v>3462</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3463</v>
      </c>
      <c r="E1572" s="272" t="s">
        <v>3464</v>
      </c>
      <c r="F1572" s="273">
        <v>1</v>
      </c>
      <c r="G1572" s="273">
        <v>60090002</v>
      </c>
      <c r="H1572" s="274">
        <v>0</v>
      </c>
      <c r="I1572" s="274">
        <v>0</v>
      </c>
      <c r="J1572" s="273">
        <v>1</v>
      </c>
      <c r="K1572" s="273">
        <v>0</v>
      </c>
      <c r="L1572" s="274">
        <v>0</v>
      </c>
      <c r="M1572" s="274">
        <v>0</v>
      </c>
      <c r="N1572" s="274" t="s">
        <v>3347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3463</v>
      </c>
      <c r="BF1572" s="264" t="s">
        <v>3464</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3465</v>
      </c>
      <c r="E1573" s="272" t="s">
        <v>3466</v>
      </c>
      <c r="F1573" s="273">
        <v>1</v>
      </c>
      <c r="G1573" s="273">
        <v>60090002</v>
      </c>
      <c r="H1573" s="274">
        <v>0</v>
      </c>
      <c r="I1573" s="274">
        <v>0</v>
      </c>
      <c r="J1573" s="273">
        <v>1</v>
      </c>
      <c r="K1573" s="273">
        <v>0</v>
      </c>
      <c r="L1573" s="274">
        <v>0</v>
      </c>
      <c r="M1573" s="274">
        <v>0</v>
      </c>
      <c r="N1573" s="274" t="s">
        <v>3467</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3465</v>
      </c>
      <c r="BF1573" s="264" t="s">
        <v>3466</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3468</v>
      </c>
      <c r="E1574" s="272" t="s">
        <v>3469</v>
      </c>
      <c r="F1574" s="273">
        <v>1</v>
      </c>
      <c r="G1574" s="273">
        <v>60090002</v>
      </c>
      <c r="H1574" s="274">
        <v>0</v>
      </c>
      <c r="I1574" s="274">
        <v>0</v>
      </c>
      <c r="J1574" s="273">
        <v>1</v>
      </c>
      <c r="K1574" s="273">
        <v>0</v>
      </c>
      <c r="L1574" s="274">
        <v>0</v>
      </c>
      <c r="M1574" s="274">
        <v>0</v>
      </c>
      <c r="N1574" s="274" t="s">
        <v>3350</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3468</v>
      </c>
      <c r="BF1574" s="264" t="s">
        <v>3469</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3470</v>
      </c>
      <c r="E1575" s="272" t="s">
        <v>3471</v>
      </c>
      <c r="F1575" s="273">
        <v>1</v>
      </c>
      <c r="G1575" s="273">
        <v>60090002</v>
      </c>
      <c r="H1575" s="274">
        <v>0</v>
      </c>
      <c r="I1575" s="274">
        <v>0</v>
      </c>
      <c r="J1575" s="273">
        <v>1</v>
      </c>
      <c r="K1575" s="273">
        <v>0</v>
      </c>
      <c r="L1575" s="274">
        <v>0</v>
      </c>
      <c r="M1575" s="274">
        <v>0</v>
      </c>
      <c r="N1575" s="274" t="s">
        <v>3472</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3470</v>
      </c>
      <c r="BF1575" s="264" t="s">
        <v>3471</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3473</v>
      </c>
      <c r="E1576" s="272" t="s">
        <v>3474</v>
      </c>
      <c r="F1576" s="273">
        <v>1</v>
      </c>
      <c r="G1576" s="273">
        <v>60090002</v>
      </c>
      <c r="H1576" s="274">
        <v>0</v>
      </c>
      <c r="I1576" s="274">
        <v>0</v>
      </c>
      <c r="J1576" s="273">
        <v>1</v>
      </c>
      <c r="K1576" s="273">
        <v>0</v>
      </c>
      <c r="L1576" s="274">
        <v>0</v>
      </c>
      <c r="M1576" s="274">
        <v>0</v>
      </c>
      <c r="N1576" s="274" t="s">
        <v>3475</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3473</v>
      </c>
      <c r="BF1576" s="264" t="s">
        <v>3474</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3476</v>
      </c>
      <c r="E1577" s="272" t="s">
        <v>3477</v>
      </c>
      <c r="F1577" s="273">
        <v>1</v>
      </c>
      <c r="G1577" s="273">
        <v>60090002</v>
      </c>
      <c r="H1577" s="274">
        <v>0</v>
      </c>
      <c r="I1577" s="274">
        <v>0</v>
      </c>
      <c r="J1577" s="273">
        <v>1</v>
      </c>
      <c r="K1577" s="273">
        <v>0</v>
      </c>
      <c r="L1577" s="274">
        <v>0</v>
      </c>
      <c r="M1577" s="274">
        <v>0</v>
      </c>
      <c r="N1577" s="274" t="s">
        <v>3478</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3476</v>
      </c>
      <c r="BF1577" s="264" t="s">
        <v>3477</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3479</v>
      </c>
      <c r="E1578" s="272" t="s">
        <v>3480</v>
      </c>
      <c r="F1578" s="273">
        <v>1</v>
      </c>
      <c r="G1578" s="273">
        <v>60090002</v>
      </c>
      <c r="H1578" s="274">
        <v>0</v>
      </c>
      <c r="I1578" s="274">
        <v>0</v>
      </c>
      <c r="J1578" s="273">
        <v>1</v>
      </c>
      <c r="K1578" s="273">
        <v>0</v>
      </c>
      <c r="L1578" s="274">
        <v>0</v>
      </c>
      <c r="M1578" s="274">
        <v>0</v>
      </c>
      <c r="N1578" s="274" t="s">
        <v>3481</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3479</v>
      </c>
      <c r="BF1578" s="264" t="s">
        <v>3480</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3482</v>
      </c>
      <c r="E1579" s="272" t="s">
        <v>3483</v>
      </c>
      <c r="F1579" s="273">
        <v>1</v>
      </c>
      <c r="G1579" s="273">
        <v>60090002</v>
      </c>
      <c r="H1579" s="274">
        <v>0</v>
      </c>
      <c r="I1579" s="274">
        <v>0</v>
      </c>
      <c r="J1579" s="273">
        <v>1</v>
      </c>
      <c r="K1579" s="273">
        <v>0</v>
      </c>
      <c r="L1579" s="274">
        <v>0</v>
      </c>
      <c r="M1579" s="274">
        <v>0</v>
      </c>
      <c r="N1579" s="274" t="s">
        <v>3484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3482</v>
      </c>
      <c r="BF1579" s="264" t="s">
        <v>3483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3485</v>
      </c>
      <c r="E1580" s="272" t="s">
        <v>3486</v>
      </c>
      <c r="F1580" s="273">
        <v>1</v>
      </c>
      <c r="G1580" s="273">
        <v>60090002</v>
      </c>
      <c r="H1580" s="274">
        <v>0</v>
      </c>
      <c r="I1580" s="274">
        <v>0</v>
      </c>
      <c r="J1580" s="273">
        <v>1</v>
      </c>
      <c r="K1580" s="273">
        <v>0</v>
      </c>
      <c r="L1580" s="274">
        <v>0</v>
      </c>
      <c r="M1580" s="274">
        <v>0</v>
      </c>
      <c r="N1580" s="274" t="s">
        <v>3487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3485</v>
      </c>
      <c r="BF1580" s="264" t="s">
        <v>3486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3488</v>
      </c>
      <c r="E1581" s="272" t="s">
        <v>3489</v>
      </c>
      <c r="F1581" s="273">
        <v>1</v>
      </c>
      <c r="G1581" s="273">
        <v>60090002</v>
      </c>
      <c r="H1581" s="274">
        <v>0</v>
      </c>
      <c r="I1581" s="274">
        <v>0</v>
      </c>
      <c r="J1581" s="273">
        <v>1</v>
      </c>
      <c r="K1581" s="273">
        <v>0</v>
      </c>
      <c r="L1581" s="274">
        <v>0</v>
      </c>
      <c r="M1581" s="274">
        <v>0</v>
      </c>
      <c r="N1581" s="274" t="s">
        <v>3490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3488</v>
      </c>
      <c r="BF1581" s="264" t="s">
        <v>3489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3491</v>
      </c>
      <c r="E1582" s="272" t="s">
        <v>3492</v>
      </c>
      <c r="F1582" s="273">
        <v>1</v>
      </c>
      <c r="G1582" s="273">
        <v>60090002</v>
      </c>
      <c r="H1582" s="274">
        <v>0</v>
      </c>
      <c r="I1582" s="274">
        <v>0</v>
      </c>
      <c r="J1582" s="273">
        <v>1</v>
      </c>
      <c r="K1582" s="273">
        <v>0</v>
      </c>
      <c r="L1582" s="274">
        <v>0</v>
      </c>
      <c r="M1582" s="274">
        <v>0</v>
      </c>
      <c r="N1582" s="274" t="s">
        <v>3493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3491</v>
      </c>
      <c r="BF1582" s="264" t="s">
        <v>3492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3494</v>
      </c>
      <c r="E1583" s="272" t="s">
        <v>3495</v>
      </c>
      <c r="F1583" s="273">
        <v>1</v>
      </c>
      <c r="G1583" s="273">
        <v>60090002</v>
      </c>
      <c r="H1583" s="274">
        <v>0</v>
      </c>
      <c r="I1583" s="274">
        <v>0</v>
      </c>
      <c r="J1583" s="273">
        <v>1</v>
      </c>
      <c r="K1583" s="273">
        <v>0</v>
      </c>
      <c r="L1583" s="274">
        <v>0</v>
      </c>
      <c r="M1583" s="274">
        <v>0</v>
      </c>
      <c r="N1583" s="274" t="s">
        <v>3496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3494</v>
      </c>
      <c r="BF1583" s="264" t="s">
        <v>3495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3497</v>
      </c>
      <c r="E1584" s="272" t="s">
        <v>3498</v>
      </c>
      <c r="F1584" s="273">
        <v>1</v>
      </c>
      <c r="G1584" s="273">
        <v>60090002</v>
      </c>
      <c r="H1584" s="274">
        <v>0</v>
      </c>
      <c r="I1584" s="274">
        <v>0</v>
      </c>
      <c r="J1584" s="273">
        <v>1</v>
      </c>
      <c r="K1584" s="273">
        <v>0</v>
      </c>
      <c r="L1584" s="274">
        <v>0</v>
      </c>
      <c r="M1584" s="274">
        <v>0</v>
      </c>
      <c r="N1584" s="274" t="s">
        <v>3499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3497</v>
      </c>
      <c r="BF1584" s="264" t="s">
        <v>3498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3500</v>
      </c>
      <c r="E1585" s="272" t="s">
        <v>3501</v>
      </c>
      <c r="F1585" s="273">
        <v>1</v>
      </c>
      <c r="G1585" s="273">
        <v>60090002</v>
      </c>
      <c r="H1585" s="274">
        <v>0</v>
      </c>
      <c r="I1585" s="274">
        <v>0</v>
      </c>
      <c r="J1585" s="273">
        <v>1</v>
      </c>
      <c r="K1585" s="273">
        <v>0</v>
      </c>
      <c r="L1585" s="274">
        <v>0</v>
      </c>
      <c r="M1585" s="274">
        <v>0</v>
      </c>
      <c r="N1585" s="274" t="s">
        <v>3502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3500</v>
      </c>
      <c r="BF1585" s="264" t="s">
        <v>3501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3503</v>
      </c>
      <c r="E1586" s="272" t="s">
        <v>3504</v>
      </c>
      <c r="F1586" s="273">
        <v>1</v>
      </c>
      <c r="G1586" s="273">
        <v>60090002</v>
      </c>
      <c r="H1586" s="274">
        <v>0</v>
      </c>
      <c r="I1586" s="274">
        <v>0</v>
      </c>
      <c r="J1586" s="273">
        <v>1</v>
      </c>
      <c r="K1586" s="273">
        <v>0</v>
      </c>
      <c r="L1586" s="274">
        <v>0</v>
      </c>
      <c r="M1586" s="274">
        <v>0</v>
      </c>
      <c r="N1586" s="274" t="s">
        <v>3505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3503</v>
      </c>
      <c r="BF1586" s="264" t="s">
        <v>3504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3506</v>
      </c>
      <c r="E1587" s="20" t="s">
        <v>3507</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3508</v>
      </c>
      <c r="BC1587" s="28">
        <v>0</v>
      </c>
      <c r="BD1587" s="28">
        <v>1</v>
      </c>
      <c r="BE1587" s="20" t="s">
        <v>3509</v>
      </c>
      <c r="BF1587" s="20" t="s">
        <v>3510</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3511</v>
      </c>
      <c r="E1588" s="20" t="s">
        <v>3512</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3513</v>
      </c>
      <c r="BC1588" s="28">
        <v>0</v>
      </c>
      <c r="BD1588" s="28">
        <v>1</v>
      </c>
      <c r="BE1588" s="20" t="s">
        <v>3514</v>
      </c>
      <c r="BF1588" s="20" t="s">
        <v>3515</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3516</v>
      </c>
      <c r="E1589" s="20" t="s">
        <v>3517</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3518</v>
      </c>
      <c r="BC1589" s="28">
        <v>0</v>
      </c>
      <c r="BD1589" s="28">
        <v>1</v>
      </c>
      <c r="BE1589" s="20" t="s">
        <v>3519</v>
      </c>
      <c r="BF1589" s="20" t="s">
        <v>3520</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3521</v>
      </c>
      <c r="E1590" s="20" t="s">
        <v>3522</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3523</v>
      </c>
      <c r="BC1590" s="28">
        <v>0</v>
      </c>
      <c r="BD1590" s="28">
        <v>1</v>
      </c>
      <c r="BE1590" s="20" t="s">
        <v>3524</v>
      </c>
      <c r="BF1590" s="20" t="s">
        <v>3525</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3526</v>
      </c>
      <c r="E1591" s="20" t="s">
        <v>3527</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3528</v>
      </c>
      <c r="BC1591" s="28">
        <v>0</v>
      </c>
      <c r="BD1591" s="28">
        <v>1</v>
      </c>
      <c r="BE1591" s="20" t="s">
        <v>3529</v>
      </c>
      <c r="BF1591" s="20" t="s">
        <v>3530</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3531</v>
      </c>
      <c r="E1592" s="20" t="s">
        <v>3532</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3533</v>
      </c>
      <c r="BC1592" s="28">
        <v>0</v>
      </c>
      <c r="BD1592" s="28">
        <v>1</v>
      </c>
      <c r="BE1592" s="20" t="s">
        <v>3534</v>
      </c>
      <c r="BF1592" s="20" t="s">
        <v>3535</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3536</v>
      </c>
      <c r="E1593" s="20" t="s">
        <v>3537</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3538</v>
      </c>
      <c r="BC1593" s="28">
        <v>0</v>
      </c>
      <c r="BD1593" s="28">
        <v>1</v>
      </c>
      <c r="BE1593" s="20" t="s">
        <v>3539</v>
      </c>
      <c r="BF1593" s="20" t="s">
        <v>3540</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3541</v>
      </c>
      <c r="E1594" s="20" t="s">
        <v>3542</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3543</v>
      </c>
      <c r="BC1594" s="28">
        <v>0</v>
      </c>
      <c r="BD1594" s="28">
        <v>1</v>
      </c>
      <c r="BE1594" s="20" t="s">
        <v>3544</v>
      </c>
      <c r="BF1594" s="20" t="s">
        <v>3545</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3546</v>
      </c>
      <c r="E1595" s="20" t="s">
        <v>3547</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3224</v>
      </c>
      <c r="BC1595" s="28">
        <v>0</v>
      </c>
      <c r="BD1595" s="28">
        <v>1</v>
      </c>
      <c r="BE1595" s="20" t="s">
        <v>3548</v>
      </c>
      <c r="BF1595" s="20" t="s">
        <v>3549</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3550</v>
      </c>
      <c r="E1596" s="20" t="s">
        <v>3551</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3552</v>
      </c>
      <c r="BC1596" s="28">
        <v>0</v>
      </c>
      <c r="BD1596" s="28">
        <v>1</v>
      </c>
      <c r="BE1596" s="20" t="s">
        <v>3553</v>
      </c>
      <c r="BF1596" s="20" t="s">
        <v>3554</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3555</v>
      </c>
      <c r="E1597" s="20" t="s">
        <v>3556</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3557</v>
      </c>
      <c r="BC1597" s="28">
        <v>0</v>
      </c>
      <c r="BD1597" s="28">
        <v>1</v>
      </c>
      <c r="BE1597" s="20" t="s">
        <v>3558</v>
      </c>
      <c r="BF1597" s="20" t="s">
        <v>3559</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3555</v>
      </c>
      <c r="E1598" s="20" t="s">
        <v>3556</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2687</v>
      </c>
      <c r="BC1598" s="28">
        <v>0</v>
      </c>
      <c r="BD1598" s="28">
        <v>1</v>
      </c>
      <c r="BE1598" s="20" t="s">
        <v>3560</v>
      </c>
      <c r="BF1598" s="20" t="s">
        <v>3561</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3555</v>
      </c>
      <c r="E1599" s="20" t="s">
        <v>3556</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2742</v>
      </c>
      <c r="BC1599" s="28">
        <v>0</v>
      </c>
      <c r="BD1599" s="28">
        <v>1</v>
      </c>
      <c r="BE1599" s="20" t="s">
        <v>3562</v>
      </c>
      <c r="BF1599" s="20" t="s">
        <v>3563</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3555</v>
      </c>
      <c r="E1600" s="20" t="s">
        <v>3556</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2724</v>
      </c>
      <c r="BC1600" s="28">
        <v>0</v>
      </c>
      <c r="BD1600" s="28">
        <v>1</v>
      </c>
      <c r="BE1600" s="20" t="s">
        <v>3564</v>
      </c>
      <c r="BF1600" s="20" t="s">
        <v>3565</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3566</v>
      </c>
      <c r="BF1601" s="89" t="s">
        <v>3567</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3568</v>
      </c>
      <c r="E1602" s="20" t="s">
        <v>3569</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3570</v>
      </c>
      <c r="BC1602" s="28">
        <v>0</v>
      </c>
      <c r="BD1602" s="28">
        <v>1</v>
      </c>
      <c r="BE1602" s="20" t="s">
        <v>3571</v>
      </c>
      <c r="BF1602" s="20" t="s">
        <v>3572</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3573</v>
      </c>
      <c r="E1603" s="20" t="s">
        <v>3574</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3575</v>
      </c>
      <c r="BC1603" s="28">
        <v>0</v>
      </c>
      <c r="BD1603" s="28">
        <v>1</v>
      </c>
      <c r="BE1603" s="20" t="s">
        <v>3576</v>
      </c>
      <c r="BF1603" s="20" t="s">
        <v>3577</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3578</v>
      </c>
      <c r="E1604" s="20" t="s">
        <v>3579</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3580</v>
      </c>
      <c r="BF1604" s="44" t="s">
        <v>3581</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2573</v>
      </c>
      <c r="E1605" s="20" t="s">
        <v>2574</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3582</v>
      </c>
      <c r="BC1605" s="28">
        <v>0</v>
      </c>
      <c r="BD1605" s="28">
        <v>1</v>
      </c>
      <c r="BE1605" s="20" t="s">
        <v>3583</v>
      </c>
      <c r="BF1605" s="20" t="s">
        <v>3584</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3585</v>
      </c>
      <c r="E1606" s="20" t="s">
        <v>3586</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3587</v>
      </c>
      <c r="BC1606" s="28">
        <v>0</v>
      </c>
      <c r="BD1606" s="28">
        <v>1</v>
      </c>
      <c r="BE1606" s="20" t="s">
        <v>3588</v>
      </c>
      <c r="BF1606" s="20" t="s">
        <v>3589</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3590</v>
      </c>
      <c r="E1607" s="20" t="s">
        <v>3591</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3592</v>
      </c>
      <c r="BF1607" s="89" t="s">
        <v>3593</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3594</v>
      </c>
      <c r="E1608" s="20" t="s">
        <v>3595</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3596</v>
      </c>
      <c r="BC1608" s="28">
        <v>0</v>
      </c>
      <c r="BD1608" s="28">
        <v>1</v>
      </c>
      <c r="BE1608" s="20" t="s">
        <v>3597</v>
      </c>
      <c r="BF1608" s="20" t="s">
        <v>3598</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3578</v>
      </c>
      <c r="E1609" s="20" t="s">
        <v>3579</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3599</v>
      </c>
      <c r="BC1609" s="28">
        <v>0</v>
      </c>
      <c r="BD1609" s="28">
        <v>1</v>
      </c>
      <c r="BE1609" s="20" t="s">
        <v>3600</v>
      </c>
      <c r="BF1609" s="20" t="s">
        <v>3601</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3602</v>
      </c>
      <c r="E1610" s="20" t="s">
        <v>3603</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3604</v>
      </c>
      <c r="BF1610" s="20" t="s">
        <v>3605</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3606</v>
      </c>
      <c r="E1611" s="20" t="s">
        <v>3607</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3608</v>
      </c>
      <c r="BC1611" s="28">
        <v>0</v>
      </c>
      <c r="BD1611" s="28">
        <v>1</v>
      </c>
      <c r="BE1611" s="277" t="s">
        <v>3609</v>
      </c>
      <c r="BF1611" s="277" t="s">
        <v>3610</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3611</v>
      </c>
      <c r="E1612" s="20" t="s">
        <v>3612</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3613</v>
      </c>
      <c r="BC1612" s="28">
        <v>0</v>
      </c>
      <c r="BD1612" s="28">
        <v>1</v>
      </c>
      <c r="BE1612" s="277" t="s">
        <v>3614</v>
      </c>
      <c r="BF1612" s="277" t="s">
        <v>3615</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3616</v>
      </c>
      <c r="E1613" s="20" t="s">
        <v>3617</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3618</v>
      </c>
      <c r="BC1613" s="28">
        <v>0</v>
      </c>
      <c r="BD1613" s="28">
        <v>1</v>
      </c>
      <c r="BE1613" s="277" t="s">
        <v>3619</v>
      </c>
      <c r="BF1613" s="277" t="s">
        <v>3620</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3621</v>
      </c>
      <c r="E1614" s="20" t="s">
        <v>3622</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3623</v>
      </c>
      <c r="BF1614" s="89" t="s">
        <v>3624</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3625</v>
      </c>
      <c r="E1615" s="14" t="s">
        <v>3626</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3334</v>
      </c>
      <c r="BF1615" s="277" t="s">
        <v>3627</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3628</v>
      </c>
      <c r="E1616" s="240" t="s">
        <v>3629</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3630</v>
      </c>
      <c r="BF1616" s="278" t="s">
        <v>3631</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3632</v>
      </c>
      <c r="E1617" s="20" t="s">
        <v>3633</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3634</v>
      </c>
      <c r="BF1617" s="277" t="s">
        <v>3635</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3636</v>
      </c>
      <c r="E1618" s="20" t="s">
        <v>3637</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3638</v>
      </c>
      <c r="BC1618" s="28">
        <v>0</v>
      </c>
      <c r="BD1618" s="28">
        <v>1</v>
      </c>
      <c r="BE1618" s="89" t="s">
        <v>3639</v>
      </c>
      <c r="BF1618" s="89" t="s">
        <v>3640</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3641</v>
      </c>
      <c r="E1619" s="20" t="s">
        <v>3642</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3643</v>
      </c>
      <c r="BC1619" s="28">
        <v>0</v>
      </c>
      <c r="BD1619" s="28">
        <v>1</v>
      </c>
      <c r="BE1619" s="89" t="s">
        <v>3644</v>
      </c>
      <c r="BF1619" s="89" t="s">
        <v>3645</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3646</v>
      </c>
      <c r="E1620" s="20" t="s">
        <v>3647</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3648</v>
      </c>
      <c r="BF1620" s="89" t="s">
        <v>3649</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3650</v>
      </c>
      <c r="E1621" s="20" t="s">
        <v>3651</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3652</v>
      </c>
      <c r="BF1621" s="20" t="s">
        <v>3653</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3650</v>
      </c>
      <c r="E1622" s="20" t="s">
        <v>3651</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3654</v>
      </c>
      <c r="BF1622" s="20" t="s">
        <v>3655</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3650</v>
      </c>
      <c r="E1623" s="20" t="s">
        <v>3651</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3656</v>
      </c>
      <c r="BF1623" s="20" t="s">
        <v>3657</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3650</v>
      </c>
      <c r="E1624" s="20" t="s">
        <v>3651</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3658</v>
      </c>
      <c r="BF1624" s="20" t="s">
        <v>3659</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3650</v>
      </c>
      <c r="E1625" s="20" t="s">
        <v>3651</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3660</v>
      </c>
      <c r="BF1625" s="20" t="s">
        <v>3661</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3650</v>
      </c>
      <c r="E1626" s="20" t="s">
        <v>3651</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3662</v>
      </c>
      <c r="BF1626" s="20" t="s">
        <v>3663</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3650</v>
      </c>
      <c r="E1627" s="20" t="s">
        <v>3651</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3664</v>
      </c>
      <c r="BF1627" s="20" t="s">
        <v>3665</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3650</v>
      </c>
      <c r="E1628" s="20" t="s">
        <v>3651</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3666</v>
      </c>
      <c r="BF1628" s="20" t="s">
        <v>3667</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3650</v>
      </c>
      <c r="E1629" s="20" t="s">
        <v>3651</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3668</v>
      </c>
      <c r="BF1629" s="20" t="s">
        <v>3669</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3650</v>
      </c>
      <c r="E1630" s="20" t="s">
        <v>3651</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3670</v>
      </c>
      <c r="BF1630" s="20" t="s">
        <v>3671</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3650</v>
      </c>
      <c r="E1631" s="20" t="s">
        <v>3651</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3672</v>
      </c>
      <c r="BF1631" s="20" t="s">
        <v>3673</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3650</v>
      </c>
      <c r="E1632" s="20" t="s">
        <v>3651</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3674</v>
      </c>
      <c r="BF1632" s="20" t="s">
        <v>3675</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2619</v>
      </c>
      <c r="E1633" s="20" t="s">
        <v>2620</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3676</v>
      </c>
      <c r="BC1633" s="28">
        <v>0</v>
      </c>
      <c r="BD1633" s="28">
        <v>1</v>
      </c>
      <c r="BE1633" s="279" t="s">
        <v>3677</v>
      </c>
      <c r="BF1633" s="279" t="s">
        <v>3678</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3679</v>
      </c>
      <c r="E1634" s="20" t="s">
        <v>3680</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3681</v>
      </c>
      <c r="BC1634" s="28">
        <v>0</v>
      </c>
      <c r="BD1634" s="28">
        <v>1</v>
      </c>
      <c r="BE1634" s="279" t="s">
        <v>3682</v>
      </c>
      <c r="BF1634" s="279" t="s">
        <v>3683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3684</v>
      </c>
      <c r="E1635" s="20" t="s">
        <v>3685</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3686</v>
      </c>
      <c r="BC1635" s="28">
        <v>0</v>
      </c>
      <c r="BD1635" s="28">
        <v>1</v>
      </c>
      <c r="BE1635" s="279" t="s">
        <v>3687</v>
      </c>
      <c r="BF1635" s="279" t="s">
        <v>3688</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3689</v>
      </c>
      <c r="E1636" s="20" t="s">
        <v>3690</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3691</v>
      </c>
      <c r="BC1636" s="28">
        <v>0</v>
      </c>
      <c r="BD1636" s="28">
        <v>1</v>
      </c>
      <c r="BE1636" s="279" t="s">
        <v>3692</v>
      </c>
      <c r="BF1636" s="279" t="s">
        <v>3693</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3694</v>
      </c>
      <c r="E1637" s="20" t="s">
        <v>3695</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3696</v>
      </c>
      <c r="BC1637" s="28">
        <v>0</v>
      </c>
      <c r="BD1637" s="28">
        <v>1</v>
      </c>
      <c r="BE1637" s="279" t="s">
        <v>3697</v>
      </c>
      <c r="BF1637" s="279" t="s">
        <v>3698</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3699</v>
      </c>
      <c r="E1638" s="20" t="s">
        <v>3700</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3701</v>
      </c>
      <c r="BC1638" s="28">
        <v>0</v>
      </c>
      <c r="BD1638" s="28">
        <v>1</v>
      </c>
      <c r="BE1638" s="279" t="s">
        <v>3702</v>
      </c>
      <c r="BF1638" s="279" t="s">
        <v>3703</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3704</v>
      </c>
      <c r="E1639" s="20" t="s">
        <v>3705</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3192</v>
      </c>
      <c r="BC1639" s="28">
        <v>0</v>
      </c>
      <c r="BD1639" s="28">
        <v>1</v>
      </c>
      <c r="BE1639" s="279" t="s">
        <v>3193</v>
      </c>
      <c r="BF1639" s="279" t="s">
        <v>3706</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3707</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3708</v>
      </c>
      <c r="BF1640" s="264" t="s">
        <v>3709</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3710</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3711</v>
      </c>
      <c r="BF1641" s="264" t="s">
        <v>3712</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3713</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3714</v>
      </c>
      <c r="BF1642" s="264" t="s">
        <v>3715</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3716</v>
      </c>
      <c r="E1643" s="264" t="s">
        <v>3717</v>
      </c>
      <c r="F1643" s="76">
        <v>1</v>
      </c>
      <c r="G1643" s="76">
        <v>61021401</v>
      </c>
      <c r="H1643" s="74">
        <v>0</v>
      </c>
      <c r="I1643" s="74">
        <v>0</v>
      </c>
      <c r="J1643" s="76">
        <v>1</v>
      </c>
      <c r="K1643" s="76">
        <v>0</v>
      </c>
      <c r="L1643" s="74">
        <v>0</v>
      </c>
      <c r="M1643" s="74">
        <v>0</v>
      </c>
      <c r="N1643" s="74" t="s">
        <v>3371</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3369</v>
      </c>
      <c r="BF1643" s="264" t="s">
        <v>3718</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3719</v>
      </c>
      <c r="E1644" s="264" t="s">
        <v>3720</v>
      </c>
      <c r="F1644" s="76">
        <v>1</v>
      </c>
      <c r="G1644" s="76">
        <v>61021201</v>
      </c>
      <c r="H1644" s="74">
        <v>0</v>
      </c>
      <c r="I1644" s="74">
        <v>0</v>
      </c>
      <c r="J1644" s="76">
        <v>1</v>
      </c>
      <c r="K1644" s="76">
        <v>0</v>
      </c>
      <c r="L1644" s="74">
        <v>0</v>
      </c>
      <c r="M1644" s="74">
        <v>0</v>
      </c>
      <c r="N1644" s="74" t="s">
        <v>3374</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3372</v>
      </c>
      <c r="BF1644" s="264" t="s">
        <v>3721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3722</v>
      </c>
      <c r="E1645" s="264" t="s">
        <v>3723</v>
      </c>
      <c r="F1645" s="76">
        <v>1</v>
      </c>
      <c r="G1645" s="76">
        <v>61021301</v>
      </c>
      <c r="H1645" s="74">
        <v>0</v>
      </c>
      <c r="I1645" s="74">
        <v>0</v>
      </c>
      <c r="J1645" s="76">
        <v>1</v>
      </c>
      <c r="K1645" s="76">
        <v>0</v>
      </c>
      <c r="L1645" s="74">
        <v>0</v>
      </c>
      <c r="M1645" s="74">
        <v>0</v>
      </c>
      <c r="N1645" s="74" t="s">
        <v>3377</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3375</v>
      </c>
      <c r="BF1645" s="264" t="s">
        <v>3724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3725</v>
      </c>
      <c r="E1646" s="264" t="s">
        <v>3726</v>
      </c>
      <c r="F1646" s="76">
        <v>1</v>
      </c>
      <c r="G1646" s="76">
        <v>61021402</v>
      </c>
      <c r="H1646" s="74">
        <v>0</v>
      </c>
      <c r="I1646" s="74">
        <v>0</v>
      </c>
      <c r="J1646" s="76">
        <v>1</v>
      </c>
      <c r="K1646" s="76">
        <v>0</v>
      </c>
      <c r="L1646" s="74">
        <v>0</v>
      </c>
      <c r="M1646" s="74">
        <v>0</v>
      </c>
      <c r="N1646" s="74" t="s">
        <v>3380</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3378</v>
      </c>
      <c r="BF1646" s="264" t="s">
        <v>3727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3728</v>
      </c>
      <c r="E1647" s="264" t="s">
        <v>558</v>
      </c>
      <c r="F1647" s="76">
        <v>1</v>
      </c>
      <c r="G1647" s="76">
        <v>61022101</v>
      </c>
      <c r="H1647" s="74">
        <v>0</v>
      </c>
      <c r="I1647" s="74">
        <v>0</v>
      </c>
      <c r="J1647" s="76">
        <v>1</v>
      </c>
      <c r="K1647" s="76">
        <v>0</v>
      </c>
      <c r="L1647" s="74">
        <v>0</v>
      </c>
      <c r="M1647" s="74">
        <v>0</v>
      </c>
      <c r="N1647" s="74" t="s">
        <v>3383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3381</v>
      </c>
      <c r="BF1647" s="264" t="s">
        <v>3729</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3730</v>
      </c>
      <c r="E1648" s="264" t="s">
        <v>3731</v>
      </c>
      <c r="F1648" s="76">
        <v>1</v>
      </c>
      <c r="G1648" s="76">
        <v>61022201</v>
      </c>
      <c r="H1648" s="74">
        <v>0</v>
      </c>
      <c r="I1648" s="74">
        <v>0</v>
      </c>
      <c r="J1648" s="76">
        <v>1</v>
      </c>
      <c r="K1648" s="76">
        <v>0</v>
      </c>
      <c r="L1648" s="74">
        <v>0</v>
      </c>
      <c r="M1648" s="74">
        <v>0</v>
      </c>
      <c r="N1648" s="74" t="s">
        <v>3386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3384</v>
      </c>
      <c r="BF1648" s="264" t="s">
        <v>3732</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3733</v>
      </c>
      <c r="E1649" s="264" t="s">
        <v>1590</v>
      </c>
      <c r="F1649" s="76">
        <v>1</v>
      </c>
      <c r="G1649" s="76">
        <v>61022301</v>
      </c>
      <c r="H1649" s="74">
        <v>0</v>
      </c>
      <c r="I1649" s="74">
        <v>0</v>
      </c>
      <c r="J1649" s="76">
        <v>1</v>
      </c>
      <c r="K1649" s="76">
        <v>0</v>
      </c>
      <c r="L1649" s="74">
        <v>0</v>
      </c>
      <c r="M1649" s="74">
        <v>0</v>
      </c>
      <c r="N1649" s="74" t="s">
        <v>3389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3387</v>
      </c>
      <c r="BF1649" s="264" t="s">
        <v>3734</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3735</v>
      </c>
      <c r="E1650" s="264" t="s">
        <v>1560</v>
      </c>
      <c r="F1650" s="76">
        <v>1</v>
      </c>
      <c r="G1650" s="76">
        <v>61022401</v>
      </c>
      <c r="H1650" s="74">
        <v>0</v>
      </c>
      <c r="I1650" s="74">
        <v>0</v>
      </c>
      <c r="J1650" s="76">
        <v>1</v>
      </c>
      <c r="K1650" s="76">
        <v>0</v>
      </c>
      <c r="L1650" s="74">
        <v>0</v>
      </c>
      <c r="M1650" s="74">
        <v>0</v>
      </c>
      <c r="N1650" s="74" t="s">
        <v>3392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3390</v>
      </c>
      <c r="BF1650" s="264" t="s">
        <v>3736</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3737</v>
      </c>
      <c r="E1651" s="264" t="s">
        <v>1617</v>
      </c>
      <c r="F1651" s="76">
        <v>1</v>
      </c>
      <c r="G1651" s="76">
        <v>61023101</v>
      </c>
      <c r="H1651" s="74">
        <v>0</v>
      </c>
      <c r="I1651" s="74">
        <v>0</v>
      </c>
      <c r="J1651" s="76">
        <v>1</v>
      </c>
      <c r="K1651" s="76">
        <v>0</v>
      </c>
      <c r="L1651" s="74">
        <v>0</v>
      </c>
      <c r="M1651" s="74">
        <v>0</v>
      </c>
      <c r="N1651" s="74" t="s">
        <v>3395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3393</v>
      </c>
      <c r="BF1651" s="264" t="s">
        <v>3738</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3739</v>
      </c>
      <c r="E1652" s="264" t="s">
        <v>1625</v>
      </c>
      <c r="F1652" s="76">
        <v>1</v>
      </c>
      <c r="G1652" s="76">
        <v>61023201</v>
      </c>
      <c r="H1652" s="74">
        <v>0</v>
      </c>
      <c r="I1652" s="74">
        <v>0</v>
      </c>
      <c r="J1652" s="76">
        <v>1</v>
      </c>
      <c r="K1652" s="76">
        <v>0</v>
      </c>
      <c r="L1652" s="74">
        <v>0</v>
      </c>
      <c r="M1652" s="74">
        <v>0</v>
      </c>
      <c r="N1652" s="74" t="s">
        <v>3398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3396</v>
      </c>
      <c r="BF1652" s="264" t="s">
        <v>3740</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3741</v>
      </c>
      <c r="E1653" s="264" t="s">
        <v>1646</v>
      </c>
      <c r="F1653" s="76">
        <v>1</v>
      </c>
      <c r="G1653" s="76">
        <v>61023301</v>
      </c>
      <c r="H1653" s="74">
        <v>0</v>
      </c>
      <c r="I1653" s="74">
        <v>0</v>
      </c>
      <c r="J1653" s="76">
        <v>1</v>
      </c>
      <c r="K1653" s="76">
        <v>0</v>
      </c>
      <c r="L1653" s="74">
        <v>0</v>
      </c>
      <c r="M1653" s="74">
        <v>0</v>
      </c>
      <c r="N1653" s="74" t="s">
        <v>3401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3399</v>
      </c>
      <c r="BF1653" s="264" t="s">
        <v>3742</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3743</v>
      </c>
      <c r="E1654" s="264" t="s">
        <v>3744</v>
      </c>
      <c r="F1654" s="76">
        <v>1</v>
      </c>
      <c r="G1654" s="76">
        <v>61023401</v>
      </c>
      <c r="H1654" s="74">
        <v>0</v>
      </c>
      <c r="I1654" s="74">
        <v>0</v>
      </c>
      <c r="J1654" s="76">
        <v>1</v>
      </c>
      <c r="K1654" s="76">
        <v>0</v>
      </c>
      <c r="L1654" s="74">
        <v>0</v>
      </c>
      <c r="M1654" s="74">
        <v>0</v>
      </c>
      <c r="N1654" s="74" t="s">
        <v>3404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3402</v>
      </c>
      <c r="BF1654" s="264" t="s">
        <v>3745</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3746</v>
      </c>
      <c r="E1655" s="264" t="s">
        <v>1673</v>
      </c>
      <c r="F1655" s="76">
        <v>1</v>
      </c>
      <c r="G1655" s="76">
        <v>62011101</v>
      </c>
      <c r="H1655" s="74">
        <v>0</v>
      </c>
      <c r="I1655" s="74">
        <v>0</v>
      </c>
      <c r="J1655" s="76">
        <v>1</v>
      </c>
      <c r="K1655" s="76">
        <v>0</v>
      </c>
      <c r="L1655" s="74">
        <v>0</v>
      </c>
      <c r="M1655" s="74">
        <v>0</v>
      </c>
      <c r="N1655" s="74" t="s">
        <v>3747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3748</v>
      </c>
      <c r="BF1655" s="264" t="s">
        <v>3749</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3750</v>
      </c>
      <c r="E1656" s="264" t="s">
        <v>1681</v>
      </c>
      <c r="F1656" s="76">
        <v>1</v>
      </c>
      <c r="G1656" s="76">
        <v>62011201</v>
      </c>
      <c r="H1656" s="74">
        <v>0</v>
      </c>
      <c r="I1656" s="74">
        <v>0</v>
      </c>
      <c r="J1656" s="76">
        <v>1</v>
      </c>
      <c r="K1656" s="76">
        <v>0</v>
      </c>
      <c r="L1656" s="74">
        <v>0</v>
      </c>
      <c r="M1656" s="74">
        <v>0</v>
      </c>
      <c r="N1656" s="74" t="s">
        <v>3751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3752</v>
      </c>
      <c r="BF1656" s="264" t="s">
        <v>3753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3754</v>
      </c>
      <c r="E1657" s="264" t="s">
        <v>1688</v>
      </c>
      <c r="F1657" s="76">
        <v>1</v>
      </c>
      <c r="G1657" s="76">
        <v>62011301</v>
      </c>
      <c r="H1657" s="74">
        <v>0</v>
      </c>
      <c r="I1657" s="74">
        <v>0</v>
      </c>
      <c r="J1657" s="76">
        <v>1</v>
      </c>
      <c r="K1657" s="76">
        <v>0</v>
      </c>
      <c r="L1657" s="74">
        <v>0</v>
      </c>
      <c r="M1657" s="74">
        <v>0</v>
      </c>
      <c r="N1657" s="74" t="s">
        <v>3755</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3756</v>
      </c>
      <c r="BF1657" s="264" t="s">
        <v>3757</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3758</v>
      </c>
      <c r="E1658" s="264" t="s">
        <v>1500</v>
      </c>
      <c r="F1658" s="76">
        <v>1</v>
      </c>
      <c r="G1658" s="76">
        <v>61021101</v>
      </c>
      <c r="H1658" s="74">
        <v>0</v>
      </c>
      <c r="I1658" s="74">
        <v>0</v>
      </c>
      <c r="J1658" s="76">
        <v>1</v>
      </c>
      <c r="K1658" s="76">
        <v>0</v>
      </c>
      <c r="L1658" s="74">
        <v>0</v>
      </c>
      <c r="M1658" s="74">
        <v>0</v>
      </c>
      <c r="N1658" s="74" t="s">
        <v>3422</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3420</v>
      </c>
      <c r="BF1658" s="264" t="s">
        <v>3759</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3760</v>
      </c>
      <c r="E1659" s="264" t="s">
        <v>1325</v>
      </c>
      <c r="F1659" s="76">
        <v>1</v>
      </c>
      <c r="G1659" s="76">
        <v>62021301</v>
      </c>
      <c r="H1659" s="74">
        <v>0</v>
      </c>
      <c r="I1659" s="74">
        <v>0</v>
      </c>
      <c r="J1659" s="76">
        <v>1</v>
      </c>
      <c r="K1659" s="76">
        <v>0</v>
      </c>
      <c r="L1659" s="74">
        <v>0</v>
      </c>
      <c r="M1659" s="74">
        <v>0</v>
      </c>
      <c r="N1659" s="74" t="s">
        <v>3425</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3423</v>
      </c>
      <c r="BF1659" s="264" t="s">
        <v>3761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3762</v>
      </c>
      <c r="E1660" s="264" t="s">
        <v>368</v>
      </c>
      <c r="F1660" s="76">
        <v>1</v>
      </c>
      <c r="G1660" s="76">
        <v>62021401</v>
      </c>
      <c r="H1660" s="74">
        <v>0</v>
      </c>
      <c r="I1660" s="74">
        <v>0</v>
      </c>
      <c r="J1660" s="76">
        <v>1</v>
      </c>
      <c r="K1660" s="76">
        <v>0</v>
      </c>
      <c r="L1660" s="74">
        <v>0</v>
      </c>
      <c r="M1660" s="74">
        <v>0</v>
      </c>
      <c r="N1660" s="74" t="s">
        <v>3428</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3426</v>
      </c>
      <c r="BF1660" s="264" t="s">
        <v>3763</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3764</v>
      </c>
      <c r="E1661" s="264" t="s">
        <v>3765</v>
      </c>
      <c r="F1661" s="76">
        <v>1</v>
      </c>
      <c r="G1661" s="76">
        <v>62021501</v>
      </c>
      <c r="H1661" s="74">
        <v>0</v>
      </c>
      <c r="I1661" s="74">
        <v>0</v>
      </c>
      <c r="J1661" s="76">
        <v>1</v>
      </c>
      <c r="K1661" s="76">
        <v>0</v>
      </c>
      <c r="L1661" s="74">
        <v>0</v>
      </c>
      <c r="M1661" s="74">
        <v>0</v>
      </c>
      <c r="N1661" s="74" t="s">
        <v>3431</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3429</v>
      </c>
      <c r="BF1661" s="264" t="s">
        <v>3766</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3767</v>
      </c>
      <c r="E1662" s="264" t="s">
        <v>3768</v>
      </c>
      <c r="F1662" s="76">
        <v>1</v>
      </c>
      <c r="G1662" s="76">
        <v>62022101</v>
      </c>
      <c r="H1662" s="74">
        <v>0</v>
      </c>
      <c r="I1662" s="74">
        <v>0</v>
      </c>
      <c r="J1662" s="76">
        <v>1</v>
      </c>
      <c r="K1662" s="76">
        <v>0</v>
      </c>
      <c r="L1662" s="74">
        <v>0</v>
      </c>
      <c r="M1662" s="74">
        <v>0</v>
      </c>
      <c r="N1662" s="74" t="s">
        <v>3434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3432</v>
      </c>
      <c r="BF1662" s="264" t="s">
        <v>3769</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3770</v>
      </c>
      <c r="E1663" s="264" t="s">
        <v>3771</v>
      </c>
      <c r="F1663" s="76">
        <v>1</v>
      </c>
      <c r="G1663" s="76">
        <v>62022201</v>
      </c>
      <c r="H1663" s="74">
        <v>0</v>
      </c>
      <c r="I1663" s="74">
        <v>0</v>
      </c>
      <c r="J1663" s="76">
        <v>1</v>
      </c>
      <c r="K1663" s="76">
        <v>0</v>
      </c>
      <c r="L1663" s="74">
        <v>0</v>
      </c>
      <c r="M1663" s="74">
        <v>0</v>
      </c>
      <c r="N1663" s="74" t="s">
        <v>3437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3435</v>
      </c>
      <c r="BF1663" s="264" t="s">
        <v>3772</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3773</v>
      </c>
      <c r="E1664" s="264" t="s">
        <v>1790</v>
      </c>
      <c r="F1664" s="76">
        <v>1</v>
      </c>
      <c r="G1664" s="76">
        <v>62022301</v>
      </c>
      <c r="H1664" s="74">
        <v>0</v>
      </c>
      <c r="I1664" s="74">
        <v>0</v>
      </c>
      <c r="J1664" s="76">
        <v>1</v>
      </c>
      <c r="K1664" s="76">
        <v>0</v>
      </c>
      <c r="L1664" s="74">
        <v>0</v>
      </c>
      <c r="M1664" s="74">
        <v>0</v>
      </c>
      <c r="N1664" s="74" t="s">
        <v>3440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3438</v>
      </c>
      <c r="BF1664" s="264" t="s">
        <v>3774</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3775</v>
      </c>
      <c r="E1665" s="264" t="s">
        <v>3776</v>
      </c>
      <c r="F1665" s="76">
        <v>1</v>
      </c>
      <c r="G1665" s="76">
        <v>62022401</v>
      </c>
      <c r="H1665" s="74">
        <v>0</v>
      </c>
      <c r="I1665" s="74">
        <v>0</v>
      </c>
      <c r="J1665" s="76">
        <v>1</v>
      </c>
      <c r="K1665" s="76">
        <v>0</v>
      </c>
      <c r="L1665" s="74">
        <v>0</v>
      </c>
      <c r="M1665" s="74">
        <v>0</v>
      </c>
      <c r="N1665" s="74" t="s">
        <v>3443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3441</v>
      </c>
      <c r="BF1665" s="264" t="s">
        <v>3777</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3778</v>
      </c>
      <c r="E1666" s="264" t="s">
        <v>341</v>
      </c>
      <c r="F1666" s="76">
        <v>1</v>
      </c>
      <c r="G1666" s="76">
        <v>62021101</v>
      </c>
      <c r="H1666" s="74">
        <v>0</v>
      </c>
      <c r="I1666" s="74">
        <v>0</v>
      </c>
      <c r="J1666" s="76">
        <v>1</v>
      </c>
      <c r="K1666" s="76">
        <v>0</v>
      </c>
      <c r="L1666" s="74">
        <v>0</v>
      </c>
      <c r="M1666" s="74">
        <v>0</v>
      </c>
      <c r="N1666" s="74" t="s">
        <v>3446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3444</v>
      </c>
      <c r="BF1666" s="264" t="s">
        <v>3779</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3780</v>
      </c>
      <c r="E1667" s="264" t="s">
        <v>3781</v>
      </c>
      <c r="F1667" s="76">
        <v>1</v>
      </c>
      <c r="G1667" s="76">
        <v>62023201</v>
      </c>
      <c r="H1667" s="74">
        <v>0</v>
      </c>
      <c r="I1667" s="74">
        <v>0</v>
      </c>
      <c r="J1667" s="76">
        <v>1</v>
      </c>
      <c r="K1667" s="76">
        <v>0</v>
      </c>
      <c r="L1667" s="74">
        <v>0</v>
      </c>
      <c r="M1667" s="74">
        <v>0</v>
      </c>
      <c r="N1667" s="74" t="s">
        <v>3449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3447</v>
      </c>
      <c r="BF1667" s="264" t="s">
        <v>3782</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3783</v>
      </c>
      <c r="E1668" s="264" t="s">
        <v>1846</v>
      </c>
      <c r="F1668" s="76">
        <v>1</v>
      </c>
      <c r="G1668" s="76">
        <v>62023301</v>
      </c>
      <c r="H1668" s="74">
        <v>0</v>
      </c>
      <c r="I1668" s="74">
        <v>0</v>
      </c>
      <c r="J1668" s="76">
        <v>1</v>
      </c>
      <c r="K1668" s="76">
        <v>0</v>
      </c>
      <c r="L1668" s="74">
        <v>0</v>
      </c>
      <c r="M1668" s="74">
        <v>0</v>
      </c>
      <c r="N1668" s="74" t="s">
        <v>3452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3450</v>
      </c>
      <c r="BF1668" s="264" t="s">
        <v>3784</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3785</v>
      </c>
      <c r="E1669" s="264" t="s">
        <v>3786</v>
      </c>
      <c r="F1669" s="76">
        <v>1</v>
      </c>
      <c r="G1669" s="76">
        <v>62023401</v>
      </c>
      <c r="H1669" s="74">
        <v>0</v>
      </c>
      <c r="I1669" s="74">
        <v>0</v>
      </c>
      <c r="J1669" s="76">
        <v>1</v>
      </c>
      <c r="K1669" s="76">
        <v>0</v>
      </c>
      <c r="L1669" s="74">
        <v>0</v>
      </c>
      <c r="M1669" s="74">
        <v>0</v>
      </c>
      <c r="N1669" s="74" t="s">
        <v>3455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3453</v>
      </c>
      <c r="BF1669" s="264" t="s">
        <v>3787</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3788</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3789</v>
      </c>
      <c r="BF1670" s="282" t="s">
        <v>3790</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3791</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3792</v>
      </c>
      <c r="BF1671" s="282" t="s">
        <v>3793</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3794</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3795</v>
      </c>
      <c r="BF1672" s="282" t="s">
        <v>3796</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3472</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3470</v>
      </c>
      <c r="BF1673" s="282" t="s">
        <v>3797</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3475</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3473</v>
      </c>
      <c r="BF1674" s="282" t="s">
        <v>3798</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3478</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3476</v>
      </c>
      <c r="BF1675" s="282" t="s">
        <v>3799</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3481</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3479</v>
      </c>
      <c r="BF1676" s="282" t="s">
        <v>3800</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3484</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3482</v>
      </c>
      <c r="BF1677" s="282" t="s">
        <v>3801</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3487</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3485</v>
      </c>
      <c r="BF1678" s="282" t="s">
        <v>3802</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3490</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3488</v>
      </c>
      <c r="BF1679" s="282" t="s">
        <v>3803</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3493</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3491</v>
      </c>
      <c r="BF1680" s="282" t="s">
        <v>3804</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3496</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3494</v>
      </c>
      <c r="BF1681" s="282" t="s">
        <v>3805</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3499</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3497</v>
      </c>
      <c r="BF1682" s="282" t="s">
        <v>3806</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3502</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3500</v>
      </c>
      <c r="BF1683" s="282" t="s">
        <v>3807</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3505</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3503</v>
      </c>
      <c r="BF1684" s="282" t="s">
        <v>3808</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3809</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3810</v>
      </c>
      <c r="BF1685" s="264" t="s">
        <v>3811</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3812</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3813</v>
      </c>
      <c r="BF1686" s="264" t="s">
        <v>3814</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3815</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3816</v>
      </c>
      <c r="BF1687" s="264" t="s">
        <v>3817</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3818</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3819</v>
      </c>
      <c r="BF1688" s="74" t="s">
        <v>3820</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3821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3822</v>
      </c>
      <c r="BF1689" s="74" t="s">
        <v>3823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3824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3825</v>
      </c>
      <c r="BF1690" s="74" t="s">
        <v>3826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3827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3828</v>
      </c>
      <c r="BF1691" s="74" t="s">
        <v>3829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3830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3831</v>
      </c>
      <c r="BF1692" s="74" t="s">
        <v>3832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3833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3834</v>
      </c>
      <c r="BF1693" s="74" t="s">
        <v>3835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3836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3837</v>
      </c>
      <c r="BF1694" s="74" t="s">
        <v>3838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3839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3840</v>
      </c>
      <c r="BF1695" s="74" t="s">
        <v>3841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3842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3843</v>
      </c>
      <c r="BF1696" s="74" t="s">
        <v>3844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3845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3846</v>
      </c>
      <c r="BF1697" s="74" t="s">
        <v>3847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3848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3849</v>
      </c>
      <c r="BF1698" s="74" t="s">
        <v>3850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3851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3852</v>
      </c>
      <c r="BF1699" s="74" t="s">
        <v>3853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3854</v>
      </c>
      <c r="E1700" s="20" t="s">
        <v>3855</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3856</v>
      </c>
      <c r="BC1700" s="28">
        <v>0</v>
      </c>
      <c r="BD1700" s="28">
        <v>1</v>
      </c>
      <c r="BE1700" s="20" t="s">
        <v>3857</v>
      </c>
      <c r="BF1700" s="20" t="s">
        <v>3858</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3859</v>
      </c>
      <c r="E1701" s="20" t="s">
        <v>3860</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3861</v>
      </c>
      <c r="BC1701" s="28">
        <v>0</v>
      </c>
      <c r="BD1701" s="28">
        <v>1</v>
      </c>
      <c r="BE1701" s="20" t="s">
        <v>3862</v>
      </c>
      <c r="BF1701" s="20" t="s">
        <v>3863</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3864</v>
      </c>
      <c r="E1702" s="20" t="s">
        <v>3865</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3866</v>
      </c>
      <c r="BC1702" s="28">
        <v>0</v>
      </c>
      <c r="BD1702" s="28">
        <v>1</v>
      </c>
      <c r="BE1702" s="20" t="s">
        <v>3867</v>
      </c>
      <c r="BF1702" s="20" t="s">
        <v>3868</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3869</v>
      </c>
      <c r="E1703" s="20" t="s">
        <v>3870</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3871</v>
      </c>
      <c r="BC1703" s="28">
        <v>0</v>
      </c>
      <c r="BD1703" s="28">
        <v>1</v>
      </c>
      <c r="BE1703" s="20" t="s">
        <v>3872</v>
      </c>
      <c r="BF1703" s="20" t="s">
        <v>3873</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3874</v>
      </c>
      <c r="E1704" s="20" t="s">
        <v>3875</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3876</v>
      </c>
      <c r="BC1704" s="28">
        <v>0</v>
      </c>
      <c r="BD1704" s="28">
        <v>1</v>
      </c>
      <c r="BE1704" s="20" t="s">
        <v>3877</v>
      </c>
      <c r="BF1704" s="20" t="s">
        <v>3878</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3879</v>
      </c>
      <c r="E1705" s="20" t="s">
        <v>3880</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3881</v>
      </c>
      <c r="BC1705" s="28">
        <v>0</v>
      </c>
      <c r="BD1705" s="28">
        <v>1</v>
      </c>
      <c r="BE1705" s="20" t="s">
        <v>3882</v>
      </c>
      <c r="BF1705" s="20" t="s">
        <v>3883</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3884</v>
      </c>
      <c r="E1706" s="20" t="s">
        <v>3885</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3886</v>
      </c>
      <c r="BC1706" s="28">
        <v>0</v>
      </c>
      <c r="BD1706" s="28">
        <v>1</v>
      </c>
      <c r="BE1706" s="20" t="s">
        <v>3887</v>
      </c>
      <c r="BF1706" s="20" t="s">
        <v>3888</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3889</v>
      </c>
      <c r="E1707" s="20" t="s">
        <v>3890</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3891</v>
      </c>
      <c r="BC1707" s="28">
        <v>0</v>
      </c>
      <c r="BD1707" s="28">
        <v>1</v>
      </c>
      <c r="BE1707" s="20" t="s">
        <v>3892</v>
      </c>
      <c r="BF1707" s="20" t="s">
        <v>3893</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3894</v>
      </c>
      <c r="E1708" s="20" t="s">
        <v>3895</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3896</v>
      </c>
      <c r="BC1708" s="28">
        <v>0</v>
      </c>
      <c r="BD1708" s="28">
        <v>1</v>
      </c>
      <c r="BE1708" s="20" t="s">
        <v>3897</v>
      </c>
      <c r="BF1708" s="20" t="s">
        <v>3898</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3899</v>
      </c>
      <c r="E1709" s="20" t="s">
        <v>3900</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3901</v>
      </c>
      <c r="BC1709" s="28">
        <v>0</v>
      </c>
      <c r="BD1709" s="28">
        <v>1</v>
      </c>
      <c r="BE1709" s="20" t="s">
        <v>3902</v>
      </c>
      <c r="BF1709" s="20" t="s">
        <v>3903</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3904</v>
      </c>
      <c r="E1710" s="20" t="s">
        <v>3905</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3906</v>
      </c>
      <c r="BC1710" s="28">
        <v>0</v>
      </c>
      <c r="BD1710" s="28">
        <v>1</v>
      </c>
      <c r="BE1710" s="20" t="s">
        <v>3907</v>
      </c>
      <c r="BF1710" s="20" t="s">
        <v>3908</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3909</v>
      </c>
      <c r="E1711" s="20" t="s">
        <v>3910</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3911</v>
      </c>
      <c r="BC1711" s="28">
        <v>0</v>
      </c>
      <c r="BD1711" s="28">
        <v>1</v>
      </c>
      <c r="BE1711" s="20" t="s">
        <v>3857</v>
      </c>
      <c r="BF1711" s="20" t="s">
        <v>3858</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3912</v>
      </c>
      <c r="E1712" s="20" t="s">
        <v>3913</v>
      </c>
      <c r="F1712" s="19">
        <v>1</v>
      </c>
      <c r="G1712" s="19">
        <v>69060200</v>
      </c>
      <c r="H1712" s="19">
        <f t="shared" ref="H1712:H1720" si="143">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3914</v>
      </c>
      <c r="BC1712" s="28">
        <v>0</v>
      </c>
      <c r="BD1712" s="28">
        <v>1</v>
      </c>
      <c r="BE1712" s="20" t="s">
        <v>3915</v>
      </c>
      <c r="BF1712" s="20" t="s">
        <v>3916</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3917</v>
      </c>
      <c r="E1713" s="20" t="s">
        <v>3918</v>
      </c>
      <c r="F1713" s="19">
        <v>2</v>
      </c>
      <c r="G1713" s="19">
        <v>69060200</v>
      </c>
      <c r="H1713" s="19">
        <f t="shared" si="143"/>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3919</v>
      </c>
      <c r="BC1713" s="28">
        <v>0</v>
      </c>
      <c r="BD1713" s="28">
        <v>1</v>
      </c>
      <c r="BE1713" s="20" t="s">
        <v>3920</v>
      </c>
      <c r="BF1713" s="20" t="s">
        <v>3921</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3922</v>
      </c>
      <c r="E1714" s="20" t="s">
        <v>3923</v>
      </c>
      <c r="F1714" s="19">
        <v>3</v>
      </c>
      <c r="G1714" s="19">
        <v>69060200</v>
      </c>
      <c r="H1714" s="19">
        <f t="shared" si="143"/>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3924</v>
      </c>
      <c r="BC1714" s="28">
        <v>0</v>
      </c>
      <c r="BD1714" s="28">
        <v>1</v>
      </c>
      <c r="BE1714" s="20" t="s">
        <v>3925</v>
      </c>
      <c r="BF1714" s="20" t="s">
        <v>3926</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3927</v>
      </c>
      <c r="E1715" s="20" t="s">
        <v>3928</v>
      </c>
      <c r="F1715" s="19">
        <v>4</v>
      </c>
      <c r="G1715" s="19">
        <v>69060200</v>
      </c>
      <c r="H1715" s="19">
        <f t="shared" si="143"/>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3929</v>
      </c>
      <c r="BC1715" s="28">
        <v>0</v>
      </c>
      <c r="BD1715" s="28">
        <v>1</v>
      </c>
      <c r="BE1715" s="20" t="s">
        <v>3930</v>
      </c>
      <c r="BF1715" s="20" t="s">
        <v>3931</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3932</v>
      </c>
      <c r="E1716" s="20" t="s">
        <v>3933</v>
      </c>
      <c r="F1716" s="19">
        <v>5</v>
      </c>
      <c r="G1716" s="19">
        <v>69060200</v>
      </c>
      <c r="H1716" s="19">
        <f t="shared" si="143"/>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3934</v>
      </c>
      <c r="BC1716" s="28">
        <v>0</v>
      </c>
      <c r="BD1716" s="28">
        <v>1</v>
      </c>
      <c r="BE1716" s="20" t="s">
        <v>3935</v>
      </c>
      <c r="BF1716" s="20" t="s">
        <v>3936</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3937</v>
      </c>
      <c r="E1717" s="20" t="s">
        <v>3938</v>
      </c>
      <c r="F1717" s="19">
        <v>6</v>
      </c>
      <c r="G1717" s="19">
        <v>69060200</v>
      </c>
      <c r="H1717" s="19">
        <f t="shared" si="143"/>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3939</v>
      </c>
      <c r="BC1717" s="28">
        <v>0</v>
      </c>
      <c r="BD1717" s="28">
        <v>1</v>
      </c>
      <c r="BE1717" s="20" t="s">
        <v>3940</v>
      </c>
      <c r="BF1717" s="20" t="s">
        <v>3941</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3942</v>
      </c>
      <c r="E1718" s="20" t="s">
        <v>3943</v>
      </c>
      <c r="F1718" s="19">
        <v>7</v>
      </c>
      <c r="G1718" s="19">
        <v>69060200</v>
      </c>
      <c r="H1718" s="19">
        <f t="shared" si="143"/>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3944</v>
      </c>
      <c r="BC1718" s="28">
        <v>0</v>
      </c>
      <c r="BD1718" s="28">
        <v>1</v>
      </c>
      <c r="BE1718" s="20" t="s">
        <v>3945</v>
      </c>
      <c r="BF1718" s="20" t="s">
        <v>3946</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3947</v>
      </c>
      <c r="E1719" s="20" t="s">
        <v>3948</v>
      </c>
      <c r="F1719" s="19">
        <v>8</v>
      </c>
      <c r="G1719" s="19">
        <v>69060200</v>
      </c>
      <c r="H1719" s="19">
        <f t="shared" si="143"/>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3949</v>
      </c>
      <c r="BC1719" s="28">
        <v>0</v>
      </c>
      <c r="BD1719" s="28">
        <v>1</v>
      </c>
      <c r="BE1719" s="20" t="s">
        <v>3950</v>
      </c>
      <c r="BF1719" s="20" t="s">
        <v>3951</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3952</v>
      </c>
      <c r="E1720" s="20" t="s">
        <v>3953</v>
      </c>
      <c r="F1720" s="19">
        <v>9</v>
      </c>
      <c r="G1720" s="19">
        <v>69060200</v>
      </c>
      <c r="H1720" s="19">
        <f t="shared" si="143"/>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3954</v>
      </c>
      <c r="BC1720" s="28">
        <v>0</v>
      </c>
      <c r="BD1720" s="28">
        <v>1</v>
      </c>
      <c r="BE1720" s="20" t="s">
        <v>3955</v>
      </c>
      <c r="BF1720" s="20" t="s">
        <v>3956</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3957</v>
      </c>
      <c r="E1721" s="20" t="s">
        <v>3958</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3959</v>
      </c>
      <c r="BC1721" s="28">
        <v>0</v>
      </c>
      <c r="BD1721" s="28">
        <v>1</v>
      </c>
      <c r="BE1721" s="20" t="s">
        <v>3960</v>
      </c>
      <c r="BF1721" s="20" t="s">
        <v>3961</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3962</v>
      </c>
      <c r="E1722" s="20" t="s">
        <v>3963</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3964</v>
      </c>
      <c r="BC1722" s="28">
        <v>0</v>
      </c>
      <c r="BD1722" s="28">
        <v>1</v>
      </c>
      <c r="BE1722" s="20" t="s">
        <v>3857</v>
      </c>
      <c r="BF1722" s="20" t="s">
        <v>3858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3965</v>
      </c>
      <c r="E1723" s="20" t="s">
        <v>3966</v>
      </c>
      <c r="F1723" s="19">
        <v>1</v>
      </c>
      <c r="G1723" s="19">
        <v>69060300</v>
      </c>
      <c r="H1723" s="19">
        <f t="shared" ref="H1723:H1731" si="144">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3967</v>
      </c>
      <c r="BC1723" s="28">
        <v>0</v>
      </c>
      <c r="BD1723" s="28">
        <v>1</v>
      </c>
      <c r="BE1723" s="20" t="s">
        <v>3968</v>
      </c>
      <c r="BF1723" s="20" t="s">
        <v>3969</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3970</v>
      </c>
      <c r="E1724" s="20" t="s">
        <v>3971</v>
      </c>
      <c r="F1724" s="19">
        <v>2</v>
      </c>
      <c r="G1724" s="19">
        <v>69060300</v>
      </c>
      <c r="H1724" s="19">
        <f t="shared" si="144"/>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3972</v>
      </c>
      <c r="BC1724" s="28">
        <v>0</v>
      </c>
      <c r="BD1724" s="28">
        <v>1</v>
      </c>
      <c r="BE1724" s="20" t="s">
        <v>3973</v>
      </c>
      <c r="BF1724" s="20" t="s">
        <v>3974</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3975</v>
      </c>
      <c r="E1725" s="20" t="s">
        <v>3976</v>
      </c>
      <c r="F1725" s="19">
        <v>3</v>
      </c>
      <c r="G1725" s="19">
        <v>69060300</v>
      </c>
      <c r="H1725" s="19">
        <f t="shared" si="144"/>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3977</v>
      </c>
      <c r="BC1725" s="28">
        <v>0</v>
      </c>
      <c r="BD1725" s="28">
        <v>1</v>
      </c>
      <c r="BE1725" s="20" t="s">
        <v>3978</v>
      </c>
      <c r="BF1725" s="20" t="s">
        <v>3979</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3980</v>
      </c>
      <c r="E1726" s="20" t="s">
        <v>3981</v>
      </c>
      <c r="F1726" s="19">
        <v>4</v>
      </c>
      <c r="G1726" s="19">
        <v>69060300</v>
      </c>
      <c r="H1726" s="19">
        <f t="shared" si="144"/>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3982</v>
      </c>
      <c r="BC1726" s="28">
        <v>0</v>
      </c>
      <c r="BD1726" s="28">
        <v>1</v>
      </c>
      <c r="BE1726" s="20" t="s">
        <v>3983</v>
      </c>
      <c r="BF1726" s="20" t="s">
        <v>3984</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3985</v>
      </c>
      <c r="E1727" s="20" t="s">
        <v>3986</v>
      </c>
      <c r="F1727" s="19">
        <v>5</v>
      </c>
      <c r="G1727" s="19">
        <v>69060300</v>
      </c>
      <c r="H1727" s="19">
        <f t="shared" si="144"/>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3987</v>
      </c>
      <c r="BC1727" s="28">
        <v>0</v>
      </c>
      <c r="BD1727" s="28">
        <v>1</v>
      </c>
      <c r="BE1727" s="20" t="s">
        <v>3988</v>
      </c>
      <c r="BF1727" s="20" t="s">
        <v>3989</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3990</v>
      </c>
      <c r="E1728" s="20" t="s">
        <v>3991</v>
      </c>
      <c r="F1728" s="19">
        <v>6</v>
      </c>
      <c r="G1728" s="19">
        <v>69060300</v>
      </c>
      <c r="H1728" s="19">
        <f t="shared" si="144"/>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3992</v>
      </c>
      <c r="BC1728" s="28">
        <v>0</v>
      </c>
      <c r="BD1728" s="28">
        <v>1</v>
      </c>
      <c r="BE1728" s="20" t="s">
        <v>3993</v>
      </c>
      <c r="BF1728" s="20" t="s">
        <v>3994</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3995</v>
      </c>
      <c r="E1729" s="20" t="s">
        <v>3996</v>
      </c>
      <c r="F1729" s="19">
        <v>7</v>
      </c>
      <c r="G1729" s="19">
        <v>69060300</v>
      </c>
      <c r="H1729" s="19">
        <f t="shared" si="144"/>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3997</v>
      </c>
      <c r="BC1729" s="28">
        <v>0</v>
      </c>
      <c r="BD1729" s="28">
        <v>1</v>
      </c>
      <c r="BE1729" s="20" t="s">
        <v>3998</v>
      </c>
      <c r="BF1729" s="20" t="s">
        <v>3999</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4000</v>
      </c>
      <c r="E1730" s="20" t="s">
        <v>4001</v>
      </c>
      <c r="F1730" s="19">
        <v>8</v>
      </c>
      <c r="G1730" s="19">
        <v>69060300</v>
      </c>
      <c r="H1730" s="19">
        <f t="shared" si="144"/>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4002</v>
      </c>
      <c r="BC1730" s="28">
        <v>0</v>
      </c>
      <c r="BD1730" s="28">
        <v>1</v>
      </c>
      <c r="BE1730" s="20" t="s">
        <v>4003</v>
      </c>
      <c r="BF1730" s="20" t="s">
        <v>4004</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4005</v>
      </c>
      <c r="E1731" s="20" t="s">
        <v>4006</v>
      </c>
      <c r="F1731" s="19">
        <v>9</v>
      </c>
      <c r="G1731" s="19">
        <v>69060300</v>
      </c>
      <c r="H1731" s="19">
        <f t="shared" si="144"/>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4007</v>
      </c>
      <c r="BC1731" s="28">
        <v>0</v>
      </c>
      <c r="BD1731" s="28">
        <v>1</v>
      </c>
      <c r="BE1731" s="20" t="s">
        <v>4008</v>
      </c>
      <c r="BF1731" s="20" t="s">
        <v>4009</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4010</v>
      </c>
      <c r="E1732" s="20" t="s">
        <v>4011</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4012</v>
      </c>
      <c r="BC1732" s="28">
        <v>0</v>
      </c>
      <c r="BD1732" s="28">
        <v>1</v>
      </c>
      <c r="BE1732" s="20" t="s">
        <v>4013</v>
      </c>
      <c r="BF1732" s="20" t="s">
        <v>4014</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4015</v>
      </c>
      <c r="E1733" s="20" t="s">
        <v>4016</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4017</v>
      </c>
      <c r="BC1733" s="28">
        <v>0</v>
      </c>
      <c r="BD1733" s="28">
        <v>1</v>
      </c>
      <c r="BE1733" s="20" t="s">
        <v>3857</v>
      </c>
      <c r="BF1733" s="20" t="s">
        <v>3858</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4018</v>
      </c>
      <c r="E1734" s="20" t="s">
        <v>4019</v>
      </c>
      <c r="F1734" s="19">
        <v>1</v>
      </c>
      <c r="G1734" s="19">
        <v>69060400</v>
      </c>
      <c r="H1734" s="19">
        <f t="shared" ref="H1734:H1742" si="145">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4020</v>
      </c>
      <c r="BC1734" s="28">
        <v>0</v>
      </c>
      <c r="BD1734" s="28">
        <v>1</v>
      </c>
      <c r="BE1734" s="20" t="s">
        <v>4021</v>
      </c>
      <c r="BF1734" s="20" t="s">
        <v>4022</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4023</v>
      </c>
      <c r="E1735" s="20" t="s">
        <v>4024</v>
      </c>
      <c r="F1735" s="19">
        <v>2</v>
      </c>
      <c r="G1735" s="19">
        <v>69060400</v>
      </c>
      <c r="H1735" s="19">
        <f t="shared" si="145"/>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4025</v>
      </c>
      <c r="BC1735" s="28">
        <v>0</v>
      </c>
      <c r="BD1735" s="28">
        <v>1</v>
      </c>
      <c r="BE1735" s="20" t="s">
        <v>4026</v>
      </c>
      <c r="BF1735" s="20" t="s">
        <v>4027</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4028</v>
      </c>
      <c r="E1736" s="20" t="s">
        <v>4029</v>
      </c>
      <c r="F1736" s="19">
        <v>3</v>
      </c>
      <c r="G1736" s="19">
        <v>69060400</v>
      </c>
      <c r="H1736" s="19">
        <f t="shared" si="145"/>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4030</v>
      </c>
      <c r="BC1736" s="28">
        <v>0</v>
      </c>
      <c r="BD1736" s="28">
        <v>1</v>
      </c>
      <c r="BE1736" s="20" t="s">
        <v>4031</v>
      </c>
      <c r="BF1736" s="20" t="s">
        <v>4032</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4033</v>
      </c>
      <c r="E1737" s="20" t="s">
        <v>4034</v>
      </c>
      <c r="F1737" s="19">
        <v>4</v>
      </c>
      <c r="G1737" s="19">
        <v>69060400</v>
      </c>
      <c r="H1737" s="19">
        <f t="shared" si="145"/>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4035</v>
      </c>
      <c r="BC1737" s="28">
        <v>0</v>
      </c>
      <c r="BD1737" s="28">
        <v>1</v>
      </c>
      <c r="BE1737" s="20" t="s">
        <v>4036</v>
      </c>
      <c r="BF1737" s="20" t="s">
        <v>4037</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4038</v>
      </c>
      <c r="E1738" s="20" t="s">
        <v>4039</v>
      </c>
      <c r="F1738" s="19">
        <v>5</v>
      </c>
      <c r="G1738" s="19">
        <v>69060400</v>
      </c>
      <c r="H1738" s="19">
        <f t="shared" si="145"/>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4040</v>
      </c>
      <c r="BC1738" s="28">
        <v>0</v>
      </c>
      <c r="BD1738" s="28">
        <v>1</v>
      </c>
      <c r="BE1738" s="20" t="s">
        <v>4041</v>
      </c>
      <c r="BF1738" s="20" t="s">
        <v>4042</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4043</v>
      </c>
      <c r="E1739" s="20" t="s">
        <v>4044</v>
      </c>
      <c r="F1739" s="19">
        <v>6</v>
      </c>
      <c r="G1739" s="19">
        <v>69060400</v>
      </c>
      <c r="H1739" s="19">
        <f t="shared" si="145"/>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4045</v>
      </c>
      <c r="BC1739" s="28">
        <v>0</v>
      </c>
      <c r="BD1739" s="28">
        <v>1</v>
      </c>
      <c r="BE1739" s="20" t="s">
        <v>4046</v>
      </c>
      <c r="BF1739" s="20" t="s">
        <v>4047</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4048</v>
      </c>
      <c r="E1740" s="20" t="s">
        <v>4049</v>
      </c>
      <c r="F1740" s="19">
        <v>7</v>
      </c>
      <c r="G1740" s="19">
        <v>69060400</v>
      </c>
      <c r="H1740" s="19">
        <f t="shared" si="145"/>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4050</v>
      </c>
      <c r="BC1740" s="28">
        <v>0</v>
      </c>
      <c r="BD1740" s="28">
        <v>1</v>
      </c>
      <c r="BE1740" s="20" t="s">
        <v>4051</v>
      </c>
      <c r="BF1740" s="20" t="s">
        <v>4052</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4053</v>
      </c>
      <c r="E1741" s="20" t="s">
        <v>4054</v>
      </c>
      <c r="F1741" s="19">
        <v>8</v>
      </c>
      <c r="G1741" s="19">
        <v>69060400</v>
      </c>
      <c r="H1741" s="19">
        <f t="shared" si="145"/>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4055</v>
      </c>
      <c r="BC1741" s="28">
        <v>0</v>
      </c>
      <c r="BD1741" s="28">
        <v>1</v>
      </c>
      <c r="BE1741" s="20" t="s">
        <v>4056</v>
      </c>
      <c r="BF1741" s="20" t="s">
        <v>4057</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4058</v>
      </c>
      <c r="E1742" s="20" t="s">
        <v>4059</v>
      </c>
      <c r="F1742" s="19">
        <v>9</v>
      </c>
      <c r="G1742" s="19">
        <v>69060400</v>
      </c>
      <c r="H1742" s="19">
        <f t="shared" si="145"/>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4060</v>
      </c>
      <c r="BC1742" s="28">
        <v>0</v>
      </c>
      <c r="BD1742" s="28">
        <v>1</v>
      </c>
      <c r="BE1742" s="20" t="s">
        <v>4061</v>
      </c>
      <c r="BF1742" s="20" t="s">
        <v>4062</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4063</v>
      </c>
      <c r="E1743" s="20" t="s">
        <v>4064</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4065</v>
      </c>
      <c r="BC1743" s="28">
        <v>0</v>
      </c>
      <c r="BD1743" s="28">
        <v>1</v>
      </c>
      <c r="BE1743" s="20" t="s">
        <v>4066</v>
      </c>
      <c r="BF1743" s="20" t="s">
        <v>4067</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4068</v>
      </c>
      <c r="E1744" s="20" t="s">
        <v>4069</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4070</v>
      </c>
      <c r="BC1744" s="28">
        <v>0</v>
      </c>
      <c r="BD1744" s="28">
        <v>1</v>
      </c>
      <c r="BE1744" s="20" t="s">
        <v>3857</v>
      </c>
      <c r="BF1744" s="20" t="s">
        <v>3858</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4071</v>
      </c>
      <c r="E1745" s="20" t="s">
        <v>4072</v>
      </c>
      <c r="F1745" s="19">
        <v>1</v>
      </c>
      <c r="G1745" s="19">
        <v>69060500</v>
      </c>
      <c r="H1745" s="19">
        <f t="shared" ref="H1745:H1753" si="146">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4073</v>
      </c>
      <c r="BC1745" s="28">
        <v>0</v>
      </c>
      <c r="BD1745" s="28">
        <v>1</v>
      </c>
      <c r="BE1745" s="20" t="s">
        <v>4074</v>
      </c>
      <c r="BF1745" s="20" t="s">
        <v>4075</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4076</v>
      </c>
      <c r="E1746" s="20" t="s">
        <v>4077</v>
      </c>
      <c r="F1746" s="19">
        <v>2</v>
      </c>
      <c r="G1746" s="19">
        <v>69060500</v>
      </c>
      <c r="H1746" s="19">
        <f t="shared" si="146"/>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4078</v>
      </c>
      <c r="BC1746" s="28">
        <v>0</v>
      </c>
      <c r="BD1746" s="28">
        <v>1</v>
      </c>
      <c r="BE1746" s="20" t="s">
        <v>4079</v>
      </c>
      <c r="BF1746" s="20" t="s">
        <v>4080</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4081</v>
      </c>
      <c r="E1747" s="20" t="s">
        <v>4082</v>
      </c>
      <c r="F1747" s="19">
        <v>3</v>
      </c>
      <c r="G1747" s="19">
        <v>69060500</v>
      </c>
      <c r="H1747" s="19">
        <f t="shared" si="146"/>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4083</v>
      </c>
      <c r="BC1747" s="28">
        <v>0</v>
      </c>
      <c r="BD1747" s="28">
        <v>1</v>
      </c>
      <c r="BE1747" s="20" t="s">
        <v>4084</v>
      </c>
      <c r="BF1747" s="20" t="s">
        <v>4085</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4086</v>
      </c>
      <c r="E1748" s="20" t="s">
        <v>4087</v>
      </c>
      <c r="F1748" s="19">
        <v>4</v>
      </c>
      <c r="G1748" s="19">
        <v>69060500</v>
      </c>
      <c r="H1748" s="19">
        <f t="shared" si="146"/>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4088</v>
      </c>
      <c r="BC1748" s="28">
        <v>0</v>
      </c>
      <c r="BD1748" s="28">
        <v>1</v>
      </c>
      <c r="BE1748" s="20" t="s">
        <v>4089</v>
      </c>
      <c r="BF1748" s="20" t="s">
        <v>4090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4091</v>
      </c>
      <c r="E1749" s="20" t="s">
        <v>4092</v>
      </c>
      <c r="F1749" s="19">
        <v>5</v>
      </c>
      <c r="G1749" s="19">
        <v>69060500</v>
      </c>
      <c r="H1749" s="19">
        <f t="shared" si="146"/>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4093</v>
      </c>
      <c r="BC1749" s="28">
        <v>0</v>
      </c>
      <c r="BD1749" s="28">
        <v>1</v>
      </c>
      <c r="BE1749" s="20" t="s">
        <v>4094</v>
      </c>
      <c r="BF1749" s="20" t="s">
        <v>4095</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4096</v>
      </c>
      <c r="E1750" s="20" t="s">
        <v>4097</v>
      </c>
      <c r="F1750" s="19">
        <v>6</v>
      </c>
      <c r="G1750" s="19">
        <v>69060500</v>
      </c>
      <c r="H1750" s="19">
        <f t="shared" si="146"/>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4098</v>
      </c>
      <c r="BC1750" s="28">
        <v>0</v>
      </c>
      <c r="BD1750" s="28">
        <v>1</v>
      </c>
      <c r="BE1750" s="20" t="s">
        <v>4099</v>
      </c>
      <c r="BF1750" s="20" t="s">
        <v>4100</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4101</v>
      </c>
      <c r="E1751" s="20" t="s">
        <v>4102</v>
      </c>
      <c r="F1751" s="19">
        <v>7</v>
      </c>
      <c r="G1751" s="19">
        <v>69060500</v>
      </c>
      <c r="H1751" s="19">
        <f t="shared" si="146"/>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4103</v>
      </c>
      <c r="BC1751" s="28">
        <v>0</v>
      </c>
      <c r="BD1751" s="28">
        <v>1</v>
      </c>
      <c r="BE1751" s="20" t="s">
        <v>4104</v>
      </c>
      <c r="BF1751" s="20" t="s">
        <v>4105</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4106</v>
      </c>
      <c r="E1752" s="20" t="s">
        <v>4107</v>
      </c>
      <c r="F1752" s="19">
        <v>8</v>
      </c>
      <c r="G1752" s="19">
        <v>69060500</v>
      </c>
      <c r="H1752" s="19">
        <f t="shared" si="146"/>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4108</v>
      </c>
      <c r="BC1752" s="28">
        <v>0</v>
      </c>
      <c r="BD1752" s="28">
        <v>1</v>
      </c>
      <c r="BE1752" s="20" t="s">
        <v>4109</v>
      </c>
      <c r="BF1752" s="20" t="s">
        <v>4110</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4111</v>
      </c>
      <c r="E1753" s="20" t="s">
        <v>4112</v>
      </c>
      <c r="F1753" s="19">
        <v>9</v>
      </c>
      <c r="G1753" s="19">
        <v>69060500</v>
      </c>
      <c r="H1753" s="19">
        <f t="shared" si="146"/>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4113</v>
      </c>
      <c r="BC1753" s="28">
        <v>0</v>
      </c>
      <c r="BD1753" s="28">
        <v>1</v>
      </c>
      <c r="BE1753" s="20" t="s">
        <v>4114</v>
      </c>
      <c r="BF1753" s="20" t="s">
        <v>4115</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4116</v>
      </c>
      <c r="E1754" s="20" t="s">
        <v>4117</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4118</v>
      </c>
      <c r="BC1754" s="28">
        <v>0</v>
      </c>
      <c r="BD1754" s="28">
        <v>1</v>
      </c>
      <c r="BE1754" s="20" t="s">
        <v>4119</v>
      </c>
      <c r="BF1754" s="20" t="s">
        <v>4120</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4121</v>
      </c>
      <c r="E1755" s="20" t="s">
        <v>4122</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4123</v>
      </c>
      <c r="BC1755" s="28">
        <v>0</v>
      </c>
      <c r="BD1755" s="28">
        <v>1</v>
      </c>
      <c r="BE1755" s="20" t="s">
        <v>3857</v>
      </c>
      <c r="BF1755" s="20" t="s">
        <v>3858</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4124</v>
      </c>
      <c r="E1756" s="20" t="s">
        <v>4125</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3229</v>
      </c>
      <c r="BC1756" s="28">
        <v>0</v>
      </c>
      <c r="BD1756" s="28">
        <v>1</v>
      </c>
      <c r="BE1756" s="20" t="s">
        <v>4126</v>
      </c>
      <c r="BF1756" s="20" t="s">
        <v>4127</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4128</v>
      </c>
      <c r="E1757" s="20" t="s">
        <v>4129</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4130</v>
      </c>
      <c r="BC1757" s="28">
        <v>0</v>
      </c>
      <c r="BD1757" s="28">
        <v>1</v>
      </c>
      <c r="BE1757" s="20" t="s">
        <v>4131</v>
      </c>
      <c r="BF1757" s="20" t="s">
        <v>4132</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4133</v>
      </c>
      <c r="E1758" s="20" t="s">
        <v>4134</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4123</v>
      </c>
      <c r="BC1758" s="28">
        <v>0</v>
      </c>
      <c r="BD1758" s="28">
        <v>1</v>
      </c>
      <c r="BE1758" s="20" t="s">
        <v>3857</v>
      </c>
      <c r="BF1758" s="20" t="s">
        <v>3858</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4135</v>
      </c>
      <c r="E1759" s="20" t="s">
        <v>4136</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3229</v>
      </c>
      <c r="BC1759" s="28">
        <v>0</v>
      </c>
      <c r="BD1759" s="28">
        <v>1</v>
      </c>
      <c r="BE1759" s="20" t="s">
        <v>4137</v>
      </c>
      <c r="BF1759" s="20" t="s">
        <v>4138</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4139</v>
      </c>
      <c r="E1760" s="20" t="s">
        <v>4140</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4130</v>
      </c>
      <c r="BC1760" s="28">
        <v>0</v>
      </c>
      <c r="BD1760" s="28">
        <v>1</v>
      </c>
      <c r="BE1760" s="20" t="s">
        <v>4141</v>
      </c>
      <c r="BF1760" s="20" t="s">
        <v>4142</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4143</v>
      </c>
      <c r="E1761" s="238" t="s">
        <v>4144</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3857</v>
      </c>
      <c r="BF1761" s="20" t="s">
        <v>3858</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4143</v>
      </c>
      <c r="E1762" s="238" t="s">
        <v>4144</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4145</v>
      </c>
      <c r="BF1762" s="238" t="s">
        <v>4146</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4147</v>
      </c>
      <c r="E1763" s="20" t="s">
        <v>4148</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4149</v>
      </c>
      <c r="E1764" s="65" t="s">
        <v>4150</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4151</v>
      </c>
      <c r="E1765" s="65" t="s">
        <v>4152</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4153</v>
      </c>
      <c r="E1766" s="65" t="s">
        <v>4154</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4155</v>
      </c>
      <c r="E1767" s="20" t="s">
        <v>4156</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4149</v>
      </c>
      <c r="E1768" s="65" t="s">
        <v>4150</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4157</v>
      </c>
      <c r="E1769" s="65" t="s">
        <v>4158</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4159</v>
      </c>
      <c r="E1770" s="65" t="s">
        <v>4160</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4161</v>
      </c>
      <c r="E1771" s="20" t="s">
        <v>4162</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4163</v>
      </c>
      <c r="E1772" s="65" t="s">
        <v>4164</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4147</v>
      </c>
      <c r="E1773" s="20" t="s">
        <v>4148</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4147</v>
      </c>
      <c r="E1774" s="20" t="s">
        <v>4148</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4147</v>
      </c>
      <c r="E1775" s="20" t="s">
        <v>4148</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4147</v>
      </c>
      <c r="E1776" s="20" t="s">
        <v>4148</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4147</v>
      </c>
      <c r="E1777" s="20" t="s">
        <v>4148</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4147</v>
      </c>
      <c r="E1778" s="20" t="s">
        <v>4148</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4147</v>
      </c>
      <c r="E1779" s="20" t="s">
        <v>4148</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4147</v>
      </c>
      <c r="E1780" s="20" t="s">
        <v>4148</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4147</v>
      </c>
      <c r="E1781" s="20" t="s">
        <v>4148</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4147</v>
      </c>
      <c r="E1782" s="20" t="s">
        <v>4148</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4147</v>
      </c>
      <c r="E1783" s="20" t="s">
        <v>4148</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4165</v>
      </c>
      <c r="BC1785" s="28">
        <v>0</v>
      </c>
      <c r="BD1785" s="28">
        <v>0</v>
      </c>
      <c r="BE1785" s="46" t="s">
        <v>4166</v>
      </c>
      <c r="BF1785" s="46" t="s">
        <v>4167</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4168</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2931</v>
      </c>
      <c r="E1790" s="18" t="s">
        <v>2932</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2933</v>
      </c>
      <c r="BC1790" s="28">
        <v>0</v>
      </c>
      <c r="BD1790" s="28">
        <v>0</v>
      </c>
      <c r="BE1790" s="46" t="s">
        <v>2934</v>
      </c>
      <c r="BF1790" s="46" t="s">
        <v>2935</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4169</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4170</v>
      </c>
      <c r="BC1793" s="28">
        <v>0</v>
      </c>
      <c r="BD1793" s="28">
        <v>0</v>
      </c>
      <c r="BE1793" s="46" t="s">
        <v>4171</v>
      </c>
      <c r="BF1793" s="46" t="s">
        <v>4172</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4173</v>
      </c>
      <c r="BC1794" s="28">
        <v>0</v>
      </c>
      <c r="BD1794" s="28">
        <v>0</v>
      </c>
      <c r="BE1794" s="46" t="s">
        <v>4174</v>
      </c>
      <c r="BF1794" s="46" t="s">
        <v>4175</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4176</v>
      </c>
      <c r="E1796" s="18" t="s">
        <v>4177</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4178</v>
      </c>
      <c r="BC1796" s="28">
        <v>0</v>
      </c>
      <c r="BD1796" s="28">
        <v>0</v>
      </c>
      <c r="BE1796" s="46" t="s">
        <v>4179</v>
      </c>
      <c r="BF1796" s="46" t="s">
        <v>4180</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4181</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4182</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4183</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4176</v>
      </c>
      <c r="E1808" s="18" t="s">
        <v>4177</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4184</v>
      </c>
      <c r="BC1808" s="28">
        <v>0</v>
      </c>
      <c r="BD1808" s="28">
        <v>0</v>
      </c>
      <c r="BE1808" s="46" t="s">
        <v>4185</v>
      </c>
      <c r="BF1808" s="46" t="s">
        <v>4186</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4187</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4188</v>
      </c>
      <c r="E1811" s="18" t="s">
        <v>4189</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4190</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4191</v>
      </c>
      <c r="BF1811" s="46" t="s">
        <v>4192</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4193</v>
      </c>
      <c r="E1812" s="20" t="s">
        <v>4194</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4195</v>
      </c>
      <c r="BC1814" s="28">
        <v>0</v>
      </c>
      <c r="BD1814" s="28">
        <v>0</v>
      </c>
      <c r="BE1814" s="46" t="s">
        <v>4196</v>
      </c>
      <c r="BF1814" s="46" t="s">
        <v>4197</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2940</v>
      </c>
      <c r="BF1815" s="89" t="s">
        <v>2941</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0" t="s">
        <v>1019</v>
      </c>
      <c r="AV1816" s="13"/>
      <c r="AW1816" s="20" t="s">
        <v>287</v>
      </c>
      <c r="AX1816" s="17" t="s">
        <v>534</v>
      </c>
      <c r="AY1816" s="19">
        <v>10000007</v>
      </c>
      <c r="AZ1816" s="19">
        <v>70202004</v>
      </c>
      <c r="BA1816" s="20" t="s">
        <v>315</v>
      </c>
      <c r="BB1816" s="20" t="s">
        <v>371</v>
      </c>
      <c r="BC1816" s="28">
        <v>0</v>
      </c>
      <c r="BD1816" s="28">
        <v>0</v>
      </c>
      <c r="BE1816" s="46" t="s">
        <v>4198</v>
      </c>
      <c r="BF1816" s="46" t="s">
        <v>4199</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4200</v>
      </c>
      <c r="E1817" s="18" t="s">
        <v>4201</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4202</v>
      </c>
      <c r="BF1817" s="46" t="s">
        <v>4203</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4204</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4205</v>
      </c>
      <c r="BC1819" s="28">
        <v>0</v>
      </c>
      <c r="BD1819" s="28">
        <v>0</v>
      </c>
      <c r="BE1819" s="46" t="s">
        <v>4206</v>
      </c>
      <c r="BF1819" s="46" t="s">
        <v>4207</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4208</v>
      </c>
      <c r="BF1820" s="46" t="s">
        <v>4209</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4210</v>
      </c>
      <c r="E1821" s="18" t="s">
        <v>4211</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4212</v>
      </c>
      <c r="BF1821" s="46" t="s">
        <v>4213</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4214</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4215</v>
      </c>
      <c r="BC1823" s="28">
        <v>0</v>
      </c>
      <c r="BD1823" s="28">
        <v>0</v>
      </c>
      <c r="BE1823" s="46" t="s">
        <v>4216</v>
      </c>
      <c r="BF1823" s="46" t="s">
        <v>4217</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4218</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4219</v>
      </c>
      <c r="BC1829" s="28">
        <v>0</v>
      </c>
      <c r="BD1829" s="28">
        <v>0</v>
      </c>
      <c r="BE1829" s="46" t="s">
        <v>4220</v>
      </c>
      <c r="BF1829" s="46" t="s">
        <v>4221</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4222</v>
      </c>
      <c r="E1832" s="18" t="s">
        <v>4223</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4224</v>
      </c>
      <c r="E1833" s="18" t="s">
        <v>4225</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4226</v>
      </c>
      <c r="BF1833" s="46" t="s">
        <v>4227</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4228</v>
      </c>
      <c r="E1834" s="18" t="s">
        <v>4229</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4230</v>
      </c>
      <c r="BC1834" s="28">
        <v>0</v>
      </c>
      <c r="BD1834" s="28">
        <v>0</v>
      </c>
      <c r="BE1834" s="46" t="s">
        <v>4231</v>
      </c>
      <c r="BF1834" s="46" t="s">
        <v>4232</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4233</v>
      </c>
      <c r="BC1835" s="28">
        <v>0</v>
      </c>
      <c r="BD1835" s="28">
        <v>0</v>
      </c>
      <c r="BE1835" s="46" t="s">
        <v>4234</v>
      </c>
      <c r="BF1835" s="46" t="s">
        <v>4235</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4236</v>
      </c>
      <c r="E1836" s="20" t="s">
        <v>4237</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4238</v>
      </c>
      <c r="AV1836" s="19"/>
      <c r="AW1836" s="20" t="s">
        <v>199</v>
      </c>
      <c r="AX1836" s="19" t="s">
        <v>348</v>
      </c>
      <c r="AY1836" s="19">
        <v>0</v>
      </c>
      <c r="AZ1836" s="19">
        <v>0</v>
      </c>
      <c r="BA1836" s="20" t="s">
        <v>200</v>
      </c>
      <c r="BB1836" s="20" t="s">
        <v>198</v>
      </c>
      <c r="BC1836" s="28">
        <v>0</v>
      </c>
      <c r="BD1836" s="28">
        <v>0</v>
      </c>
      <c r="BE1836" s="89" t="s">
        <v>4239</v>
      </c>
      <c r="BF1836" s="89" t="s">
        <v>4240</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4241</v>
      </c>
      <c r="E1837" s="20" t="s">
        <v>4242</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4243</v>
      </c>
      <c r="AV1837" s="19"/>
      <c r="AW1837" s="20" t="s">
        <v>741</v>
      </c>
      <c r="AX1837" s="19">
        <v>0</v>
      </c>
      <c r="AY1837" s="19">
        <v>10000011</v>
      </c>
      <c r="AZ1837" s="19">
        <v>50000001</v>
      </c>
      <c r="BA1837" s="20" t="s">
        <v>250</v>
      </c>
      <c r="BB1837" s="20" t="s">
        <v>198</v>
      </c>
      <c r="BC1837" s="28">
        <v>0</v>
      </c>
      <c r="BD1837" s="28">
        <v>0</v>
      </c>
      <c r="BE1837" s="89" t="s">
        <v>4244</v>
      </c>
      <c r="BF1837" s="89" t="s">
        <v>4245</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0"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4196</v>
      </c>
      <c r="BF1839" s="89" t="s">
        <v>4197</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2940</v>
      </c>
      <c r="BF1840" s="46" t="s">
        <v>2941</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4246</v>
      </c>
      <c r="BC1841" s="28">
        <v>0</v>
      </c>
      <c r="BD1841" s="28">
        <v>0</v>
      </c>
      <c r="BE1841" s="46" t="s">
        <v>4198</v>
      </c>
      <c r="BF1841" s="46" t="s">
        <v>4199</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4247</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4248</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4215</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4249</v>
      </c>
      <c r="E1846" s="18" t="s">
        <v>4250</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4251</v>
      </c>
      <c r="BC1846" s="28">
        <v>0</v>
      </c>
      <c r="BD1846" s="28">
        <v>0</v>
      </c>
      <c r="BE1846" s="46" t="s">
        <v>4252</v>
      </c>
      <c r="BF1846" s="46" t="s">
        <v>4253</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4193</v>
      </c>
      <c r="E1849" s="20" t="s">
        <v>4194</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4254</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4255</v>
      </c>
      <c r="BF1858" s="46" t="s">
        <v>4256</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4257</v>
      </c>
      <c r="E1859" s="18" t="s">
        <v>4258</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4259</v>
      </c>
      <c r="BC1859" s="28">
        <v>0</v>
      </c>
      <c r="BD1859" s="28">
        <v>0</v>
      </c>
      <c r="BE1859" s="46" t="s">
        <v>4260</v>
      </c>
      <c r="BF1859" s="46" t="s">
        <v>4261</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4262</v>
      </c>
      <c r="E1860" s="18" t="s">
        <v>4263</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4264</v>
      </c>
      <c r="BC1861" s="28">
        <v>0</v>
      </c>
      <c r="BD1861" s="28">
        <v>0</v>
      </c>
      <c r="BE1861" s="46" t="s">
        <v>4265</v>
      </c>
      <c r="BF1861" s="46" t="s">
        <v>4266</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4267</v>
      </c>
      <c r="E1862" s="18" t="s">
        <v>4268</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4269</v>
      </c>
      <c r="BC1862" s="28">
        <v>0</v>
      </c>
      <c r="BD1862" s="28">
        <v>0</v>
      </c>
      <c r="BE1862" s="46" t="s">
        <v>4270</v>
      </c>
      <c r="BF1862" s="46" t="s">
        <v>4271</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4272</v>
      </c>
      <c r="E1866" s="18" t="s">
        <v>4273</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4274</v>
      </c>
      <c r="AV1866" s="17"/>
      <c r="AW1866" s="20" t="s">
        <v>617</v>
      </c>
      <c r="AX1866" s="17" t="s">
        <v>545</v>
      </c>
      <c r="AY1866" s="19">
        <v>10000007</v>
      </c>
      <c r="AZ1866" s="19">
        <v>70401006</v>
      </c>
      <c r="BA1866" s="18" t="s">
        <v>200</v>
      </c>
      <c r="BB1866" s="17">
        <v>0</v>
      </c>
      <c r="BC1866" s="28">
        <v>0</v>
      </c>
      <c r="BD1866" s="28">
        <v>0</v>
      </c>
      <c r="BE1866" s="46" t="s">
        <v>4275</v>
      </c>
      <c r="BF1866" s="46" t="s">
        <v>4276</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0"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4277</v>
      </c>
      <c r="E1868" s="18" t="s">
        <v>4278</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4279</v>
      </c>
      <c r="BC1868" s="28">
        <v>0</v>
      </c>
      <c r="BD1868" s="28">
        <v>0</v>
      </c>
      <c r="BE1868" s="46" t="s">
        <v>4280</v>
      </c>
      <c r="BF1868" s="46" t="s">
        <v>4281</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4224</v>
      </c>
      <c r="E1869" s="18" t="s">
        <v>4225</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4255</v>
      </c>
      <c r="BF1869" s="46" t="s">
        <v>4256</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4282</v>
      </c>
      <c r="BF1870" s="89" t="s">
        <v>4283</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4284</v>
      </c>
      <c r="E1872" s="18" t="s">
        <v>4285</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4286</v>
      </c>
      <c r="BC1872" s="28">
        <v>0</v>
      </c>
      <c r="BD1872" s="28">
        <v>0</v>
      </c>
      <c r="BE1872" s="46" t="s">
        <v>4287</v>
      </c>
      <c r="BF1872" s="46" t="s">
        <v>4288</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4289</v>
      </c>
      <c r="E1873" s="18" t="s">
        <v>4290</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4275</v>
      </c>
      <c r="BF1873" s="46" t="s">
        <v>4276</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4255</v>
      </c>
      <c r="BF1874" s="46" t="s">
        <v>4256</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4291</v>
      </c>
      <c r="BC1875" s="28">
        <v>0</v>
      </c>
      <c r="BD1875" s="28">
        <v>0</v>
      </c>
      <c r="BE1875" s="46" t="s">
        <v>4292</v>
      </c>
      <c r="BF1875" s="46" t="s">
        <v>4293</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4294</v>
      </c>
      <c r="BC1878" s="28">
        <v>0</v>
      </c>
      <c r="BD1878" s="28">
        <v>0</v>
      </c>
      <c r="BE1878" s="46" t="s">
        <v>4295</v>
      </c>
      <c r="BF1878" s="46" t="s">
        <v>4296</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4297</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4298</v>
      </c>
      <c r="BF1882" s="46" t="s">
        <v>4299</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4300</v>
      </c>
      <c r="BF1883" s="46" t="s">
        <v>4301</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4204</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4302</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4303</v>
      </c>
      <c r="BC1886" s="28">
        <v>0</v>
      </c>
      <c r="BD1886" s="28">
        <v>0</v>
      </c>
      <c r="BE1886" s="46" t="s">
        <v>4234</v>
      </c>
      <c r="BF1886" s="46" t="s">
        <v>4235</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4304</v>
      </c>
      <c r="E1889" s="18" t="s">
        <v>4305</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4306</v>
      </c>
      <c r="BF1889" s="46" t="s">
        <v>4307</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4308</v>
      </c>
      <c r="BC1892" s="28">
        <v>0</v>
      </c>
      <c r="BD1892" s="28">
        <v>0</v>
      </c>
      <c r="BE1892" s="46" t="s">
        <v>4300</v>
      </c>
      <c r="BF1892" s="46" t="s">
        <v>4301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4309</v>
      </c>
      <c r="BF1895" s="89" t="s">
        <v>4310</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4272</v>
      </c>
      <c r="E1896" s="18" t="s">
        <v>4273</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4274</v>
      </c>
      <c r="AV1896" s="17"/>
      <c r="AW1896" s="20" t="s">
        <v>617</v>
      </c>
      <c r="AX1896" s="17" t="s">
        <v>545</v>
      </c>
      <c r="AY1896" s="19">
        <v>10000007</v>
      </c>
      <c r="AZ1896" s="19">
        <v>70401006</v>
      </c>
      <c r="BA1896" s="18" t="s">
        <v>200</v>
      </c>
      <c r="BB1896" s="17">
        <v>0</v>
      </c>
      <c r="BC1896" s="28">
        <v>0</v>
      </c>
      <c r="BD1896" s="28">
        <v>0</v>
      </c>
      <c r="BE1896" s="46" t="s">
        <v>4275</v>
      </c>
      <c r="BF1896" s="46" t="s">
        <v>4276</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4311</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4312</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4313</v>
      </c>
      <c r="BC1904" s="28">
        <v>0</v>
      </c>
      <c r="BD1904" s="28">
        <v>0</v>
      </c>
      <c r="BE1904" s="46" t="s">
        <v>4295</v>
      </c>
      <c r="BF1904" s="46" t="s">
        <v>4296</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4298</v>
      </c>
      <c r="BF1907" s="46" t="s">
        <v>4299</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4314</v>
      </c>
      <c r="BC1908" s="28">
        <v>0</v>
      </c>
      <c r="BD1908" s="28">
        <v>0</v>
      </c>
      <c r="BE1908" s="46" t="s">
        <v>4198</v>
      </c>
      <c r="BF1908" s="46" t="s">
        <v>4199</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4315</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4316</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4317</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4262</v>
      </c>
      <c r="E1919" s="18" t="s">
        <v>4263</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0"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4318</v>
      </c>
      <c r="E1922" s="20" t="s">
        <v>4319</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4320</v>
      </c>
      <c r="AV1922" s="19"/>
      <c r="AW1922" s="20" t="s">
        <v>256</v>
      </c>
      <c r="AX1922" s="19" t="s">
        <v>534</v>
      </c>
      <c r="AY1922" s="19" t="s">
        <v>198</v>
      </c>
      <c r="AZ1922" s="19" t="s">
        <v>198</v>
      </c>
      <c r="BA1922" s="20" t="s">
        <v>200</v>
      </c>
      <c r="BB1922" s="20">
        <v>0</v>
      </c>
      <c r="BC1922" s="28">
        <v>0</v>
      </c>
      <c r="BD1922" s="28">
        <v>0</v>
      </c>
      <c r="BE1922" s="89" t="s">
        <v>4321</v>
      </c>
      <c r="BF1922" s="89" t="s">
        <v>4322</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4323</v>
      </c>
      <c r="E1923" s="20" t="s">
        <v>4324</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4321</v>
      </c>
      <c r="BF1923" s="89" t="s">
        <v>4322</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4173</v>
      </c>
      <c r="BC1925" s="28">
        <v>0</v>
      </c>
      <c r="BD1925" s="28">
        <v>0</v>
      </c>
      <c r="BE1925" s="46" t="s">
        <v>4174</v>
      </c>
      <c r="BF1925" s="46" t="s">
        <v>4175</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4168</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4304</v>
      </c>
      <c r="E1927" s="18" t="s">
        <v>4305</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4306</v>
      </c>
      <c r="BF1927" s="46" t="s">
        <v>4307</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4176</v>
      </c>
      <c r="E1928" s="18" t="s">
        <v>4177</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4325</v>
      </c>
      <c r="BC1928" s="28">
        <v>0</v>
      </c>
      <c r="BD1928" s="28">
        <v>0</v>
      </c>
      <c r="BE1928" s="46" t="s">
        <v>4179</v>
      </c>
      <c r="BF1928" s="46" t="s">
        <v>4180</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2931</v>
      </c>
      <c r="E1929" s="18" t="s">
        <v>2932</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4326</v>
      </c>
      <c r="BC1929" s="28">
        <v>0</v>
      </c>
      <c r="BD1929" s="28">
        <v>0</v>
      </c>
      <c r="BE1929" s="46" t="s">
        <v>2934</v>
      </c>
      <c r="BF1929" s="46" t="s">
        <v>2935</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4176</v>
      </c>
      <c r="E1932" s="18" t="s">
        <v>4177</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4327</v>
      </c>
      <c r="BC1932" s="28">
        <v>0</v>
      </c>
      <c r="BD1932" s="28">
        <v>0</v>
      </c>
      <c r="BE1932" s="46" t="s">
        <v>4179</v>
      </c>
      <c r="BF1932" s="46" t="s">
        <v>4180</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2629</v>
      </c>
      <c r="E1935" s="20" t="s">
        <v>2630</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2938</v>
      </c>
      <c r="BF1935" s="46" t="s">
        <v>2939</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4176</v>
      </c>
      <c r="E1936" s="18" t="s">
        <v>4177</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4328</v>
      </c>
      <c r="BC1936" s="28">
        <v>0</v>
      </c>
      <c r="BD1936" s="28">
        <v>0</v>
      </c>
      <c r="BE1936" s="46" t="s">
        <v>4179</v>
      </c>
      <c r="BF1936" s="46" t="s">
        <v>4180</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4329</v>
      </c>
      <c r="E1937" s="20" t="s">
        <v>4330</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4331</v>
      </c>
      <c r="BF1937" s="89" t="s">
        <v>4332</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4333</v>
      </c>
      <c r="E1938" s="20" t="s">
        <v>4334</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4333</v>
      </c>
      <c r="E1939" s="20" t="s">
        <v>4334</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0" t="s">
        <v>1019</v>
      </c>
      <c r="AV1940" s="13"/>
      <c r="AW1940" s="20" t="s">
        <v>287</v>
      </c>
      <c r="AX1940" s="17" t="s">
        <v>534</v>
      </c>
      <c r="AY1940" s="19">
        <v>10000007</v>
      </c>
      <c r="AZ1940" s="19">
        <v>70202004</v>
      </c>
      <c r="BA1940" s="20" t="s">
        <v>315</v>
      </c>
      <c r="BB1940" s="20" t="s">
        <v>371</v>
      </c>
      <c r="BC1940" s="28">
        <v>0</v>
      </c>
      <c r="BD1940" s="28">
        <v>0</v>
      </c>
      <c r="BE1940" s="46" t="s">
        <v>4335</v>
      </c>
      <c r="BF1940" s="46" t="s">
        <v>4336</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4337</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4338</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4339</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4255</v>
      </c>
      <c r="BF1947" s="46" t="s">
        <v>4256</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4340</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4341</v>
      </c>
      <c r="E1951" s="18" t="s">
        <v>4342</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4173</v>
      </c>
      <c r="BC1954" s="28">
        <v>0</v>
      </c>
      <c r="BD1954" s="28">
        <v>0</v>
      </c>
      <c r="BE1954" s="46" t="s">
        <v>4174</v>
      </c>
      <c r="BF1954" s="46" t="s">
        <v>4175</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4343</v>
      </c>
      <c r="BF1955" s="89" t="s">
        <v>4344</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4312</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4345</v>
      </c>
      <c r="E1957" s="20" t="s">
        <v>4346</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4347</v>
      </c>
      <c r="BF1957" s="89" t="s">
        <v>4348</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4255</v>
      </c>
      <c r="BF1958" s="46" t="s">
        <v>4256</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4349</v>
      </c>
      <c r="BC1960" s="68">
        <v>0</v>
      </c>
      <c r="BD1960" s="68">
        <v>0</v>
      </c>
      <c r="BE1960" s="92" t="s">
        <v>4350</v>
      </c>
      <c r="BF1960" s="92" t="s">
        <v>4351</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4352</v>
      </c>
      <c r="BC1961" s="28">
        <v>0</v>
      </c>
      <c r="BD1961" s="28">
        <v>0</v>
      </c>
      <c r="BE1961" s="46" t="s">
        <v>4179</v>
      </c>
      <c r="BF1961" s="46" t="s">
        <v>4180</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4353</v>
      </c>
      <c r="E1963" s="61" t="s">
        <v>4354</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4343</v>
      </c>
      <c r="BF1963" s="94" t="s">
        <v>4344</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4255</v>
      </c>
      <c r="BF1964" s="46" t="s">
        <v>4256</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4355</v>
      </c>
      <c r="E1966" s="18" t="s">
        <v>4356</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4173</v>
      </c>
      <c r="BC1966" s="28">
        <v>0</v>
      </c>
      <c r="BD1966" s="28">
        <v>0</v>
      </c>
      <c r="BE1966" s="46" t="s">
        <v>4174</v>
      </c>
      <c r="BF1966" s="46" t="s">
        <v>4175</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4357</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4358</v>
      </c>
      <c r="BF1968" s="89" t="s">
        <v>4359</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4360</v>
      </c>
      <c r="BC1969" s="28">
        <v>0</v>
      </c>
      <c r="BD1969" s="28">
        <v>0</v>
      </c>
      <c r="BE1969" s="46" t="s">
        <v>4361</v>
      </c>
      <c r="BF1969" s="46" t="s">
        <v>4362</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4363</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4358</v>
      </c>
      <c r="BF1972" s="89" t="s">
        <v>4359</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4255</v>
      </c>
      <c r="BF1973" s="46" t="s">
        <v>4256</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0" t="s">
        <v>1019</v>
      </c>
      <c r="AV1974" s="13"/>
      <c r="AW1974" s="20" t="s">
        <v>287</v>
      </c>
      <c r="AX1974" s="17" t="s">
        <v>534</v>
      </c>
      <c r="AY1974" s="19">
        <v>10000007</v>
      </c>
      <c r="AZ1974" s="19">
        <v>70202004</v>
      </c>
      <c r="BA1974" s="20" t="s">
        <v>315</v>
      </c>
      <c r="BB1974" s="20" t="s">
        <v>371</v>
      </c>
      <c r="BC1974" s="28">
        <v>0</v>
      </c>
      <c r="BD1974" s="28">
        <v>0</v>
      </c>
      <c r="BE1974" s="46" t="s">
        <v>4335</v>
      </c>
      <c r="BF1974" s="46" t="s">
        <v>4336</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4364</v>
      </c>
      <c r="E1975" s="18" t="s">
        <v>4365</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4364</v>
      </c>
      <c r="E1976" s="18" t="s">
        <v>4365</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4366</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4255</v>
      </c>
      <c r="BF1977" s="46" t="s">
        <v>4256</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4345</v>
      </c>
      <c r="E1979" s="20" t="s">
        <v>4346</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8" t="s">
        <v>4367</v>
      </c>
      <c r="AV1979" s="19"/>
      <c r="AW1979" s="20" t="s">
        <v>741</v>
      </c>
      <c r="AX1979" s="19">
        <v>0</v>
      </c>
      <c r="AY1979" s="19">
        <v>10007001</v>
      </c>
      <c r="AZ1979" s="19">
        <v>0</v>
      </c>
      <c r="BA1979" s="20" t="s">
        <v>200</v>
      </c>
      <c r="BB1979" s="20" t="s">
        <v>198</v>
      </c>
      <c r="BC1979" s="28">
        <v>0</v>
      </c>
      <c r="BD1979" s="28">
        <v>0</v>
      </c>
      <c r="BE1979" s="89" t="s">
        <v>4347</v>
      </c>
      <c r="BF1979" s="89" t="s">
        <v>4348</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4360</v>
      </c>
      <c r="BC1980" s="28">
        <v>0</v>
      </c>
      <c r="BD1980" s="28">
        <v>0</v>
      </c>
      <c r="BE1980" s="46" t="s">
        <v>4361</v>
      </c>
      <c r="BF1980" s="46" t="s">
        <v>4362</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4368</v>
      </c>
      <c r="E1982" s="20" t="s">
        <v>4369</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4370</v>
      </c>
      <c r="E1983" s="18" t="s">
        <v>4371</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4372</v>
      </c>
      <c r="BF1983" s="46" t="s">
        <v>4373</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4357</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4255</v>
      </c>
      <c r="BF1986" s="46" t="s">
        <v>4256</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4173</v>
      </c>
      <c r="BC1989" s="28">
        <v>0</v>
      </c>
      <c r="BD1989" s="28">
        <v>0</v>
      </c>
      <c r="BE1989" s="46" t="s">
        <v>4174</v>
      </c>
      <c r="BF1989" s="46" t="s">
        <v>4175</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0" t="s">
        <v>1019</v>
      </c>
      <c r="AV1991" s="13"/>
      <c r="AW1991" s="20" t="s">
        <v>287</v>
      </c>
      <c r="AX1991" s="17" t="s">
        <v>534</v>
      </c>
      <c r="AY1991" s="19">
        <v>10000007</v>
      </c>
      <c r="AZ1991" s="19">
        <v>70202004</v>
      </c>
      <c r="BA1991" s="20" t="s">
        <v>315</v>
      </c>
      <c r="BB1991" s="20" t="s">
        <v>371</v>
      </c>
      <c r="BC1991" s="28">
        <v>0</v>
      </c>
      <c r="BD1991" s="28">
        <v>0</v>
      </c>
      <c r="BE1991" s="46" t="s">
        <v>4335</v>
      </c>
      <c r="BF1991" s="46" t="s">
        <v>4336</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4304</v>
      </c>
      <c r="E1993" s="18" t="s">
        <v>4305</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4306</v>
      </c>
      <c r="BF1993" s="46" t="s">
        <v>4307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4345</v>
      </c>
      <c r="E1994" s="20" t="s">
        <v>4346</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4347</v>
      </c>
      <c r="BF1994" s="89" t="s">
        <v>4348</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4374</v>
      </c>
      <c r="BF1996" s="139" t="s">
        <v>4375</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4" t="s">
        <v>732</v>
      </c>
      <c r="AU1997" s="345" t="s">
        <v>733</v>
      </c>
      <c r="AV1997" s="112"/>
      <c r="AW1997" s="99" t="s">
        <v>287</v>
      </c>
      <c r="AX1997" s="106">
        <v>0</v>
      </c>
      <c r="AY1997" s="106">
        <v>0</v>
      </c>
      <c r="AZ1997" s="106">
        <v>62001401</v>
      </c>
      <c r="BA1997" s="104" t="s">
        <v>200</v>
      </c>
      <c r="BB1997" s="103">
        <v>0</v>
      </c>
      <c r="BC1997" s="107">
        <v>0</v>
      </c>
      <c r="BD1997" s="107">
        <v>0</v>
      </c>
      <c r="BE1997" s="120" t="s">
        <v>4376</v>
      </c>
      <c r="BF1997" s="120" t="s">
        <v>4377</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8"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9"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8" t="s">
        <v>198</v>
      </c>
      <c r="AV2000" s="116"/>
      <c r="AW2000" s="101" t="s">
        <v>199</v>
      </c>
      <c r="AX2000" s="103" t="s">
        <v>534</v>
      </c>
      <c r="AY2000" s="102">
        <v>10000007</v>
      </c>
      <c r="AZ2000" s="346"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7" t="s">
        <v>806</v>
      </c>
      <c r="AU2001" s="348"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4"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4255</v>
      </c>
      <c r="BF2005" s="46" t="s">
        <v>4256</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4338</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0" t="s">
        <v>1019</v>
      </c>
      <c r="AV2007" s="13"/>
      <c r="AW2007" s="20" t="s">
        <v>287</v>
      </c>
      <c r="AX2007" s="17" t="s">
        <v>534</v>
      </c>
      <c r="AY2007" s="19">
        <v>10000007</v>
      </c>
      <c r="AZ2007" s="19">
        <v>70202004</v>
      </c>
      <c r="BA2007" s="20" t="s">
        <v>315</v>
      </c>
      <c r="BB2007" s="20" t="s">
        <v>371</v>
      </c>
      <c r="BC2007" s="28">
        <v>0</v>
      </c>
      <c r="BD2007" s="28">
        <v>0</v>
      </c>
      <c r="BE2007" s="46" t="s">
        <v>4335</v>
      </c>
      <c r="BF2007" s="46" t="s">
        <v>4336</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4378</v>
      </c>
      <c r="E2008" s="18" t="s">
        <v>4379</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4380</v>
      </c>
      <c r="BC2008" s="28">
        <v>0</v>
      </c>
      <c r="BD2008" s="28">
        <v>0</v>
      </c>
      <c r="BE2008" s="46" t="s">
        <v>4381</v>
      </c>
      <c r="BF2008" s="46" t="s">
        <v>4382</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4383</v>
      </c>
      <c r="E2009" s="18" t="s">
        <v>4384</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4380</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4385</v>
      </c>
      <c r="E2010" s="18" t="s">
        <v>4386</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4380</v>
      </c>
      <c r="BC2010" s="28">
        <v>0</v>
      </c>
      <c r="BD2010" s="28">
        <v>0</v>
      </c>
      <c r="BE2010" s="46" t="s">
        <v>4387</v>
      </c>
      <c r="BF2010" s="46" t="s">
        <v>4388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4389</v>
      </c>
      <c r="E2011" s="18" t="s">
        <v>4390</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4380</v>
      </c>
      <c r="BC2011" s="28">
        <v>0</v>
      </c>
      <c r="BD2011" s="28">
        <v>0</v>
      </c>
      <c r="BE2011" s="46" t="s">
        <v>4391</v>
      </c>
      <c r="BF2011" s="46" t="s">
        <v>4392</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4393</v>
      </c>
      <c r="E2012" s="18" t="s">
        <v>4394</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4380</v>
      </c>
      <c r="BC2012" s="28">
        <v>0</v>
      </c>
      <c r="BD2012" s="28">
        <v>0</v>
      </c>
      <c r="BE2012" s="46" t="s">
        <v>4395</v>
      </c>
      <c r="BF2012" s="46" t="s">
        <v>4396</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4397</v>
      </c>
      <c r="E2013" s="18" t="s">
        <v>4398</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4380</v>
      </c>
      <c r="BC2013" s="28">
        <v>0</v>
      </c>
      <c r="BD2013" s="28">
        <v>0</v>
      </c>
      <c r="BE2013" s="46" t="s">
        <v>4399</v>
      </c>
      <c r="BF2013" s="46" t="s">
        <v>4400</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4401</v>
      </c>
      <c r="E2014" s="18" t="s">
        <v>4402</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4380</v>
      </c>
      <c r="BC2014" s="28">
        <v>0</v>
      </c>
      <c r="BD2014" s="28">
        <v>0</v>
      </c>
      <c r="BE2014" s="46" t="s">
        <v>4403</v>
      </c>
      <c r="BF2014" s="46" t="s">
        <v>4404</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4405</v>
      </c>
      <c r="E2015" s="18" t="s">
        <v>4406</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4380</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4407</v>
      </c>
      <c r="E2016" s="286" t="s">
        <v>3163</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4408</v>
      </c>
      <c r="BC2016" s="28">
        <v>0</v>
      </c>
      <c r="BD2016" s="28">
        <v>0</v>
      </c>
      <c r="BE2016" s="46" t="s">
        <v>4409</v>
      </c>
      <c r="BF2016" s="46" t="s">
        <v>4410</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4411</v>
      </c>
      <c r="E2017" s="286" t="s">
        <v>4412</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4413</v>
      </c>
      <c r="BC2017" s="28">
        <v>0</v>
      </c>
      <c r="BD2017" s="28">
        <v>0</v>
      </c>
      <c r="BE2017" s="46" t="s">
        <v>4414</v>
      </c>
      <c r="BF2017" s="46" t="s">
        <v>4415</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4416</v>
      </c>
      <c r="E2018" s="286" t="s">
        <v>4417</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4418</v>
      </c>
      <c r="BC2018" s="28">
        <v>0</v>
      </c>
      <c r="BD2018" s="28">
        <v>0</v>
      </c>
      <c r="BE2018" s="46" t="s">
        <v>4419</v>
      </c>
      <c r="BF2018" s="46" t="s">
        <v>4420</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4421</v>
      </c>
      <c r="E2019" s="286" t="s">
        <v>4422</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4423</v>
      </c>
      <c r="BC2019" s="28">
        <v>0</v>
      </c>
      <c r="BD2019" s="28">
        <v>0</v>
      </c>
      <c r="BE2019" s="46" t="s">
        <v>4424</v>
      </c>
      <c r="BF2019" s="46" t="s">
        <v>4425</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4426</v>
      </c>
      <c r="E2020" s="286" t="s">
        <v>4427</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4428</v>
      </c>
      <c r="BC2020" s="28">
        <v>0</v>
      </c>
      <c r="BD2020" s="28">
        <v>0</v>
      </c>
      <c r="BE2020" s="46" t="s">
        <v>4429</v>
      </c>
      <c r="BF2020" s="46" t="s">
        <v>4430</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4431</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4432</v>
      </c>
      <c r="BC2021" s="182">
        <v>0</v>
      </c>
      <c r="BD2021" s="182">
        <v>0</v>
      </c>
      <c r="BE2021" s="243" t="s">
        <v>4433</v>
      </c>
      <c r="BF2021" s="243" t="s">
        <v>4434</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3616</v>
      </c>
      <c r="E2022" s="286" t="s">
        <v>3617</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4435</v>
      </c>
      <c r="BF2022" s="46" t="s">
        <v>4436</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4437</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4438</v>
      </c>
      <c r="BF2023" s="46" t="s">
        <v>4439</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3621</v>
      </c>
      <c r="E2024" s="286" t="s">
        <v>3622</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4440</v>
      </c>
      <c r="BC2024" s="28">
        <v>0</v>
      </c>
      <c r="BD2024" s="28">
        <v>0</v>
      </c>
      <c r="BE2024" s="46" t="s">
        <v>4441</v>
      </c>
      <c r="BF2024" s="46" t="s">
        <v>4442</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4443</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4444</v>
      </c>
      <c r="BC2025" s="28">
        <v>0</v>
      </c>
      <c r="BD2025" s="28">
        <v>0</v>
      </c>
      <c r="BE2025" s="46" t="s">
        <v>4445</v>
      </c>
      <c r="BF2025" s="46" t="s">
        <v>4446</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4447</v>
      </c>
      <c r="E2026" s="286" t="s">
        <v>4448</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4449</v>
      </c>
      <c r="BC2026" s="28">
        <v>0</v>
      </c>
      <c r="BD2026" s="28">
        <v>0</v>
      </c>
      <c r="BE2026" s="46" t="s">
        <v>4450</v>
      </c>
      <c r="BF2026" s="46" t="s">
        <v>4451</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4452</v>
      </c>
      <c r="E2027" s="286" t="s">
        <v>4453</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4454</v>
      </c>
      <c r="BC2027" s="28">
        <v>0</v>
      </c>
      <c r="BD2027" s="28">
        <v>0</v>
      </c>
      <c r="BE2027" s="46" t="s">
        <v>4455</v>
      </c>
      <c r="BF2027" s="46" t="s">
        <v>4456</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4457</v>
      </c>
      <c r="E2028" s="286" t="s">
        <v>4458</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4130</v>
      </c>
      <c r="BC2028" s="28">
        <v>0</v>
      </c>
      <c r="BD2028" s="28">
        <v>0</v>
      </c>
      <c r="BE2028" s="46" t="s">
        <v>4459</v>
      </c>
      <c r="BF2028" s="46" t="s">
        <v>4460</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2909</v>
      </c>
      <c r="E2029" s="286" t="s">
        <v>2910</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4461</v>
      </c>
      <c r="BC2029" s="28">
        <v>0</v>
      </c>
      <c r="BD2029" s="28">
        <v>0</v>
      </c>
      <c r="BE2029" s="46" t="s">
        <v>4462</v>
      </c>
      <c r="BF2029" s="46" t="s">
        <v>4463</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4464</v>
      </c>
      <c r="E2030" s="286" t="s">
        <v>4465</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4466</v>
      </c>
      <c r="BC2030" s="182">
        <v>0</v>
      </c>
      <c r="BD2030" s="182">
        <v>0</v>
      </c>
      <c r="BE2030" s="243" t="s">
        <v>4467</v>
      </c>
      <c r="BF2030" s="243" t="s">
        <v>4468</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4469</v>
      </c>
      <c r="E2031" s="286" t="s">
        <v>4470</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4471</v>
      </c>
      <c r="BC2031" s="28">
        <v>0</v>
      </c>
      <c r="BD2031" s="28">
        <v>0</v>
      </c>
      <c r="BE2031" s="46" t="s">
        <v>4472</v>
      </c>
      <c r="BF2031" s="46" t="s">
        <v>4473</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4474</v>
      </c>
      <c r="E2032" s="286" t="s">
        <v>4475</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4476</v>
      </c>
      <c r="BF2032" s="243" t="s">
        <v>4477</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4478</v>
      </c>
      <c r="E2033" s="286" t="s">
        <v>4479</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4480</v>
      </c>
      <c r="BC2033" s="28">
        <v>0</v>
      </c>
      <c r="BD2033" s="28">
        <v>0</v>
      </c>
      <c r="BE2033" s="46" t="s">
        <v>4481</v>
      </c>
      <c r="BF2033" s="46" t="s">
        <v>4482</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4483</v>
      </c>
      <c r="BC2034" s="28">
        <v>0</v>
      </c>
      <c r="BD2034" s="28">
        <v>0</v>
      </c>
      <c r="BE2034" s="46" t="s">
        <v>4484</v>
      </c>
      <c r="BF2034" s="46" t="s">
        <v>4485</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4486</v>
      </c>
      <c r="E2035" s="286" t="s">
        <v>4487</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4488</v>
      </c>
      <c r="BC2035" s="28">
        <v>0</v>
      </c>
      <c r="BD2035" s="28">
        <v>0</v>
      </c>
      <c r="BE2035" s="46" t="s">
        <v>4489</v>
      </c>
      <c r="BF2035" s="46" t="s">
        <v>4490</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4491</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4492</v>
      </c>
      <c r="BF2036" s="46" t="s">
        <v>4493</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4494</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0" t="s">
        <v>4495</v>
      </c>
      <c r="AV2037" s="13"/>
      <c r="AW2037" s="18" t="s">
        <v>199</v>
      </c>
      <c r="AX2037" s="13">
        <v>0</v>
      </c>
      <c r="AY2037" s="13" t="s">
        <v>198</v>
      </c>
      <c r="AZ2037" s="13">
        <v>0</v>
      </c>
      <c r="BA2037" s="14" t="s">
        <v>200</v>
      </c>
      <c r="BB2037" s="13">
        <v>0</v>
      </c>
      <c r="BC2037" s="28">
        <v>0</v>
      </c>
      <c r="BD2037" s="28">
        <v>0</v>
      </c>
      <c r="BE2037" s="46" t="s">
        <v>4496</v>
      </c>
      <c r="BF2037" s="46" t="s">
        <v>4497</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4498</v>
      </c>
      <c r="BF2038" s="46" t="s">
        <v>4499</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4500</v>
      </c>
      <c r="E2039" s="286" t="s">
        <v>4501</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4502</v>
      </c>
      <c r="BC2039" s="28">
        <v>0</v>
      </c>
      <c r="BD2039" s="28">
        <v>0</v>
      </c>
      <c r="BE2039" s="46" t="s">
        <v>4503</v>
      </c>
      <c r="BF2039" s="46" t="s">
        <v>4504</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4505</v>
      </c>
      <c r="E2040" s="286" t="s">
        <v>4506</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4507</v>
      </c>
      <c r="BF2040" s="44" t="s">
        <v>4508</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2873</v>
      </c>
      <c r="E2041" s="286" t="s">
        <v>3188</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4509</v>
      </c>
      <c r="BF2041" s="44" t="s">
        <v>4510</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4511</v>
      </c>
      <c r="E2042" s="286" t="s">
        <v>4512</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4513</v>
      </c>
      <c r="BC2042" s="28">
        <v>0</v>
      </c>
      <c r="BD2042" s="28">
        <v>0</v>
      </c>
      <c r="BE2042" s="46" t="s">
        <v>4514</v>
      </c>
      <c r="BF2042" s="46" t="s">
        <v>4515</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4516</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4517</v>
      </c>
      <c r="BF2043" s="46" t="s">
        <v>4518</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4519</v>
      </c>
      <c r="E2044" s="286" t="s">
        <v>4520</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4521</v>
      </c>
      <c r="BC2044" s="28">
        <v>0</v>
      </c>
      <c r="BD2044" s="28">
        <v>0</v>
      </c>
      <c r="BE2044" s="46" t="s">
        <v>4522</v>
      </c>
      <c r="BF2044" s="46" t="s">
        <v>4523</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4524</v>
      </c>
      <c r="E2045" s="286" t="s">
        <v>4525</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4526</v>
      </c>
      <c r="E2046" s="286" t="s">
        <v>4527</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4528</v>
      </c>
      <c r="BC2046" s="28">
        <v>0</v>
      </c>
      <c r="BD2046" s="28">
        <v>0</v>
      </c>
      <c r="BE2046" s="46" t="s">
        <v>4529</v>
      </c>
      <c r="BF2046" s="46" t="s">
        <v>4530</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4531</v>
      </c>
      <c r="E2047" s="286" t="s">
        <v>4532</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4533</v>
      </c>
      <c r="BC2047" s="28">
        <v>0</v>
      </c>
      <c r="BD2047" s="28">
        <v>0</v>
      </c>
      <c r="BE2047" s="46" t="s">
        <v>4534</v>
      </c>
      <c r="BF2047" s="46" t="s">
        <v>4535</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4536</v>
      </c>
      <c r="E2048" s="286" t="s">
        <v>4537</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4538</v>
      </c>
      <c r="BC2048" s="28">
        <v>0</v>
      </c>
      <c r="BD2048" s="28">
        <v>0</v>
      </c>
      <c r="BE2048" s="46" t="s">
        <v>4539</v>
      </c>
      <c r="BF2048" s="46" t="s">
        <v>4540</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4541</v>
      </c>
      <c r="E2049" s="286" t="s">
        <v>4542</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4543</v>
      </c>
      <c r="BC2049" s="28">
        <v>0</v>
      </c>
      <c r="BD2049" s="28">
        <v>0</v>
      </c>
      <c r="BE2049" s="243" t="s">
        <v>4544</v>
      </c>
      <c r="BF2049" s="243" t="s">
        <v>4545</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4546</v>
      </c>
      <c r="E2050" s="286" t="s">
        <v>4547</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4435</v>
      </c>
      <c r="BF2050" s="46" t="s">
        <v>4436</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4548</v>
      </c>
      <c r="E2051" s="286" t="s">
        <v>4549</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4550</v>
      </c>
      <c r="BF2051" s="46" t="s">
        <v>4551</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4552</v>
      </c>
      <c r="E2052" s="286" t="s">
        <v>4553</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4554</v>
      </c>
      <c r="BC2052" s="28">
        <v>0</v>
      </c>
      <c r="BD2052" s="28">
        <v>0</v>
      </c>
      <c r="BE2052" s="46" t="s">
        <v>4555</v>
      </c>
      <c r="BF2052" s="46" t="s">
        <v>4556</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4557</v>
      </c>
      <c r="E2053" s="286" t="s">
        <v>4558</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4559</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4560</v>
      </c>
      <c r="E2054" s="286" t="s">
        <v>4561</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4562</v>
      </c>
      <c r="BC2054" s="28">
        <v>0</v>
      </c>
      <c r="BD2054" s="28">
        <v>0</v>
      </c>
      <c r="BE2054" s="46" t="s">
        <v>4563</v>
      </c>
      <c r="BF2054" s="46" t="s">
        <v>4564</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4565</v>
      </c>
      <c r="E2055" s="286" t="s">
        <v>4566</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4567</v>
      </c>
      <c r="BC2055" s="28">
        <v>0</v>
      </c>
      <c r="BD2055" s="28">
        <v>0</v>
      </c>
      <c r="BE2055" s="46" t="s">
        <v>4568</v>
      </c>
      <c r="BF2055" s="46" t="s">
        <v>4569</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4570</v>
      </c>
      <c r="E2056" s="286" t="s">
        <v>4571</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4572</v>
      </c>
      <c r="BC2056" s="28">
        <v>0</v>
      </c>
      <c r="BD2056" s="28">
        <v>0</v>
      </c>
      <c r="BE2056" s="46" t="s">
        <v>4573</v>
      </c>
      <c r="BF2056" s="46" t="s">
        <v>4574</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4575</v>
      </c>
      <c r="E2057" s="286" t="s">
        <v>4576</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4577</v>
      </c>
      <c r="BC2057" s="28">
        <v>0</v>
      </c>
      <c r="BD2057" s="28">
        <v>0</v>
      </c>
      <c r="BE2057" s="46" t="s">
        <v>4578</v>
      </c>
      <c r="BF2057" s="46" t="s">
        <v>4579</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4580</v>
      </c>
      <c r="E2058" s="286" t="s">
        <v>4581</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4582</v>
      </c>
      <c r="BC2058" s="182">
        <v>0</v>
      </c>
      <c r="BD2058" s="182">
        <v>0</v>
      </c>
      <c r="BE2058" s="243" t="s">
        <v>4583</v>
      </c>
      <c r="BF2058" s="243" t="s">
        <v>4584</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4585</v>
      </c>
      <c r="E2059" s="286" t="s">
        <v>4586</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4587</v>
      </c>
      <c r="BC2059" s="28">
        <v>0</v>
      </c>
      <c r="BD2059" s="28">
        <v>0</v>
      </c>
      <c r="BE2059" s="46" t="s">
        <v>4588</v>
      </c>
      <c r="BF2059" s="46" t="s">
        <v>4589</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4590</v>
      </c>
      <c r="E2060" s="286" t="s">
        <v>4591</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4592</v>
      </c>
      <c r="BF2060" s="243" t="s">
        <v>4593</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4594</v>
      </c>
      <c r="E2061" s="286" t="s">
        <v>4595</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4596</v>
      </c>
      <c r="BC2061" s="28">
        <v>0</v>
      </c>
      <c r="BD2061" s="28">
        <v>0</v>
      </c>
      <c r="BE2061" s="46" t="s">
        <v>4597</v>
      </c>
      <c r="BF2061" s="46" t="s">
        <v>4598</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4599</v>
      </c>
      <c r="E2062" s="286" t="s">
        <v>4600</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4601</v>
      </c>
      <c r="BC2062" s="28">
        <v>0</v>
      </c>
      <c r="BD2062" s="28">
        <v>0</v>
      </c>
      <c r="BE2062" s="46" t="s">
        <v>4602</v>
      </c>
      <c r="BF2062" s="46" t="s">
        <v>4603</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4604</v>
      </c>
      <c r="E2063" s="286" t="s">
        <v>4605</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4606</v>
      </c>
      <c r="BC2063" s="28">
        <v>0</v>
      </c>
      <c r="BD2063" s="28">
        <v>0</v>
      </c>
      <c r="BE2063" s="46" t="s">
        <v>4607</v>
      </c>
      <c r="BF2063" s="46" t="s">
        <v>4608</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4609</v>
      </c>
      <c r="E2064" s="286" t="s">
        <v>4610</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4611</v>
      </c>
      <c r="BF2064" s="46" t="s">
        <v>4612</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4613</v>
      </c>
      <c r="E2065" s="286" t="s">
        <v>4614</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0"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4615</v>
      </c>
      <c r="E2066" s="286" t="s">
        <v>4616</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4617</v>
      </c>
      <c r="E2067" s="286" t="s">
        <v>4618</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4502</v>
      </c>
      <c r="BC2067" s="28">
        <v>0</v>
      </c>
      <c r="BD2067" s="28">
        <v>0</v>
      </c>
      <c r="BE2067" s="46" t="s">
        <v>4619</v>
      </c>
      <c r="BF2067" s="46" t="s">
        <v>4620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4621</v>
      </c>
      <c r="E2068" s="286" t="s">
        <v>4622</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4623</v>
      </c>
      <c r="BF2068" s="44" t="s">
        <v>4624</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4625</v>
      </c>
      <c r="E2069" s="286" t="s">
        <v>4626</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4627</v>
      </c>
      <c r="BF2069" s="44" t="s">
        <v>4628</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4629</v>
      </c>
      <c r="E2070" s="286" t="s">
        <v>4630</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4513</v>
      </c>
      <c r="BC2070" s="28">
        <v>0</v>
      </c>
      <c r="BD2070" s="28">
        <v>0</v>
      </c>
      <c r="BE2070" s="46" t="s">
        <v>4631</v>
      </c>
      <c r="BF2070" s="46" t="s">
        <v>4632</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4633</v>
      </c>
      <c r="E2071" s="286" t="s">
        <v>4634</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4635</v>
      </c>
      <c r="E2072" s="61" t="s">
        <v>4636</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4637</v>
      </c>
      <c r="BF2072" s="92" t="s">
        <v>4638</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4639</v>
      </c>
      <c r="E2073" s="61" t="s">
        <v>4640</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4" t="s">
        <v>4641</v>
      </c>
      <c r="AV2073" s="62"/>
      <c r="AW2073" s="61" t="s">
        <v>198</v>
      </c>
      <c r="AX2073" s="62">
        <v>0</v>
      </c>
      <c r="AY2073" s="66">
        <v>0</v>
      </c>
      <c r="AZ2073" s="66">
        <v>0</v>
      </c>
      <c r="BA2073" s="61" t="s">
        <v>200</v>
      </c>
      <c r="BB2073" s="62">
        <v>0</v>
      </c>
      <c r="BC2073" s="68">
        <v>0</v>
      </c>
      <c r="BD2073" s="68">
        <v>1</v>
      </c>
      <c r="BE2073" s="92" t="s">
        <v>4642</v>
      </c>
      <c r="BF2073" s="92" t="s">
        <v>4643</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4644</v>
      </c>
      <c r="E2074" s="61" t="s">
        <v>4645</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4646</v>
      </c>
      <c r="BF2074" s="92" t="s">
        <v>4647</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4648</v>
      </c>
      <c r="E2075" s="65" t="s">
        <v>4649</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4650</v>
      </c>
      <c r="BF2075" s="94" t="s">
        <v>4651</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4652</v>
      </c>
      <c r="BF2076" s="94" t="s">
        <v>4653</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4654</v>
      </c>
      <c r="E2077" s="61" t="s">
        <v>4655</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4656</v>
      </c>
      <c r="BF2077" s="92" t="s">
        <v>4657</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4658</v>
      </c>
      <c r="E2078" s="61" t="s">
        <v>4659</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4660</v>
      </c>
      <c r="BF2078" s="123" t="s">
        <v>4661</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4662</v>
      </c>
      <c r="E2079" s="61" t="s">
        <v>4663</v>
      </c>
      <c r="F2079" s="66">
        <v>1</v>
      </c>
      <c r="G2079" s="19">
        <v>80003008</v>
      </c>
      <c r="H2079" s="66">
        <v>0</v>
      </c>
      <c r="I2079" s="68">
        <v>0</v>
      </c>
      <c r="J2079" s="66">
        <v>1</v>
      </c>
      <c r="K2079" s="66">
        <v>0</v>
      </c>
      <c r="L2079" s="66">
        <v>0</v>
      </c>
      <c r="M2079" s="62">
        <v>0</v>
      </c>
      <c r="N2079" s="62">
        <v>0</v>
      </c>
      <c r="O2079" s="62">
        <v>2</v>
      </c>
      <c r="P2079" s="62" t="s">
        <v>4664</v>
      </c>
      <c r="Q2079" s="62" t="s">
        <v>4665</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1" t="s">
        <v>4666</v>
      </c>
      <c r="AU2079" s="62">
        <v>80005072</v>
      </c>
      <c r="AV2079" s="62"/>
      <c r="AW2079" s="65" t="s">
        <v>198</v>
      </c>
      <c r="AX2079" s="62" t="s">
        <v>534</v>
      </c>
      <c r="AY2079" s="66">
        <v>0</v>
      </c>
      <c r="AZ2079" s="66">
        <v>0</v>
      </c>
      <c r="BA2079" s="61" t="s">
        <v>200</v>
      </c>
      <c r="BB2079" s="62">
        <v>0</v>
      </c>
      <c r="BC2079" s="68">
        <v>0</v>
      </c>
      <c r="BD2079" s="68">
        <v>0</v>
      </c>
      <c r="BE2079" s="92" t="s">
        <v>4667</v>
      </c>
      <c r="BF2079" s="92" t="s">
        <v>4668</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4669</v>
      </c>
      <c r="E2080" s="18" t="s">
        <v>4670</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4671</v>
      </c>
      <c r="BF2080" s="46" t="s">
        <v>4672</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4673</v>
      </c>
      <c r="E2081" s="18" t="s">
        <v>4674</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4671</v>
      </c>
      <c r="BF2081" s="46" t="s">
        <v>4672</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4675</v>
      </c>
      <c r="E2082" s="18" t="s">
        <v>4676</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4671</v>
      </c>
      <c r="BF2082" s="46" t="s">
        <v>4672</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4677</v>
      </c>
      <c r="E2083" s="18" t="s">
        <v>4678</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4671</v>
      </c>
      <c r="BF2083" s="46" t="s">
        <v>4672</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4679</v>
      </c>
      <c r="E2084" s="18" t="s">
        <v>4680</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4671</v>
      </c>
      <c r="BF2084" s="46" t="s">
        <v>4672</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4681</v>
      </c>
      <c r="E2085" s="18" t="s">
        <v>4682</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4683</v>
      </c>
      <c r="BF2085" s="46" t="s">
        <v>4684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4685</v>
      </c>
      <c r="E2086" s="18" t="s">
        <v>4686</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4687</v>
      </c>
      <c r="BF2086" s="46" t="s">
        <v>4688</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4689</v>
      </c>
      <c r="E2087" s="18" t="s">
        <v>4690</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4691</v>
      </c>
      <c r="BF2087" s="46" t="s">
        <v>4692</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4693</v>
      </c>
      <c r="E2088" s="18" t="s">
        <v>4694</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4695</v>
      </c>
      <c r="BF2088" s="46" t="s">
        <v>4696</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4697</v>
      </c>
      <c r="E2089" s="18" t="s">
        <v>4698</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4699</v>
      </c>
      <c r="BF2089" s="46" t="s">
        <v>4700</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4701</v>
      </c>
      <c r="E2090" s="61" t="s">
        <v>4702</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4703</v>
      </c>
      <c r="BF2090" s="46" t="s">
        <v>4704</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4705</v>
      </c>
      <c r="E2091" s="18" t="s">
        <v>4706</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4707</v>
      </c>
      <c r="BF2091" s="46" t="s">
        <v>4708</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4709</v>
      </c>
      <c r="E2092" s="18" t="s">
        <v>4710</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4711</v>
      </c>
      <c r="BF2092" s="46" t="s">
        <v>4712</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4713</v>
      </c>
      <c r="E2093" s="18" t="s">
        <v>4714</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4715</v>
      </c>
      <c r="BC2093" s="28">
        <v>0</v>
      </c>
      <c r="BD2093" s="28">
        <v>0</v>
      </c>
      <c r="BE2093" s="46" t="s">
        <v>4716</v>
      </c>
      <c r="BF2093" s="46" t="s">
        <v>4717</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4701</v>
      </c>
      <c r="E2094" s="61" t="s">
        <v>4702</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1" t="s">
        <v>4718</v>
      </c>
      <c r="AU2094" s="81">
        <v>0</v>
      </c>
      <c r="AV2094" s="81"/>
      <c r="AW2094" s="61" t="s">
        <v>198</v>
      </c>
      <c r="AX2094" s="62">
        <v>0</v>
      </c>
      <c r="AY2094" s="66">
        <v>0</v>
      </c>
      <c r="AZ2094" s="66">
        <v>0</v>
      </c>
      <c r="BA2094" s="61" t="s">
        <v>200</v>
      </c>
      <c r="BB2094" s="62">
        <v>0</v>
      </c>
      <c r="BC2094" s="68">
        <v>0</v>
      </c>
      <c r="BD2094" s="68">
        <v>0</v>
      </c>
      <c r="BE2094" s="92" t="s">
        <v>4719</v>
      </c>
      <c r="BF2094" s="92" t="s">
        <v>4720</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4721</v>
      </c>
      <c r="E2095" s="61" t="s">
        <v>4722</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4723</v>
      </c>
      <c r="BF2095" s="92" t="s">
        <v>4724</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4725</v>
      </c>
      <c r="E2096" s="61" t="s">
        <v>4726</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3" t="s">
        <v>4727</v>
      </c>
      <c r="AV2096" s="81"/>
      <c r="AW2096" s="61" t="s">
        <v>287</v>
      </c>
      <c r="AX2096" s="62">
        <v>0</v>
      </c>
      <c r="AY2096" s="66">
        <v>0</v>
      </c>
      <c r="AZ2096" s="66">
        <v>23000202</v>
      </c>
      <c r="BA2096" s="61" t="s">
        <v>200</v>
      </c>
      <c r="BB2096" s="62">
        <v>0</v>
      </c>
      <c r="BC2096" s="68">
        <v>0</v>
      </c>
      <c r="BD2096" s="68">
        <v>0</v>
      </c>
      <c r="BE2096" s="92" t="s">
        <v>4728</v>
      </c>
      <c r="BF2096" s="92" t="s">
        <v>4729</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4730</v>
      </c>
      <c r="E2097" s="61" t="s">
        <v>4731</v>
      </c>
      <c r="F2097" s="66">
        <v>1</v>
      </c>
      <c r="G2097" s="66">
        <v>80004008</v>
      </c>
      <c r="H2097" s="66">
        <v>0</v>
      </c>
      <c r="I2097" s="68">
        <v>0</v>
      </c>
      <c r="J2097" s="66">
        <v>1</v>
      </c>
      <c r="K2097" s="66">
        <v>0</v>
      </c>
      <c r="L2097" s="66">
        <v>0</v>
      </c>
      <c r="M2097" s="62">
        <v>0</v>
      </c>
      <c r="N2097" s="62">
        <v>0</v>
      </c>
      <c r="O2097" s="62">
        <v>2</v>
      </c>
      <c r="P2097" s="62" t="s">
        <v>4732</v>
      </c>
      <c r="Q2097" s="62" t="s">
        <v>4733</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2" t="s">
        <v>4734</v>
      </c>
      <c r="AU2097" s="343" t="s">
        <v>4735</v>
      </c>
      <c r="AV2097" s="81"/>
      <c r="AW2097" s="61" t="s">
        <v>287</v>
      </c>
      <c r="AX2097" s="62">
        <v>0</v>
      </c>
      <c r="AY2097" s="66">
        <v>0</v>
      </c>
      <c r="AZ2097" s="66">
        <v>23000211</v>
      </c>
      <c r="BA2097" s="61" t="s">
        <v>200</v>
      </c>
      <c r="BB2097" s="62">
        <v>0</v>
      </c>
      <c r="BC2097" s="68">
        <v>0</v>
      </c>
      <c r="BD2097" s="68">
        <v>0</v>
      </c>
      <c r="BE2097" s="92" t="s">
        <v>4736</v>
      </c>
      <c r="BF2097" s="92" t="s">
        <v>4737</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4738</v>
      </c>
      <c r="E2098" s="61" t="s">
        <v>4739</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3"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4740</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1" t="s">
        <v>4741</v>
      </c>
      <c r="AU2099" s="343" t="s">
        <v>4742</v>
      </c>
      <c r="AV2099" s="81"/>
      <c r="AW2099" s="61" t="s">
        <v>199</v>
      </c>
      <c r="AX2099" s="62" t="s">
        <v>215</v>
      </c>
      <c r="AY2099" s="66">
        <v>10000011</v>
      </c>
      <c r="AZ2099" s="66">
        <v>23000221</v>
      </c>
      <c r="BA2099" s="61" t="s">
        <v>216</v>
      </c>
      <c r="BB2099" s="62">
        <v>0</v>
      </c>
      <c r="BC2099" s="68">
        <v>0</v>
      </c>
      <c r="BD2099" s="68">
        <v>0</v>
      </c>
      <c r="BE2099" s="92" t="s">
        <v>4743</v>
      </c>
      <c r="BF2099" s="92" t="s">
        <v>4744</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4740</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1" t="s">
        <v>4745</v>
      </c>
      <c r="AU2100" s="343" t="s">
        <v>4742</v>
      </c>
      <c r="AV2100" s="81"/>
      <c r="AW2100" s="61" t="s">
        <v>199</v>
      </c>
      <c r="AX2100" s="62" t="s">
        <v>215</v>
      </c>
      <c r="AY2100" s="66">
        <v>10000011</v>
      </c>
      <c r="AZ2100" s="66">
        <v>23000221</v>
      </c>
      <c r="BA2100" s="61" t="s">
        <v>216</v>
      </c>
      <c r="BB2100" s="62">
        <v>0</v>
      </c>
      <c r="BC2100" s="68">
        <v>0</v>
      </c>
      <c r="BD2100" s="68">
        <v>0</v>
      </c>
      <c r="BE2100" s="92" t="s">
        <v>4746</v>
      </c>
      <c r="BF2100" s="92" t="s">
        <v>4747</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4748</v>
      </c>
      <c r="BF2101" s="92" t="s">
        <v>4749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4709</v>
      </c>
      <c r="E2102" s="61" t="s">
        <v>4710</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4750</v>
      </c>
      <c r="BF2102" s="92" t="s">
        <v>4751</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8" t="s">
        <v>4752</v>
      </c>
      <c r="AV2103" s="19"/>
      <c r="AW2103" s="20" t="s">
        <v>199</v>
      </c>
      <c r="AX2103" s="19" t="s">
        <v>534</v>
      </c>
      <c r="AY2103" s="19">
        <v>10000007</v>
      </c>
      <c r="AZ2103" s="19">
        <v>70403003</v>
      </c>
      <c r="BA2103" s="18" t="s">
        <v>1528</v>
      </c>
      <c r="BB2103" s="20">
        <v>0</v>
      </c>
      <c r="BC2103" s="28">
        <v>0</v>
      </c>
      <c r="BD2103" s="28">
        <v>0</v>
      </c>
      <c r="BE2103" s="186" t="s">
        <v>4753</v>
      </c>
      <c r="BF2103" s="186" t="s">
        <v>4754</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4345</v>
      </c>
      <c r="E2104" s="20" t="s">
        <v>4346</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4755</v>
      </c>
      <c r="BF2104" s="186" t="s">
        <v>4756</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4757</v>
      </c>
      <c r="E2105" s="20" t="s">
        <v>4758</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4759</v>
      </c>
      <c r="BF2105" s="186" t="s">
        <v>4760</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4761</v>
      </c>
      <c r="E2106" s="20" t="s">
        <v>4762</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4763</v>
      </c>
      <c r="BF2106" s="186" t="s">
        <v>4764</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4765</v>
      </c>
      <c r="E2107" s="65" t="s">
        <v>4766</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4767</v>
      </c>
      <c r="BC2107" s="68">
        <v>0</v>
      </c>
      <c r="BD2107" s="68">
        <v>0</v>
      </c>
      <c r="BE2107" s="94" t="s">
        <v>4768</v>
      </c>
      <c r="BF2107" s="94" t="s">
        <v>4769</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4770</v>
      </c>
      <c r="E2108" s="65" t="s">
        <v>4771</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4772</v>
      </c>
      <c r="BF2108" s="209" t="s">
        <v>4773</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4774</v>
      </c>
      <c r="E2109" s="18" t="s">
        <v>4775</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8" t="s">
        <v>4752</v>
      </c>
      <c r="AV2109" s="19"/>
      <c r="AW2109" s="20" t="s">
        <v>199</v>
      </c>
      <c r="AX2109" s="17" t="s">
        <v>534</v>
      </c>
      <c r="AY2109" s="19">
        <v>10000007</v>
      </c>
      <c r="AZ2109" s="19">
        <v>21101050</v>
      </c>
      <c r="BA2109" s="18" t="s">
        <v>4776</v>
      </c>
      <c r="BB2109" s="17">
        <v>0</v>
      </c>
      <c r="BC2109" s="28">
        <v>0</v>
      </c>
      <c r="BD2109" s="28">
        <v>0</v>
      </c>
      <c r="BE2109" s="186" t="s">
        <v>4777</v>
      </c>
      <c r="BF2109" s="186" t="s">
        <v>4778</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4779</v>
      </c>
      <c r="E2110" s="18" t="s">
        <v>4780</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4781</v>
      </c>
      <c r="BF2110" s="172" t="s">
        <v>4782</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4783</v>
      </c>
      <c r="E2111" s="18" t="s">
        <v>4784</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4785</v>
      </c>
      <c r="BF2111" s="44" t="s">
        <v>4786</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4787</v>
      </c>
      <c r="E2112" s="18" t="s">
        <v>4788</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4789</v>
      </c>
      <c r="BF2112" s="44" t="s">
        <v>4790</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4791</v>
      </c>
      <c r="BF2113" s="186" t="s">
        <v>4792</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4793</v>
      </c>
      <c r="BF2114" s="186" t="s">
        <v>4794</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4795</v>
      </c>
      <c r="E2115" s="18" t="s">
        <v>4796</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4776</v>
      </c>
      <c r="BB2115" s="17">
        <v>0</v>
      </c>
      <c r="BC2115" s="28">
        <v>0</v>
      </c>
      <c r="BD2115" s="28">
        <v>0</v>
      </c>
      <c r="BE2115" s="186" t="s">
        <v>4797</v>
      </c>
      <c r="BF2115" s="186" t="s">
        <v>4798</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4799</v>
      </c>
      <c r="E2116" s="189" t="s">
        <v>4800</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4801</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4802</v>
      </c>
      <c r="E2117" s="20" t="s">
        <v>4803</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4804</v>
      </c>
      <c r="BF2117" s="186" t="s">
        <v>4805</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4806</v>
      </c>
      <c r="E2118" s="18" t="s">
        <v>4807</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4808</v>
      </c>
      <c r="BB2118" s="17">
        <v>0</v>
      </c>
      <c r="BC2118" s="28">
        <v>0</v>
      </c>
      <c r="BD2118" s="28">
        <v>1</v>
      </c>
      <c r="BE2118" s="46" t="s">
        <v>4809</v>
      </c>
      <c r="BF2118" s="46" t="s">
        <v>4810</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4811</v>
      </c>
      <c r="E2119" s="18" t="s">
        <v>4812</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4813</v>
      </c>
      <c r="AV2119" s="17"/>
      <c r="AW2119" s="18" t="s">
        <v>287</v>
      </c>
      <c r="AX2119" s="17">
        <v>0</v>
      </c>
      <c r="AY2119" s="19">
        <v>0</v>
      </c>
      <c r="AZ2119" s="19">
        <v>0</v>
      </c>
      <c r="BA2119" s="18" t="s">
        <v>200</v>
      </c>
      <c r="BB2119" s="17">
        <v>0</v>
      </c>
      <c r="BC2119" s="28">
        <v>0</v>
      </c>
      <c r="BD2119" s="28">
        <v>1</v>
      </c>
      <c r="BE2119" s="46" t="s">
        <v>4814</v>
      </c>
      <c r="BF2119" s="46" t="s">
        <v>4815</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4816</v>
      </c>
      <c r="E2120" s="61" t="s">
        <v>4817</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4818</v>
      </c>
      <c r="BF2120" s="92" t="s">
        <v>4819</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4820</v>
      </c>
      <c r="E2121" s="18" t="s">
        <v>4821</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4808</v>
      </c>
      <c r="BB2121" s="17">
        <v>0</v>
      </c>
      <c r="BC2121" s="28">
        <v>0</v>
      </c>
      <c r="BD2121" s="28">
        <v>1</v>
      </c>
      <c r="BE2121" s="46" t="s">
        <v>4822</v>
      </c>
      <c r="BF2121" s="46" t="s">
        <v>4823</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4824</v>
      </c>
      <c r="E2122" s="18" t="s">
        <v>4825</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4826</v>
      </c>
      <c r="AV2122" s="17"/>
      <c r="AW2122" s="18" t="s">
        <v>287</v>
      </c>
      <c r="AX2122" s="17">
        <v>0</v>
      </c>
      <c r="AY2122" s="19">
        <v>0</v>
      </c>
      <c r="AZ2122" s="19">
        <v>0</v>
      </c>
      <c r="BA2122" s="18" t="s">
        <v>200</v>
      </c>
      <c r="BB2122" s="17">
        <v>0</v>
      </c>
      <c r="BC2122" s="28">
        <v>0</v>
      </c>
      <c r="BD2122" s="28">
        <v>1</v>
      </c>
      <c r="BE2122" s="46" t="s">
        <v>4827</v>
      </c>
      <c r="BF2122" s="46" t="s">
        <v>4828</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4829</v>
      </c>
      <c r="E2123" s="61" t="s">
        <v>4830</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4831</v>
      </c>
      <c r="BF2123" s="92" t="s">
        <v>4832</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4833</v>
      </c>
      <c r="E2124" s="61" t="s">
        <v>4834</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4835</v>
      </c>
      <c r="AV2124" s="62"/>
      <c r="AW2124" s="61" t="s">
        <v>287</v>
      </c>
      <c r="AX2124" s="17">
        <v>0</v>
      </c>
      <c r="AY2124" s="66">
        <v>10000007</v>
      </c>
      <c r="AZ2124" s="19">
        <v>23000030</v>
      </c>
      <c r="BA2124" s="61" t="s">
        <v>200</v>
      </c>
      <c r="BB2124" s="62">
        <v>0</v>
      </c>
      <c r="BC2124" s="68">
        <v>0</v>
      </c>
      <c r="BD2124" s="28">
        <v>1</v>
      </c>
      <c r="BE2124" s="92" t="s">
        <v>4836</v>
      </c>
      <c r="BF2124" s="92" t="s">
        <v>4837</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4838</v>
      </c>
      <c r="E2125" s="61" t="s">
        <v>4839</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4840</v>
      </c>
      <c r="BF2125" s="92" t="s">
        <v>4841</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4842</v>
      </c>
      <c r="E2126" s="18" t="s">
        <v>4843</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4844</v>
      </c>
      <c r="AV2126" s="17"/>
      <c r="AW2126" s="18" t="s">
        <v>287</v>
      </c>
      <c r="AX2126" s="17">
        <v>0</v>
      </c>
      <c r="AY2126" s="19">
        <v>0</v>
      </c>
      <c r="AZ2126" s="19">
        <v>0</v>
      </c>
      <c r="BA2126" s="18" t="s">
        <v>200</v>
      </c>
      <c r="BB2126" s="17">
        <v>0</v>
      </c>
      <c r="BC2126" s="28">
        <v>0</v>
      </c>
      <c r="BD2126" s="28">
        <v>1</v>
      </c>
      <c r="BE2126" s="46" t="s">
        <v>4845</v>
      </c>
      <c r="BF2126" s="46" t="s">
        <v>4846</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4847</v>
      </c>
      <c r="E2127" s="18" t="s">
        <v>4848</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4849</v>
      </c>
      <c r="AV2127" s="17"/>
      <c r="AW2127" s="18" t="s">
        <v>287</v>
      </c>
      <c r="AX2127" s="17">
        <v>0</v>
      </c>
      <c r="AY2127" s="19">
        <v>0</v>
      </c>
      <c r="AZ2127" s="19">
        <v>0</v>
      </c>
      <c r="BA2127" s="18" t="s">
        <v>200</v>
      </c>
      <c r="BB2127" s="17">
        <v>0</v>
      </c>
      <c r="BC2127" s="28">
        <v>0</v>
      </c>
      <c r="BD2127" s="28">
        <v>1</v>
      </c>
      <c r="BE2127" s="46" t="s">
        <v>4850</v>
      </c>
      <c r="BF2127" s="46" t="s">
        <v>4851</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4852</v>
      </c>
      <c r="E2128" s="18" t="s">
        <v>4853</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4854</v>
      </c>
      <c r="AV2128" s="17"/>
      <c r="AW2128" s="18" t="s">
        <v>287</v>
      </c>
      <c r="AX2128" s="17">
        <v>0</v>
      </c>
      <c r="AY2128" s="19">
        <v>0</v>
      </c>
      <c r="AZ2128" s="19">
        <v>0</v>
      </c>
      <c r="BA2128" s="18" t="s">
        <v>200</v>
      </c>
      <c r="BB2128" s="17">
        <v>0</v>
      </c>
      <c r="BC2128" s="28">
        <v>0</v>
      </c>
      <c r="BD2128" s="28">
        <v>1</v>
      </c>
      <c r="BE2128" s="46" t="s">
        <v>4855</v>
      </c>
      <c r="BF2128" s="46" t="s">
        <v>4856</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4857</v>
      </c>
      <c r="E2129" s="18" t="s">
        <v>4858</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4859</v>
      </c>
      <c r="BF2129" s="46" t="s">
        <v>4860</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4861</v>
      </c>
      <c r="E2130" s="18" t="s">
        <v>4862</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4863</v>
      </c>
      <c r="BF2130" s="46" t="s">
        <v>4864</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4865</v>
      </c>
      <c r="E2131" s="61" t="s">
        <v>4866</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4867</v>
      </c>
      <c r="AV2131" s="62"/>
      <c r="AW2131" s="61" t="s">
        <v>287</v>
      </c>
      <c r="AX2131" s="17">
        <v>0</v>
      </c>
      <c r="AY2131" s="66">
        <v>10000007</v>
      </c>
      <c r="AZ2131" s="19">
        <v>23000050</v>
      </c>
      <c r="BA2131" s="61" t="s">
        <v>200</v>
      </c>
      <c r="BB2131" s="62">
        <v>0</v>
      </c>
      <c r="BC2131" s="68">
        <v>0</v>
      </c>
      <c r="BD2131" s="28">
        <v>1</v>
      </c>
      <c r="BE2131" s="92" t="s">
        <v>4868</v>
      </c>
      <c r="BF2131" s="92" t="s">
        <v>4869</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4870</v>
      </c>
      <c r="E2132" s="61" t="s">
        <v>4871</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4872</v>
      </c>
      <c r="AV2132" s="62"/>
      <c r="AW2132" s="61" t="s">
        <v>287</v>
      </c>
      <c r="AX2132" s="17">
        <v>0</v>
      </c>
      <c r="AY2132" s="66">
        <v>10000007</v>
      </c>
      <c r="AZ2132" s="19">
        <v>23000060</v>
      </c>
      <c r="BA2132" s="61" t="s">
        <v>200</v>
      </c>
      <c r="BB2132" s="62">
        <v>0</v>
      </c>
      <c r="BC2132" s="68">
        <v>0</v>
      </c>
      <c r="BD2132" s="68">
        <v>0</v>
      </c>
      <c r="BE2132" s="92" t="s">
        <v>4873</v>
      </c>
      <c r="BF2132" s="92" t="s">
        <v>4874</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4875</v>
      </c>
      <c r="BC2133" s="68">
        <v>0</v>
      </c>
      <c r="BD2133" s="68">
        <v>0</v>
      </c>
      <c r="BE2133" s="92" t="s">
        <v>4873</v>
      </c>
      <c r="BF2133" s="92" t="s">
        <v>4874</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4876</v>
      </c>
      <c r="E2134" s="20" t="s">
        <v>4877</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4878</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2771</v>
      </c>
      <c r="BB2134" s="20">
        <v>0</v>
      </c>
      <c r="BC2134" s="28">
        <v>0</v>
      </c>
      <c r="BD2134" s="28">
        <v>0</v>
      </c>
      <c r="BE2134" s="186" t="s">
        <v>4879</v>
      </c>
      <c r="BF2134" s="186" t="s">
        <v>4880</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4881</v>
      </c>
      <c r="E2135" s="18" t="s">
        <v>4882</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4883</v>
      </c>
      <c r="BF2135" s="186" t="s">
        <v>4884</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4885</v>
      </c>
      <c r="E2136" s="18" t="s">
        <v>4886</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4887</v>
      </c>
      <c r="BF2136" s="186" t="s">
        <v>4888</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4889</v>
      </c>
      <c r="E2137" s="18" t="s">
        <v>4890</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4891</v>
      </c>
      <c r="BF2137" s="186" t="s">
        <v>4892</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4893</v>
      </c>
      <c r="E2138" s="18" t="s">
        <v>4894</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4895</v>
      </c>
      <c r="BF2138" s="186" t="s">
        <v>4896</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4897</v>
      </c>
      <c r="E2139" s="20" t="s">
        <v>4898</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4899</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2771</v>
      </c>
      <c r="BB2139" s="20">
        <v>0</v>
      </c>
      <c r="BC2139" s="28">
        <v>0</v>
      </c>
      <c r="BD2139" s="28">
        <v>0</v>
      </c>
      <c r="BE2139" s="186" t="s">
        <v>4879</v>
      </c>
      <c r="BF2139" s="186" t="s">
        <v>4880</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4900</v>
      </c>
      <c r="E2140" s="20" t="s">
        <v>4901</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2771</v>
      </c>
      <c r="BB2140" s="20">
        <v>0</v>
      </c>
      <c r="BC2140" s="28">
        <v>0</v>
      </c>
      <c r="BD2140" s="28">
        <v>0</v>
      </c>
      <c r="BE2140" s="186" t="s">
        <v>4879</v>
      </c>
      <c r="BF2140" s="186" t="s">
        <v>4880</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4168</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4902</v>
      </c>
      <c r="E2144" s="16" t="s">
        <v>4903</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4904</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4905</v>
      </c>
      <c r="E2146" s="16" t="s">
        <v>4906</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4907</v>
      </c>
      <c r="E2147" s="16" t="s">
        <v>4908</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4909</v>
      </c>
      <c r="E2149" s="20" t="s">
        <v>4910</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4911</v>
      </c>
      <c r="BF2149" s="89" t="s">
        <v>4912</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4913</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4914</v>
      </c>
      <c r="E2155" s="279" t="s">
        <v>4915</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7">"对目标区域持续造成伤害,在此范围内的敌方目标每秒造成2次"&amp;X2155*100&amp;"%攻击伤害+"&amp;Z2155&amp;"点固定伤害,目标移动速度降低75%,持续6秒,当在施法过程中进行移动会中断此技能施放"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4916</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4917</v>
      </c>
      <c r="E2156" s="279" t="s">
        <v>4918</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8">"立即对指定前方区域释放冲击波,冲击波对触碰的怪物造成"&amp;X2156*100&amp;"%攻击伤害+"&amp;Z2156&amp;"点固定伤害"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4919</v>
      </c>
      <c r="E2157" s="279" t="s">
        <v>4920</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9">"立即对指定前方区域释放冲击波,冲击波对触碰的怪物造成"&amp;X2157*100&amp;"%攻击伤害+"&amp;Z2157&amp;"点固定伤害"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4921</v>
      </c>
      <c r="E2158" s="20" t="s">
        <v>4922</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4923</v>
      </c>
      <c r="BF2158" s="89" t="s">
        <v>4924</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4925</v>
      </c>
      <c r="E2159" s="20" t="s">
        <v>4926</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8" t="s">
        <v>4927</v>
      </c>
      <c r="BC2159" s="28">
        <v>0</v>
      </c>
      <c r="BD2159" s="28">
        <v>0</v>
      </c>
      <c r="BE2159" s="89" t="s">
        <v>4928</v>
      </c>
      <c r="BF2159" s="89" t="s">
        <v>4929</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4930</v>
      </c>
      <c r="E2160" s="18" t="s">
        <v>4931</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4776</v>
      </c>
      <c r="BB2160" s="17">
        <v>0</v>
      </c>
      <c r="BC2160" s="28">
        <v>0</v>
      </c>
      <c r="BD2160" s="28">
        <v>0</v>
      </c>
      <c r="BE2160" s="186" t="s">
        <v>4883</v>
      </c>
      <c r="BF2160" s="186" t="s">
        <v>4884</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4932</v>
      </c>
      <c r="E2161" s="18" t="s">
        <v>4933</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4883</v>
      </c>
      <c r="BF2161" s="186" t="s">
        <v>4884</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4934</v>
      </c>
      <c r="E2162" s="65" t="s">
        <v>4935</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4936</v>
      </c>
      <c r="E2163" s="18" t="s">
        <v>4937</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4938</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4939</v>
      </c>
      <c r="E2164" s="20" t="s">
        <v>4940</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8" t="s">
        <v>2019</v>
      </c>
      <c r="BC2164" s="28">
        <v>0</v>
      </c>
      <c r="BD2164" s="28">
        <v>0</v>
      </c>
      <c r="BE2164" s="89" t="s">
        <v>4928</v>
      </c>
      <c r="BF2164" s="89" t="s">
        <v>4929</v>
      </c>
      <c r="BG2164" s="19">
        <v>0</v>
      </c>
      <c r="BH2164" s="379" t="s">
        <v>4941</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4942</v>
      </c>
      <c r="E2165" s="101" t="s">
        <v>4943</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4944</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9" t="s">
        <v>4945</v>
      </c>
      <c r="AV2166" s="103"/>
      <c r="AW2166" s="101" t="s">
        <v>762</v>
      </c>
      <c r="AX2166" s="103" t="s">
        <v>534</v>
      </c>
      <c r="AY2166" s="102">
        <v>10000001</v>
      </c>
      <c r="AZ2166" s="102">
        <v>62001701</v>
      </c>
      <c r="BA2166" s="101" t="s">
        <v>1165</v>
      </c>
      <c r="BB2166" s="103">
        <v>0</v>
      </c>
      <c r="BC2166" s="107">
        <v>0</v>
      </c>
      <c r="BD2166" s="107">
        <v>0</v>
      </c>
      <c r="BE2166" s="139" t="str">
        <f t="shared" ref="BE2166" si="150">"每秒对周围的怪物造成"&amp;X2166*100&amp;"%攻击伤害+"&amp;Z2166&amp;"点固定伤害.持续4秒并使自身免疫怪物攻击"</f>
        <v>每秒对周围的怪物造成150%攻击伤害+300点固定伤害.持续4秒并使自身免疫怪物攻击</v>
      </c>
      <c r="BF2166" s="139" t="s">
        <v>4946</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4947</v>
      </c>
      <c r="E2167" s="289" t="s">
        <v>4948</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4949</v>
      </c>
      <c r="BB2167" s="289" t="s">
        <v>4950</v>
      </c>
      <c r="BC2167" s="292">
        <v>0</v>
      </c>
      <c r="BD2167" s="292">
        <v>0</v>
      </c>
      <c r="BE2167" s="299" t="s">
        <v>4951</v>
      </c>
      <c r="BF2167" s="299" t="s">
        <v>4952</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4953</v>
      </c>
      <c r="E2168" s="289" t="s">
        <v>4954</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4955</v>
      </c>
      <c r="BB2168" s="289" t="s">
        <v>198</v>
      </c>
      <c r="BC2168" s="292">
        <v>0</v>
      </c>
      <c r="BD2168" s="292">
        <v>0</v>
      </c>
      <c r="BE2168" s="299" t="s">
        <v>4956</v>
      </c>
      <c r="BF2168" s="299" t="s">
        <v>4957</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4958</v>
      </c>
      <c r="E2169" s="20" t="s">
        <v>4959</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4960</v>
      </c>
      <c r="BB2169" s="17" t="s">
        <v>4961</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4962</v>
      </c>
      <c r="E2170" s="20" t="s">
        <v>4963</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1" t="s">
        <v>4964</v>
      </c>
      <c r="AU2171" s="343" t="s">
        <v>4965</v>
      </c>
      <c r="AV2171" s="81"/>
      <c r="AW2171" s="61" t="s">
        <v>287</v>
      </c>
      <c r="AX2171" s="127">
        <v>0</v>
      </c>
      <c r="AY2171" s="127">
        <v>0</v>
      </c>
      <c r="AZ2171" s="127">
        <v>77001101</v>
      </c>
      <c r="BA2171" s="65" t="s">
        <v>200</v>
      </c>
      <c r="BB2171" s="62">
        <v>0</v>
      </c>
      <c r="BC2171" s="68">
        <v>0</v>
      </c>
      <c r="BD2171" s="68">
        <v>0</v>
      </c>
      <c r="BE2171" s="300" t="s">
        <v>4966</v>
      </c>
      <c r="BF2171" s="300" t="s">
        <v>4967</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3" t="s">
        <v>4965</v>
      </c>
      <c r="AV2172" s="81"/>
      <c r="AW2172" s="65" t="s">
        <v>199</v>
      </c>
      <c r="AX2172" s="62" t="s">
        <v>545</v>
      </c>
      <c r="AY2172" s="66">
        <v>10001007</v>
      </c>
      <c r="AZ2172" s="66">
        <v>77001104</v>
      </c>
      <c r="BA2172" s="61" t="s">
        <v>200</v>
      </c>
      <c r="BB2172" s="62">
        <v>0</v>
      </c>
      <c r="BC2172" s="68">
        <v>0</v>
      </c>
      <c r="BD2172" s="68">
        <v>0</v>
      </c>
      <c r="BE2172" s="92" t="s">
        <v>4968</v>
      </c>
      <c r="BF2172" s="92" t="s">
        <v>4969</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3" t="s">
        <v>4970</v>
      </c>
      <c r="AV2173" s="81"/>
      <c r="AW2173" s="65" t="s">
        <v>199</v>
      </c>
      <c r="AX2173" s="62" t="s">
        <v>545</v>
      </c>
      <c r="AY2173" s="66">
        <v>10001007</v>
      </c>
      <c r="AZ2173" s="66">
        <v>77001103</v>
      </c>
      <c r="BA2173" s="61" t="s">
        <v>200</v>
      </c>
      <c r="BB2173" s="62">
        <v>0</v>
      </c>
      <c r="BC2173" s="68">
        <v>0</v>
      </c>
      <c r="BD2173" s="68">
        <v>0</v>
      </c>
      <c r="BE2173" s="92" t="s">
        <v>4971</v>
      </c>
      <c r="BF2173" s="92" t="s">
        <v>4972</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3" t="s">
        <v>4970</v>
      </c>
      <c r="AV2174" s="81"/>
      <c r="AW2174" s="65" t="s">
        <v>198</v>
      </c>
      <c r="AX2174" s="62" t="s">
        <v>545</v>
      </c>
      <c r="AY2174" s="66">
        <v>10001007</v>
      </c>
      <c r="AZ2174" s="66">
        <v>77001103</v>
      </c>
      <c r="BA2174" s="61" t="s">
        <v>200</v>
      </c>
      <c r="BB2174" s="62">
        <v>0</v>
      </c>
      <c r="BC2174" s="68">
        <v>0</v>
      </c>
      <c r="BD2174" s="68">
        <v>0</v>
      </c>
      <c r="BE2174" s="92" t="s">
        <v>4973</v>
      </c>
      <c r="BF2174" s="92" t="s">
        <v>4974</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3" t="s">
        <v>4970</v>
      </c>
      <c r="AV2175" s="81"/>
      <c r="AW2175" s="65" t="s">
        <v>198</v>
      </c>
      <c r="AX2175" s="62" t="s">
        <v>545</v>
      </c>
      <c r="AY2175" s="66">
        <v>10001007</v>
      </c>
      <c r="AZ2175" s="66">
        <v>77001103</v>
      </c>
      <c r="BA2175" s="61" t="s">
        <v>200</v>
      </c>
      <c r="BB2175" s="62">
        <v>0</v>
      </c>
      <c r="BC2175" s="68">
        <v>0</v>
      </c>
      <c r="BD2175" s="68">
        <v>0</v>
      </c>
      <c r="BE2175" s="92" t="s">
        <v>4973</v>
      </c>
      <c r="BF2175" s="92" t="s">
        <v>4974</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3" t="s">
        <v>4965</v>
      </c>
      <c r="AV2176" s="81"/>
      <c r="AW2176" s="65" t="s">
        <v>198</v>
      </c>
      <c r="AX2176" s="62" t="s">
        <v>545</v>
      </c>
      <c r="AY2176" s="66">
        <v>10001007</v>
      </c>
      <c r="AZ2176" s="66">
        <v>77001105</v>
      </c>
      <c r="BA2176" s="61" t="s">
        <v>200</v>
      </c>
      <c r="BB2176" s="62">
        <v>0</v>
      </c>
      <c r="BC2176" s="68">
        <v>0</v>
      </c>
      <c r="BD2176" s="68">
        <v>0</v>
      </c>
      <c r="BE2176" s="92" t="s">
        <v>4973</v>
      </c>
      <c r="BF2176" s="92" t="s">
        <v>4974</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4975</v>
      </c>
      <c r="E2177" s="303" t="s">
        <v>4976</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4977</v>
      </c>
      <c r="BF2177" s="315" t="s">
        <v>4978</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4979</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0" t="s">
        <v>4980</v>
      </c>
      <c r="AV2178" s="310"/>
      <c r="AW2178" s="312" t="s">
        <v>198</v>
      </c>
      <c r="AX2178" s="304" t="s">
        <v>534</v>
      </c>
      <c r="AY2178" s="302">
        <v>0</v>
      </c>
      <c r="AZ2178" s="302">
        <v>77001202</v>
      </c>
      <c r="BA2178" s="303" t="s">
        <v>200</v>
      </c>
      <c r="BB2178" s="304">
        <v>0</v>
      </c>
      <c r="BC2178" s="308">
        <v>0</v>
      </c>
      <c r="BD2178" s="308">
        <v>0</v>
      </c>
      <c r="BE2178" s="315" t="s">
        <v>4981</v>
      </c>
      <c r="BF2178" s="315" t="s">
        <v>4982</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4983</v>
      </c>
      <c r="E2179" s="303" t="s">
        <v>4984</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4985</v>
      </c>
      <c r="BF2179" s="315" t="s">
        <v>4986</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4987</v>
      </c>
      <c r="E2180" s="303" t="s">
        <v>4988</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81" t="s">
        <v>4989</v>
      </c>
      <c r="BA2180" s="303" t="s">
        <v>200</v>
      </c>
      <c r="BB2180" s="304" t="s">
        <v>4990</v>
      </c>
      <c r="BC2180" s="308">
        <v>0</v>
      </c>
      <c r="BD2180" s="308">
        <v>0</v>
      </c>
      <c r="BE2180" s="315" t="s">
        <v>4991</v>
      </c>
      <c r="BF2180" s="315" t="s">
        <v>4992</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4981</v>
      </c>
      <c r="BF2181" s="315" t="s">
        <v>4982</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4993</v>
      </c>
      <c r="E2182" s="303" t="s">
        <v>3128</v>
      </c>
      <c r="F2182" s="302">
        <v>1</v>
      </c>
      <c r="G2182" s="304">
        <v>0</v>
      </c>
      <c r="H2182" s="302">
        <v>0</v>
      </c>
      <c r="I2182" s="308">
        <v>0</v>
      </c>
      <c r="J2182" s="302">
        <v>1</v>
      </c>
      <c r="K2182" s="302">
        <v>0</v>
      </c>
      <c r="L2182" s="302">
        <v>0</v>
      </c>
      <c r="M2182" s="304">
        <v>0</v>
      </c>
      <c r="N2182" s="304">
        <v>0</v>
      </c>
      <c r="O2182" s="304">
        <v>2</v>
      </c>
      <c r="P2182" s="304" t="s">
        <v>4994</v>
      </c>
      <c r="Q2182" s="304" t="s">
        <v>4995</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0" t="s">
        <v>4996</v>
      </c>
      <c r="AV2182" s="310"/>
      <c r="AW2182" s="303" t="s">
        <v>199</v>
      </c>
      <c r="AX2182" s="304" t="s">
        <v>534</v>
      </c>
      <c r="AY2182" s="302">
        <v>10000007</v>
      </c>
      <c r="AZ2182" s="381" t="s">
        <v>4997</v>
      </c>
      <c r="BA2182" s="303" t="s">
        <v>586</v>
      </c>
      <c r="BB2182" s="304" t="s">
        <v>4998</v>
      </c>
      <c r="BC2182" s="308">
        <v>0</v>
      </c>
      <c r="BD2182" s="308">
        <v>0</v>
      </c>
      <c r="BE2182" s="315" t="s">
        <v>4999</v>
      </c>
      <c r="BF2182" s="315" t="s">
        <v>5000</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4" t="s">
        <v>5001</v>
      </c>
      <c r="AU2183" s="99">
        <v>0</v>
      </c>
      <c r="AV2183" s="114"/>
      <c r="AW2183" s="104" t="s">
        <v>199</v>
      </c>
      <c r="AX2183" s="106">
        <v>0</v>
      </c>
      <c r="AY2183" s="106">
        <v>0</v>
      </c>
      <c r="AZ2183" s="106">
        <v>77001305</v>
      </c>
      <c r="BA2183" s="101" t="s">
        <v>528</v>
      </c>
      <c r="BB2183" s="99" t="s">
        <v>5002</v>
      </c>
      <c r="BC2183" s="117">
        <v>0</v>
      </c>
      <c r="BD2183" s="107">
        <v>0</v>
      </c>
      <c r="BE2183" s="120" t="s">
        <v>5003</v>
      </c>
      <c r="BF2183" s="120" t="s">
        <v>5004</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7" t="s">
        <v>5005</v>
      </c>
      <c r="AU2184" s="348" t="s">
        <v>5006</v>
      </c>
      <c r="AV2184" s="116"/>
      <c r="AW2184" s="101" t="s">
        <v>256</v>
      </c>
      <c r="AX2184" s="103" t="s">
        <v>215</v>
      </c>
      <c r="AY2184" s="102">
        <v>10000011</v>
      </c>
      <c r="AZ2184" s="102">
        <v>77001301</v>
      </c>
      <c r="BA2184" s="101" t="s">
        <v>216</v>
      </c>
      <c r="BB2184" s="103">
        <v>0</v>
      </c>
      <c r="BC2184" s="107">
        <v>0</v>
      </c>
      <c r="BD2184" s="107">
        <v>0</v>
      </c>
      <c r="BE2184" s="121" t="s">
        <v>5007</v>
      </c>
      <c r="BF2184" s="121" t="s">
        <v>5008</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8" t="s">
        <v>5006</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8" t="s">
        <v>5009</v>
      </c>
      <c r="AV2186" s="116"/>
      <c r="AW2186" s="104" t="s">
        <v>287</v>
      </c>
      <c r="AX2186" s="106">
        <v>0</v>
      </c>
      <c r="AY2186" s="106">
        <v>0</v>
      </c>
      <c r="AZ2186" s="102">
        <v>77001303</v>
      </c>
      <c r="BA2186" s="104" t="s">
        <v>586</v>
      </c>
      <c r="BB2186" s="103" t="s">
        <v>816</v>
      </c>
      <c r="BC2186" s="107">
        <v>0</v>
      </c>
      <c r="BD2186" s="107">
        <v>0</v>
      </c>
      <c r="BE2186" s="121" t="s">
        <v>5010</v>
      </c>
      <c r="BF2186" s="124" t="s">
        <v>5011</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4" t="s">
        <v>5005</v>
      </c>
      <c r="AU2187" s="348" t="s">
        <v>5006</v>
      </c>
      <c r="AV2187" s="116"/>
      <c r="AW2187" s="101" t="s">
        <v>256</v>
      </c>
      <c r="AX2187" s="103" t="s">
        <v>215</v>
      </c>
      <c r="AY2187" s="102">
        <v>10000011</v>
      </c>
      <c r="AZ2187" s="102">
        <v>77001301</v>
      </c>
      <c r="BA2187" s="101" t="s">
        <v>216</v>
      </c>
      <c r="BB2187" s="103">
        <v>0</v>
      </c>
      <c r="BC2187" s="107">
        <v>0</v>
      </c>
      <c r="BD2187" s="107">
        <v>0</v>
      </c>
      <c r="BE2187" s="121" t="s">
        <v>5012</v>
      </c>
      <c r="BF2187" s="121" t="s">
        <v>5013</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4" t="s">
        <v>5005</v>
      </c>
      <c r="AU2188" s="348" t="s">
        <v>5006</v>
      </c>
      <c r="AV2188" s="116"/>
      <c r="AW2188" s="101" t="s">
        <v>256</v>
      </c>
      <c r="AX2188" s="103" t="s">
        <v>215</v>
      </c>
      <c r="AY2188" s="102">
        <v>10000011</v>
      </c>
      <c r="AZ2188" s="102">
        <v>77001301</v>
      </c>
      <c r="BA2188" s="101" t="s">
        <v>216</v>
      </c>
      <c r="BB2188" s="103">
        <v>0</v>
      </c>
      <c r="BC2188" s="107">
        <v>0</v>
      </c>
      <c r="BD2188" s="107">
        <v>0</v>
      </c>
      <c r="BE2188" s="121" t="s">
        <v>5012</v>
      </c>
      <c r="BF2188" s="121" t="s">
        <v>5013</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5014</v>
      </c>
      <c r="E2189" s="305" t="s">
        <v>5015</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8" t="s">
        <v>5006</v>
      </c>
      <c r="AV2189" s="116"/>
      <c r="AW2189" s="104" t="s">
        <v>198</v>
      </c>
      <c r="AX2189" s="103" t="s">
        <v>545</v>
      </c>
      <c r="AY2189" s="102">
        <v>10001007</v>
      </c>
      <c r="AZ2189" s="102">
        <v>77001304</v>
      </c>
      <c r="BA2189" s="101" t="s">
        <v>200</v>
      </c>
      <c r="BB2189" s="103">
        <v>0</v>
      </c>
      <c r="BC2189" s="107">
        <v>0</v>
      </c>
      <c r="BD2189" s="107">
        <v>0</v>
      </c>
      <c r="BE2189" s="121" t="s">
        <v>5016</v>
      </c>
      <c r="BF2189" s="121" t="s">
        <v>5017</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5018</v>
      </c>
      <c r="E2190" s="61" t="s">
        <v>5019</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3" t="s">
        <v>5020</v>
      </c>
      <c r="AV2190" s="81"/>
      <c r="AW2190" s="61" t="s">
        <v>287</v>
      </c>
      <c r="AX2190" s="62" t="s">
        <v>534</v>
      </c>
      <c r="AY2190" s="66">
        <v>10000007</v>
      </c>
      <c r="AZ2190" s="66">
        <v>77001401</v>
      </c>
      <c r="BA2190" s="61" t="s">
        <v>586</v>
      </c>
      <c r="BB2190" s="62" t="s">
        <v>5021</v>
      </c>
      <c r="BC2190" s="68">
        <v>0</v>
      </c>
      <c r="BD2190" s="68">
        <v>1</v>
      </c>
      <c r="BE2190" s="92" t="s">
        <v>5022</v>
      </c>
      <c r="BF2190" s="92" t="s">
        <v>5023</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5024</v>
      </c>
      <c r="E2191" s="61" t="s">
        <v>5025</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1" t="s">
        <v>5026</v>
      </c>
      <c r="AU2191" s="343" t="s">
        <v>5027</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5024</v>
      </c>
      <c r="E2192" s="61" t="s">
        <v>5025</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3" t="s">
        <v>5027</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5028</v>
      </c>
      <c r="E2193" s="61" t="s">
        <v>5029</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3" t="s">
        <v>5030</v>
      </c>
      <c r="AV2193" s="81"/>
      <c r="AW2193" s="61" t="s">
        <v>256</v>
      </c>
      <c r="AX2193" s="62" t="s">
        <v>534</v>
      </c>
      <c r="AY2193" s="66">
        <v>10000007</v>
      </c>
      <c r="AZ2193" s="66">
        <v>77001402</v>
      </c>
      <c r="BA2193" s="61" t="s">
        <v>586</v>
      </c>
      <c r="BB2193" s="62" t="s">
        <v>5031</v>
      </c>
      <c r="BC2193" s="68">
        <v>0</v>
      </c>
      <c r="BD2193" s="68">
        <v>1</v>
      </c>
      <c r="BE2193" s="92" t="s">
        <v>5032</v>
      </c>
      <c r="BF2193" s="92" t="s">
        <v>5033</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3" t="s">
        <v>5027</v>
      </c>
      <c r="AV2194" s="81"/>
      <c r="AW2194" s="65" t="s">
        <v>199</v>
      </c>
      <c r="AX2194" s="62" t="s">
        <v>534</v>
      </c>
      <c r="AY2194" s="66">
        <v>0</v>
      </c>
      <c r="AZ2194" s="66">
        <v>77001404</v>
      </c>
      <c r="BA2194" s="61" t="s">
        <v>200</v>
      </c>
      <c r="BB2194" s="62" t="s">
        <v>5034</v>
      </c>
      <c r="BC2194" s="68">
        <v>0</v>
      </c>
      <c r="BD2194" s="68">
        <v>0</v>
      </c>
      <c r="BE2194" s="92" t="s">
        <v>5035</v>
      </c>
      <c r="BF2194" s="92" t="s">
        <v>5036</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5037</v>
      </c>
      <c r="E2196" s="61" t="s">
        <v>5038</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3" t="s">
        <v>5030</v>
      </c>
      <c r="AV2196" s="81"/>
      <c r="AW2196" s="65" t="s">
        <v>287</v>
      </c>
      <c r="AX2196" s="62" t="s">
        <v>534</v>
      </c>
      <c r="AY2196" s="66">
        <v>0</v>
      </c>
      <c r="AZ2196" s="66">
        <v>77001407</v>
      </c>
      <c r="BA2196" s="61" t="s">
        <v>200</v>
      </c>
      <c r="BB2196" s="62">
        <v>0</v>
      </c>
      <c r="BC2196" s="68">
        <v>0</v>
      </c>
      <c r="BD2196" s="68">
        <v>0</v>
      </c>
      <c r="BE2196" s="92" t="s">
        <v>5039</v>
      </c>
      <c r="BF2196" s="92" t="s">
        <v>5040</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5041</v>
      </c>
      <c r="E2197" s="303" t="s">
        <v>5042</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0" t="s">
        <v>5043</v>
      </c>
      <c r="AV2197" s="310"/>
      <c r="AW2197" s="312" t="s">
        <v>287</v>
      </c>
      <c r="AX2197" s="304" t="s">
        <v>534</v>
      </c>
      <c r="AY2197" s="302">
        <v>0</v>
      </c>
      <c r="AZ2197" s="302">
        <v>77001501</v>
      </c>
      <c r="BA2197" s="303" t="s">
        <v>200</v>
      </c>
      <c r="BB2197" s="304">
        <v>0</v>
      </c>
      <c r="BC2197" s="308">
        <v>0</v>
      </c>
      <c r="BD2197" s="308">
        <v>0</v>
      </c>
      <c r="BE2197" s="315" t="s">
        <v>5044</v>
      </c>
      <c r="BF2197" s="315" t="s">
        <v>5045</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5046</v>
      </c>
      <c r="E2198" s="303" t="s">
        <v>5047</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5048</v>
      </c>
      <c r="BF2198" s="316" t="s">
        <v>5049</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5050</v>
      </c>
      <c r="E2199" s="303" t="s">
        <v>5051</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5052</v>
      </c>
      <c r="BF2199" s="315" t="s">
        <v>5053</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5054</v>
      </c>
      <c r="E2200" s="306" t="s">
        <v>5055</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5056</v>
      </c>
      <c r="BF2200" s="315" t="s">
        <v>5057</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5058</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5059</v>
      </c>
      <c r="AI2201" s="309">
        <v>0</v>
      </c>
      <c r="AJ2201" s="309">
        <v>2</v>
      </c>
      <c r="AK2201" s="309">
        <v>0</v>
      </c>
      <c r="AL2201" s="309">
        <v>2</v>
      </c>
      <c r="AM2201" s="304">
        <v>0</v>
      </c>
      <c r="AN2201" s="304">
        <v>0</v>
      </c>
      <c r="AO2201" s="304">
        <v>0</v>
      </c>
      <c r="AP2201" s="304">
        <v>0.5</v>
      </c>
      <c r="AQ2201" s="304">
        <v>1000</v>
      </c>
      <c r="AR2201" s="304">
        <v>0.5</v>
      </c>
      <c r="AS2201" s="304">
        <v>0</v>
      </c>
      <c r="AT2201" s="311">
        <v>0</v>
      </c>
      <c r="AU2201" s="380" t="s">
        <v>5060</v>
      </c>
      <c r="AV2201" s="310"/>
      <c r="AW2201" s="303" t="s">
        <v>199</v>
      </c>
      <c r="AX2201" s="304" t="s">
        <v>534</v>
      </c>
      <c r="AY2201" s="302">
        <v>10000007</v>
      </c>
      <c r="AZ2201" s="381" t="s">
        <v>5061</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5062</v>
      </c>
      <c r="E2202" s="303" t="s">
        <v>5063</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0" t="s">
        <v>5060</v>
      </c>
      <c r="AV2202" s="310"/>
      <c r="AW2202" s="312" t="s">
        <v>617</v>
      </c>
      <c r="AX2202" s="304" t="s">
        <v>534</v>
      </c>
      <c r="AY2202" s="302">
        <v>0</v>
      </c>
      <c r="AZ2202" s="302">
        <v>77001506</v>
      </c>
      <c r="BA2202" s="303" t="s">
        <v>200</v>
      </c>
      <c r="BB2202" s="304">
        <v>0</v>
      </c>
      <c r="BC2202" s="308">
        <v>0</v>
      </c>
      <c r="BD2202" s="308">
        <v>0</v>
      </c>
      <c r="BE2202" s="315" t="s">
        <v>5064</v>
      </c>
      <c r="BF2202" s="315" t="s">
        <v>5065</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5066</v>
      </c>
      <c r="E2203" s="303" t="s">
        <v>5067</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82" t="s">
        <v>5068</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5069</v>
      </c>
      <c r="E2205" s="101" t="s">
        <v>5070</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8" t="s">
        <v>5071</v>
      </c>
      <c r="AV2205" s="116"/>
      <c r="AW2205" s="104" t="s">
        <v>256</v>
      </c>
      <c r="AX2205" s="103" t="s">
        <v>534</v>
      </c>
      <c r="AY2205" s="102">
        <v>10000007</v>
      </c>
      <c r="AZ2205" s="346" t="s">
        <v>5072</v>
      </c>
      <c r="BA2205" s="101" t="s">
        <v>200</v>
      </c>
      <c r="BB2205" s="103" t="s">
        <v>5073</v>
      </c>
      <c r="BC2205" s="107">
        <v>0</v>
      </c>
      <c r="BD2205" s="107">
        <v>0</v>
      </c>
      <c r="BE2205" s="121" t="s">
        <v>5074</v>
      </c>
      <c r="BF2205" s="121" t="s">
        <v>5075</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5076</v>
      </c>
      <c r="BC2206" s="107">
        <v>0</v>
      </c>
      <c r="BD2206" s="107">
        <v>0</v>
      </c>
      <c r="BE2206" s="121" t="s">
        <v>5077</v>
      </c>
      <c r="BF2206" s="124" t="s">
        <v>5078</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5079</v>
      </c>
      <c r="E2207" s="101" t="s">
        <v>5080</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8" t="s">
        <v>5081</v>
      </c>
      <c r="AV2207" s="116"/>
      <c r="AW2207" s="104" t="s">
        <v>199</v>
      </c>
      <c r="AX2207" s="103" t="s">
        <v>534</v>
      </c>
      <c r="AY2207" s="102">
        <v>10000007</v>
      </c>
      <c r="AZ2207" s="102">
        <v>77001603</v>
      </c>
      <c r="BA2207" s="104" t="s">
        <v>315</v>
      </c>
      <c r="BB2207" s="104" t="s">
        <v>371</v>
      </c>
      <c r="BC2207" s="107">
        <v>0</v>
      </c>
      <c r="BD2207" s="107">
        <v>0</v>
      </c>
      <c r="BE2207" s="121" t="s">
        <v>5082</v>
      </c>
      <c r="BF2207" s="121" t="s">
        <v>5083</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5084</v>
      </c>
      <c r="E2208" s="101" t="s">
        <v>5085</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5086</v>
      </c>
      <c r="BF2208" s="139" t="s">
        <v>5087</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5088</v>
      </c>
      <c r="E2209" s="305" t="s">
        <v>5089</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4" t="s">
        <v>5090</v>
      </c>
      <c r="AU2209" s="116">
        <v>0</v>
      </c>
      <c r="AV2209" s="116"/>
      <c r="AW2209" s="101" t="s">
        <v>287</v>
      </c>
      <c r="AX2209" s="103" t="s">
        <v>215</v>
      </c>
      <c r="AY2209" s="102">
        <v>0</v>
      </c>
      <c r="AZ2209" s="102">
        <v>0</v>
      </c>
      <c r="BA2209" s="101" t="s">
        <v>200</v>
      </c>
      <c r="BB2209" s="103">
        <v>0</v>
      </c>
      <c r="BC2209" s="107">
        <v>0</v>
      </c>
      <c r="BD2209" s="107">
        <v>0</v>
      </c>
      <c r="BE2209" s="121" t="s">
        <v>5091</v>
      </c>
      <c r="BF2209" s="121" t="s">
        <v>5092</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5093</v>
      </c>
      <c r="E2210" s="101" t="s">
        <v>5094</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8" t="s">
        <v>5095</v>
      </c>
      <c r="AV2210" s="116"/>
      <c r="AW2210" s="104" t="s">
        <v>199</v>
      </c>
      <c r="AX2210" s="103" t="s">
        <v>534</v>
      </c>
      <c r="AY2210" s="102">
        <v>10000007</v>
      </c>
      <c r="AZ2210" s="346" t="s">
        <v>5072</v>
      </c>
      <c r="BA2210" s="101" t="s">
        <v>200</v>
      </c>
      <c r="BB2210" s="103" t="s">
        <v>5096</v>
      </c>
      <c r="BC2210" s="107">
        <v>0</v>
      </c>
      <c r="BD2210" s="107">
        <v>0</v>
      </c>
      <c r="BE2210" s="121" t="s">
        <v>5097</v>
      </c>
      <c r="BF2210" s="121" t="s">
        <v>5098</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5099</v>
      </c>
      <c r="E2211" s="101" t="s">
        <v>5100</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5101</v>
      </c>
      <c r="BF2211" s="139" t="s">
        <v>5102</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5103</v>
      </c>
      <c r="E2212" s="101" t="s">
        <v>5104</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9" t="s">
        <v>5105</v>
      </c>
      <c r="BC2212" s="107">
        <v>0</v>
      </c>
      <c r="BD2212" s="107">
        <v>0</v>
      </c>
      <c r="BE2212" s="121" t="s">
        <v>5106</v>
      </c>
      <c r="BF2212" s="121" t="s">
        <v>5107</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5108</v>
      </c>
      <c r="E2213" s="101" t="s">
        <v>5109</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8" t="s">
        <v>5095</v>
      </c>
      <c r="AV2213" s="116"/>
      <c r="AW2213" s="101" t="s">
        <v>198</v>
      </c>
      <c r="AX2213" s="103" t="s">
        <v>534</v>
      </c>
      <c r="AY2213" s="102">
        <v>10000007</v>
      </c>
      <c r="AZ2213" s="346" t="s">
        <v>5110</v>
      </c>
      <c r="BA2213" s="101" t="s">
        <v>586</v>
      </c>
      <c r="BB2213" s="103" t="s">
        <v>4998</v>
      </c>
      <c r="BC2213" s="107">
        <v>0</v>
      </c>
      <c r="BD2213" s="107">
        <v>0</v>
      </c>
      <c r="BE2213" s="121" t="s">
        <v>5111</v>
      </c>
      <c r="BF2213" s="121" t="s">
        <v>5112</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5113</v>
      </c>
      <c r="E2214" s="149" t="s">
        <v>5114</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1" t="s">
        <v>198</v>
      </c>
      <c r="AU2214" s="364" t="s">
        <v>5115</v>
      </c>
      <c r="AV2214" s="62"/>
      <c r="AW2214" s="61" t="s">
        <v>256</v>
      </c>
      <c r="AX2214" s="62" t="s">
        <v>215</v>
      </c>
      <c r="AY2214" s="66">
        <v>10000011</v>
      </c>
      <c r="AZ2214" s="66">
        <v>77001706</v>
      </c>
      <c r="BA2214" s="61" t="s">
        <v>216</v>
      </c>
      <c r="BB2214" s="62">
        <v>0</v>
      </c>
      <c r="BC2214" s="68">
        <v>0</v>
      </c>
      <c r="BD2214" s="68">
        <v>0</v>
      </c>
      <c r="BE2214" s="92" t="s">
        <v>5116</v>
      </c>
      <c r="BF2214" s="92" t="s">
        <v>5117</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4" t="s">
        <v>5115</v>
      </c>
      <c r="AV2215" s="62"/>
      <c r="AW2215" s="61" t="s">
        <v>198</v>
      </c>
      <c r="AX2215" s="62" t="s">
        <v>534</v>
      </c>
      <c r="AY2215" s="66">
        <v>10000001</v>
      </c>
      <c r="AZ2215" s="66">
        <v>77001701</v>
      </c>
      <c r="BA2215" s="61" t="s">
        <v>771</v>
      </c>
      <c r="BB2215" s="62">
        <v>0</v>
      </c>
      <c r="BC2215" s="68">
        <v>0</v>
      </c>
      <c r="BD2215" s="68">
        <v>0</v>
      </c>
      <c r="BE2215" s="123" t="s">
        <v>5118</v>
      </c>
      <c r="BF2215" s="123" t="s">
        <v>5119</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5113</v>
      </c>
      <c r="E2216" s="61" t="s">
        <v>5114</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1" t="s">
        <v>5120</v>
      </c>
      <c r="AU2216" s="62">
        <v>0</v>
      </c>
      <c r="AV2216" s="62"/>
      <c r="AW2216" s="61" t="s">
        <v>199</v>
      </c>
      <c r="AX2216" s="62" t="s">
        <v>534</v>
      </c>
      <c r="AY2216" s="66">
        <v>0</v>
      </c>
      <c r="AZ2216" s="66">
        <v>0</v>
      </c>
      <c r="BA2216" s="61" t="s">
        <v>771</v>
      </c>
      <c r="BB2216" s="62">
        <v>0</v>
      </c>
      <c r="BC2216" s="68">
        <v>0</v>
      </c>
      <c r="BD2216" s="68">
        <v>0</v>
      </c>
      <c r="BE2216" s="123" t="s">
        <v>5121</v>
      </c>
      <c r="BF2216" s="123" t="s">
        <v>5122</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5123</v>
      </c>
      <c r="BF2217" s="92" t="s">
        <v>5124</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1" t="s">
        <v>5115</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5125</v>
      </c>
      <c r="E2220" s="149" t="s">
        <v>5126</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1" t="s">
        <v>5127</v>
      </c>
      <c r="AU2220" s="343" t="s">
        <v>5115</v>
      </c>
      <c r="AV2220" s="81"/>
      <c r="AW2220" s="61" t="s">
        <v>617</v>
      </c>
      <c r="AX2220" s="62" t="s">
        <v>215</v>
      </c>
      <c r="AY2220" s="66">
        <v>10000011</v>
      </c>
      <c r="AZ2220" s="66">
        <v>77001703</v>
      </c>
      <c r="BA2220" s="65" t="s">
        <v>200</v>
      </c>
      <c r="BB2220" s="62">
        <v>0</v>
      </c>
      <c r="BC2220" s="68">
        <v>0</v>
      </c>
      <c r="BD2220" s="68">
        <v>0</v>
      </c>
      <c r="BE2220" s="92" t="s">
        <v>5128</v>
      </c>
      <c r="BF2220" s="92" t="s">
        <v>5129</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5130</v>
      </c>
      <c r="E2221" s="61" t="s">
        <v>5131</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4" t="s">
        <v>5132</v>
      </c>
      <c r="BC2221" s="68">
        <v>0</v>
      </c>
      <c r="BD2221" s="68">
        <v>0</v>
      </c>
      <c r="BE2221" s="92" t="s">
        <v>5133</v>
      </c>
      <c r="BF2221" s="92" t="s">
        <v>5134</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5135</v>
      </c>
      <c r="E2222" s="61" t="s">
        <v>5136</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3" t="s">
        <v>5137</v>
      </c>
      <c r="AV2222" s="81"/>
      <c r="AW2222" s="65" t="s">
        <v>199</v>
      </c>
      <c r="AX2222" s="62" t="s">
        <v>534</v>
      </c>
      <c r="AY2222" s="66">
        <v>0</v>
      </c>
      <c r="AZ2222" s="341" t="s">
        <v>5138</v>
      </c>
      <c r="BA2222" s="61" t="s">
        <v>200</v>
      </c>
      <c r="BB2222" s="62" t="s">
        <v>5139</v>
      </c>
      <c r="BC2222" s="68">
        <v>0</v>
      </c>
      <c r="BD2222" s="68">
        <v>0</v>
      </c>
      <c r="BE2222" s="92" t="s">
        <v>5140</v>
      </c>
      <c r="BF2222" s="92" t="s">
        <v>5141</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5142</v>
      </c>
      <c r="BF2223" s="123" t="s">
        <v>5143</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5135</v>
      </c>
      <c r="E2224" s="61" t="s">
        <v>5136</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3" t="s">
        <v>5137</v>
      </c>
      <c r="AV2224" s="81"/>
      <c r="AW2224" s="65" t="s">
        <v>199</v>
      </c>
      <c r="AX2224" s="62" t="s">
        <v>534</v>
      </c>
      <c r="AY2224" s="66">
        <v>0</v>
      </c>
      <c r="AZ2224" s="341" t="s">
        <v>5138</v>
      </c>
      <c r="BA2224" s="61" t="s">
        <v>200</v>
      </c>
      <c r="BB2224" s="62" t="s">
        <v>5144</v>
      </c>
      <c r="BC2224" s="68">
        <v>0</v>
      </c>
      <c r="BD2224" s="68">
        <v>0</v>
      </c>
      <c r="BE2224" s="92" t="s">
        <v>5145</v>
      </c>
      <c r="BF2224" s="92" t="s">
        <v>5146</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5147</v>
      </c>
      <c r="E2225" s="303" t="s">
        <v>5148</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0" t="s">
        <v>5149</v>
      </c>
      <c r="AV2225" s="310"/>
      <c r="AW2225" s="312" t="s">
        <v>199</v>
      </c>
      <c r="AX2225" s="304" t="s">
        <v>534</v>
      </c>
      <c r="AY2225" s="302">
        <v>0</v>
      </c>
      <c r="AZ2225" s="302">
        <v>77001801</v>
      </c>
      <c r="BA2225" s="303" t="s">
        <v>200</v>
      </c>
      <c r="BB2225" s="304" t="s">
        <v>5150</v>
      </c>
      <c r="BC2225" s="308">
        <v>0</v>
      </c>
      <c r="BD2225" s="308">
        <v>0</v>
      </c>
      <c r="BE2225" s="315" t="s">
        <v>5151</v>
      </c>
      <c r="BF2225" s="315" t="s">
        <v>5152</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5153</v>
      </c>
      <c r="E2226" s="303" t="s">
        <v>5154</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5155</v>
      </c>
      <c r="BC2226" s="308">
        <v>0</v>
      </c>
      <c r="BD2226" s="308">
        <v>0</v>
      </c>
      <c r="BE2226" s="315" t="s">
        <v>5156</v>
      </c>
      <c r="BF2226" s="315" t="s">
        <v>5157</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5158</v>
      </c>
      <c r="E2227" s="303" t="s">
        <v>5159</v>
      </c>
      <c r="F2227" s="302">
        <v>1</v>
      </c>
      <c r="G2227" s="304">
        <v>0</v>
      </c>
      <c r="H2227" s="302">
        <v>0</v>
      </c>
      <c r="I2227" s="308">
        <v>0</v>
      </c>
      <c r="J2227" s="302">
        <v>1</v>
      </c>
      <c r="K2227" s="302">
        <v>0</v>
      </c>
      <c r="L2227" s="302">
        <v>0</v>
      </c>
      <c r="M2227" s="304">
        <v>0</v>
      </c>
      <c r="N2227" s="304">
        <v>0</v>
      </c>
      <c r="O2227" s="304">
        <v>2</v>
      </c>
      <c r="P2227" s="304" t="s">
        <v>4994</v>
      </c>
      <c r="Q2227" s="304" t="s">
        <v>4995</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82" t="s">
        <v>5160</v>
      </c>
      <c r="AU2227" s="380" t="s">
        <v>5161</v>
      </c>
      <c r="AV2227" s="310"/>
      <c r="AW2227" s="303" t="s">
        <v>199</v>
      </c>
      <c r="AX2227" s="304" t="s">
        <v>534</v>
      </c>
      <c r="AY2227" s="302">
        <v>10000007</v>
      </c>
      <c r="AZ2227" s="381" t="s">
        <v>5162</v>
      </c>
      <c r="BA2227" s="303" t="s">
        <v>586</v>
      </c>
      <c r="BB2227" s="304" t="s">
        <v>5163</v>
      </c>
      <c r="BC2227" s="308">
        <v>0</v>
      </c>
      <c r="BD2227" s="308">
        <v>0</v>
      </c>
      <c r="BE2227" s="315" t="s">
        <v>5164</v>
      </c>
      <c r="BF2227" s="315" t="s">
        <v>5165</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5166</v>
      </c>
      <c r="E2228" s="303" t="s">
        <v>5167</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0" t="s">
        <v>5168</v>
      </c>
      <c r="AV2228" s="310"/>
      <c r="AW2228" s="312" t="s">
        <v>287</v>
      </c>
      <c r="AX2228" s="304" t="s">
        <v>534</v>
      </c>
      <c r="AY2228" s="302">
        <v>0</v>
      </c>
      <c r="AZ2228" s="302">
        <v>77001803</v>
      </c>
      <c r="BA2228" s="303" t="s">
        <v>200</v>
      </c>
      <c r="BB2228" s="304">
        <v>0</v>
      </c>
      <c r="BC2228" s="308">
        <v>0</v>
      </c>
      <c r="BD2228" s="308">
        <v>0</v>
      </c>
      <c r="BE2228" s="315" t="s">
        <v>5169</v>
      </c>
      <c r="BF2228" s="315" t="s">
        <v>5170</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5158</v>
      </c>
      <c r="E2229" s="303" t="s">
        <v>5159</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0" t="s">
        <v>5171</v>
      </c>
      <c r="AV2229" s="310"/>
      <c r="AW2229" s="303" t="s">
        <v>199</v>
      </c>
      <c r="AX2229" s="304" t="s">
        <v>534</v>
      </c>
      <c r="AY2229" s="302">
        <v>10000007</v>
      </c>
      <c r="AZ2229" s="381" t="s">
        <v>5162</v>
      </c>
      <c r="BA2229" s="303" t="s">
        <v>586</v>
      </c>
      <c r="BB2229" s="304" t="s">
        <v>5172</v>
      </c>
      <c r="BC2229" s="308">
        <v>0</v>
      </c>
      <c r="BD2229" s="308">
        <v>0</v>
      </c>
      <c r="BE2229" s="315" t="s">
        <v>5173</v>
      </c>
      <c r="BF2229" s="315" t="s">
        <v>5174</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5175</v>
      </c>
      <c r="E2230" s="303" t="s">
        <v>5176</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5177</v>
      </c>
      <c r="BC2230" s="308">
        <v>0</v>
      </c>
      <c r="BD2230" s="308">
        <v>0</v>
      </c>
      <c r="BE2230" s="315" t="s">
        <v>5178</v>
      </c>
      <c r="BF2230" s="315" t="s">
        <v>5179</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5180</v>
      </c>
      <c r="E2231" s="303" t="s">
        <v>5181</v>
      </c>
      <c r="F2231" s="304">
        <v>1</v>
      </c>
      <c r="G2231" s="304">
        <v>0</v>
      </c>
      <c r="H2231" s="304">
        <v>0</v>
      </c>
      <c r="I2231" s="308">
        <v>0</v>
      </c>
      <c r="J2231" s="302">
        <v>1</v>
      </c>
      <c r="K2231" s="302">
        <v>0</v>
      </c>
      <c r="L2231" s="302">
        <v>0</v>
      </c>
      <c r="M2231" s="304">
        <v>0</v>
      </c>
      <c r="N2231" s="304">
        <v>0</v>
      </c>
      <c r="O2231" s="304">
        <v>2</v>
      </c>
      <c r="P2231" s="304" t="s">
        <v>5182</v>
      </c>
      <c r="Q2231" s="304" t="s">
        <v>5183</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5184</v>
      </c>
      <c r="BF2231" s="315" t="s">
        <v>5185</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5180</v>
      </c>
      <c r="E2232" s="303" t="s">
        <v>5181</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0" t="s">
        <v>5186</v>
      </c>
      <c r="AV2232" s="310"/>
      <c r="AW2232" s="303" t="s">
        <v>198</v>
      </c>
      <c r="AX2232" s="304" t="s">
        <v>215</v>
      </c>
      <c r="AY2232" s="302">
        <v>10000011</v>
      </c>
      <c r="AZ2232" s="302">
        <v>77001801</v>
      </c>
      <c r="BA2232" s="312" t="s">
        <v>200</v>
      </c>
      <c r="BB2232" s="304">
        <v>0</v>
      </c>
      <c r="BC2232" s="308">
        <v>0</v>
      </c>
      <c r="BD2232" s="308">
        <v>0</v>
      </c>
      <c r="BE2232" s="315" t="s">
        <v>5187</v>
      </c>
      <c r="BF2232" s="315" t="s">
        <v>5188</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5189</v>
      </c>
      <c r="E2233" s="303" t="s">
        <v>5190</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0" t="s">
        <v>5191</v>
      </c>
      <c r="AV2233" s="310"/>
      <c r="AW2233" s="303" t="s">
        <v>199</v>
      </c>
      <c r="AX2233" s="304" t="s">
        <v>534</v>
      </c>
      <c r="AY2233" s="302">
        <v>10000007</v>
      </c>
      <c r="AZ2233" s="381" t="s">
        <v>5162</v>
      </c>
      <c r="BA2233" s="303" t="s">
        <v>586</v>
      </c>
      <c r="BB2233" s="304" t="s">
        <v>5192</v>
      </c>
      <c r="BC2233" s="308">
        <v>0</v>
      </c>
      <c r="BD2233" s="308">
        <v>1</v>
      </c>
      <c r="BE2233" s="315" t="s">
        <v>5193</v>
      </c>
      <c r="BF2233" s="315" t="s">
        <v>5194</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5195</v>
      </c>
      <c r="E2234" s="61" t="s">
        <v>5196</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1" t="s">
        <v>5197</v>
      </c>
      <c r="AU2234" s="62">
        <v>0</v>
      </c>
      <c r="AV2234" s="62"/>
      <c r="AW2234" s="61" t="s">
        <v>198</v>
      </c>
      <c r="AX2234" s="62" t="s">
        <v>534</v>
      </c>
      <c r="AY2234" s="66">
        <v>0</v>
      </c>
      <c r="AZ2234" s="66">
        <v>77001901</v>
      </c>
      <c r="BA2234" s="61" t="s">
        <v>771</v>
      </c>
      <c r="BB2234" s="62">
        <v>0</v>
      </c>
      <c r="BC2234" s="68">
        <v>0</v>
      </c>
      <c r="BD2234" s="68">
        <v>0</v>
      </c>
      <c r="BE2234" s="123" t="s">
        <v>5198</v>
      </c>
      <c r="BF2234" s="123" t="s">
        <v>5199</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4" t="s">
        <v>5200</v>
      </c>
      <c r="BC2235" s="68">
        <v>0</v>
      </c>
      <c r="BD2235" s="68">
        <v>0</v>
      </c>
      <c r="BE2235" s="92" t="s">
        <v>5201</v>
      </c>
      <c r="BF2235" s="92" t="s">
        <v>5202</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3" t="s">
        <v>5203</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5024</v>
      </c>
      <c r="E2237" s="61" t="s">
        <v>5025</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3" t="s">
        <v>5204</v>
      </c>
      <c r="AV2237" s="81"/>
      <c r="AW2237" s="61" t="s">
        <v>287</v>
      </c>
      <c r="AX2237" s="62" t="s">
        <v>215</v>
      </c>
      <c r="AY2237" s="66">
        <v>0</v>
      </c>
      <c r="AZ2237" s="66">
        <v>77001902</v>
      </c>
      <c r="BA2237" s="65" t="s">
        <v>200</v>
      </c>
      <c r="BB2237" s="62">
        <v>0</v>
      </c>
      <c r="BC2237" s="68">
        <v>0</v>
      </c>
      <c r="BD2237" s="68">
        <v>0</v>
      </c>
      <c r="BE2237" s="92" t="s">
        <v>5205</v>
      </c>
      <c r="BF2237" s="92" t="s">
        <v>5206</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5207</v>
      </c>
      <c r="E2238" s="61" t="s">
        <v>5208</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3" t="s">
        <v>5209</v>
      </c>
      <c r="AV2238" s="81"/>
      <c r="AW2238" s="65" t="s">
        <v>287</v>
      </c>
      <c r="AX2238" s="62" t="s">
        <v>545</v>
      </c>
      <c r="AY2238" s="66">
        <v>0</v>
      </c>
      <c r="AZ2238" s="66">
        <v>0</v>
      </c>
      <c r="BA2238" s="61" t="s">
        <v>528</v>
      </c>
      <c r="BB2238" s="62" t="s">
        <v>5210</v>
      </c>
      <c r="BC2238" s="68">
        <v>0</v>
      </c>
      <c r="BD2238" s="68">
        <v>0</v>
      </c>
      <c r="BE2238" s="92" t="s">
        <v>5211</v>
      </c>
      <c r="BF2238" s="92" t="s">
        <v>5212</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5213</v>
      </c>
      <c r="E2239" s="61" t="s">
        <v>5214</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2" t="s">
        <v>5215</v>
      </c>
      <c r="AU2239" s="81">
        <v>0</v>
      </c>
      <c r="AV2239" s="81"/>
      <c r="AW2239" s="61" t="s">
        <v>198</v>
      </c>
      <c r="AX2239" s="62" t="s">
        <v>215</v>
      </c>
      <c r="AY2239" s="66">
        <v>0</v>
      </c>
      <c r="AZ2239" s="66">
        <v>77001901</v>
      </c>
      <c r="BA2239" s="65" t="s">
        <v>200</v>
      </c>
      <c r="BB2239" s="62">
        <v>0</v>
      </c>
      <c r="BC2239" s="68">
        <v>0</v>
      </c>
      <c r="BD2239" s="68">
        <v>0</v>
      </c>
      <c r="BE2239" s="92" t="s">
        <v>5216</v>
      </c>
      <c r="BF2239" s="92" t="s">
        <v>5217</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5218</v>
      </c>
      <c r="E2240" s="61" t="s">
        <v>5219</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5220</v>
      </c>
      <c r="BF2240" s="92" t="s">
        <v>5221</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5222</v>
      </c>
      <c r="E2241" s="61" t="s">
        <v>5223</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3" t="s">
        <v>5203</v>
      </c>
      <c r="AV2241" s="81"/>
      <c r="AW2241" s="61" t="s">
        <v>198</v>
      </c>
      <c r="AX2241" s="62" t="s">
        <v>215</v>
      </c>
      <c r="AY2241" s="66">
        <v>0</v>
      </c>
      <c r="AZ2241" s="66">
        <v>77001907</v>
      </c>
      <c r="BA2241" s="65" t="s">
        <v>200</v>
      </c>
      <c r="BB2241" s="62">
        <v>0</v>
      </c>
      <c r="BC2241" s="68">
        <v>0</v>
      </c>
      <c r="BD2241" s="68">
        <v>0</v>
      </c>
      <c r="BE2241" s="92" t="s">
        <v>5024</v>
      </c>
      <c r="BF2241" s="92" t="s">
        <v>5025</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5224</v>
      </c>
      <c r="E2242" s="61" t="s">
        <v>5225</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5226</v>
      </c>
      <c r="AI2242" s="70">
        <v>0</v>
      </c>
      <c r="AJ2242" s="70">
        <v>2</v>
      </c>
      <c r="AK2242" s="70">
        <v>0</v>
      </c>
      <c r="AL2242" s="70">
        <v>4</v>
      </c>
      <c r="AM2242" s="62">
        <v>0</v>
      </c>
      <c r="AN2242" s="62">
        <v>1</v>
      </c>
      <c r="AO2242" s="62">
        <v>0</v>
      </c>
      <c r="AP2242" s="62">
        <v>1</v>
      </c>
      <c r="AQ2242" s="62">
        <v>9000</v>
      </c>
      <c r="AR2242" s="62">
        <v>0</v>
      </c>
      <c r="AS2242" s="62">
        <v>10</v>
      </c>
      <c r="AT2242" s="80">
        <v>0</v>
      </c>
      <c r="AU2242" s="343" t="s">
        <v>5203</v>
      </c>
      <c r="AV2242" s="81"/>
      <c r="AW2242" s="61" t="s">
        <v>256</v>
      </c>
      <c r="AX2242" s="62" t="s">
        <v>534</v>
      </c>
      <c r="AY2242" s="66">
        <v>10000007</v>
      </c>
      <c r="AZ2242" s="66">
        <v>77001908</v>
      </c>
      <c r="BA2242" s="61" t="s">
        <v>586</v>
      </c>
      <c r="BB2242" s="62" t="s">
        <v>5227</v>
      </c>
      <c r="BC2242" s="68">
        <v>0</v>
      </c>
      <c r="BD2242" s="68">
        <v>1</v>
      </c>
      <c r="BE2242" s="92" t="s">
        <v>5228</v>
      </c>
      <c r="BF2242" s="92" t="s">
        <v>5229</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5230</v>
      </c>
      <c r="E2243" s="61" t="s">
        <v>5231</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3" t="s">
        <v>5203</v>
      </c>
      <c r="AV2243" s="81"/>
      <c r="AW2243" s="61" t="s">
        <v>199</v>
      </c>
      <c r="AX2243" s="62" t="s">
        <v>215</v>
      </c>
      <c r="AY2243" s="66">
        <v>0</v>
      </c>
      <c r="AZ2243" s="66">
        <v>0</v>
      </c>
      <c r="BA2243" s="313" t="s">
        <v>216</v>
      </c>
      <c r="BB2243" s="62">
        <v>0</v>
      </c>
      <c r="BC2243" s="68">
        <v>0</v>
      </c>
      <c r="BD2243" s="68">
        <v>0</v>
      </c>
      <c r="BE2243" s="92" t="s">
        <v>5232</v>
      </c>
      <c r="BF2243" s="92" t="s">
        <v>5233</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5024</v>
      </c>
      <c r="E2244" s="61" t="s">
        <v>5025</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3" t="s">
        <v>5234</v>
      </c>
      <c r="AV2244" s="81"/>
      <c r="AW2244" s="61" t="s">
        <v>198</v>
      </c>
      <c r="AX2244" s="62" t="s">
        <v>215</v>
      </c>
      <c r="AY2244" s="66">
        <v>0</v>
      </c>
      <c r="AZ2244" s="66">
        <v>77001903</v>
      </c>
      <c r="BA2244" s="65" t="s">
        <v>200</v>
      </c>
      <c r="BB2244" s="62">
        <v>0</v>
      </c>
      <c r="BC2244" s="68">
        <v>0</v>
      </c>
      <c r="BD2244" s="68">
        <v>0</v>
      </c>
      <c r="BE2244" s="92" t="s">
        <v>5024</v>
      </c>
      <c r="BF2244" s="92" t="s">
        <v>5025</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5235</v>
      </c>
      <c r="E2245" s="61" t="s">
        <v>5236</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5237</v>
      </c>
      <c r="BF2245" s="123" t="s">
        <v>5238</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5239</v>
      </c>
      <c r="BF2246" s="92" t="s">
        <v>5240</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3" t="s">
        <v>198</v>
      </c>
      <c r="AV2247" s="81"/>
      <c r="AW2247" s="61" t="s">
        <v>256</v>
      </c>
      <c r="AX2247" s="62" t="s">
        <v>534</v>
      </c>
      <c r="AY2247" s="66">
        <v>10000007</v>
      </c>
      <c r="AZ2247" s="341" t="s">
        <v>5241</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5242</v>
      </c>
      <c r="E2248" s="317" t="s">
        <v>5243</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5244</v>
      </c>
      <c r="BF2248" s="335" t="s">
        <v>5245</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5246</v>
      </c>
      <c r="E2249" s="101" t="s">
        <v>5247</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9" t="s">
        <v>5248</v>
      </c>
      <c r="BC2249" s="107">
        <v>0</v>
      </c>
      <c r="BD2249" s="107">
        <v>0</v>
      </c>
      <c r="BE2249" s="121" t="s">
        <v>5249</v>
      </c>
      <c r="BF2249" s="121" t="s">
        <v>5250</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5251</v>
      </c>
      <c r="E2250" s="101" t="s">
        <v>5252</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8" t="s">
        <v>5253</v>
      </c>
      <c r="AV2250" s="116"/>
      <c r="AW2250" s="101" t="s">
        <v>198</v>
      </c>
      <c r="AX2250" s="103">
        <v>0</v>
      </c>
      <c r="AY2250" s="102">
        <v>0</v>
      </c>
      <c r="AZ2250" s="102">
        <v>0</v>
      </c>
      <c r="BA2250" s="101" t="s">
        <v>528</v>
      </c>
      <c r="BB2250" s="349" t="s">
        <v>5254</v>
      </c>
      <c r="BC2250" s="107">
        <v>0</v>
      </c>
      <c r="BD2250" s="107">
        <v>0</v>
      </c>
      <c r="BE2250" s="121" t="s">
        <v>5255</v>
      </c>
      <c r="BF2250" s="121" t="s">
        <v>5256</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5257</v>
      </c>
      <c r="E2251" s="305" t="s">
        <v>5258</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8" t="s">
        <v>198</v>
      </c>
      <c r="AV2251" s="116"/>
      <c r="AW2251" s="101" t="s">
        <v>198</v>
      </c>
      <c r="AX2251" s="103" t="s">
        <v>215</v>
      </c>
      <c r="AY2251" s="102">
        <v>0</v>
      </c>
      <c r="AZ2251" s="102">
        <v>0</v>
      </c>
      <c r="BA2251" s="101" t="s">
        <v>216</v>
      </c>
      <c r="BB2251" s="103">
        <v>0</v>
      </c>
      <c r="BC2251" s="107">
        <v>0</v>
      </c>
      <c r="BD2251" s="107">
        <v>0</v>
      </c>
      <c r="BE2251" s="121" t="s">
        <v>5259</v>
      </c>
      <c r="BF2251" s="121" t="s">
        <v>5260</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5257</v>
      </c>
      <c r="E2252" s="305" t="s">
        <v>5258</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8" t="s">
        <v>198</v>
      </c>
      <c r="AV2252" s="116"/>
      <c r="AW2252" s="101" t="s">
        <v>198</v>
      </c>
      <c r="AX2252" s="103" t="s">
        <v>215</v>
      </c>
      <c r="AY2252" s="102">
        <v>0</v>
      </c>
      <c r="AZ2252" s="102">
        <v>0</v>
      </c>
      <c r="BA2252" s="101" t="s">
        <v>216</v>
      </c>
      <c r="BB2252" s="103">
        <v>0</v>
      </c>
      <c r="BC2252" s="107">
        <v>0</v>
      </c>
      <c r="BD2252" s="107">
        <v>0</v>
      </c>
      <c r="BE2252" s="121" t="s">
        <v>5259</v>
      </c>
      <c r="BF2252" s="121" t="s">
        <v>5260</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8" t="s">
        <v>5261</v>
      </c>
      <c r="AV2253" s="116"/>
      <c r="AW2253" s="101" t="s">
        <v>198</v>
      </c>
      <c r="AX2253" s="103" t="s">
        <v>534</v>
      </c>
      <c r="AY2253" s="102">
        <v>10000007</v>
      </c>
      <c r="AZ2253" s="346" t="s">
        <v>5262</v>
      </c>
      <c r="BA2253" s="101" t="s">
        <v>586</v>
      </c>
      <c r="BB2253" s="103" t="s">
        <v>1318</v>
      </c>
      <c r="BC2253" s="107">
        <v>0</v>
      </c>
      <c r="BD2253" s="107">
        <v>1</v>
      </c>
      <c r="BE2253" s="121" t="s">
        <v>5263</v>
      </c>
      <c r="BF2253" s="121" t="s">
        <v>5264</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5265</v>
      </c>
      <c r="E2254" s="101" t="s">
        <v>5266</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8" t="s">
        <v>5267</v>
      </c>
      <c r="AV2254" s="116"/>
      <c r="AW2254" s="104" t="s">
        <v>198</v>
      </c>
      <c r="AX2254" s="103" t="s">
        <v>534</v>
      </c>
      <c r="AY2254" s="102">
        <v>0</v>
      </c>
      <c r="AZ2254" s="346" t="s">
        <v>5268</v>
      </c>
      <c r="BA2254" s="101" t="s">
        <v>200</v>
      </c>
      <c r="BB2254" s="103">
        <v>0</v>
      </c>
      <c r="BC2254" s="107">
        <v>0</v>
      </c>
      <c r="BD2254" s="107">
        <v>0</v>
      </c>
      <c r="BE2254" s="121" t="s">
        <v>5269</v>
      </c>
      <c r="BF2254" s="121" t="s">
        <v>5270</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5271</v>
      </c>
      <c r="E2255" s="305" t="s">
        <v>5272</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4" t="s">
        <v>5273</v>
      </c>
      <c r="AU2255" s="348" t="s">
        <v>5253</v>
      </c>
      <c r="AV2255" s="116"/>
      <c r="AW2255" s="101" t="s">
        <v>256</v>
      </c>
      <c r="AX2255" s="103" t="s">
        <v>215</v>
      </c>
      <c r="AY2255" s="102">
        <v>10000011</v>
      </c>
      <c r="AZ2255" s="346" t="s">
        <v>5274</v>
      </c>
      <c r="BA2255" s="104" t="s">
        <v>200</v>
      </c>
      <c r="BB2255" s="103">
        <v>0</v>
      </c>
      <c r="BC2255" s="107">
        <v>0</v>
      </c>
      <c r="BD2255" s="107">
        <v>0</v>
      </c>
      <c r="BE2255" s="121" t="s">
        <v>5275</v>
      </c>
      <c r="BF2255" s="121" t="s">
        <v>5276</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5277</v>
      </c>
      <c r="E2256" s="101" t="s">
        <v>5278</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8" t="s">
        <v>5267</v>
      </c>
      <c r="AV2256" s="116"/>
      <c r="AW2256" s="104" t="s">
        <v>199</v>
      </c>
      <c r="AX2256" s="103" t="s">
        <v>534</v>
      </c>
      <c r="AY2256" s="102">
        <v>0</v>
      </c>
      <c r="AZ2256" s="346" t="s">
        <v>5279</v>
      </c>
      <c r="BA2256" s="101" t="s">
        <v>200</v>
      </c>
      <c r="BB2256" s="103" t="s">
        <v>5280</v>
      </c>
      <c r="BC2256" s="107">
        <v>0</v>
      </c>
      <c r="BD2256" s="107">
        <v>0</v>
      </c>
      <c r="BE2256" s="121" t="s">
        <v>5035</v>
      </c>
      <c r="BF2256" s="121" t="s">
        <v>5036</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5281</v>
      </c>
      <c r="E2257" s="101" t="s">
        <v>5282</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8" t="s">
        <v>5283</v>
      </c>
      <c r="AV2257" s="116"/>
      <c r="AW2257" s="104" t="s">
        <v>256</v>
      </c>
      <c r="AX2257" s="103" t="s">
        <v>534</v>
      </c>
      <c r="AY2257" s="102">
        <v>10000007</v>
      </c>
      <c r="AZ2257" s="346" t="s">
        <v>5284</v>
      </c>
      <c r="BA2257" s="101" t="s">
        <v>200</v>
      </c>
      <c r="BB2257" s="103" t="s">
        <v>5285</v>
      </c>
      <c r="BC2257" s="107">
        <v>0</v>
      </c>
      <c r="BD2257" s="107">
        <v>0</v>
      </c>
      <c r="BE2257" s="121" t="s">
        <v>5286</v>
      </c>
      <c r="BF2257" s="121" t="s">
        <v>5287</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5288</v>
      </c>
      <c r="E2258" s="101" t="s">
        <v>5289</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5290</v>
      </c>
      <c r="BF2258" s="121" t="s">
        <v>5291</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5292</v>
      </c>
      <c r="E2259" s="104" t="s">
        <v>5293</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6" t="s">
        <v>5294</v>
      </c>
      <c r="AV2259" s="102"/>
      <c r="AW2259" s="101" t="s">
        <v>287</v>
      </c>
      <c r="AX2259" s="102" t="s">
        <v>545</v>
      </c>
      <c r="AY2259" s="102">
        <v>10001005</v>
      </c>
      <c r="AZ2259" s="346" t="s">
        <v>5295</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5296</v>
      </c>
      <c r="E2260" s="101" t="s">
        <v>5297</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4" t="s">
        <v>5298</v>
      </c>
      <c r="AU2260" s="116">
        <v>0</v>
      </c>
      <c r="AV2260" s="116"/>
      <c r="AW2260" s="104" t="s">
        <v>256</v>
      </c>
      <c r="AX2260" s="103" t="s">
        <v>534</v>
      </c>
      <c r="AY2260" s="102">
        <v>0</v>
      </c>
      <c r="AZ2260" s="102">
        <v>0</v>
      </c>
      <c r="BA2260" s="101" t="s">
        <v>200</v>
      </c>
      <c r="BB2260" s="103">
        <v>0</v>
      </c>
      <c r="BC2260" s="107">
        <v>0</v>
      </c>
      <c r="BD2260" s="107">
        <v>0</v>
      </c>
      <c r="BE2260" s="121" t="s">
        <v>5299</v>
      </c>
      <c r="BF2260" s="121" t="s">
        <v>5300</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5301</v>
      </c>
      <c r="E2261" s="101" t="s">
        <v>5302</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8" t="s">
        <v>5303</v>
      </c>
      <c r="AV2261" s="116"/>
      <c r="AW2261" s="101" t="s">
        <v>287</v>
      </c>
      <c r="AX2261" s="103" t="s">
        <v>534</v>
      </c>
      <c r="AY2261" s="102">
        <v>10000007</v>
      </c>
      <c r="AZ2261" s="102">
        <v>77002008</v>
      </c>
      <c r="BA2261" s="101" t="s">
        <v>586</v>
      </c>
      <c r="BB2261" s="103" t="s">
        <v>2323</v>
      </c>
      <c r="BC2261" s="107">
        <v>0</v>
      </c>
      <c r="BD2261" s="107">
        <v>1</v>
      </c>
      <c r="BE2261" s="121" t="s">
        <v>5304</v>
      </c>
      <c r="BF2261" s="121" t="s">
        <v>5305</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5235</v>
      </c>
      <c r="E2262" s="101" t="s">
        <v>5236</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5306</v>
      </c>
      <c r="BF2262" s="139" t="s">
        <v>5307</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5308</v>
      </c>
      <c r="E2263" s="101" t="s">
        <v>5309</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8" t="s">
        <v>5310</v>
      </c>
      <c r="AV2263" s="116"/>
      <c r="AW2263" s="101" t="s">
        <v>287</v>
      </c>
      <c r="AX2263" s="103" t="s">
        <v>534</v>
      </c>
      <c r="AY2263" s="102">
        <v>10000007</v>
      </c>
      <c r="AZ2263" s="102">
        <v>77002008</v>
      </c>
      <c r="BA2263" s="101" t="s">
        <v>586</v>
      </c>
      <c r="BB2263" s="103" t="s">
        <v>2323</v>
      </c>
      <c r="BC2263" s="107">
        <v>0</v>
      </c>
      <c r="BD2263" s="107">
        <v>1</v>
      </c>
      <c r="BE2263" s="121" t="s">
        <v>5311</v>
      </c>
      <c r="BF2263" s="121" t="s">
        <v>5312</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5235</v>
      </c>
      <c r="E2264" s="101" t="s">
        <v>5236</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5306</v>
      </c>
      <c r="BF2264" s="139" t="s">
        <v>5307</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5313</v>
      </c>
      <c r="E2265" s="305" t="s">
        <v>5314</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8" t="s">
        <v>5253</v>
      </c>
      <c r="AV2265" s="116"/>
      <c r="AW2265" s="101" t="s">
        <v>256</v>
      </c>
      <c r="AX2265" s="103" t="s">
        <v>215</v>
      </c>
      <c r="AY2265" s="102">
        <v>10000011</v>
      </c>
      <c r="AZ2265" s="346" t="s">
        <v>5268</v>
      </c>
      <c r="BA2265" s="104" t="s">
        <v>200</v>
      </c>
      <c r="BB2265" s="103">
        <v>0</v>
      </c>
      <c r="BC2265" s="107">
        <v>0</v>
      </c>
      <c r="BD2265" s="107">
        <v>0</v>
      </c>
      <c r="BE2265" s="121" t="s">
        <v>5315</v>
      </c>
      <c r="BF2265" s="121" t="s">
        <v>5316</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7" t="s">
        <v>5317</v>
      </c>
      <c r="AU2266" s="348" t="s">
        <v>5294</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5235</v>
      </c>
      <c r="E2267" s="101" t="s">
        <v>5236</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8" t="s">
        <v>5253</v>
      </c>
      <c r="AV2267" s="116"/>
      <c r="AW2267" s="101" t="s">
        <v>198</v>
      </c>
      <c r="AX2267" s="103" t="s">
        <v>534</v>
      </c>
      <c r="AY2267" s="102">
        <v>10000001</v>
      </c>
      <c r="AZ2267" s="102">
        <v>77002009</v>
      </c>
      <c r="BA2267" s="101" t="s">
        <v>771</v>
      </c>
      <c r="BB2267" s="103">
        <v>0</v>
      </c>
      <c r="BC2267" s="107">
        <v>0</v>
      </c>
      <c r="BD2267" s="107">
        <v>0</v>
      </c>
      <c r="BE2267" s="139" t="s">
        <v>5237</v>
      </c>
      <c r="BF2267" s="139" t="s">
        <v>5238</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5318</v>
      </c>
      <c r="E2268" s="101" t="s">
        <v>5319</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8" t="s">
        <v>5320</v>
      </c>
      <c r="AV2268" s="116"/>
      <c r="AW2268" s="101" t="s">
        <v>256</v>
      </c>
      <c r="AX2268" s="103" t="s">
        <v>534</v>
      </c>
      <c r="AY2268" s="102">
        <v>10000007</v>
      </c>
      <c r="AZ2268" s="102">
        <v>77002008</v>
      </c>
      <c r="BA2268" s="101" t="s">
        <v>586</v>
      </c>
      <c r="BB2268" s="103" t="s">
        <v>5321</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5235</v>
      </c>
      <c r="E2269" s="101" t="s">
        <v>5236</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8" t="s">
        <v>5294</v>
      </c>
      <c r="AV2269" s="116"/>
      <c r="AW2269" s="101" t="s">
        <v>198</v>
      </c>
      <c r="AX2269" s="103" t="s">
        <v>534</v>
      </c>
      <c r="AY2269" s="102">
        <v>10000001</v>
      </c>
      <c r="AZ2269" s="102">
        <v>77002009</v>
      </c>
      <c r="BA2269" s="101" t="s">
        <v>771</v>
      </c>
      <c r="BB2269" s="103">
        <v>0</v>
      </c>
      <c r="BC2269" s="107">
        <v>0</v>
      </c>
      <c r="BD2269" s="107">
        <v>0</v>
      </c>
      <c r="BE2269" s="139" t="s">
        <v>5237</v>
      </c>
      <c r="BF2269" s="139" t="s">
        <v>5238</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5322</v>
      </c>
      <c r="E2270" s="61" t="s">
        <v>5323</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4" t="s">
        <v>5324</v>
      </c>
      <c r="AV2270" s="62"/>
      <c r="AW2270" s="61" t="s">
        <v>198</v>
      </c>
      <c r="AX2270" s="62" t="s">
        <v>534</v>
      </c>
      <c r="AY2270" s="66">
        <v>10000001</v>
      </c>
      <c r="AZ2270" s="66">
        <v>77005001</v>
      </c>
      <c r="BA2270" s="61" t="s">
        <v>200</v>
      </c>
      <c r="BB2270" s="62">
        <v>0</v>
      </c>
      <c r="BC2270" s="70">
        <v>0</v>
      </c>
      <c r="BD2270" s="70">
        <v>0</v>
      </c>
      <c r="BE2270" s="123" t="s">
        <v>5325</v>
      </c>
      <c r="BF2270" s="123" t="s">
        <v>5326</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3" t="s">
        <v>5327</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3" t="s">
        <v>5328</v>
      </c>
      <c r="BV2271" s="49"/>
      <c r="BW2271" s="49"/>
    </row>
    <row r="2272" ht="19.5" customHeight="1" spans="1:75">
      <c r="A2272" s="140"/>
      <c r="B2272" s="140"/>
      <c r="C2272" s="66">
        <v>77005003</v>
      </c>
      <c r="D2272" s="61" t="s">
        <v>5329</v>
      </c>
      <c r="E2272" s="149" t="s">
        <v>5330</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4" t="s">
        <v>5331</v>
      </c>
      <c r="BC2272" s="68">
        <v>0</v>
      </c>
      <c r="BD2272" s="68">
        <v>0</v>
      </c>
      <c r="BE2272" s="92" t="s">
        <v>5332</v>
      </c>
      <c r="BF2272" s="92" t="s">
        <v>5333</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3" t="s">
        <v>5327</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3" t="s">
        <v>5327</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3" t="s">
        <v>5327</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3" t="s">
        <v>5327</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5334</v>
      </c>
      <c r="E2280" s="101" t="s">
        <v>5335</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9" t="s">
        <v>5324</v>
      </c>
      <c r="AV2280" s="103"/>
      <c r="AW2280" s="101" t="s">
        <v>198</v>
      </c>
      <c r="AX2280" s="103" t="s">
        <v>534</v>
      </c>
      <c r="AY2280" s="102">
        <v>10000001</v>
      </c>
      <c r="AZ2280" s="102">
        <v>77005003</v>
      </c>
      <c r="BA2280" s="101" t="s">
        <v>2201</v>
      </c>
      <c r="BB2280" s="103" t="s">
        <v>5336</v>
      </c>
      <c r="BC2280" s="108">
        <v>0</v>
      </c>
      <c r="BD2280" s="108">
        <v>0</v>
      </c>
      <c r="BE2280" s="139" t="s">
        <v>5337</v>
      </c>
      <c r="BF2280" s="139" t="s">
        <v>5338</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5339</v>
      </c>
      <c r="E2281" s="305" t="s">
        <v>5340</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5341</v>
      </c>
      <c r="BF2281" s="121" t="s">
        <v>5342</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3" t="s">
        <v>5343</v>
      </c>
      <c r="BV2281" s="49"/>
      <c r="BW2281" s="49"/>
    </row>
    <row r="2282" ht="20.1" customHeight="1" spans="1:75">
      <c r="A2282" s="140"/>
      <c r="B2282" s="140"/>
      <c r="C2282" s="102">
        <v>77006003</v>
      </c>
      <c r="D2282" s="101" t="s">
        <v>5344</v>
      </c>
      <c r="E2282" s="305" t="s">
        <v>5345</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9" t="s">
        <v>5324</v>
      </c>
      <c r="AV2282" s="103"/>
      <c r="AW2282" s="101" t="s">
        <v>198</v>
      </c>
      <c r="AX2282" s="103" t="s">
        <v>545</v>
      </c>
      <c r="AY2282" s="102">
        <v>0</v>
      </c>
      <c r="AZ2282" s="102">
        <v>77005005</v>
      </c>
      <c r="BA2282" s="101" t="s">
        <v>2217</v>
      </c>
      <c r="BB2282" s="103" t="s">
        <v>5346</v>
      </c>
      <c r="BC2282" s="107">
        <v>0</v>
      </c>
      <c r="BD2282" s="107">
        <v>0</v>
      </c>
      <c r="BE2282" s="121" t="s">
        <v>5347</v>
      </c>
      <c r="BF2282" s="121" t="s">
        <v>5348</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5349</v>
      </c>
      <c r="E2284" s="319" t="s">
        <v>5350</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4" t="s">
        <v>5351</v>
      </c>
      <c r="AV2284" s="320"/>
      <c r="AW2284" s="319" t="s">
        <v>198</v>
      </c>
      <c r="AX2284" s="320" t="s">
        <v>534</v>
      </c>
      <c r="AY2284" s="318">
        <v>10000001</v>
      </c>
      <c r="AZ2284" s="318">
        <v>77005101</v>
      </c>
      <c r="BA2284" s="319" t="s">
        <v>1371</v>
      </c>
      <c r="BB2284" s="320">
        <v>0</v>
      </c>
      <c r="BC2284" s="49">
        <v>0</v>
      </c>
      <c r="BD2284" s="49">
        <v>0</v>
      </c>
      <c r="BE2284" s="336" t="s">
        <v>5352</v>
      </c>
      <c r="BF2284" s="336" t="s">
        <v>5353</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5354</v>
      </c>
      <c r="E2285" s="319" t="s">
        <v>5355</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5" t="s">
        <v>5356</v>
      </c>
      <c r="AV2285" s="331"/>
      <c r="AW2285" s="319" t="s">
        <v>198</v>
      </c>
      <c r="AX2285" s="320" t="s">
        <v>534</v>
      </c>
      <c r="AY2285" s="318">
        <v>10000001</v>
      </c>
      <c r="AZ2285" s="318">
        <v>77005102</v>
      </c>
      <c r="BA2285" s="319" t="s">
        <v>200</v>
      </c>
      <c r="BB2285" s="320">
        <v>0</v>
      </c>
      <c r="BC2285" s="49">
        <v>0</v>
      </c>
      <c r="BD2285" s="49">
        <v>0</v>
      </c>
      <c r="BE2285" s="336" t="s">
        <v>5357</v>
      </c>
      <c r="BF2285" s="336" t="s">
        <v>5358</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5359</v>
      </c>
      <c r="E2286" s="321" t="s">
        <v>5360</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3" t="s">
        <v>5361</v>
      </c>
      <c r="AU2286" s="320">
        <v>0</v>
      </c>
      <c r="AV2286" s="320"/>
      <c r="AW2286" s="319" t="s">
        <v>198</v>
      </c>
      <c r="AX2286" s="320" t="s">
        <v>545</v>
      </c>
      <c r="AY2286" s="318">
        <v>0</v>
      </c>
      <c r="AZ2286" s="318">
        <v>77005103</v>
      </c>
      <c r="BA2286" s="319" t="s">
        <v>1174</v>
      </c>
      <c r="BB2286" s="384" t="s">
        <v>5362</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3" t="s">
        <v>5363</v>
      </c>
      <c r="AU2287" s="320" t="s">
        <v>198</v>
      </c>
      <c r="AV2287" s="320"/>
      <c r="AW2287" s="319" t="s">
        <v>198</v>
      </c>
      <c r="AX2287" s="320" t="s">
        <v>545</v>
      </c>
      <c r="AY2287" s="318">
        <v>0</v>
      </c>
      <c r="AZ2287" s="318">
        <v>77005104</v>
      </c>
      <c r="BA2287" s="319" t="s">
        <v>1165</v>
      </c>
      <c r="BB2287" s="320">
        <v>0</v>
      </c>
      <c r="BC2287" s="327">
        <v>0</v>
      </c>
      <c r="BD2287" s="327">
        <v>0</v>
      </c>
      <c r="BE2287" s="337" t="s">
        <v>5364</v>
      </c>
      <c r="BF2287" s="337" t="s">
        <v>5365</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5" t="s">
        <v>5324</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6" t="s">
        <v>5366</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5367</v>
      </c>
      <c r="E2291" s="61" t="s">
        <v>5368</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4" t="s">
        <v>5369</v>
      </c>
      <c r="AV2291" s="62"/>
      <c r="AW2291" s="61" t="s">
        <v>198</v>
      </c>
      <c r="AX2291" s="62" t="s">
        <v>534</v>
      </c>
      <c r="AY2291" s="66">
        <v>10000001</v>
      </c>
      <c r="AZ2291" s="66">
        <v>77005201</v>
      </c>
      <c r="BA2291" s="61" t="s">
        <v>586</v>
      </c>
      <c r="BB2291" s="62">
        <v>0</v>
      </c>
      <c r="BC2291" s="70">
        <v>0</v>
      </c>
      <c r="BD2291" s="70">
        <v>0</v>
      </c>
      <c r="BE2291" s="123" t="s">
        <v>5370</v>
      </c>
      <c r="BF2291" s="123" t="s">
        <v>5371</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5372</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3" t="s">
        <v>5324</v>
      </c>
      <c r="AV2292" s="81"/>
      <c r="AW2292" s="65" t="s">
        <v>198</v>
      </c>
      <c r="AX2292" s="62" t="s">
        <v>545</v>
      </c>
      <c r="AY2292" s="66">
        <v>10000001</v>
      </c>
      <c r="AZ2292" s="66">
        <v>77005203</v>
      </c>
      <c r="BA2292" s="61" t="s">
        <v>315</v>
      </c>
      <c r="BB2292" s="62">
        <v>1</v>
      </c>
      <c r="BC2292" s="68">
        <v>0</v>
      </c>
      <c r="BD2292" s="68">
        <v>0</v>
      </c>
      <c r="BE2292" s="92" t="s">
        <v>5373</v>
      </c>
      <c r="BF2292" s="92" t="s">
        <v>5374</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5375</v>
      </c>
      <c r="E2293" s="149" t="s">
        <v>5376</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5377</v>
      </c>
      <c r="BF2293" s="92" t="s">
        <v>5378</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1" t="s">
        <v>5379</v>
      </c>
      <c r="BV2293" s="49"/>
      <c r="BW2293" s="49"/>
    </row>
    <row r="2294" ht="20.1" customHeight="1" spans="1:75">
      <c r="A2294" s="140"/>
      <c r="B2294" s="140"/>
      <c r="C2294" s="66">
        <v>77008004</v>
      </c>
      <c r="D2294" s="61" t="s">
        <v>5380</v>
      </c>
      <c r="E2294" s="149" t="s">
        <v>5381</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4" t="s">
        <v>198</v>
      </c>
      <c r="AV2294" s="62"/>
      <c r="AW2294" s="61" t="s">
        <v>198</v>
      </c>
      <c r="AX2294" s="62" t="s">
        <v>545</v>
      </c>
      <c r="AY2294" s="66">
        <v>0</v>
      </c>
      <c r="AZ2294" s="66">
        <v>77005204</v>
      </c>
      <c r="BA2294" s="61" t="s">
        <v>200</v>
      </c>
      <c r="BB2294" s="62">
        <v>0</v>
      </c>
      <c r="BC2294" s="68">
        <v>0</v>
      </c>
      <c r="BD2294" s="68">
        <v>0</v>
      </c>
      <c r="BE2294" s="92" t="s">
        <v>5382</v>
      </c>
      <c r="BF2294" s="92" t="s">
        <v>5383</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3" t="s">
        <v>5324</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3" t="s">
        <v>5324</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3" t="s">
        <v>5384</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5385</v>
      </c>
      <c r="BC2298" s="108">
        <v>0</v>
      </c>
      <c r="BD2298" s="108">
        <v>0</v>
      </c>
      <c r="BE2298" s="139" t="s">
        <v>5386</v>
      </c>
      <c r="BF2298" s="139" t="s">
        <v>5387</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5388</v>
      </c>
      <c r="E2299" s="305" t="s">
        <v>5389</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8" t="s">
        <v>5390</v>
      </c>
      <c r="AV2299" s="116"/>
      <c r="AW2299" s="104" t="s">
        <v>198</v>
      </c>
      <c r="AX2299" s="103" t="s">
        <v>545</v>
      </c>
      <c r="AY2299" s="102">
        <v>10000001</v>
      </c>
      <c r="AZ2299" s="102">
        <v>77005302</v>
      </c>
      <c r="BA2299" s="101" t="s">
        <v>200</v>
      </c>
      <c r="BB2299" s="103" t="s">
        <v>5391</v>
      </c>
      <c r="BC2299" s="107">
        <v>0</v>
      </c>
      <c r="BD2299" s="107">
        <v>0</v>
      </c>
      <c r="BE2299" s="121" t="s">
        <v>5392</v>
      </c>
      <c r="BF2299" s="121" t="s">
        <v>5393</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5394</v>
      </c>
      <c r="BB2300" s="103">
        <v>90005004</v>
      </c>
      <c r="BC2300" s="107">
        <v>0</v>
      </c>
      <c r="BD2300" s="107">
        <v>0</v>
      </c>
      <c r="BE2300" s="121" t="s">
        <v>5395</v>
      </c>
      <c r="BF2300" s="121" t="s">
        <v>5396</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9" t="s">
        <v>5397</v>
      </c>
      <c r="BC2301" s="107">
        <v>0</v>
      </c>
      <c r="BD2301" s="107">
        <v>0</v>
      </c>
      <c r="BE2301" s="121" t="s">
        <v>5398</v>
      </c>
      <c r="BF2301" s="121" t="s">
        <v>5399</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9" t="s">
        <v>5400</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2869</v>
      </c>
      <c r="E2306" s="149" t="s">
        <v>2870</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5401</v>
      </c>
      <c r="BF2306" s="92" t="s">
        <v>5402</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5403</v>
      </c>
      <c r="E2307" s="61" t="s">
        <v>2383</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2384</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5404</v>
      </c>
      <c r="E2308" s="61" t="s">
        <v>1437</v>
      </c>
      <c r="F2308" s="62">
        <v>0</v>
      </c>
      <c r="G2308" s="62">
        <v>62011301</v>
      </c>
      <c r="H2308" s="62">
        <v>0</v>
      </c>
      <c r="I2308" s="68">
        <v>0</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0</v>
      </c>
      <c r="AI2308" s="70">
        <v>0</v>
      </c>
      <c r="AJ2308" s="70">
        <v>101</v>
      </c>
      <c r="AK2308" s="70">
        <v>0</v>
      </c>
      <c r="AL2308" s="70">
        <v>10</v>
      </c>
      <c r="AM2308" s="62">
        <v>0</v>
      </c>
      <c r="AN2308" s="62">
        <v>0</v>
      </c>
      <c r="AO2308" s="62">
        <v>0</v>
      </c>
      <c r="AP2308" s="62">
        <v>1</v>
      </c>
      <c r="AQ2308" s="62">
        <v>1000</v>
      </c>
      <c r="AR2308" s="62">
        <v>0.4</v>
      </c>
      <c r="AS2308" s="62">
        <v>0</v>
      </c>
      <c r="AT2308" s="70">
        <v>0</v>
      </c>
      <c r="AU2308" s="62" t="s">
        <v>198</v>
      </c>
      <c r="AV2308" s="62"/>
      <c r="AW2308" s="61" t="s">
        <v>762</v>
      </c>
      <c r="AX2308" s="62" t="s">
        <v>215</v>
      </c>
      <c r="AY2308" s="66">
        <v>10000015</v>
      </c>
      <c r="AZ2308" s="66">
        <v>21000030</v>
      </c>
      <c r="BA2308" s="61" t="s">
        <v>5405</v>
      </c>
      <c r="BB2308" s="364" t="s">
        <v>5406</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8"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2025-08-11T03:10:43Z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