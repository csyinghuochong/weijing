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FFB70F0B-DE08-4CE3-AA06-9433D1DD6793}"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SkillProto!$BA$1:$BA$2307</definedName>
  </definedNames>
  <calcPr calcId="191029"/>
</workbook>
</file>

<file path=xl/calcChain.xml><?xml version="1.0" encoding="utf-8"?>
<calcChain xmlns="http://schemas.openxmlformats.org/spreadsheetml/2006/main">
  <c r="BE1160" i="1" l="1"/>
  <c r="BE1159" i="1"/>
  <c r="BE1158" i="1"/>
  <c r="BE1157" i="1"/>
  <c r="BE1156" i="1"/>
  <c r="BE1155" i="1"/>
  <c r="BE1226" i="1"/>
  <c r="BE1225" i="1"/>
  <c r="BE1224" i="1"/>
  <c r="BE1223" i="1"/>
  <c r="BE1222" i="1"/>
  <c r="BE1221" i="1"/>
  <c r="BE1220" i="1"/>
  <c r="BE1219" i="1"/>
  <c r="BE1218" i="1"/>
  <c r="BE1217" i="1"/>
  <c r="BE1216" i="1"/>
  <c r="BE1215" i="1"/>
  <c r="BE1196" i="1"/>
  <c r="BE1195" i="1"/>
  <c r="BE1194" i="1"/>
  <c r="BE1193" i="1"/>
  <c r="BE1192" i="1"/>
  <c r="BE1191" i="1"/>
  <c r="BE1190" i="1"/>
  <c r="BE1189" i="1"/>
  <c r="BE1188" i="1"/>
  <c r="BE1187" i="1"/>
  <c r="BE1186" i="1"/>
  <c r="BE1185" i="1"/>
  <c r="BE1178" i="1"/>
  <c r="BE1177" i="1"/>
  <c r="BE1176" i="1"/>
  <c r="BE1175" i="1"/>
  <c r="BE1174" i="1"/>
  <c r="BE1173" i="1"/>
  <c r="BE1148" i="1"/>
  <c r="BE1147" i="1"/>
  <c r="BE1146" i="1"/>
  <c r="BE1145" i="1"/>
  <c r="BE1144" i="1"/>
  <c r="BE1143" i="1"/>
  <c r="BE1142" i="1"/>
  <c r="BE1141" i="1"/>
  <c r="BE1140" i="1"/>
  <c r="BE1139" i="1"/>
  <c r="BE1138" i="1"/>
  <c r="BE1137" i="1"/>
  <c r="BE1130" i="1"/>
  <c r="BE1129" i="1"/>
  <c r="BE1128" i="1"/>
  <c r="BE1127" i="1"/>
  <c r="BE1126" i="1"/>
  <c r="BE1125" i="1"/>
  <c r="BE1136" i="1"/>
  <c r="BE1135" i="1"/>
  <c r="BE1134" i="1"/>
  <c r="BE1133" i="1"/>
  <c r="BE1132" i="1"/>
  <c r="BE1131" i="1"/>
  <c r="BE1124" i="1"/>
  <c r="BE1123" i="1"/>
  <c r="BE1122" i="1"/>
  <c r="BE1121" i="1"/>
  <c r="BE1120" i="1"/>
  <c r="BE1119" i="1"/>
  <c r="BE2166" i="1"/>
  <c r="BE2163" i="1"/>
  <c r="BE2157" i="1"/>
  <c r="BE2156" i="1"/>
  <c r="BE2155" i="1"/>
  <c r="H2155" i="1"/>
  <c r="J2138" i="1"/>
  <c r="BE2116" i="1"/>
  <c r="H1753" i="1"/>
  <c r="H1752" i="1"/>
  <c r="H1751" i="1"/>
  <c r="H1750" i="1"/>
  <c r="H1749" i="1"/>
  <c r="H1748" i="1"/>
  <c r="H1747" i="1"/>
  <c r="H1746" i="1"/>
  <c r="H1745" i="1"/>
  <c r="H1744" i="1"/>
  <c r="H1742" i="1"/>
  <c r="H1741" i="1"/>
  <c r="H1740" i="1"/>
  <c r="H1739" i="1"/>
  <c r="H1738" i="1"/>
  <c r="H1737" i="1"/>
  <c r="H1736" i="1"/>
  <c r="H1735" i="1"/>
  <c r="H1734" i="1"/>
  <c r="H1733" i="1"/>
  <c r="H1731" i="1"/>
  <c r="H1730" i="1"/>
  <c r="H1729" i="1"/>
  <c r="H1728" i="1"/>
  <c r="H1727" i="1"/>
  <c r="H1726" i="1"/>
  <c r="H1725" i="1"/>
  <c r="H1724" i="1"/>
  <c r="H1723" i="1"/>
  <c r="H1722" i="1"/>
  <c r="H1720" i="1"/>
  <c r="H1719" i="1"/>
  <c r="H1718" i="1"/>
  <c r="H1717" i="1"/>
  <c r="H1716" i="1"/>
  <c r="H1715" i="1"/>
  <c r="H1714" i="1"/>
  <c r="H1713" i="1"/>
  <c r="H1712" i="1"/>
  <c r="H1711" i="1"/>
  <c r="AL1480" i="1"/>
  <c r="BE1395" i="1"/>
  <c r="BE1394" i="1"/>
  <c r="BE1303" i="1"/>
  <c r="BE1302" i="1"/>
  <c r="BE1297" i="1"/>
  <c r="BE1288" i="1"/>
  <c r="BE1286" i="1"/>
  <c r="BE1279" i="1"/>
  <c r="BE1278" i="1"/>
  <c r="BE1247" i="1"/>
  <c r="BE1235" i="1"/>
  <c r="BE1108" i="1"/>
  <c r="BE1107" i="1"/>
  <c r="BE1106" i="1"/>
  <c r="BE1105" i="1"/>
  <c r="BE1104" i="1"/>
  <c r="BE1103" i="1"/>
  <c r="BE1096" i="1"/>
  <c r="BE1095" i="1"/>
  <c r="BE1094" i="1"/>
  <c r="Z1093" i="1"/>
  <c r="BE1093" i="1" s="1"/>
  <c r="Z1092" i="1"/>
  <c r="BE1092" i="1" s="1"/>
  <c r="Z1091" i="1"/>
  <c r="BE1091" i="1" s="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1" i="1"/>
  <c r="BE1040" i="1"/>
  <c r="BE1039" i="1"/>
  <c r="BE1038" i="1"/>
  <c r="BE1037" i="1"/>
  <c r="BE1036" i="1"/>
  <c r="BE1029" i="1"/>
  <c r="BE1028" i="1"/>
  <c r="BE1027" i="1"/>
  <c r="BE1026" i="1"/>
  <c r="BE1025" i="1"/>
  <c r="BE1024" i="1"/>
  <c r="BE1023" i="1"/>
  <c r="BE1022" i="1"/>
  <c r="BE1021" i="1"/>
  <c r="BE1020" i="1"/>
  <c r="BE1019" i="1"/>
  <c r="BE1018" i="1"/>
  <c r="BE1017" i="1"/>
  <c r="BE1016" i="1"/>
  <c r="BE1015" i="1"/>
  <c r="BE1014" i="1"/>
  <c r="BE1013" i="1"/>
  <c r="BE1012" i="1"/>
  <c r="BE1005" i="1"/>
  <c r="BE516" i="1" s="1"/>
  <c r="BE1004" i="1"/>
  <c r="BE515" i="1" s="1"/>
  <c r="BE1003" i="1"/>
  <c r="BE514" i="1" s="1"/>
  <c r="BE1002" i="1"/>
  <c r="BE513" i="1" s="1"/>
  <c r="BE1001" i="1"/>
  <c r="BE512" i="1" s="1"/>
  <c r="BE1000" i="1"/>
  <c r="BE511" i="1" s="1"/>
  <c r="BE999" i="1"/>
  <c r="BE998" i="1"/>
  <c r="BE997" i="1"/>
  <c r="BE996" i="1"/>
  <c r="BE995" i="1"/>
  <c r="BE994" i="1"/>
  <c r="BE993" i="1"/>
  <c r="BE992" i="1"/>
  <c r="BE991" i="1"/>
  <c r="BE990" i="1"/>
  <c r="BE989" i="1"/>
  <c r="BE988" i="1"/>
  <c r="BE987" i="1"/>
  <c r="BE973" i="1"/>
  <c r="BE972" i="1"/>
  <c r="BE971" i="1"/>
  <c r="BE970" i="1"/>
  <c r="BE969" i="1"/>
  <c r="BE968" i="1"/>
  <c r="BE967" i="1"/>
  <c r="BE966" i="1"/>
  <c r="BE965" i="1"/>
  <c r="BE964" i="1"/>
  <c r="BE963" i="1"/>
  <c r="BE962" i="1"/>
  <c r="H951" i="1"/>
  <c r="H950" i="1"/>
  <c r="H949" i="1"/>
  <c r="BE948" i="1"/>
  <c r="BE947" i="1"/>
  <c r="BE946" i="1"/>
  <c r="BE945" i="1"/>
  <c r="H945" i="1"/>
  <c r="BE944" i="1"/>
  <c r="H944" i="1"/>
  <c r="BE943" i="1"/>
  <c r="H943" i="1"/>
  <c r="BE942" i="1"/>
  <c r="BE941" i="1"/>
  <c r="BE940" i="1"/>
  <c r="BE939" i="1"/>
  <c r="H939" i="1"/>
  <c r="BE938" i="1"/>
  <c r="H938" i="1"/>
  <c r="BE937" i="1"/>
  <c r="H937" i="1"/>
  <c r="H933" i="1"/>
  <c r="H932"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BE912" i="1"/>
  <c r="BE911" i="1"/>
  <c r="BE910" i="1"/>
  <c r="BE909" i="1"/>
  <c r="H909" i="1"/>
  <c r="BE908" i="1"/>
  <c r="H908" i="1"/>
  <c r="BE907" i="1"/>
  <c r="H907" i="1"/>
  <c r="H900" i="1"/>
  <c r="H899" i="1"/>
  <c r="H898" i="1"/>
  <c r="BE897" i="1"/>
  <c r="BE896" i="1"/>
  <c r="BE895" i="1"/>
  <c r="BE894" i="1"/>
  <c r="H894" i="1"/>
  <c r="BE893" i="1"/>
  <c r="H893" i="1"/>
  <c r="BE892" i="1"/>
  <c r="H892" i="1"/>
  <c r="BE891" i="1"/>
  <c r="BE890" i="1"/>
  <c r="BE889" i="1"/>
  <c r="BE888" i="1"/>
  <c r="BE887" i="1"/>
  <c r="H883" i="1"/>
  <c r="H882" i="1"/>
  <c r="H881" i="1"/>
  <c r="BE880" i="1"/>
  <c r="BE879" i="1"/>
  <c r="BE878" i="1"/>
  <c r="BE877" i="1"/>
  <c r="BE876" i="1"/>
  <c r="H872" i="1"/>
  <c r="H871" i="1"/>
  <c r="H870" i="1"/>
  <c r="BE869" i="1"/>
  <c r="BE868" i="1"/>
  <c r="BE867" i="1"/>
  <c r="BE866" i="1"/>
  <c r="H866" i="1"/>
  <c r="BE865" i="1"/>
  <c r="H865" i="1"/>
  <c r="BE864" i="1"/>
  <c r="H864" i="1"/>
  <c r="BE863" i="1"/>
  <c r="BE862" i="1"/>
  <c r="BE861" i="1"/>
  <c r="BE860" i="1"/>
  <c r="H860" i="1"/>
  <c r="BE859" i="1"/>
  <c r="H859" i="1"/>
  <c r="BE858" i="1"/>
  <c r="H858" i="1"/>
  <c r="BE857" i="1"/>
  <c r="BE492" i="1" s="1"/>
  <c r="BE856" i="1"/>
  <c r="BE491" i="1" s="1"/>
  <c r="BE855" i="1"/>
  <c r="BE490" i="1" s="1"/>
  <c r="BE854" i="1"/>
  <c r="BE489" i="1" s="1"/>
  <c r="H854" i="1"/>
  <c r="BE853" i="1"/>
  <c r="BE488" i="1" s="1"/>
  <c r="H853" i="1"/>
  <c r="BE852" i="1"/>
  <c r="BE487" i="1" s="1"/>
  <c r="H852" i="1"/>
  <c r="H848" i="1"/>
  <c r="H847" i="1"/>
  <c r="H846" i="1"/>
  <c r="H835" i="1"/>
  <c r="H834" i="1"/>
  <c r="H833" i="1"/>
  <c r="BE832" i="1"/>
  <c r="BE831" i="1"/>
  <c r="BE830" i="1"/>
  <c r="BE829" i="1"/>
  <c r="H829" i="1"/>
  <c r="BE828" i="1"/>
  <c r="H828" i="1"/>
  <c r="BE827" i="1"/>
  <c r="H827" i="1"/>
  <c r="BE826" i="1"/>
  <c r="BE825" i="1"/>
  <c r="BE824" i="1"/>
  <c r="BE823" i="1"/>
  <c r="H823" i="1"/>
  <c r="BE822" i="1"/>
  <c r="H822" i="1"/>
  <c r="BE821" i="1"/>
  <c r="H821" i="1"/>
  <c r="H817" i="1"/>
  <c r="H816" i="1"/>
  <c r="H815" i="1"/>
  <c r="BE814" i="1"/>
  <c r="BE813" i="1"/>
  <c r="BE812" i="1"/>
  <c r="BE811" i="1"/>
  <c r="BE810" i="1"/>
  <c r="BE809" i="1"/>
  <c r="BE808" i="1"/>
  <c r="BE807" i="1"/>
  <c r="BE806" i="1"/>
  <c r="BE805" i="1"/>
  <c r="BE804" i="1"/>
  <c r="BE803" i="1"/>
  <c r="H799" i="1"/>
  <c r="H798" i="1"/>
  <c r="H797" i="1"/>
  <c r="BE790" i="1"/>
  <c r="BE789" i="1"/>
  <c r="BE788" i="1"/>
  <c r="BE787" i="1"/>
  <c r="H787" i="1"/>
  <c r="BE786" i="1"/>
  <c r="H786" i="1"/>
  <c r="BE785" i="1"/>
  <c r="H785" i="1"/>
  <c r="H782" i="1"/>
  <c r="H781" i="1"/>
  <c r="H780" i="1"/>
  <c r="BE779" i="1"/>
  <c r="BE778" i="1"/>
  <c r="BE777" i="1"/>
  <c r="BE776" i="1"/>
  <c r="BE775" i="1"/>
  <c r="BE774" i="1"/>
  <c r="BE773" i="1"/>
  <c r="BE772" i="1"/>
  <c r="BE771" i="1"/>
  <c r="BE770" i="1"/>
  <c r="H770" i="1"/>
  <c r="BE769" i="1"/>
  <c r="H769" i="1"/>
  <c r="BE768" i="1"/>
  <c r="H768" i="1"/>
  <c r="BE767" i="1"/>
  <c r="BE766" i="1"/>
  <c r="BE765" i="1"/>
  <c r="BE764" i="1"/>
  <c r="BE763" i="1"/>
  <c r="BE762" i="1"/>
  <c r="BE759" i="1"/>
  <c r="BE758" i="1"/>
  <c r="BE750" i="1"/>
  <c r="BE749" i="1"/>
  <c r="BE748" i="1"/>
  <c r="BE747" i="1"/>
  <c r="H747" i="1"/>
  <c r="BE746" i="1"/>
  <c r="H746" i="1"/>
  <c r="BE745" i="1"/>
  <c r="H745" i="1"/>
  <c r="BE744" i="1"/>
  <c r="BE743" i="1"/>
  <c r="BE742" i="1"/>
  <c r="BE741" i="1"/>
  <c r="BE740" i="1"/>
  <c r="BE739" i="1"/>
  <c r="BE738" i="1"/>
  <c r="BE737" i="1"/>
  <c r="BE736" i="1"/>
  <c r="BE735" i="1"/>
  <c r="BE734" i="1"/>
  <c r="BE733" i="1"/>
  <c r="BE726" i="1"/>
  <c r="BE725" i="1"/>
  <c r="BE724" i="1"/>
  <c r="BE723" i="1"/>
  <c r="BE722" i="1"/>
  <c r="BE721" i="1"/>
  <c r="BE720" i="1"/>
  <c r="BE719" i="1"/>
  <c r="BE718" i="1"/>
  <c r="BE717" i="1"/>
  <c r="H717" i="1"/>
  <c r="BE716" i="1"/>
  <c r="H716" i="1"/>
  <c r="BE715" i="1"/>
  <c r="H715" i="1"/>
  <c r="BE714" i="1"/>
  <c r="BE713" i="1"/>
  <c r="BE712" i="1"/>
  <c r="BE711" i="1"/>
  <c r="H711" i="1"/>
  <c r="BE710" i="1"/>
  <c r="H710" i="1"/>
  <c r="BE709" i="1"/>
  <c r="H709" i="1"/>
  <c r="BE708" i="1"/>
  <c r="BE707" i="1"/>
  <c r="BE706" i="1"/>
  <c r="BE705" i="1"/>
  <c r="H705" i="1"/>
  <c r="BE704" i="1"/>
  <c r="H704" i="1"/>
  <c r="BE703" i="1"/>
  <c r="H703" i="1"/>
  <c r="BE702" i="1"/>
  <c r="BE701" i="1"/>
  <c r="BE700" i="1"/>
  <c r="BE699" i="1"/>
  <c r="H699" i="1"/>
  <c r="BE698" i="1"/>
  <c r="H698" i="1"/>
  <c r="BE697" i="1"/>
  <c r="H697" i="1"/>
  <c r="BE696" i="1"/>
  <c r="BE695" i="1"/>
  <c r="BE694" i="1"/>
  <c r="BE693" i="1"/>
  <c r="H693" i="1"/>
  <c r="BE692" i="1"/>
  <c r="H692" i="1"/>
  <c r="BE691" i="1"/>
  <c r="H691" i="1"/>
  <c r="BE690" i="1"/>
  <c r="BE689" i="1"/>
  <c r="BE688" i="1"/>
  <c r="BE687" i="1"/>
  <c r="H687" i="1"/>
  <c r="BE686" i="1"/>
  <c r="H686" i="1"/>
  <c r="BE685" i="1"/>
  <c r="H685" i="1"/>
  <c r="BE683" i="1"/>
  <c r="BE682" i="1"/>
  <c r="BE681" i="1"/>
  <c r="BE680" i="1"/>
  <c r="H680" i="1"/>
  <c r="BE679" i="1"/>
  <c r="H679" i="1"/>
  <c r="BE678" i="1"/>
  <c r="H678" i="1"/>
  <c r="BE676" i="1"/>
  <c r="BE675" i="1"/>
  <c r="BE674" i="1"/>
  <c r="BE673" i="1"/>
  <c r="H673" i="1"/>
  <c r="BE672" i="1"/>
  <c r="H672" i="1"/>
  <c r="BE671" i="1"/>
  <c r="H671" i="1"/>
  <c r="H667" i="1"/>
  <c r="H666" i="1"/>
  <c r="H665" i="1"/>
  <c r="BE664" i="1"/>
  <c r="BE663" i="1"/>
  <c r="BE662" i="1"/>
  <c r="BE661" i="1"/>
  <c r="H661" i="1"/>
  <c r="BE660" i="1"/>
  <c r="H660" i="1"/>
  <c r="BE659" i="1"/>
  <c r="H659" i="1"/>
  <c r="BE658" i="1"/>
  <c r="BE529" i="1" s="1"/>
  <c r="BE657" i="1"/>
  <c r="BE528" i="1" s="1"/>
  <c r="BE656" i="1"/>
  <c r="BE527" i="1" s="1"/>
  <c r="BE655" i="1"/>
  <c r="BE526" i="1" s="1"/>
  <c r="BE654" i="1"/>
  <c r="BE525" i="1" s="1"/>
  <c r="BE653" i="1"/>
  <c r="BE524" i="1" s="1"/>
  <c r="BE652" i="1"/>
  <c r="BE523" i="1" s="1"/>
  <c r="BE651" i="1"/>
  <c r="BE650" i="1"/>
  <c r="BE649" i="1"/>
  <c r="H649" i="1"/>
  <c r="BE648" i="1"/>
  <c r="H648" i="1"/>
  <c r="BE647" i="1"/>
  <c r="H647" i="1"/>
  <c r="BE646" i="1"/>
  <c r="BE645" i="1"/>
  <c r="BE644" i="1"/>
  <c r="BE643" i="1"/>
  <c r="H643" i="1"/>
  <c r="BE642" i="1"/>
  <c r="H642" i="1"/>
  <c r="BE641" i="1"/>
  <c r="H641" i="1"/>
  <c r="H636" i="1"/>
  <c r="H635" i="1"/>
  <c r="H634" i="1"/>
  <c r="BE633" i="1"/>
  <c r="BE632" i="1"/>
  <c r="BE631" i="1"/>
  <c r="BE630" i="1"/>
  <c r="H630" i="1"/>
  <c r="BE629" i="1"/>
  <c r="H629" i="1"/>
  <c r="BE628" i="1"/>
  <c r="H628" i="1"/>
  <c r="BE627" i="1"/>
  <c r="BE626" i="1"/>
  <c r="BE625" i="1"/>
  <c r="BE624" i="1"/>
  <c r="BE623" i="1"/>
  <c r="BE622" i="1"/>
  <c r="BE621" i="1"/>
  <c r="BE620" i="1"/>
  <c r="BE619" i="1"/>
  <c r="BE618" i="1"/>
  <c r="H618" i="1"/>
  <c r="BE617" i="1"/>
  <c r="H617" i="1"/>
  <c r="BE616" i="1"/>
  <c r="H616" i="1"/>
  <c r="BE615" i="1"/>
  <c r="BE614" i="1"/>
  <c r="BE613" i="1"/>
  <c r="BE612" i="1"/>
  <c r="H612" i="1"/>
  <c r="BE611" i="1"/>
  <c r="H611" i="1"/>
  <c r="BE610" i="1"/>
  <c r="H610" i="1"/>
  <c r="BE609" i="1"/>
  <c r="BE608" i="1"/>
  <c r="BE607" i="1"/>
  <c r="BE606" i="1"/>
  <c r="BE605" i="1"/>
  <c r="BE604" i="1"/>
  <c r="BE603" i="1"/>
  <c r="BE602" i="1"/>
  <c r="BE601" i="1"/>
  <c r="BE600" i="1"/>
  <c r="BE599" i="1"/>
  <c r="BE598"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58" i="1"/>
  <c r="BE557" i="1"/>
  <c r="BE556" i="1"/>
  <c r="BE380" i="1"/>
  <c r="BE93" i="1"/>
  <c r="J93" i="1"/>
  <c r="H93" i="1"/>
  <c r="H84" i="1"/>
  <c r="BE510" i="1" l="1"/>
  <c r="BE497" i="1"/>
  <c r="BE466" i="1"/>
  <c r="BE517" i="1"/>
  <c r="BE518" i="1"/>
  <c r="BE533" i="1"/>
  <c r="BE534" i="1"/>
  <c r="BE519" i="1"/>
  <c r="BE530" i="1"/>
  <c r="BE520" i="1"/>
  <c r="BE521" i="1"/>
  <c r="BE531" i="1"/>
  <c r="BE522" i="1"/>
  <c r="BE532" i="1"/>
  <c r="BE470" i="1"/>
  <c r="BE475" i="1"/>
  <c r="BE501" i="1"/>
  <c r="BE478" i="1"/>
  <c r="BE507" i="1"/>
  <c r="BE505" i="1"/>
  <c r="BE485" i="1"/>
  <c r="BE445" i="1"/>
  <c r="BE457" i="1"/>
  <c r="BE451" i="1"/>
  <c r="BE454" i="1"/>
  <c r="BE486" i="1"/>
  <c r="BE498" i="1"/>
  <c r="BE499" i="1"/>
  <c r="BE472" i="1"/>
  <c r="BE493" i="1"/>
  <c r="BE463" i="1"/>
  <c r="BE473" i="1"/>
  <c r="BE448" i="1"/>
  <c r="BE460" i="1"/>
  <c r="BE455" i="1"/>
  <c r="BE449" i="1"/>
  <c r="BE461" i="1"/>
  <c r="BE481" i="1"/>
  <c r="BE502" i="1"/>
  <c r="BE459" i="1"/>
  <c r="BE474" i="1"/>
  <c r="BE504" i="1"/>
  <c r="BE480" i="1"/>
  <c r="BE484" i="1"/>
  <c r="BE509" i="1"/>
  <c r="BE477" i="1"/>
  <c r="BE506" i="1"/>
  <c r="BE467" i="1"/>
  <c r="BE469" i="1"/>
  <c r="BE479" i="1"/>
  <c r="BE483" i="1"/>
  <c r="BE508" i="1"/>
  <c r="BE468" i="1"/>
  <c r="BE500" i="1"/>
  <c r="BE464" i="1"/>
  <c r="BE476" i="1"/>
  <c r="BE495" i="1"/>
  <c r="BE503" i="1"/>
  <c r="BE450" i="1"/>
  <c r="BE462" i="1"/>
  <c r="BE456" i="1"/>
  <c r="BE471" i="1"/>
  <c r="BE494" i="1"/>
  <c r="BE458" i="1"/>
  <c r="BE452" i="1"/>
  <c r="BE447" i="1"/>
  <c r="BE465" i="1"/>
  <c r="BE482" i="1"/>
  <c r="BE496" i="1"/>
  <c r="BE453" i="1"/>
  <c r="BE4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<sst xmlns="http://schemas.openxmlformats.org/spreadsheetml/2006/main" count="18101" uniqueCount="5358">
  <si>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</si>
  <si>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</si>
  <si>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</si>
  <si>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</si>
  <si>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</si>
  <si>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</si>
  <si>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</si>
  <si>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</si>
  <si>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</si>
  <si>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</si>
  <si>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</si>
  <si>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</si>
  <si>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</si>
  <si>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</si>
  <si>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</si>
  <si>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</si>
  <si>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</si>
  <si>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</si>
  <si>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</si>
  <si>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</si>
  <si>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</si>
  <si>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</si>
  <si>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</si>
  <si>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</si>
  <si>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</si>
  <si>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</si>
  <si>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</si>
  <si>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</si>
  <si>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</si>
  <si>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</si>
  <si>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</si>
  <si>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</si>
  <si>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</si>
  <si>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</si>
  <si>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</si>
  <si>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</si>
  <si>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</si>
  <si>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</si>
  <si>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</si>
  <si>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</si>
  <si>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</si>
  <si>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</si>
  <si>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</si>
  <si>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</si>
  <si>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</si>
  <si>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</si>
  <si>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</si>
  <si>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</si>
  <si>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</si>
  <si>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</si>
  <si>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</si>
  <si>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</si>
  <si>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</si>
  <si>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</si>
  <si>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</si>
  <si>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</si>
  <si>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</si>
  <si>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</si>
  <si>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</si>
  <si>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</si>
  <si>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</si>
  <si>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</si>
  <si>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</si>
  <si>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</si>
  <si>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</si>
  <si>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</si>
  <si>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</si>
  <si>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</si>
  <si>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</si>
  <si>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</si>
  <si>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</si>
  <si>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</si>
  <si>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</si>
  <si>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</si>
  <si>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</si>
  <si>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</si>
  <si>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</si>
  <si>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</si>
  <si>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</si>
  <si>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</si>
  <si>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</si>
  <si>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</si>
  <si>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</si>
  <si>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</si>
  <si>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</si>
  <si>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</si>
  <si>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</si>
  <si>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</si>
  <si>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</si>
  <si>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</si>
  <si>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</si>
  <si>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</si>
  <si>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</si>
  <si>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</si>
  <si>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</si>
  <si>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</si>
  <si>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</si>
  <si>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</si>
  <si>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</si>
  <si>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</si>
  <si>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</si>
  <si>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</si>
  <si>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</si>
  <si>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</si>
  <si>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</si>
  <si>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</si>
  <si>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</si>
  <si>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</si>
  <si>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</si>
  <si>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</si>
  <si>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</si>
  <si>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</si>
  <si>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</si>
  <si>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</si>
  <si>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</si>
  <si>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</si>
  <si>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</si>
  <si>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</si>
  <si>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</si>
  <si>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</si>
  <si>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</si>
  <si>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</si>
  <si>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</si>
  <si>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</si>
  <si>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</si>
  <si>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</si>
  <si>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</si>
  <si>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</si>
  <si>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</si>
  <si>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</si>
  <si>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</si>
  <si>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</si>
  <si>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</si>
  <si>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</si>
  <si>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</si>
  <si>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</si>
  <si>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</si>
  <si>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</si>
  <si>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</si>
  <si>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</si>
  <si>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</si>
  <si>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</si>
  <si>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</si>
  <si>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</si>
  <si>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</si>
  <si>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</si>
  <si>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</si>
  <si>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</si>
  <si>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</si>
  <si>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</si>
  <si>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</si>
  <si>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</si>
  <si>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</si>
  <si>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</si>
  <si>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</si>
  <si>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</si>
  <si>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</si>
  <si>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</si>
  <si>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</si>
  <si>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</si>
  <si>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</si>
  <si>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</si>
  <si>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</si>
  <si>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</si>
  <si>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</si>
  <si>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</si>
  <si>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</si>
  <si>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</si>
  <si>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</si>
  <si>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</si>
  <si>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</si>
  <si>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</si>
  <si>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</si>
  <si>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</si>
  <si>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</si>
  <si>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</si>
  <si>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</si>
  <si>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</si>
  <si>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</si>
  <si>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</si>
  <si>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</si>
  <si>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</si>
  <si>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</si>
  <si>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</si>
  <si>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</si>
  <si>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</si>
  <si>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</si>
  <si>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</si>
  <si>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</si>
  <si>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</si>
  <si>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</si>
  <si>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</si>
  <si>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</si>
  <si>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</si>
  <si>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</si>
  <si>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</si>
  <si>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</si>
  <si>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</si>
  <si>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</si>
  <si>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</si>
  <si>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</si>
  <si>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</si>
  <si>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</si>
  <si>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</si>
  <si>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</si>
  <si>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</si>
  <si>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</si>
  <si>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</si>
  <si>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</si>
  <si>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</si>
  <si>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</si>
  <si>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</si>
  <si>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</si>
  <si>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</si>
  <si>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</si>
  <si>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</si>
  <si>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</si>
  <si>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</si>
  <si>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</si>
  <si>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</si>
  <si>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</si>
  <si>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</si>
  <si>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</si>
  <si>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</si>
  <si>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</si>
  <si>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</si>
  <si>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</si>
  <si>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</si>
  <si>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</si>
  <si>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</si>
  <si>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</si>
  <si>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</si>
  <si>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</si>
  <si>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</si>
  <si>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</si>
  <si>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</si>
  <si>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</si>
  <si>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</si>
  <si>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</si>
  <si>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</si>
  <si>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</si>
  <si>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</si>
  <si>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</si>
  <si>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</si>
  <si>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</si>
  <si>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</si>
  <si>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</si>
  <si>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</si>
  <si>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</si>
  <si>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</si>
  <si>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</si>
  <si>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</si>
  <si>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</si>
  <si>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</si>
  <si>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</si>
  <si>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</si>
  <si>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</si>
  <si>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</si>
  <si>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</si>
  <si>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</si>
  <si>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</si>
  <si>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</si>
  <si>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</si>
  <si>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</si>
  <si>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</si>
  <si>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</si>
  <si>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</si>
  <si>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</si>
  <si>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</si>
  <si>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</si>
  <si>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</si>
  <si>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</si>
  <si>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</si>
  <si>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</si>
  <si>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</si>
  <si>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</si>
  <si>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</si>
  <si>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</si>
  <si>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</si>
  <si>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</si>
  <si>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</si>
  <si>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</si>
  <si>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</si>
  <si>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</si>
  <si>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</si>
  <si>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</si>
  <si>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</si>
  <si>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</si>
  <si>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</si>
  <si>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</si>
  <si>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</si>
  <si>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</si>
  <si>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</si>
  <si>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</si>
  <si>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</si>
  <si>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</si>
  <si>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</si>
  <si>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</si>
  <si>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</si>
  <si>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</si>
  <si>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</si>
  <si>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</si>
  <si>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</si>
  <si>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</si>
  <si>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</si>
  <si>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</si>
  <si>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</si>
  <si>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</si>
  <si>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</si>
  <si>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</si>
  <si>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</si>
  <si>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</si>
  <si>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</si>
  <si>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</si>
  <si>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</si>
  <si>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</si>
  <si>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</si>
  <si>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</si>
  <si>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</si>
  <si>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</si>
  <si>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</si>
  <si>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</si>
  <si>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</si>
  <si>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</si>
  <si>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</si>
  <si>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</si>
  <si>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</si>
  <si>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</si>
  <si>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</si>
  <si>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</si>
  <si>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</si>
  <si>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</si>
  <si>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</si>
  <si>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</si>
  <si>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</si>
  <si>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</si>
  <si>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</si>
  <si>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</si>
  <si>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</si>
  <si>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</si>
  <si>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</si>
  <si>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</si>
  <si>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</si>
  <si>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</si>
  <si>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</si>
  <si>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</si>
  <si>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</si>
  <si>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</si>
  <si>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</si>
  <si>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</si>
  <si>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</si>
  <si>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</si>
  <si>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</si>
  <si>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</si>
  <si>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</si>
  <si>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</si>
  <si>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</si>
  <si>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</si>
  <si>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</si>
  <si>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</si>
  <si>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</si>
  <si>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</si>
  <si>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</si>
  <si>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</si>
  <si>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</si>
  <si>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</si>
  <si>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</si>
  <si>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</si>
  <si>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</si>
  <si>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</si>
  <si>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</si>
  <si>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</si>
  <si>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</si>
  <si>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</si>
  <si>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</si>
  <si>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</si>
  <si>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</si>
  <si>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</si>
  <si>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</si>
  <si>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</si>
  <si>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</si>
  <si>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</si>
  <si>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</si>
  <si>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</si>
  <si>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</si>
  <si>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</si>
  <si>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</si>
  <si>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</si>
  <si>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</si>
  <si>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</si>
  <si>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</si>
  <si>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</si>
  <si>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</si>
  <si>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</si>
  <si>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</si>
  <si>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</si>
  <si>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</si>
  <si>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</si>
  <si>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</si>
  <si>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</si>
  <si>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</si>
  <si>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</si>
  <si>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</si>
  <si>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</si>
  <si>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</si>
  <si>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</si>
  <si>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</si>
  <si>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</si>
  <si>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</si>
  <si>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</si>
  <si>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</si>
  <si>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</si>
  <si>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</si>
  <si>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</si>
  <si>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</si>
  <si>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</si>
  <si>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</si>
  <si>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</si>
  <si>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</si>
  <si>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</si>
  <si>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</si>
  <si>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</si>
  <si>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</si>
  <si>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</si>
  <si>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</si>
  <si>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</si>
  <si>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</si>
  <si>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</si>
  <si>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</si>
  <si>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</si>
  <si>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</si>
  <si>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</si>
  <si>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</si>
  <si>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</si>
  <si>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</si>
  <si>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</si>
  <si>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</si>
  <si>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</si>
  <si>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</si>
  <si>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</si>
  <si>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</si>
  <si>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</si>
  <si>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</si>
  <si>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</si>
  <si>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</si>
  <si>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</si>
  <si>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</si>
  <si>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</si>
  <si>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</si>
  <si>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</si>
  <si>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</si>
  <si>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</si>
  <si>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</si>
  <si>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</si>
  <si>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</si>
  <si>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</si>
  <si>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</si>
  <si>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</si>
  <si>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</si>
  <si>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</si>
  <si>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</si>
  <si>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</si>
  <si>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</si>
  <si>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</si>
  <si>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</si>
  <si>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</si>
  <si>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</si>
  <si>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</si>
  <si>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</si>
  <si>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</si>
  <si>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</si>
  <si>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</si>
  <si>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</si>
  <si>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</si>
  <si>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</si>
  <si>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</si>
  <si>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</si>
  <si>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</si>
  <si>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</si>
  <si>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</si>
  <si>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</si>
  <si>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</si>
  <si>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</si>
  <si>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</si>
  <si>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</si>
  <si>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</si>
  <si>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</si>
  <si>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</si>
  <si>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</si>
  <si>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</si>
  <si>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</si>
  <si>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</si>
  <si>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</si>
  <si>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</si>
  <si>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</si>
  <si>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</si>
  <si>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</si>
  <si>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</si>
  <si>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</si>
  <si>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</si>
  <si>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</si>
  <si>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</si>
  <si>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</si>
  <si>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</si>
  <si>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</si>
  <si>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</si>
  <si>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</si>
  <si>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</si>
  <si>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</si>
  <si>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</si>
  <si>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</si>
  <si>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</si>
  <si>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</si>
  <si>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</si>
  <si>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</si>
  <si>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</si>
  <si>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</si>
  <si>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</si>
  <si>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</si>
  <si>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</si>
  <si>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</si>
  <si>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</si>
  <si>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</si>
  <si>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</si>
  <si>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</si>
  <si>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</si>
  <si>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</si>
  <si>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</si>
  <si>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</si>
  <si>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</si>
  <si>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</si>
  <si>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</si>
  <si>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</si>
  <si>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</si>
  <si>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</si>
  <si>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</si>
  <si>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</si>
  <si>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</si>
  <si>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</si>
  <si>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</si>
  <si>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</si>
  <si>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</si>
  <si>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</si>
  <si>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</si>
  <si>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</si>
  <si>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</si>
  <si>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</si>
  <si>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</si>
  <si>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</si>
  <si>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</si>
  <si>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</si>
  <si>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</si>
  <si>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</si>
  <si>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</si>
  <si>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</si>
  <si>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</si>
  <si>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</si>
  <si>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</si>
  <si>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</si>
  <si>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</si>
  <si>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</si>
  <si>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</si>
  <si>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</si>
  <si>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</si>
  <si>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</si>
  <si>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</si>
  <si>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</si>
  <si>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</si>
  <si>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</si>
  <si>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</si>
  <si>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</si>
  <si>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</si>
  <si>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</si>
  <si>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</si>
  <si>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</si>
  <si>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</si>
  <si>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</si>
  <si>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</si>
  <si>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</si>
  <si>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</si>
  <si>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</si>
  <si>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</si>
  <si>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</si>
  <si>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</si>
  <si>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</si>
  <si>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</si>
  <si>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</si>
  <si>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</si>
  <si>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</si>
  <si>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</si>
  <si>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</si>
  <si>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</si>
  <si>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</si>
  <si>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</si>
  <si>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</si>
  <si>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</si>
  <si>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</si>
  <si>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</si>
  <si>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</si>
  <si>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</si>
  <si>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</si>
  <si>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</si>
  <si>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</si>
  <si>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</si>
  <si>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</si>
  <si>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</si>
  <si>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</si>
  <si>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</si>
  <si>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</si>
  <si>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</si>
  <si>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</si>
  <si>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</si>
  <si>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</si>
  <si>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</si>
  <si>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</si>
  <si>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</si>
  <si>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</si>
  <si>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</si>
  <si>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</si>
  <si>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</si>
  <si>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</si>
  <si>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</si>
  <si>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</si>
  <si>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</si>
  <si>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</si>
  <si>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</si>
  <si>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</si>
  <si>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</si>
  <si>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</si>
  <si>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</si>
  <si>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</si>
  <si>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</si>
  <si>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</si>
  <si>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</si>
  <si>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</si>
  <si>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</si>
  <si>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</si>
  <si>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</si>
  <si>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</si>
  <si>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</si>
  <si>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</si>
  <si>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</si>
  <si>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</si>
  <si>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</si>
  <si>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</si>
  <si>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</si>
  <si>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</si>
  <si>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</si>
  <si>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</si>
  <si>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</si>
  <si>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</si>
  <si>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</si>
  <si>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</si>
  <si>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</si>
  <si>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</si>
  <si>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</si>
  <si>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</si>
  <si>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</si>
  <si>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</si>
  <si>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</si>
  <si>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</si>
  <si>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</si>
  <si>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</si>
  <si>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</si>
  <si>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</si>
  <si>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</si>
  <si>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</si>
  <si>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</si>
  <si>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</si>
  <si>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</si>
  <si>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</si>
  <si>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</si>
  <si>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</si>
  <si>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</si>
  <si>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</si>
  <si>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</si>
  <si>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</si>
  <si>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</si>
  <si>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</si>
  <si>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</si>
  <si>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</si>
  <si>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</si>
  <si>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</si>
  <si>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</si>
  <si>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</si>
  <si>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</si>
  <si>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</si>
  <si>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</si>
  <si>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</si>
  <si>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</si>
  <si>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</si>
  <si>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</si>
  <si>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</si>
  <si>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</si>
  <si>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</si>
  <si>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</si>
  <si>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</si>
  <si>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</si>
  <si>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</si>
  <si>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</si>
  <si>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</si>
  <si>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</si>
  <si>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</si>
  <si>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</si>
  <si>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</si>
  <si>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</si>
  <si>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</si>
  <si>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</si>
  <si>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</si>
  <si>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</si>
  <si>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</si>
  <si>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</si>
  <si>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</si>
  <si>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</si>
  <si>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</si>
  <si>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</si>
  <si>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</si>
  <si>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</si>
  <si>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</si>
  <si>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</si>
  <si>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</si>
  <si>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</si>
  <si>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</si>
  <si>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</si>
  <si>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</si>
  <si>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</si>
  <si>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</si>
  <si>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</si>
  <si>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</si>
  <si>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</si>
  <si>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</si>
  <si>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</si>
  <si>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</si>
  <si>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</si>
  <si>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</si>
  <si>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</si>
  <si>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</si>
  <si>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</si>
  <si>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</si>
  <si>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</si>
  <si>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</si>
  <si>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</si>
  <si>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</si>
  <si>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</si>
  <si>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</si>
  <si>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</si>
  <si>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</si>
  <si>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</si>
  <si>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</si>
  <si>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</si>
  <si>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</si>
  <si>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</si>
  <si>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</si>
  <si>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</si>
  <si>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</si>
  <si>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</si>
  <si>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</si>
  <si>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</si>
  <si>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</si>
  <si>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</si>
  <si>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</si>
  <si>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</si>
  <si>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</si>
  <si>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</si>
  <si>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</si>
  <si>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</si>
  <si>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</si>
  <si>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</si>
  <si>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</si>
  <si>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</si>
  <si>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</si>
  <si>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</si>
  <si>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</si>
  <si>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</si>
  <si>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</si>
  <si>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</si>
  <si>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</si>
  <si>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</si>
  <si>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</si>
  <si>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</si>
  <si>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</si>
  <si>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</si>
  <si>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</si>
  <si>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</si>
  <si>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</si>
  <si>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</si>
  <si>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</si>
  <si>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</si>
  <si>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</si>
  <si>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</si>
  <si>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</si>
  <si>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</si>
  <si>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</si>
  <si>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</si>
  <si>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</si>
  <si>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</si>
  <si>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</si>
  <si>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</si>
  <si>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</si>
  <si>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</si>
  <si>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</si>
  <si>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</si>
  <si>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</si>
  <si>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</si>
  <si>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</si>
  <si>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</si>
  <si>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</si>
  <si>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</si>
  <si>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</si>
  <si>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</si>
  <si>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</si>
  <si>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</si>
  <si>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</si>
  <si>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</si>
  <si>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</si>
  <si>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</si>
  <si>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</si>
  <si>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</si>
  <si>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</si>
  <si>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</si>
  <si>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</si>
  <si>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</si>
  <si>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</si>
  <si>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</si>
  <si>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</si>
  <si>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</si>
  <si>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</si>
  <si>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</si>
  <si>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</si>
  <si>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</si>
  <si>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</si>
  <si>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</si>
  <si>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</si>
  <si>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</si>
  <si>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</si>
  <si>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</si>
  <si>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</si>
  <si>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</si>
  <si>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</si>
  <si>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</si>
  <si>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</si>
  <si>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</si>
  <si>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</si>
  <si>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</si>
  <si>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</si>
  <si>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</si>
  <si>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</si>
  <si>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</si>
  <si>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</si>
  <si>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</si>
  <si>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</si>
  <si>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</si>
  <si>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</si>
  <si>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</si>
  <si>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</si>
  <si>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</si>
  <si>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</si>
  <si>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</si>
  <si>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</si>
  <si>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</si>
  <si>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</si>
  <si>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</si>
  <si>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</si>
  <si>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</si>
  <si>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</si>
  <si>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</si>
  <si>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</si>
  <si>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</si>
  <si>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</si>
  <si>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</si>
  <si>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</si>
  <si>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</si>
  <si>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</si>
  <si>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</si>
  <si>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</si>
  <si>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</si>
  <si>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</si>
  <si>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</si>
  <si>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</si>
  <si>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</si>
  <si>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</si>
  <si>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</si>
  <si>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</si>
  <si>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</si>
  <si>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</si>
  <si>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</si>
  <si>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</si>
  <si>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</si>
  <si>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</si>
  <si>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</si>
  <si>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</si>
  <si>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</si>
  <si>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</si>
  <si>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</si>
  <si>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</si>
  <si>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</si>
  <si>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</si>
  <si>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</si>
  <si>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</si>
  <si>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</si>
  <si>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</si>
  <si>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</si>
  <si>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</si>
  <si>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</si>
  <si>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</si>
  <si>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</si>
  <si>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</si>
  <si>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</si>
  <si>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</si>
  <si>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</si>
  <si>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</si>
  <si>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</si>
  <si>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</si>
  <si>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</si>
  <si>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</si>
  <si>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</si>
  <si>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</si>
  <si>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</si>
  <si>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</si>
  <si>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</si>
  <si>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</si>
  <si>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</si>
  <si>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</si>
  <si>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</si>
  <si>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</si>
  <si>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</si>
  <si>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</si>
  <si>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</si>
  <si>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</si>
  <si>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</si>
  <si>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</si>
  <si>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</si>
  <si>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</si>
  <si>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</si>
  <si>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</si>
  <si>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</si>
  <si>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</si>
  <si>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</si>
  <si>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</si>
  <si>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</si>
  <si>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</si>
  <si>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</si>
  <si>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</si>
  <si>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</si>
  <si>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</si>
  <si>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</si>
  <si>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</si>
  <si>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</si>
  <si>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</si>
  <si>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</si>
  <si>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</si>
  <si>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</si>
  <si>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</si>
  <si>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</si>
  <si>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</si>
  <si>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</si>
  <si>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</si>
  <si>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</si>
  <si>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</si>
  <si>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</si>
  <si>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</si>
  <si>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</si>
  <si>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</si>
  <si>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</si>
  <si>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</si>
  <si>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</si>
  <si>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</si>
  <si>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</si>
  <si>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</si>
  <si>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</si>
  <si>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</si>
  <si>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</si>
  <si>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</si>
  <si>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</si>
  <si>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</si>
  <si>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</si>
  <si>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</si>
  <si>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</si>
  <si>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</si>
  <si>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</si>
  <si>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</si>
  <si>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</si>
  <si>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</si>
  <si>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</si>
  <si>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</si>
  <si>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</si>
  <si>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</si>
  <si>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</si>
  <si>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</si>
  <si>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</si>
  <si>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</si>
  <si>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</si>
  <si>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</si>
  <si>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</si>
  <si>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</si>
  <si>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</si>
  <si>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</si>
  <si>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</si>
  <si>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</si>
  <si>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</si>
  <si>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</si>
  <si>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</si>
  <si>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</si>
  <si>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</si>
  <si>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</si>
  <si>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</si>
  <si>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</si>
  <si>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</si>
  <si>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</si>
  <si>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</si>
  <si>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</si>
  <si>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</si>
  <si>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</si>
  <si>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</si>
  <si>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</si>
  <si>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</si>
  <si>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</si>
  <si>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</si>
  <si>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</si>
  <si>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</si>
  <si>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</si>
  <si>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</si>
  <si>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</si>
  <si>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</si>
  <si>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</si>
  <si>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</si>
  <si>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</si>
  <si>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</si>
  <si>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</si>
  <si>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</si>
  <si>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</si>
  <si>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</si>
  <si>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</si>
  <si>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</si>
  <si>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</si>
  <si>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</si>
  <si>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</si>
  <si>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</si>
  <si>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</si>
  <si>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</si>
  <si>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</si>
  <si>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</si>
  <si>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</si>
  <si>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</si>
  <si>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</si>
  <si>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</si>
  <si>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</si>
  <si>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</si>
  <si>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</si>
  <si>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</si>
  <si>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</si>
  <si>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</si>
  <si>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</si>
  <si>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</si>
  <si>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</si>
  <si>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</si>
  <si>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</si>
  <si>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</si>
  <si>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</si>
  <si>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</si>
  <si>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</si>
  <si>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</si>
  <si>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</si>
  <si>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</si>
  <si>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</si>
  <si>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</si>
  <si>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</si>
  <si>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</si>
  <si>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</si>
  <si>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</si>
  <si>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</si>
  <si>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</si>
  <si>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</si>
  <si>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</si>
  <si>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</si>
  <si>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</si>
  <si>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</si>
  <si>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</si>
  <si>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</si>
  <si>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</si>
  <si>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</si>
  <si>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</si>
  <si>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</si>
  <si>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</si>
  <si>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</si>
  <si>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</si>
  <si>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</si>
  <si>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</si>
  <si>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</si>
  <si>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</si>
  <si>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</si>
  <si>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</si>
  <si>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</si>
  <si>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</si>
  <si>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</si>
  <si>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</si>
  <si>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</si>
  <si>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</si>
  <si>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</si>
  <si>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</si>
  <si>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</si>
  <si>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</si>
  <si>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</si>
  <si>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</si>
  <si>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</si>
  <si>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</si>
  <si>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</si>
  <si>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</si>
  <si>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</si>
  <si>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</si>
  <si>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</si>
  <si>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</si>
  <si>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</si>
  <si>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</si>
  <si>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</si>
  <si>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</si>
  <si>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</si>
  <si>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</si>
  <si>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</si>
  <si>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</si>
  <si>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</si>
  <si>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</si>
  <si>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</si>
  <si>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</si>
  <si>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</si>
  <si>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</si>
  <si>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</si>
  <si>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</si>
  <si>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</si>
  <si>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</si>
  <si>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</si>
  <si>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</si>
  <si>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</si>
  <si>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</si>
  <si>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</si>
  <si>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</si>
  <si>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</si>
  <si>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</si>
  <si>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</si>
  <si>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</si>
  <si>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</si>
  <si>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</si>
  <si>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</si>
  <si>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</si>
  <si>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</si>
  <si>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</si>
  <si>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</si>
  <si>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</si>
  <si>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</si>
  <si>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</si>
  <si>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</si>
  <si>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</si>
  <si>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</si>
  <si>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</si>
  <si>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</si>
  <si>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</si>
  <si>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</si>
  <si>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</si>
  <si>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</si>
  <si>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</si>
  <si>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</si>
  <si>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</si>
  <si>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</si>
  <si>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</si>
  <si>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</si>
  <si>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</si>
  <si>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</si>
  <si>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</si>
  <si>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</si>
  <si>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</si>
  <si>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</si>
  <si>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</si>
  <si>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</si>
  <si>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</si>
  <si>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</si>
  <si>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</si>
  <si>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</si>
  <si>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</si>
  <si>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</si>
  <si>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</si>
  <si>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</si>
  <si>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</si>
  <si>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</si>
  <si>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</si>
  <si>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</si>
  <si>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</si>
  <si>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</si>
  <si>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</si>
  <si>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</si>
  <si>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</si>
  <si>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</si>
  <si>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</si>
  <si>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</si>
  <si>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</si>
  <si>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</si>
  <si>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</si>
  <si>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</si>
  <si>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</si>
  <si>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</si>
  <si>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</si>
  <si>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</si>
  <si>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</si>
  <si>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</si>
  <si>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</si>
  <si>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</si>
  <si>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</si>
  <si>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</si>
  <si>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</si>
  <si>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</si>
  <si>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</si>
  <si>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</si>
  <si>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</si>
  <si>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</si>
  <si>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</si>
  <si>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</si>
  <si>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</si>
  <si>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</si>
  <si>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</si>
  <si>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</si>
  <si>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</si>
  <si>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</si>
  <si>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</si>
  <si>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</si>
  <si>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</si>
  <si>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</si>
  <si>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</si>
  <si>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</si>
  <si>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</si>
  <si>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</si>
  <si>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</si>
  <si>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</si>
  <si>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</si>
  <si>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</si>
  <si>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</si>
  <si>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</si>
  <si>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</si>
  <si>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</si>
  <si>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</si>
  <si>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</si>
  <si>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</si>
  <si>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</si>
  <si>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</si>
  <si>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</si>
  <si>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</si>
  <si>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</si>
  <si>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</si>
  <si>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</si>
  <si>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</si>
  <si>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</si>
  <si>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</si>
  <si>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</si>
  <si>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</si>
  <si>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</si>
  <si>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</si>
  <si>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</si>
  <si>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</si>
  <si>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</si>
  <si>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</si>
  <si>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</si>
  <si>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</si>
  <si>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</si>
  <si>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</si>
  <si>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</si>
  <si>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</si>
  <si>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</si>
  <si>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</si>
  <si>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</si>
  <si>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</si>
  <si>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</si>
  <si>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</si>
  <si>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</si>
  <si>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</si>
  <si>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</si>
  <si>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</si>
  <si>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</si>
  <si>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</si>
  <si>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</si>
  <si>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</si>
  <si>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</si>
  <si>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</si>
  <si>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</si>
  <si>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</si>
  <si>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</si>
  <si>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</si>
  <si>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</si>
  <si>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</si>
  <si>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</si>
  <si>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</si>
  <si>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</si>
  <si>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</si>
  <si>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</si>
  <si>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</si>
  <si>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</si>
  <si>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</si>
  <si>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</si>
  <si>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</si>
  <si>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</si>
  <si>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</si>
  <si>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</si>
  <si>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</si>
  <si>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</si>
  <si>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</si>
  <si>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</si>
  <si>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</si>
  <si>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</si>
  <si>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</si>
  <si>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</si>
  <si>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</si>
  <si>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</si>
  <si>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</si>
  <si>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</si>
  <si>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</si>
  <si>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</si>
  <si>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</si>
  <si>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</si>
  <si>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</si>
  <si>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</si>
  <si>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</si>
  <si>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</si>
  <si>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</si>
  <si>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</si>
  <si>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</si>
  <si>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</si>
  <si>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</si>
  <si>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</si>
  <si>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</si>
  <si>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</si>
  <si>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</si>
  <si>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</si>
  <si>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</si>
  <si>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</si>
  <si>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</si>
  <si>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</si>
  <si>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</si>
  <si>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</si>
  <si>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</si>
  <si>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</si>
  <si>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</si>
  <si>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</si>
  <si>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</si>
  <si>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</si>
  <si>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</si>
  <si>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</si>
  <si>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</si>
  <si>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</si>
  <si>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</si>
  <si>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</si>
  <si>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</si>
  <si>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</si>
  <si>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</si>
  <si>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</si>
  <si>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</si>
  <si>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</si>
  <si>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</si>
  <si>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</si>
  <si>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</si>
  <si>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</si>
  <si>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</si>
  <si>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</si>
  <si>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</si>
  <si>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</si>
  <si>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</si>
  <si>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</si>
  <si>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</si>
  <si>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</si>
  <si>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</si>
  <si>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</si>
  <si>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</si>
  <si>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</si>
  <si>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</si>
  <si>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</si>
  <si>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</si>
  <si>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</si>
  <si>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</si>
  <si>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</si>
  <si>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</si>
  <si>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</si>
  <si>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</si>
  <si>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</si>
  <si>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</si>
  <si>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</si>
  <si>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</si>
  <si>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</si>
  <si>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</si>
  <si>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</si>
  <si>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</si>
  <si>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</si>
  <si>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</si>
  <si>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</si>
  <si>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</si>
  <si>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</si>
  <si>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</si>
  <si>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</si>
  <si>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</si>
  <si>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</si>
  <si>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</si>
  <si>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</si>
  <si>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</si>
  <si>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</si>
  <si>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</si>
  <si>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</si>
  <si>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</si>
  <si>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</si>
  <si>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</si>
  <si>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</si>
  <si>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</si>
  <si>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</si>
  <si>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</si>
  <si>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</si>
  <si>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</si>
  <si>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</si>
  <si>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</si>
  <si>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</si>
  <si>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</si>
  <si>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</si>
  <si>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</si>
  <si>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</si>
  <si>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</si>
  <si>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</si>
  <si>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</si>
  <si>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</si>
  <si>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</si>
  <si>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</si>
  <si>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</si>
  <si>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</si>
  <si>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</si>
  <si>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</si>
  <si>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</si>
  <si>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</si>
  <si>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</si>
  <si>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</si>
  <si>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</si>
  <si>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</si>
  <si>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</si>
  <si>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</si>
  <si>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</si>
  <si>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</si>
  <si>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</si>
  <si>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</si>
  <si>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</si>
  <si>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</si>
  <si>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</si>
  <si>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</si>
  <si>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</si>
  <si>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</si>
  <si>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</si>
  <si>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</si>
  <si>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</si>
  <si>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</si>
  <si>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</si>
  <si>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</si>
  <si>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</si>
  <si>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</si>
  <si>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</si>
  <si>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</si>
  <si>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</si>
  <si>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</si>
  <si>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</si>
  <si>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</si>
  <si>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</si>
  <si>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</si>
  <si>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</si>
  <si>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</si>
  <si>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</si>
  <si>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</si>
  <si>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</si>
  <si>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</si>
  <si>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</si>
  <si>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</si>
  <si>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</si>
  <si>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</si>
  <si>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</si>
  <si>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</si>
  <si>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</si>
  <si>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</si>
  <si>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</si>
  <si>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</si>
  <si>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</si>
  <si>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</si>
  <si>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</si>
  <si>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</si>
  <si>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</si>
  <si>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</si>
  <si>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</si>
  <si>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</si>
  <si>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</si>
  <si>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</si>
  <si>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</si>
  <si>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</si>
  <si>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</si>
  <si>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</si>
  <si>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</si>
  <si>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</si>
  <si>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</si>
  <si>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</si>
  <si>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</si>
  <si>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</si>
  <si>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</si>
  <si>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</si>
  <si>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</si>
  <si>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</si>
  <si>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</si>
  <si>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</si>
  <si>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</si>
  <si>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</si>
  <si>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</si>
  <si>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</si>
  <si>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</si>
  <si>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</si>
  <si>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</si>
  <si>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</si>
  <si>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</si>
  <si>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</si>
  <si>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</si>
  <si>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</si>
  <si>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</si>
  <si>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</si>
  <si>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</si>
  <si>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</si>
  <si>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</si>
  <si>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</si>
  <si>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</si>
  <si>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</si>
  <si>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</si>
  <si>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</si>
  <si>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</si>
  <si>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</si>
  <si>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</si>
  <si>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</si>
  <si>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</si>
  <si>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</si>
  <si>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</si>
  <si>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</si>
  <si>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</si>
  <si>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</si>
  <si>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</si>
  <si>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</si>
  <si>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</si>
  <si>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</si>
  <si>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</si>
  <si>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</si>
  <si>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</si>
  <si>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</si>
  <si>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</si>
  <si>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</si>
  <si>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</si>
  <si>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</si>
  <si>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</si>
  <si>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</si>
  <si>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</si>
  <si>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</si>
  <si>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</si>
  <si>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</si>
  <si>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</si>
  <si>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</si>
  <si>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</si>
  <si>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</si>
  <si>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</si>
  <si>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</si>
  <si>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</si>
  <si>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</si>
  <si>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</si>
  <si>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</si>
  <si>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</si>
  <si>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</si>
  <si>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</si>
  <si>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</si>
  <si>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</si>
  <si>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</si>
  <si>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</si>
  <si>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</si>
  <si>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</si>
  <si>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</si>
  <si>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</si>
  <si>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</si>
  <si>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</si>
  <si>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</si>
  <si>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</si>
  <si>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</si>
  <si>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</si>
  <si>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</si>
  <si>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</si>
  <si>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</si>
  <si>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</si>
  <si>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</si>
  <si>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</si>
  <si>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</si>
  <si>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</si>
  <si>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</si>
  <si>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</si>
  <si>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</si>
  <si>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</si>
  <si>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</si>
  <si>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</si>
  <si>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</si>
  <si>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</si>
  <si>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</si>
  <si>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</si>
  <si>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</si>
  <si>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</si>
  <si>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</si>
  <si>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</si>
  <si>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</si>
  <si>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</si>
  <si>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</si>
  <si>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</si>
  <si>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</si>
  <si>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</si>
  <si>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</si>
  <si>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</si>
  <si>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</si>
  <si>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</si>
  <si>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</si>
  <si>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</si>
  <si>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</si>
  <si>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</si>
  <si>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</si>
  <si>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</si>
  <si>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</si>
  <si>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</si>
  <si>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</si>
  <si>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</si>
  <si>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</si>
  <si>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</si>
  <si>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</si>
  <si>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</si>
  <si>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</si>
  <si>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</si>
  <si>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</si>
  <si>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</si>
  <si>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</si>
  <si>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</si>
  <si>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</si>
  <si>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</si>
  <si>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</si>
  <si>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</si>
  <si>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</si>
  <si>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</si>
  <si>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</si>
  <si>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</si>
  <si>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</si>
  <si>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</si>
  <si>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</si>
  <si>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</si>
  <si>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</si>
  <si>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</si>
  <si>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</si>
  <si>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</si>
  <si>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</si>
  <si>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</si>
  <si>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</si>
  <si>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</si>
  <si>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</si>
  <si>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</si>
  <si>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</si>
  <si>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</si>
  <si>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</si>
  <si>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</si>
  <si>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</si>
  <si>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</si>
  <si>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</si>
  <si>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</si>
  <si>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</si>
  <si>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</si>
  <si>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</si>
  <si>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</si>
  <si>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</si>
  <si>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</si>
  <si>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</si>
  <si>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</si>
  <si>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</si>
  <si>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</si>
  <si>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</si>
  <si>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</si>
  <si>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</si>
  <si>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</si>
  <si>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</si>
  <si>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</si>
  <si>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</si>
  <si>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</si>
  <si>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</si>
  <si>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</si>
  <si>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</si>
  <si>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</si>
  <si>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</si>
  <si>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</si>
  <si>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</si>
  <si>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</si>
  <si>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</si>
  <si>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</si>
  <si>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</si>
  <si>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</si>
  <si>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</si>
  <si>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</si>
  <si>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</si>
  <si>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</si>
  <si>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</si>
  <si>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</si>
  <si>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</si>
  <si>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</si>
  <si>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</si>
  <si>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</si>
  <si>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</si>
  <si>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</si>
  <si>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</si>
  <si>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</si>
  <si>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</si>
  <si>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</si>
  <si>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</si>
  <si>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</si>
  <si>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</si>
  <si>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</si>
  <si>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</si>
  <si>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</si>
  <si>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</si>
  <si>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</si>
  <si>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</si>
  <si>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</si>
  <si>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</si>
  <si>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</si>
  <si>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</si>
  <si>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</si>
  <si>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</si>
  <si>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</si>
  <si>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</si>
  <si>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</si>
  <si>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</si>
  <si>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</si>
  <si>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</si>
  <si>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</si>
  <si>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</si>
  <si>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</si>
  <si>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</si>
  <si>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</si>
  <si>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</si>
  <si>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</si>
  <si>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</si>
  <si>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</si>
  <si>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</si>
  <si>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</si>
  <si>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</si>
  <si>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</si>
  <si>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</si>
  <si>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</si>
  <si>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</si>
  <si>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</si>
  <si>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</si>
  <si>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</si>
  <si>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</si>
  <si>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</si>
  <si>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</si>
  <si>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</si>
  <si>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</si>
  <si>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</si>
  <si>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</si>
  <si>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</si>
  <si>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</si>
  <si>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</si>
  <si>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</si>
  <si>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</si>
  <si>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</si>
  <si>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</si>
  <si>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</si>
  <si>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</si>
  <si>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</si>
  <si>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</si>
  <si>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</si>
  <si>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</si>
  <si>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</si>
  <si>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</si>
  <si>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</si>
  <si>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</si>
  <si>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</si>
  <si>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</si>
  <si>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</si>
  <si>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</si>
  <si>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</si>
  <si>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</si>
  <si>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</si>
  <si>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</si>
  <si>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</si>
  <si>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</si>
  <si>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</si>
  <si>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</si>
  <si>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</si>
  <si>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</si>
  <si>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</si>
  <si>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</si>
  <si>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</si>
  <si>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</si>
  <si>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</si>
  <si>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</si>
  <si>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</si>
  <si>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</si>
  <si>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</si>
  <si>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</si>
  <si>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</si>
  <si>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</si>
  <si>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</si>
  <si>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</si>
  <si>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</si>
  <si>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</si>
  <si>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</si>
  <si>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</si>
  <si>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</si>
  <si>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</si>
  <si>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</si>
  <si>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</si>
  <si>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</si>
  <si>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</si>
  <si>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</si>
  <si>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</si>
  <si>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</si>
  <si>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</si>
  <si>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</si>
  <si>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</si>
  <si>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</si>
  <si>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</si>
  <si>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</si>
  <si>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</si>
  <si>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</si>
  <si>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</si>
  <si>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</si>
  <si>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</si>
  <si>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</si>
  <si>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</si>
  <si>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</si>
  <si>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</si>
  <si>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</si>
  <si>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</si>
  <si>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</si>
  <si>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</si>
  <si>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</si>
  <si>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</si>
  <si>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</si>
  <si>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</si>
  <si>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</si>
  <si>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</si>
  <si>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</si>
  <si>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</si>
  <si>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</si>
  <si>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</si>
  <si>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</si>
  <si>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</si>
  <si>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</si>
  <si>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</si>
  <si>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</si>
  <si>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</si>
  <si>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</si>
  <si>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</si>
  <si>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</si>
  <si>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</si>
  <si>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</si>
  <si>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</si>
  <si>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</si>
  <si>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</si>
  <si>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</si>
  <si>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</si>
  <si>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</si>
  <si>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</si>
  <si>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</si>
  <si>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</si>
  <si>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</si>
  <si>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</si>
  <si>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</si>
  <si>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</si>
  <si>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</si>
  <si>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</si>
  <si>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</si>
  <si>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</si>
  <si>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</si>
  <si>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</si>
  <si>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</si>
  <si>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</si>
  <si>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</si>
  <si>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</si>
  <si>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</si>
  <si>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</si>
  <si>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</si>
  <si>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</si>
  <si>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</si>
  <si>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</si>
  <si>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</si>
  <si>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</si>
  <si>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</si>
  <si>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</si>
  <si>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</si>
  <si>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</si>
  <si>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</si>
  <si>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</si>
  <si>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</si>
  <si>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</si>
  <si>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</si>
  <si>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</si>
  <si>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</si>
  <si>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</si>
  <si>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</si>
  <si>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</si>
  <si>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</si>
  <si>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</si>
  <si>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</si>
  <si>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</si>
  <si>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</si>
  <si>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</si>
  <si>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</si>
  <si>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</si>
  <si>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</si>
  <si>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</si>
  <si>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</si>
  <si>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</si>
  <si>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</si>
  <si>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</si>
  <si>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</si>
  <si>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</si>
  <si>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</si>
  <si>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</si>
  <si>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</si>
  <si>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</si>
  <si>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</si>
  <si>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</si>
  <si>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</si>
  <si>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</si>
  <si>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</si>
  <si>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</si>
  <si>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</si>
  <si>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</si>
  <si>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</si>
  <si>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</si>
  <si>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</si>
  <si>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</si>
  <si>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</si>
  <si>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</si>
  <si>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</si>
  <si>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</si>
  <si>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</si>
  <si>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</si>
  <si>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</si>
  <si>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</si>
  <si>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</si>
  <si>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</si>
  <si>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</si>
  <si>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</si>
  <si>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</si>
  <si>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</si>
  <si>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</si>
  <si>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</si>
  <si>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</si>
  <si>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</si>
  <si>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</si>
  <si>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</si>
  <si>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</si>
  <si>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</si>
  <si>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</si>
  <si>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</si>
  <si>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</si>
  <si>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</si>
  <si>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</si>
  <si>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</si>
  <si>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</si>
  <si>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</si>
  <si>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</si>
  <si>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</si>
  <si>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</si>
  <si>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</si>
  <si>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</si>
  <si>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</si>
  <si>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</si>
  <si>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</si>
  <si>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</si>
  <si>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</si>
  <si>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</si>
  <si>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</si>
  <si>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</si>
  <si>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</si>
  <si>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</si>
  <si>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</si>
  <si>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</si>
  <si>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</si>
  <si>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</si>
  <si>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</si>
  <si>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</si>
  <si>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</si>
  <si>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</si>
  <si>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</si>
  <si>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</si>
  <si>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</si>
  <si>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</si>
  <si>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</si>
  <si>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</si>
  <si>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</si>
  <si>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</si>
  <si>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</si>
  <si>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</si>
  <si>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</si>
  <si>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</si>
  <si>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</si>
  <si>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</si>
  <si>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</si>
  <si>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</si>
  <si>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</si>
  <si>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</si>
  <si>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</si>
  <si>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</si>
  <si>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</si>
  <si>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</si>
  <si>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</si>
  <si>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</si>
  <si>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</si>
  <si>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</si>
  <si>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</si>
  <si>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</si>
  <si>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</si>
  <si>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</si>
  <si>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</si>
  <si>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</si>
  <si>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</si>
  <si>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</si>
  <si>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</si>
  <si>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</si>
  <si>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</si>
  <si>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</si>
  <si>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</si>
  <si>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</si>
  <si>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</si>
  <si>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</si>
  <si>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</si>
  <si>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</si>
  <si>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</si>
  <si>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</si>
  <si>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</si>
  <si>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</si>
  <si>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</si>
  <si>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</si>
  <si>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</si>
  <si>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</si>
  <si>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</si>
  <si>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</si>
  <si>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</si>
  <si>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</si>
  <si>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</si>
  <si>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</si>
  <si>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</si>
  <si>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</si>
  <si>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</si>
  <si>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</si>
  <si>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</si>
  <si>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</si>
  <si>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</si>
  <si>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</si>
  <si>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</si>
  <si>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</si>
  <si>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</si>
  <si>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</si>
  <si>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</si>
  <si>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</si>
  <si>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</si>
  <si>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</si>
  <si>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</si>
  <si>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</si>
  <si>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</si>
  <si>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</si>
  <si>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</si>
  <si>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</si>
  <si>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</si>
  <si>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</si>
  <si>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</si>
  <si>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</si>
  <si>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</si>
  <si>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</si>
  <si>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</si>
  <si>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</si>
  <si>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</si>
  <si>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</si>
  <si>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</si>
  <si>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</si>
  <si>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</si>
  <si>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</si>
  <si>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</si>
  <si>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</si>
  <si>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</si>
  <si>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</si>
  <si>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</si>
  <si>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</si>
  <si>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</si>
  <si>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</si>
  <si>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</si>
  <si>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</si>
  <si>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</si>
  <si>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</si>
  <si>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</si>
  <si>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</si>
  <si>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</si>
  <si>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</si>
  <si>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</si>
  <si>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</si>
  <si>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</si>
  <si>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</si>
  <si>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</si>
  <si>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</si>
  <si>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</si>
  <si>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</si>
  <si>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</si>
  <si>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</si>
  <si>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</si>
  <si>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</si>
  <si>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</si>
  <si>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</si>
  <si>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</si>
  <si>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</si>
  <si>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</si>
  <si>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</si>
  <si>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</si>
  <si>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</si>
  <si>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</si>
  <si>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</si>
  <si>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</si>
  <si>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</si>
  <si>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</si>
  <si>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</si>
  <si>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</si>
  <si>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</si>
  <si>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</si>
  <si>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</si>
  <si>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</si>
  <si>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</si>
  <si>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</si>
  <si>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</si>
  <si>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</si>
  <si>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</si>
  <si>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</si>
  <si>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</si>
  <si>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</si>
  <si>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</si>
  <si>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</si>
  <si>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</si>
  <si>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</si>
  <si>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</si>
  <si>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</si>
  <si>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</si>
  <si>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</si>
  <si>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</si>
  <si>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</si>
  <si>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</si>
  <si>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</si>
  <si>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</si>
  <si>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</si>
  <si>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</si>
  <si>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</si>
  <si>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</si>
  <si>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</si>
  <si>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</si>
  <si>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</si>
  <si>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</si>
  <si>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</si>
  <si>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</si>
  <si>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</si>
  <si>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</si>
  <si>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</si>
  <si>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</si>
  <si>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</si>
  <si>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</si>
  <si>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</si>
  <si>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</si>
  <si>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</si>
  <si>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</si>
  <si>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</si>
  <si>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</si>
  <si>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</si>
  <si>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</si>
  <si>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</si>
  <si>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</si>
  <si>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</si>
  <si>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</si>
  <si>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</si>
  <si>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</si>
  <si>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</si>
  <si>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</si>
  <si>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</si>
  <si>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</si>
  <si>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</si>
  <si>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</si>
  <si>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</si>
  <si>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</si>
  <si>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</si>
  <si>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</si>
  <si>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</si>
  <si>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</si>
  <si>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</si>
  <si>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</si>
  <si>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</si>
  <si>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</si>
  <si>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</si>
  <si>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</si>
  <si>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</si>
  <si>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</si>
  <si>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</si>
  <si>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</si>
  <si>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</si>
  <si>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</si>
  <si>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</si>
  <si>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</si>
  <si>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</si>
  <si>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</si>
  <si>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</si>
  <si>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</si>
  <si>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</si>
  <si>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</si>
  <si>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</si>
  <si>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</si>
  <si>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</si>
  <si>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</si>
  <si>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</si>
  <si>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</si>
  <si>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</si>
  <si>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</si>
  <si>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</si>
  <si>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</si>
  <si>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</si>
  <si>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</si>
  <si>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</si>
  <si>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</si>
  <si>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</si>
  <si>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</si>
  <si>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</si>
  <si>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</si>
  <si>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</si>
  <si>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</si>
  <si>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</si>
  <si>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</si>
  <si>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</si>
  <si>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</si>
  <si>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</si>
  <si>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</si>
  <si>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</si>
  <si>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</si>
  <si>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</si>
  <si>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</si>
  <si>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</si>
  <si>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</si>
  <si>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</si>
  <si>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</si>
  <si>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</si>
  <si>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</si>
  <si>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</si>
  <si>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</si>
  <si>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</si>
  <si>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</si>
  <si>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</si>
  <si>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</si>
  <si>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</si>
  <si>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</si>
  <si>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</si>
  <si>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</si>
  <si>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</si>
  <si>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</si>
  <si>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</si>
  <si>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</si>
  <si>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</si>
  <si>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</si>
  <si>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</si>
  <si>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</si>
  <si>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</si>
  <si>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</si>
  <si>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</si>
  <si>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</si>
  <si>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</si>
  <si>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</si>
  <si>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</si>
  <si>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</si>
  <si>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</si>
  <si>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</si>
  <si>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</si>
  <si>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</si>
  <si>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</si>
  <si>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</si>
  <si>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</si>
  <si>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</si>
  <si>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</si>
  <si>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</si>
  <si>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</si>
  <si>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</si>
  <si>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</si>
  <si>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</si>
  <si>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</si>
  <si>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</si>
  <si>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</si>
  <si>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</si>
  <si>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</si>
  <si>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</si>
  <si>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</si>
  <si>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</si>
  <si>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</si>
  <si>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</si>
  <si>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</si>
  <si>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</si>
  <si>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</si>
  <si>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</si>
  <si>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</si>
  <si>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</si>
  <si>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</si>
  <si>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</si>
  <si>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</si>
  <si>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</si>
  <si>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</si>
  <si>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</si>
  <si>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</si>
  <si>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</si>
  <si>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</si>
  <si>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</si>
  <si>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</si>
  <si>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</si>
  <si>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</si>
  <si>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</si>
  <si>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</si>
  <si>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</si>
  <si>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</si>
  <si>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</si>
  <si>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</si>
  <si>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</si>
  <si>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</si>
  <si>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</si>
  <si>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</si>
  <si>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</si>
  <si>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</si>
  <si>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</si>
  <si>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</si>
  <si>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</si>
  <si>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</si>
  <si>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</si>
  <si>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</si>
  <si>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</si>
  <si>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</si>
  <si>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</si>
  <si>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</si>
  <si>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</si>
  <si>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</si>
  <si>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</si>
  <si>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</si>
  <si>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</si>
  <si>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</si>
  <si>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</si>
  <si>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</si>
  <si>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</si>
  <si>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</si>
  <si>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</si>
  <si>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</si>
  <si>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</si>
  <si>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</si>
  <si>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</si>
  <si>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</si>
  <si>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</si>
  <si>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</si>
  <si>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</si>
  <si>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</si>
  <si>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</si>
  <si>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</si>
  <si>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</si>
  <si>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</si>
  <si>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</si>
  <si>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</si>
  <si>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</si>
  <si>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</si>
  <si>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</si>
  <si>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</si>
  <si>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</si>
  <si>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</si>
  <si>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</si>
  <si>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</si>
  <si>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</si>
  <si>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</si>
  <si>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</si>
  <si>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</si>
  <si>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</si>
  <si>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</si>
  <si>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</si>
  <si>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</si>
  <si>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</si>
  <si>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</si>
  <si>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</si>
  <si>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</si>
  <si>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</si>
  <si>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</si>
  <si>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</si>
  <si>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</si>
  <si>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</si>
  <si>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</si>
  <si>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</si>
  <si>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</si>
  <si>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</si>
  <si>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</si>
  <si>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</si>
  <si>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</si>
  <si>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</si>
  <si>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</si>
  <si>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</si>
  <si>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</si>
  <si>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</si>
  <si>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</si>
  <si>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</si>
  <si>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</si>
  <si>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</si>
  <si>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</si>
  <si>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</si>
  <si>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</si>
  <si>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</si>
  <si>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</si>
  <si>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</si>
  <si>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</si>
  <si>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</si>
  <si>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</si>
  <si>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</si>
  <si>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</si>
  <si>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</si>
  <si>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</si>
  <si>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</si>
  <si>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</si>
  <si>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</si>
  <si>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</si>
  <si>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</si>
  <si>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</si>
  <si>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</si>
  <si>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</si>
  <si>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</si>
  <si>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</si>
  <si>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</si>
  <si>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</si>
  <si>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</si>
  <si>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</si>
  <si>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</si>
  <si>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</si>
  <si>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</si>
  <si>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</si>
  <si>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</si>
  <si>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</si>
  <si>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</si>
  <si>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</si>
  <si>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</si>
  <si>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</si>
  <si>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</si>
  <si>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</si>
  <si>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</si>
  <si>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</si>
  <si>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</si>
  <si>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</si>
  <si>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</si>
  <si>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</si>
  <si>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</si>
  <si>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</si>
  <si>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</si>
  <si>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</si>
  <si>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</si>
  <si>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</si>
  <si>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</si>
  <si>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</si>
  <si>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</si>
  <si>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</si>
  <si>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</si>
  <si>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</si>
  <si>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</si>
  <si>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</si>
  <si>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</si>
  <si>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</si>
  <si>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</si>
  <si>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</si>
  <si>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</si>
  <si>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</si>
  <si>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</si>
  <si>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</si>
  <si>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</si>
  <si>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</si>
  <si>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</si>
  <si>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</si>
  <si>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</si>
  <si>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</si>
  <si>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</si>
  <si>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</si>
  <si>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</si>
  <si>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</si>
  <si>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</si>
  <si>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</si>
  <si>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</si>
  <si>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</si>
  <si>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</si>
  <si>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</si>
  <si>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</si>
  <si>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</si>
  <si>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</si>
  <si>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</si>
  <si>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</si>
  <si>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</si>
  <si>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</si>
  <si>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</si>
  <si>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</si>
  <si>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</si>
  <si>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</si>
  <si>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</si>
  <si>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</si>
  <si>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</si>
  <si>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</si>
  <si>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</si>
  <si>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</si>
  <si>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</si>
  <si>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</si>
  <si>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</si>
  <si>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</si>
  <si>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</si>
  <si>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</si>
  <si>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</si>
  <si>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</si>
  <si>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</si>
  <si>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</si>
  <si>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</si>
  <si>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</si>
  <si>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</si>
  <si>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</si>
  <si>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</si>
  <si>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</si>
  <si>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</si>
  <si>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</si>
  <si>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</si>
  <si>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</si>
  <si>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</si>
  <si>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</si>
  <si>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</si>
  <si>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</si>
  <si>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</si>
  <si>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</si>
  <si>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</si>
  <si>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</si>
  <si>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</si>
  <si>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</si>
  <si>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</si>
  <si>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</si>
  <si>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</si>
  <si>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</si>
  <si>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</si>
  <si>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</si>
  <si>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</si>
  <si>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</si>
  <si>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</si>
  <si>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</si>
  <si>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</si>
  <si>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</si>
  <si>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</si>
  <si>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</si>
  <si>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</si>
  <si>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</si>
  <si>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</si>
  <si>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</si>
  <si>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</si>
  <si>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</si>
  <si>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</si>
  <si>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</si>
  <si>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</si>
  <si>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</si>
  <si>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</si>
  <si>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</si>
  <si>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</si>
  <si>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</si>
  <si>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</si>
  <si>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</si>
  <si>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</si>
  <si>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</si>
  <si>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</si>
  <si>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</si>
  <si>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</si>
  <si>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</si>
  <si>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</si>
  <si>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</si>
  <si>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</si>
  <si>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</si>
  <si>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</si>
  <si>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</si>
  <si>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</si>
  <si>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</si>
  <si>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</si>
  <si>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</si>
  <si>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</si>
  <si>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</si>
  <si>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</si>
  <si>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</si>
  <si>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</si>
  <si>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</si>
  <si>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</si>
  <si>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</si>
  <si>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</si>
  <si>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</si>
  <si>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</si>
  <si>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</si>
  <si>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</si>
  <si>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</si>
  <si>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</si>
  <si>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</si>
  <si>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</si>
  <si>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</si>
  <si>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</si>
  <si>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</si>
  <si>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</si>
  <si>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</si>
  <si>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</si>
  <si>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</si>
  <si>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</si>
  <si>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</si>
  <si>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</si>
  <si>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</si>
  <si>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</si>
  <si>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</si>
  <si>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</si>
  <si>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</si>
  <si>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</si>
  <si>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</si>
  <si>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</si>
  <si>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</si>
  <si>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</si>
  <si>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</si>
  <si>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</si>
  <si>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</si>
  <si>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</si>
  <si>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</si>
  <si>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</si>
  <si>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</si>
  <si>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</si>
  <si>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</si>
  <si>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</si>
  <si>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</si>
  <si>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</si>
  <si>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</si>
  <si>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</si>
  <si>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</si>
  <si>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</si>
  <si>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</si>
  <si>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</si>
  <si>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</si>
  <si>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</si>
  <si>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</si>
  <si>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</si>
  <si>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</si>
  <si>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</si>
  <si>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</si>
  <si>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</si>
  <si>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</si>
  <si>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</si>
  <si>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</si>
  <si>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</si>
  <si>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</si>
  <si>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</si>
  <si>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</si>
  <si>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</si>
  <si>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</si>
  <si>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</si>
  <si>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</si>
  <si>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</si>
  <si>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</si>
  <si>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</si>
  <si>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</si>
  <si>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</si>
  <si>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</si>
  <si>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</si>
  <si>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</si>
  <si>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</si>
  <si>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</si>
  <si>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</si>
  <si>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</si>
  <si>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</si>
  <si>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</si>
  <si>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</si>
  <si>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</si>
  <si>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</si>
  <si>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</si>
  <si>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</si>
  <si>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</si>
  <si>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</si>
  <si>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</si>
  <si>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</si>
  <si>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</si>
  <si>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</si>
  <si>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</si>
  <si>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</si>
  <si>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</si>
  <si>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</si>
  <si>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</si>
  <si>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</si>
  <si>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</si>
  <si>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</si>
  <si>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</si>
  <si>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</si>
  <si>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</si>
  <si>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</si>
  <si>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</si>
  <si>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</si>
  <si>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</si>
  <si>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</si>
  <si>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</si>
  <si>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</si>
  <si>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</si>
  <si>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</si>
  <si>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</si>
  <si>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</si>
  <si>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</si>
  <si>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</si>
  <si>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</si>
  <si>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</si>
  <si>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</si>
  <si>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</si>
  <si>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</si>
  <si>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</si>
  <si>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</si>
  <si>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</si>
  <si>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</si>
  <si>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</si>
  <si>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</si>
  <si>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</si>
  <si>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</si>
  <si>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</si>
  <si>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</si>
  <si>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</si>
  <si>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</si>
  <si>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</si>
  <si>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</si>
  <si>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</si>
  <si>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</si>
  <si>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</si>
  <si>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</si>
  <si>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</si>
  <si>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</si>
  <si>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</si>
  <si>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</si>
  <si>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</si>
  <si>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</si>
  <si>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</si>
  <si>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</si>
  <si>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</si>
  <si>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急速射击</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</si>
  <si>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</si>
  <si>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</si>
  <si>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</si>
  <si>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</si>
  <si>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</si>
  <si>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</si>
  <si>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</si>
  <si>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</si>
  <si>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</si>
  <si>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</si>
  <si>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</si>
  <si>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</si>
  <si>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</si>
  <si>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</si>
  <si>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</si>
  <si>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</si>
  <si>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</si>
  <si>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</si>
  <si>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</si>
  <si>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</si>
  <si>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</si>
  <si>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</si>
  <si>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</si>
  <si>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</si>
  <si>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</si>
  <si>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</si>
  <si>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</si>
  <si>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</si>
  <si>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</si>
  <si>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</si>
  <si>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</si>
  <si>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</si>
  <si>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</si>
  <si>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</si>
  <si>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</si>
  <si>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</si>
  <si>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</si>
  <si>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</si>
  <si>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</si>
  <si>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</si>
  <si>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</si>
  <si>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</si>
  <si>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</si>
  <si>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</si>
  <si>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</si>
  <si>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</si>
  <si>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</si>
  <si>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</si>
  <si>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</si>
  <si>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</si>
  <si>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</si>
  <si>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</si>
  <si>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</si>
  <si>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</si>
  <si>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</si>
  <si>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</si>
  <si>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</si>
  <si>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</si>
  <si>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</si>
  <si>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</si>
  <si>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</si>
  <si>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</si>
  <si>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</si>
  <si>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</si>
  <si>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</si>
  <si>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</si>
  <si>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</si>
  <si>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</si>
  <si>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</si>
  <si>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</si>
  <si>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</si>
  <si>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</si>
  <si>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</si>
  <si>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</si>
  <si>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</si>
  <si>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</si>
  <si>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</si>
  <si>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</si>
  <si>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</si>
  <si>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</si>
  <si>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</si>
  <si>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</si>
  <si>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</si>
  <si>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</si>
  <si>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</si>
  <si>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</si>
  <si>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</si>
  <si>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</si>
  <si>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</si>
  <si>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</si>
  <si>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</si>
  <si>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</si>
  <si>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</si>
  <si>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</si>
  <si>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</si>
  <si>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</si>
  <si>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</si>
  <si>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</si>
  <si>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</si>
  <si>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</si>
  <si>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</si>
  <si>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</si>
  <si>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</si>
  <si>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</si>
  <si>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</si>
  <si>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</si>
  <si>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</si>
  <si>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</si>
  <si>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</si>
  <si>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</si>
  <si>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</si>
  <si>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</si>
  <si>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</si>
  <si>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</si>
  <si>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</si>
  <si>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</si>
  <si>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</si>
  <si>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</si>
  <si>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</si>
  <si>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</si>
  <si>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</si>
  <si>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</si>
  <si>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</si>
  <si>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</si>
  <si>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</si>
  <si>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</si>
  <si>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</si>
  <si>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</si>
  <si>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</si>
  <si>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</si>
  <si>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</si>
  <si>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</si>
  <si>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</si>
  <si>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</si>
  <si>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</si>
  <si>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</si>
  <si>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</si>
  <si>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</si>
  <si>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</si>
  <si>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</si>
  <si>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</si>
  <si>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</si>
  <si>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</si>
  <si>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</si>
  <si>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</si>
  <si>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</si>
  <si>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</si>
  <si>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</si>
  <si>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</si>
  <si>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</si>
  <si>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</si>
  <si>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</si>
  <si>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</si>
  <si>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</si>
  <si>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</si>
  <si>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</si>
  <si>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</si>
  <si>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</si>
  <si>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</si>
  <si>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</si>
  <si>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</si>
  <si>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</si>
  <si>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</si>
  <si>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</si>
  <si>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</si>
  <si>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</si>
  <si>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</si>
  <si>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</si>
  <si>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</si>
  <si>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</si>
  <si>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</si>
  <si>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</si>
  <si>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</si>
  <si>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</si>
  <si>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</si>
  <si>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</si>
  <si>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</si>
  <si>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</si>
  <si>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</si>
  <si>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</si>
  <si>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</si>
  <si>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</si>
  <si>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</si>
  <si>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</si>
  <si>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</si>
  <si>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</si>
  <si>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</si>
  <si>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</si>
  <si>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</si>
  <si>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</si>
  <si>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</si>
  <si>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</si>
  <si>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</si>
  <si>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</si>
  <si>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</si>
  <si>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</si>
  <si>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</si>
  <si>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</si>
  <si>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</si>
  <si>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</si>
  <si>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</si>
  <si>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</si>
  <si>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</si>
  <si>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</si>
  <si>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</si>
  <si>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</si>
  <si>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</si>
  <si>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</si>
  <si>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</si>
  <si>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</si>
  <si>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</si>
  <si>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</si>
  <si>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</si>
  <si>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</si>
  <si>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</si>
  <si>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</si>
  <si>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</si>
  <si>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</si>
  <si>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</si>
  <si>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</si>
  <si>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</si>
  <si>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</si>
  <si>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</si>
  <si>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</si>
  <si>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</si>
  <si>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</si>
  <si>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</si>
  <si>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</si>
  <si>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</si>
  <si>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</si>
  <si>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</si>
  <si>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</si>
  <si>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</si>
  <si>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</si>
  <si>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</si>
  <si>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</si>
  <si>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</si>
  <si>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</si>
  <si>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</si>
  <si>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</si>
  <si>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</si>
  <si>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</si>
  <si>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</si>
  <si>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</si>
  <si>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</si>
  <si>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</si>
  <si>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</si>
  <si>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</si>
  <si>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</si>
  <si>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</si>
  <si>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</si>
  <si>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</si>
  <si>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</si>
  <si>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</si>
  <si>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</si>
  <si>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</si>
  <si>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</si>
  <si>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</si>
  <si>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</si>
  <si>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</si>
  <si>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</si>
  <si>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</si>
  <si>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</si>
  <si>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</si>
  <si>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</si>
  <si>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</si>
  <si>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</si>
  <si>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</si>
  <si>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</si>
  <si>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</si>
  <si>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</si>
  <si>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</si>
  <si>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</si>
  <si>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</si>
  <si>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</si>
  <si>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</si>
  <si>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</si>
  <si>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</si>
  <si>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</si>
  <si>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</si>
  <si>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</si>
  <si>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</si>
  <si>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</si>
  <si>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</si>
  <si>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</si>
  <si>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</si>
  <si>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</si>
  <si>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</si>
  <si>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</si>
  <si>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</si>
  <si>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</si>
  <si>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</si>
  <si>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</si>
  <si>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</si>
  <si>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</si>
  <si>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</si>
  <si>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</si>
  <si>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</si>
  <si>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</si>
  <si>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</si>
  <si>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</si>
  <si>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</si>
  <si>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</si>
  <si>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</si>
  <si>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</si>
  <si>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</si>
  <si>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</si>
  <si>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</si>
  <si>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</si>
  <si>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</si>
  <si>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</si>
  <si>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</si>
  <si>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</si>
  <si>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</si>
  <si>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</si>
  <si>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</si>
  <si>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</si>
  <si>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</si>
  <si>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</si>
  <si>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</si>
  <si>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</si>
  <si>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</si>
  <si>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</si>
  <si>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</si>
  <si>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</si>
  <si>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</si>
  <si>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</si>
  <si>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</si>
  <si>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</si>
  <si>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</si>
  <si>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</si>
  <si>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</si>
  <si>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</si>
  <si>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</si>
  <si>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</si>
  <si>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</si>
  <si>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</si>
  <si>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</si>
  <si>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</si>
  <si>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</si>
  <si>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</si>
  <si>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</si>
  <si>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</si>
  <si>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</si>
  <si>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</si>
  <si>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</si>
  <si>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</si>
  <si>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</si>
  <si>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</si>
  <si>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</si>
  <si>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</si>
  <si>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</si>
  <si>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</si>
  <si>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</si>
  <si>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</si>
  <si>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</si>
  <si>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</si>
  <si>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</si>
  <si>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</si>
  <si>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</si>
  <si>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</si>
  <si>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</si>
  <si>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</si>
  <si>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</si>
  <si>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</si>
  <si>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</si>
  <si>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</si>
  <si>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</si>
  <si>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</si>
  <si>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</si>
  <si>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</si>
  <si>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</si>
  <si>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</si>
  <si>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</si>
  <si>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</si>
  <si>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</si>
  <si>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</si>
  <si>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</si>
  <si>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</si>
  <si>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</si>
  <si>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</si>
  <si>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</si>
  <si>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</si>
  <si>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</si>
  <si>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</si>
  <si>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</si>
  <si>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</si>
  <si>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</si>
  <si>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</si>
  <si>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</si>
  <si>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</si>
  <si>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</si>
  <si>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</si>
  <si>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</si>
  <si>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</si>
  <si>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</si>
  <si>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</si>
  <si>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</si>
  <si>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</si>
  <si>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</si>
  <si>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</si>
  <si>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</si>
  <si>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</si>
  <si>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</si>
  <si>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</si>
  <si>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</si>
  <si>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</si>
  <si>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</si>
  <si>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</si>
  <si>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</si>
  <si>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</si>
  <si>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</si>
  <si>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</si>
  <si>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</si>
  <si>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</si>
  <si>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</si>
  <si>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</si>
  <si>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</si>
  <si>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</si>
  <si>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</si>
  <si>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</si>
  <si>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</si>
  <si>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</si>
  <si>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</si>
  <si>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</si>
  <si>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</si>
  <si>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</si>
  <si>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</si>
  <si>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</si>
  <si>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</si>
  <si>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</si>
  <si>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</si>
  <si>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</si>
  <si>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</si>
  <si>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</si>
  <si>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</si>
  <si>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</si>
  <si>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</si>
  <si>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</si>
  <si>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</si>
  <si>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</si>
  <si>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</si>
  <si>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</si>
  <si>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</si>
  <si>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</si>
  <si>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</si>
  <si>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</si>
  <si>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</si>
  <si>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</si>
  <si>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</si>
  <si>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</si>
  <si>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</si>
  <si>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</si>
  <si>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</si>
  <si>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</si>
  <si>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</si>
  <si>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</si>
  <si>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</si>
  <si>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</si>
  <si>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</si>
  <si>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</si>
  <si>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</si>
  <si>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</si>
  <si>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</si>
  <si>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</si>
  <si>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</si>
  <si>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</si>
  <si>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</si>
  <si>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</si>
  <si>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</si>
  <si>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</si>
  <si>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</si>
  <si>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</si>
  <si>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</si>
  <si>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</si>
  <si>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</si>
  <si>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</si>
  <si>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</si>
  <si>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</si>
  <si>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</si>
  <si>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</si>
  <si>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</si>
  <si>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</si>
  <si>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</si>
  <si>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</si>
  <si>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</si>
  <si>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</si>
  <si>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</si>
  <si>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</si>
  <si>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</si>
  <si>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</si>
  <si>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</si>
  <si>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</si>
  <si>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</si>
  <si>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</si>
  <si>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</si>
  <si>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</si>
  <si>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</si>
  <si>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</si>
  <si>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</si>
  <si>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</si>
  <si>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</si>
  <si>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</si>
  <si>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</si>
  <si>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</si>
  <si>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</si>
  <si>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</si>
  <si>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</si>
  <si>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</si>
  <si>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</si>
  <si>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</si>
  <si>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</si>
  <si>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</si>
  <si>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</si>
  <si>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</si>
  <si>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</si>
  <si>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</si>
  <si>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</si>
  <si>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</si>
  <si>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</si>
  <si>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</si>
  <si>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</si>
  <si>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</si>
  <si>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</si>
  <si>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</si>
  <si>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</si>
  <si>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</si>
  <si>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</si>
  <si>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</si>
  <si>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</si>
  <si>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</si>
  <si>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</si>
  <si>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</si>
  <si>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</si>
  <si>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</si>
  <si>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</si>
  <si>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</si>
  <si>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</si>
  <si>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</si>
  <si>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</si>
  <si>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</si>
  <si>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</si>
  <si>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</si>
  <si>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</si>
  <si>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</si>
  <si>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</si>
  <si>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</si>
  <si>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</si>
  <si>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</si>
  <si>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</si>
  <si>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</si>
  <si>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</si>
  <si>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</si>
  <si>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</si>
  <si>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</si>
  <si>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</si>
  <si>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</si>
  <si>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</si>
  <si>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</si>
  <si>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</si>
  <si>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</si>
  <si>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</si>
  <si>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</si>
  <si>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</si>
  <si>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</si>
  <si>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</si>
  <si>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</si>
  <si>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</si>
  <si>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</si>
  <si>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</si>
  <si>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</si>
  <si>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</si>
  <si>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</si>
  <si>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</si>
  <si>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</si>
  <si>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</si>
  <si>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</si>
  <si>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</si>
  <si>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</si>
  <si>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</si>
  <si>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</si>
  <si>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</si>
  <si>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</si>
  <si>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</si>
  <si>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</si>
  <si>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</si>
  <si>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</si>
  <si>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</si>
  <si>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</si>
  <si>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</si>
  <si>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</si>
  <si>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</si>
  <si>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</si>
  <si>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</si>
  <si>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</si>
  <si>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</si>
  <si>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</si>
  <si>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</si>
  <si>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</si>
  <si>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</si>
  <si>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</si>
  <si>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</si>
  <si>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</si>
  <si>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</si>
  <si>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</si>
  <si>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</si>
  <si>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</si>
  <si>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</si>
  <si>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</si>
  <si>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</si>
  <si>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</si>
  <si>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</si>
  <si>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</si>
  <si>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</si>
  <si>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</si>
  <si>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</si>
  <si>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</si>
  <si>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</si>
  <si>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</si>
  <si>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</si>
  <si>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</si>
  <si>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</si>
  <si>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</si>
  <si>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</si>
  <si>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</si>
  <si>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</si>
  <si>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</si>
  <si>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</si>
  <si>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</si>
  <si>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</si>
  <si>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</si>
  <si>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</si>
  <si>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</si>
  <si>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</si>
  <si>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</si>
  <si>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</si>
  <si>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</si>
  <si>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</si>
  <si>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</si>
  <si>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</si>
  <si>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</si>
  <si>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</si>
  <si>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</si>
  <si>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</si>
  <si>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</si>
  <si>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</si>
  <si>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</si>
  <si>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</si>
  <si>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</si>
  <si>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</si>
  <si>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</si>
  <si>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</si>
  <si>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</si>
  <si>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</si>
  <si>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</si>
  <si>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</si>
  <si>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</si>
  <si>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</si>
  <si>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</si>
  <si>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</si>
  <si>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</si>
  <si>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</si>
  <si>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</si>
  <si>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</si>
  <si>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</si>
  <si>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</si>
  <si>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</si>
  <si>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</si>
  <si>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</si>
  <si>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</si>
  <si>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</si>
  <si>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</si>
  <si>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</si>
  <si>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</si>
  <si>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</si>
  <si>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</si>
  <si>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</si>
  <si>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</si>
  <si>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</si>
  <si>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</si>
  <si>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</si>
  <si>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</si>
  <si>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</si>
  <si>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</si>
  <si>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</si>
  <si>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</si>
  <si>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</si>
  <si>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</si>
  <si>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</si>
  <si>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</si>
  <si>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</si>
  <si>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</si>
  <si>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</si>
  <si>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</si>
  <si>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</si>
  <si>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</si>
  <si>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</si>
  <si>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</si>
  <si>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</si>
  <si>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</si>
  <si>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</si>
  <si>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</si>
  <si>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</si>
  <si>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</si>
  <si>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</si>
  <si>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</si>
  <si>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</si>
  <si>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</si>
  <si>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</si>
  <si>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</si>
  <si>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</si>
  <si>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</si>
  <si>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</si>
  <si>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</si>
  <si>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</si>
  <si>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</si>
  <si>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</si>
  <si>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</si>
  <si>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</si>
  <si>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</si>
  <si>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</si>
  <si>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</si>
  <si>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</si>
  <si>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</si>
  <si>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</si>
  <si>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</si>
  <si>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</si>
  <si>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</si>
  <si>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</si>
  <si>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</si>
  <si>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</si>
  <si>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</si>
  <si>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</si>
  <si>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</si>
  <si>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</si>
  <si>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</si>
  <si>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</si>
  <si>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</si>
  <si>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</si>
  <si>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</si>
  <si>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</si>
  <si>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</si>
  <si>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</si>
  <si>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</si>
  <si>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</si>
  <si>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</si>
  <si>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</si>
  <si>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</si>
  <si>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</si>
  <si>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</si>
  <si>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</si>
  <si>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</si>
  <si>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</si>
  <si>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</si>
  <si>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</si>
  <si>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</si>
  <si>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</si>
  <si>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</si>
  <si>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</si>
  <si>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</si>
  <si>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</si>
  <si>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</si>
  <si>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</si>
  <si>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</si>
  <si>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</si>
  <si>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</si>
  <si>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</si>
  <si>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</si>
  <si>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</si>
  <si>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</si>
  <si>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</si>
  <si>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</si>
  <si>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</si>
  <si>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</si>
  <si>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</si>
  <si>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</si>
  <si>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</si>
  <si>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</si>
  <si>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</si>
  <si>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</si>
  <si>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</si>
  <si>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</si>
  <si>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</si>
  <si>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</si>
  <si>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</si>
  <si>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</si>
  <si>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</si>
  <si>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</si>
  <si>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</si>
  <si>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</si>
  <si>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</si>
  <si>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</si>
  <si>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</si>
  <si>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</si>
  <si>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</si>
  <si>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</si>
  <si>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</si>
  <si>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</si>
  <si>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</si>
  <si>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</si>
  <si>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</si>
  <si>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</si>
  <si>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</si>
  <si>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</si>
  <si>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</si>
  <si>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</si>
  <si>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</si>
  <si>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</si>
  <si>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</si>
  <si>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</si>
  <si>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</si>
  <si>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</si>
  <si>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</si>
  <si>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</si>
  <si>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</si>
  <si>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</si>
  <si>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</si>
  <si>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</si>
  <si>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</si>
  <si>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</si>
  <si>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</si>
  <si>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</si>
  <si>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</si>
  <si>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</si>
  <si>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</si>
  <si>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</si>
  <si>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</si>
  <si>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</si>
  <si>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</si>
  <si>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</si>
  <si>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</si>
  <si>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</si>
  <si>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</si>
  <si>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</si>
  <si>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</si>
  <si>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</si>
  <si>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</si>
  <si>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</si>
  <si>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</si>
  <si>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</si>
  <si>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</si>
  <si>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</si>
  <si>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</si>
  <si>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</si>
  <si>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</si>
  <si>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</si>
  <si>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</si>
  <si>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</si>
  <si>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</si>
  <si>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</si>
  <si>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</si>
  <si>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</si>
  <si>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</si>
  <si>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</si>
  <si>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</si>
  <si>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</si>
  <si>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</si>
  <si>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</si>
  <si>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</si>
  <si>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</si>
  <si>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</si>
  <si>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</si>
  <si>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</si>
  <si>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</si>
  <si>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</si>
  <si>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</si>
  <si>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</si>
  <si>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</si>
  <si>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</si>
  <si>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</si>
  <si>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</si>
  <si>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</si>
  <si>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</si>
  <si>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</si>
  <si>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</si>
  <si>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</si>
  <si>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</si>
  <si>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</si>
  <si>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</si>
  <si>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</si>
  <si>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</si>
  <si>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</si>
  <si>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</si>
  <si>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</si>
  <si>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</si>
  <si>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</si>
  <si>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</si>
  <si>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</si>
  <si>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</si>
  <si>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</si>
  <si>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</si>
  <si>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</si>
  <si>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</si>
  <si>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</si>
  <si>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</si>
  <si>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</si>
  <si>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</si>
  <si>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</si>
  <si>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</si>
  <si>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</si>
  <si>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</si>
  <si>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</si>
  <si>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</si>
  <si>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</si>
  <si>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</si>
  <si>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</si>
  <si>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</si>
  <si>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</si>
  <si>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</si>
  <si>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</si>
  <si>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</si>
  <si>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</si>
  <si>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</si>
  <si>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</si>
  <si>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</si>
  <si>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</si>
  <si>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</si>
  <si>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</si>
  <si>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</si>
  <si>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</si>
  <si>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</si>
  <si>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</si>
  <si>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</si>
  <si>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</si>
  <si>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</si>
  <si>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</si>
  <si>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</si>
  <si>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</si>
  <si>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</si>
  <si>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</si>
  <si>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</si>
  <si>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</si>
  <si>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</si>
  <si>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</si>
  <si>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</si>
  <si>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</si>
  <si>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</si>
  <si>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</si>
  <si>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</si>
  <si>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</si>
  <si>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</si>
  <si>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</si>
  <si>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</si>
  <si>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</si>
  <si>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</si>
  <si>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</si>
  <si>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</si>
  <si>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</si>
  <si>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</si>
  <si>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</si>
  <si>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</si>
  <si>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</si>
  <si>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</si>
  <si>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</si>
  <si>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</si>
  <si>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</si>
  <si>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</si>
  <si>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</si>
  <si>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</si>
  <si>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</si>
  <si>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</si>
  <si>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</si>
  <si>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</si>
  <si>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</si>
  <si>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</si>
  <si>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</si>
  <si>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</si>
  <si>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</si>
  <si>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</si>
  <si>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</si>
  <si>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</si>
  <si>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</si>
  <si>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</si>
  <si>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</si>
  <si>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</si>
  <si>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</si>
  <si>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</si>
  <si>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</si>
  <si>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</si>
  <si>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</si>
  <si>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</si>
  <si>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</si>
  <si>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</si>
  <si>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</si>
  <si>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</si>
  <si>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</si>
  <si>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</si>
  <si>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</si>
  <si>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</si>
  <si>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</si>
  <si>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</si>
  <si>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</si>
  <si>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</si>
  <si>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</si>
  <si>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</si>
  <si>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</si>
  <si>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</si>
  <si>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</si>
  <si>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</si>
  <si>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</si>
  <si>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</si>
  <si>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</si>
  <si>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</si>
  <si>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</si>
  <si>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</si>
  <si>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</si>
  <si>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</si>
  <si>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</si>
  <si>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</si>
  <si>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</si>
  <si>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</si>
  <si>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</si>
  <si>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</si>
  <si>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</si>
  <si>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</si>
  <si>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</si>
  <si>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</si>
  <si>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</si>
  <si>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</si>
  <si>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</si>
  <si>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</si>
  <si>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</si>
  <si>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</si>
  <si>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</si>
  <si>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</si>
  <si>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</si>
  <si>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</si>
  <si>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</si>
  <si>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</si>
  <si>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</si>
  <si>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</si>
  <si>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</si>
  <si>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</si>
  <si>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</si>
  <si>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</si>
  <si>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</si>
  <si>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</si>
  <si>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</si>
  <si>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</si>
  <si>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</si>
  <si>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</si>
  <si>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</si>
  <si>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</si>
  <si>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</si>
  <si>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</si>
  <si>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</si>
  <si>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</si>
  <si>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</si>
  <si>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</si>
  <si>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</si>
  <si>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</si>
  <si>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</si>
  <si>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</si>
  <si>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</si>
  <si>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</si>
  <si>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</si>
  <si>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</si>
  <si>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</si>
  <si>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</si>
  <si>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</si>
  <si>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</si>
  <si>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</si>
  <si>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</si>
  <si>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</si>
  <si>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</si>
  <si>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</si>
  <si>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</si>
  <si>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</si>
  <si>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</si>
  <si>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</si>
  <si>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</si>
  <si>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</si>
  <si>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</si>
  <si>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</si>
  <si>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</si>
  <si>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</si>
  <si>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</si>
  <si>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</si>
  <si>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</si>
  <si>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</si>
  <si>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</si>
  <si>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</si>
  <si>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</si>
  <si>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</si>
  <si>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</si>
  <si>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</si>
  <si>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</si>
  <si>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</si>
  <si>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</si>
  <si>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</si>
  <si>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</si>
  <si>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</si>
  <si>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</si>
  <si>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</si>
  <si>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</si>
  <si>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</si>
  <si>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</si>
  <si>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</si>
  <si>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</si>
  <si>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</si>
  <si>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</si>
  <si>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</si>
  <si>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</si>
  <si>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</si>
  <si>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</si>
  <si>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</si>
  <si>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</si>
  <si>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</si>
  <si>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</si>
  <si>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</si>
  <si>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</si>
  <si>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</si>
  <si>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</si>
  <si>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</si>
  <si>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</si>
  <si>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</si>
  <si>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</si>
  <si>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</si>
  <si>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</si>
  <si>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</si>
  <si>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</si>
  <si>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</si>
  <si>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</si>
  <si>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</si>
  <si>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</si>
  <si>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</si>
  <si>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</si>
  <si>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</si>
  <si>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</si>
  <si>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</si>
  <si>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</si>
  <si>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</si>
  <si>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</si>
  <si>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</si>
  <si>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</si>
  <si>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</si>
  <si>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</si>
  <si>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</si>
  <si>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</si>
  <si>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</si>
  <si>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</si>
  <si>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</si>
  <si>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</si>
  <si>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</si>
  <si>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</si>
  <si>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</si>
  <si>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</si>
  <si>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</si>
  <si>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</si>
  <si>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</si>
  <si>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</si>
  <si>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</si>
  <si>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</si>
  <si>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</si>
  <si>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</si>
  <si>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</si>
  <si>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</si>
  <si>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</si>
  <si>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</si>
  <si>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</si>
  <si>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</si>
  <si>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</si>
  <si>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</si>
  <si>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</si>
  <si>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</si>
  <si>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</si>
  <si>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</si>
  <si>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</si>
  <si>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</si>
  <si>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</si>
  <si>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</si>
  <si>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</si>
  <si>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</si>
  <si>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</si>
  <si>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</si>
  <si>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</si>
  <si>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</si>
  <si>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</si>
  <si>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</si>
  <si>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</si>
  <si>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</si>
  <si>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</si>
  <si>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</si>
  <si>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</si>
  <si>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</si>
  <si>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</si>
  <si>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</si>
  <si>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</si>
  <si>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</si>
  <si>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</si>
  <si>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</si>
  <si>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</si>
  <si>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</si>
  <si>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</si>
  <si>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</si>
  <si>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</si>
  <si>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</si>
  <si>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</si>
  <si>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</si>
  <si>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</si>
  <si>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</si>
  <si>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</si>
  <si>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</si>
  <si>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</si>
  <si>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</si>
  <si>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</si>
  <si>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</si>
  <si>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</si>
  <si>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</si>
  <si>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</si>
  <si>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</si>
  <si>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</si>
  <si>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</si>
  <si>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</si>
  <si>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</si>
  <si>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</si>
  <si>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</si>
  <si>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</si>
  <si>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</si>
  <si>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</si>
  <si>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</si>
  <si>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</si>
  <si>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</si>
  <si>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</si>
  <si>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</si>
  <si>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</si>
  <si>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</si>
  <si>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</si>
  <si>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</si>
  <si>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</si>
  <si>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</si>
  <si>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</si>
  <si>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</si>
  <si>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</si>
  <si>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</si>
  <si>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</si>
  <si>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</si>
  <si>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</si>
  <si>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</si>
  <si>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</si>
  <si>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</si>
  <si>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</si>
  <si>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</si>
  <si>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</si>
  <si>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</si>
  <si>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</si>
  <si>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</si>
  <si>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</si>
  <si>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</si>
  <si>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</si>
  <si>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</si>
  <si>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</si>
  <si>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</si>
  <si>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</si>
  <si>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</si>
  <si>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</si>
  <si>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</si>
  <si>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</si>
  <si>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</si>
  <si>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</si>
  <si>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</si>
  <si>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</si>
  <si>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</si>
  <si>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</si>
  <si>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</si>
  <si>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</si>
  <si>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</si>
  <si>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</si>
  <si>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</si>
  <si>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</si>
  <si>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</si>
  <si>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</si>
  <si>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</si>
  <si>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</si>
  <si>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</si>
  <si>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</si>
  <si>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</si>
  <si>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</si>
  <si>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</si>
  <si>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</si>
  <si>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</si>
  <si>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</si>
  <si>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</si>
  <si>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</si>
  <si>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</si>
  <si>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</si>
  <si>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</si>
  <si>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</si>
  <si>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</si>
  <si>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</si>
  <si>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</si>
  <si>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</si>
  <si>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</si>
  <si>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</si>
  <si>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</si>
  <si>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</si>
  <si>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</si>
  <si>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</si>
  <si>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</si>
  <si>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</si>
  <si>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</si>
  <si>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</si>
  <si>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</si>
  <si>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</si>
  <si>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</si>
  <si>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</si>
  <si>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</si>
  <si>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</si>
  <si>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</si>
  <si>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</si>
  <si>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</si>
  <si>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</si>
  <si>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</si>
  <si>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</si>
  <si>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</si>
  <si>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</si>
  <si>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</si>
  <si>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</si>
  <si>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</si>
  <si>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</si>
  <si>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</si>
  <si>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</si>
  <si>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</si>
  <si>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</si>
  <si>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</si>
  <si>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</si>
  <si>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</si>
  <si>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</si>
  <si>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</si>
  <si>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</si>
  <si>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</si>
  <si>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</si>
  <si>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</si>
  <si>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</si>
  <si>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</si>
  <si>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</si>
  <si>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</si>
  <si>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</si>
  <si>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</si>
  <si>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</si>
  <si>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</si>
  <si>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</si>
  <si>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</si>
  <si>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</si>
  <si>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</si>
  <si>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</si>
  <si>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</si>
  <si>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</si>
  <si>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</si>
  <si>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</si>
  <si>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</si>
  <si>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</si>
  <si>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</si>
  <si>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</si>
  <si>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</si>
  <si>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</si>
  <si>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</si>
  <si>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</si>
  <si>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</si>
  <si>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</si>
  <si>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</si>
  <si>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</si>
  <si>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</si>
  <si>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</si>
  <si>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</si>
  <si>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</si>
  <si>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</si>
  <si>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</si>
  <si>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</si>
  <si>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</si>
  <si>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</si>
  <si>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</si>
  <si>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</si>
  <si>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</si>
  <si>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</si>
  <si>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</si>
  <si>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</si>
  <si>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</si>
  <si>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</si>
  <si>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</si>
  <si>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</si>
  <si>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</si>
  <si>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</si>
  <si>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</si>
  <si>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</si>
  <si>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</si>
  <si>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</si>
  <si>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</si>
  <si>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</si>
  <si>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</si>
  <si>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</si>
  <si>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</si>
  <si>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</si>
  <si>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</si>
  <si>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</si>
  <si>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</si>
  <si>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</si>
  <si>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</si>
  <si>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</si>
  <si>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</si>
  <si>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</si>
  <si>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</si>
  <si>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</si>
  <si>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</si>
  <si>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</si>
  <si>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</si>
  <si>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</si>
  <si>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</si>
  <si>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</si>
  <si>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</si>
  <si>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</si>
  <si>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</si>
  <si>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</si>
  <si>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</si>
  <si>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</si>
  <si>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</si>
  <si>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</si>
  <si>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</si>
  <si>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</si>
  <si>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</si>
  <si>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</si>
  <si>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</si>
  <si>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</si>
  <si>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</si>
  <si>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</si>
  <si>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</si>
  <si>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</si>
  <si>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</si>
  <si>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</si>
  <si>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</si>
  <si>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</si>
  <si>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</si>
  <si>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</si>
  <si>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</si>
  <si>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</si>
  <si>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</si>
  <si>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</si>
  <si>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</si>
  <si>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</si>
  <si>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</si>
  <si>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</si>
  <si>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</si>
  <si>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</si>
  <si>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</si>
  <si>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</si>
  <si>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</si>
  <si>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</si>
  <si>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</si>
  <si>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</si>
  <si>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</si>
  <si>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</si>
  <si>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</si>
  <si>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</si>
  <si>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</si>
  <si>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</si>
  <si>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</si>
  <si>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</si>
  <si>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</si>
  <si>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</si>
  <si>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</si>
  <si>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</si>
  <si>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</si>
  <si>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</si>
  <si>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</si>
  <si>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</si>
  <si>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</si>
  <si>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</si>
  <si>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</si>
  <si>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</si>
  <si>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</si>
  <si>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</si>
  <si>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</si>
  <si>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</si>
  <si>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</si>
  <si>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</si>
  <si>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</si>
  <si>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</si>
  <si>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</si>
  <si>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</si>
  <si>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</si>
  <si>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</si>
  <si>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</si>
  <si>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</si>
  <si>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</si>
  <si>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</si>
  <si>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</si>
  <si>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</si>
  <si>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</si>
  <si>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</si>
  <si>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</si>
  <si>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</si>
  <si>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</si>
  <si>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</si>
  <si>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</si>
  <si>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</si>
  <si>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</si>
  <si>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</si>
  <si>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</si>
  <si>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</si>
  <si>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</si>
  <si>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</si>
  <si>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</si>
  <si>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</si>
  <si>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</si>
  <si>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</si>
  <si>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</si>
  <si>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</si>
  <si>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</si>
  <si>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</si>
  <si>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</si>
  <si>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</si>
  <si>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</si>
  <si>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</si>
  <si>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</si>
  <si>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</si>
  <si>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</si>
  <si>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</si>
  <si>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</si>
  <si>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</si>
  <si>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</si>
  <si>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</si>
  <si>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</si>
  <si>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</si>
  <si>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</si>
  <si>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</si>
  <si>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</si>
  <si>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</si>
  <si>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</si>
  <si>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</si>
  <si>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</si>
  <si>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</si>
  <si>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</si>
  <si>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</si>
  <si>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</si>
  <si>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</si>
  <si>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</si>
  <si>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</si>
  <si>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</si>
  <si>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</si>
  <si>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</si>
  <si>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</si>
  <si>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</si>
  <si>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</si>
  <si>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</si>
  <si>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</si>
  <si>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</si>
  <si>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</si>
  <si>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</si>
  <si>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</si>
  <si>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</si>
  <si>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</si>
  <si>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</si>
  <si>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</si>
  <si>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</si>
  <si>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</si>
  <si>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</si>
  <si>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</si>
  <si>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</si>
  <si>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</si>
  <si>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</si>
  <si>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</si>
  <si>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</si>
  <si>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</si>
  <si>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</si>
  <si>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</si>
  <si>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</si>
  <si>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</si>
  <si>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</si>
  <si>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</si>
  <si>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</si>
  <si>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</si>
  <si>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</si>
  <si>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</si>
  <si>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</si>
  <si>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</si>
  <si>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</si>
  <si>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</si>
  <si>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</si>
  <si>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</si>
  <si>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</si>
  <si>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</si>
  <si>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</si>
  <si>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</si>
  <si>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</si>
  <si>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</si>
  <si>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</si>
  <si>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</si>
  <si>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</si>
  <si>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</si>
  <si>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</si>
  <si>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</si>
  <si>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</si>
  <si>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</si>
  <si>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</si>
  <si>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</si>
  <si>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</si>
  <si>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</si>
  <si>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</si>
  <si>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</si>
  <si>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</si>
  <si>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</si>
  <si>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</si>
  <si>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</si>
  <si>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</si>
  <si>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</si>
  <si>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</si>
  <si>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</si>
  <si>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</si>
  <si>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</si>
  <si>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</si>
  <si>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</si>
  <si>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</si>
  <si>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</si>
  <si>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</si>
  <si>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</si>
  <si>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</si>
  <si>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</si>
  <si>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</si>
  <si>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</si>
  <si>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</si>
  <si>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</si>
  <si>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</si>
  <si>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</si>
  <si>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</si>
  <si>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</si>
  <si>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</si>
  <si>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</si>
  <si>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</si>
  <si>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</si>
  <si>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</si>
  <si>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</si>
  <si>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</si>
  <si>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</si>
  <si>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</si>
  <si>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</si>
  <si>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</si>
  <si>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</si>
  <si>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</si>
  <si>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</si>
  <si>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</si>
  <si>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</si>
  <si>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</si>
  <si>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</si>
  <si>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</si>
  <si>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</si>
  <si>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</si>
  <si>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</si>
  <si>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</si>
  <si>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</si>
  <si>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</si>
  <si>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</si>
  <si>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</si>
  <si>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</si>
  <si>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</si>
  <si>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</si>
  <si>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</si>
  <si>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</si>
  <si>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</si>
  <si>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</si>
  <si>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</si>
  <si>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</si>
  <si>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</si>
  <si>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</si>
  <si>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</si>
  <si>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</si>
  <si>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</si>
  <si>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</si>
  <si>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</si>
  <si>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</si>
  <si>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</si>
  <si>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</si>
  <si>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</si>
  <si>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</si>
  <si>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</si>
  <si>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</si>
  <si>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</si>
  <si>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</si>
  <si>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</si>
  <si>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</si>
  <si>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</si>
  <si>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</si>
  <si>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</si>
  <si>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</si>
  <si>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</si>
  <si>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</si>
  <si>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</si>
  <si>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</si>
  <si>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</si>
  <si>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</si>
  <si>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</si>
  <si>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</si>
  <si>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</si>
  <si>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</si>
  <si>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</si>
  <si>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</si>
  <si>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</si>
  <si>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</si>
  <si>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</si>
  <si>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</si>
  <si>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</si>
  <si>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</si>
  <si>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</si>
  <si>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</si>
  <si>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</si>
  <si>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</si>
  <si>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</si>
  <si>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</si>
  <si>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</si>
  <si>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</si>
  <si>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</si>
  <si>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</si>
  <si>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</si>
  <si>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</si>
  <si>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</si>
  <si>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</si>
  <si>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</si>
  <si>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</si>
  <si>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</si>
  <si>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</si>
  <si>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</si>
  <si>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</si>
  <si>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</si>
  <si>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</si>
  <si>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</si>
  <si>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</si>
  <si>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</si>
  <si>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</si>
  <si>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</si>
  <si>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</si>
  <si>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</si>
  <si>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</si>
  <si>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</si>
  <si>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</si>
  <si>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</si>
  <si>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</si>
  <si>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</si>
  <si>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</si>
  <si>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</si>
  <si>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</si>
  <si>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</si>
  <si>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</si>
  <si>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</si>
  <si>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</si>
  <si>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</si>
  <si>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</si>
  <si>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</si>
  <si>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</si>
  <si>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</si>
  <si>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</si>
  <si>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</si>
  <si>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</si>
  <si>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</si>
  <si>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</si>
  <si>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</si>
  <si>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</si>
  <si>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</si>
  <si>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</si>
  <si>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</si>
  <si>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</si>
  <si>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</si>
  <si>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</si>
  <si>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</si>
  <si>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</si>
  <si>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</si>
  <si>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</si>
  <si>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</si>
  <si>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</si>
  <si>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</si>
  <si>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</si>
  <si>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</si>
  <si>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</si>
  <si>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</si>
  <si>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</si>
  <si>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</si>
  <si>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</si>
  <si>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</si>
  <si>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</si>
  <si>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</si>
  <si>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</si>
  <si>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</si>
  <si>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</si>
  <si>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</si>
  <si>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</si>
  <si>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</si>
  <si>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</si>
  <si>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</si>
  <si>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</si>
  <si>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</si>
  <si>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</si>
  <si>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</si>
  <si>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</si>
  <si>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</si>
  <si>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</si>
  <si>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</si>
  <si>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</si>
  <si>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</si>
  <si>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</si>
  <si>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</si>
  <si>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</si>
  <si>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</si>
  <si>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</si>
  <si>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</si>
  <si>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</si>
  <si>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</si>
  <si>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</si>
  <si>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</si>
  <si>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</si>
  <si>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</si>
  <si>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</si>
  <si>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</si>
  <si>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</si>
  <si>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</si>
  <si>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</si>
  <si>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</si>
  <si>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</si>
  <si>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</si>
  <si>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</si>
  <si>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</si>
  <si>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</si>
  <si>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</si>
  <si>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</si>
  <si>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</si>
  <si>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</si>
  <si>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</si>
  <si>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</si>
  <si>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</si>
  <si>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</si>
  <si>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</si>
  <si>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</si>
  <si>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</si>
  <si>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</si>
  <si>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</si>
  <si>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</si>
  <si>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</si>
  <si>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</si>
  <si>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</si>
  <si>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</si>
  <si>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</si>
  <si>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</si>
  <si>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</si>
  <si>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</si>
  <si>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</si>
  <si>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</si>
  <si>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</si>
  <si>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</si>
  <si>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</si>
  <si>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</si>
  <si>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</si>
  <si>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</si>
  <si>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</si>
  <si>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</si>
  <si>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</si>
  <si>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</si>
  <si>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</si>
  <si>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</si>
  <si>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</si>
  <si>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</si>
  <si>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</si>
  <si>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</si>
  <si>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</si>
  <si>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</si>
  <si>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</si>
  <si>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</si>
  <si>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</si>
  <si>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</si>
  <si>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</si>
  <si>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</si>
  <si>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</si>
  <si>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</si>
  <si>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</si>
  <si>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</si>
  <si>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</si>
  <si>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</si>
  <si>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</si>
  <si>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</si>
  <si>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</si>
  <si>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</si>
  <si>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</si>
  <si>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</si>
  <si>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</si>
  <si>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</si>
  <si>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</si>
  <si>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</si>
  <si>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</si>
  <si>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</si>
  <si>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</si>
  <si>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</si>
  <si>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</si>
  <si>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</si>
  <si>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</si>
  <si>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</si>
  <si>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</si>
  <si>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</si>
  <si>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</si>
  <si>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</si>
  <si>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</si>
  <si>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</si>
  <si>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</si>
  <si>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</si>
  <si>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</si>
  <si>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</si>
  <si>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</si>
  <si>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</si>
  <si>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</si>
  <si>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</si>
  <si>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</si>
  <si>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</si>
  <si>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</si>
  <si>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</si>
  <si>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</si>
  <si>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</si>
  <si>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</si>
  <si>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</si>
  <si>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</si>
  <si>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</si>
  <si>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</si>
  <si>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</si>
  <si>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</si>
  <si>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</si>
  <si>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</si>
  <si>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</si>
  <si>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</si>
  <si>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</si>
  <si>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</si>
  <si>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</si>
  <si>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</si>
  <si>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</si>
  <si>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</si>
  <si>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</si>
  <si>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</si>
  <si>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</si>
  <si>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</si>
  <si>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</si>
  <si>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</si>
  <si>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</si>
  <si>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</si>
  <si>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</si>
  <si>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</si>
  <si>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</si>
  <si>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</si>
  <si>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</si>
  <si>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</si>
  <si>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</si>
  <si>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</si>
  <si>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</si>
  <si>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</si>
  <si>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</si>
  <si>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</si>
  <si>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</si>
  <si>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</si>
  <si>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</si>
  <si>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</si>
  <si>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</si>
  <si>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</si>
  <si>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</si>
  <si>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</si>
  <si>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</si>
  <si>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</si>
  <si>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</si>
  <si>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</si>
  <si>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</si>
  <si>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</si>
  <si>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</si>
  <si>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</si>
  <si>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</si>
  <si>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</si>
  <si>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</si>
  <si>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</si>
  <si>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</si>
  <si>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</si>
  <si>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</si>
  <si>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</si>
  <si>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</si>
  <si>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</si>
  <si>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</si>
  <si>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</si>
  <si>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</si>
  <si>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</si>
  <si>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</si>
  <si>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</si>
  <si>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</si>
  <si>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</si>
  <si>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</si>
  <si>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</si>
  <si>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</si>
  <si>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</si>
  <si>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</si>
  <si>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</si>
  <si>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</si>
  <si>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</si>
  <si>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</si>
  <si>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</si>
  <si>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</si>
  <si>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</si>
  <si>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</si>
  <si>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</si>
  <si>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</si>
  <si>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</si>
  <si>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</si>
  <si>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</si>
  <si>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</si>
  <si>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</si>
  <si>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</si>
  <si>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</si>
  <si>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</si>
  <si>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</si>
  <si>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</si>
  <si>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</si>
  <si>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</si>
  <si>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</si>
  <si>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</si>
  <si>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</si>
  <si>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</si>
  <si>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</si>
  <si>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</si>
  <si>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</si>
  <si>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</si>
  <si>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</si>
  <si>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</si>
  <si>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</si>
  <si>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</si>
  <si>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</si>
  <si>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</si>
  <si>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</si>
  <si>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</si>
  <si>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</si>
  <si>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</si>
  <si>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</si>
  <si>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</si>
  <si>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</si>
  <si>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</si>
  <si>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</si>
  <si>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</si>
  <si>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</si>
  <si>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</si>
  <si>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</si>
  <si>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</si>
  <si>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</si>
  <si>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</si>
  <si>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</si>
  <si>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</si>
  <si>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</si>
  <si>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</si>
  <si>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</si>
  <si>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</si>
  <si>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</si>
  <si>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</si>
  <si>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</si>
  <si>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</si>
  <si>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</si>
  <si>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</si>
  <si>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</si>
  <si>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</si>
  <si>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</si>
  <si>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</si>
  <si>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</si>
  <si>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</si>
  <si>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</si>
  <si>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</si>
  <si>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</si>
  <si>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</si>
  <si>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</si>
  <si>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</si>
  <si>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</si>
  <si>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</si>
  <si>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</si>
  <si>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</si>
  <si>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</si>
  <si>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</si>
  <si>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</si>
  <si>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</si>
  <si>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</si>
  <si>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</si>
  <si>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</si>
  <si>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</si>
  <si>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</si>
  <si>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</si>
  <si>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</si>
  <si>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</si>
  <si>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</si>
  <si>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</si>
  <si>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</si>
  <si>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</si>
  <si>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</si>
  <si>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</si>
  <si>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</si>
  <si>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</si>
  <si>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</si>
  <si>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</si>
  <si>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</si>
  <si>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</si>
  <si>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</si>
  <si>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</si>
  <si>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</si>
  <si>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</si>
  <si>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</si>
  <si>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</si>
  <si>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</si>
  <si>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</si>
  <si>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</si>
  <si>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</si>
  <si>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</si>
  <si>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</si>
  <si>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</si>
  <si>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</si>
  <si>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</si>
  <si>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</si>
  <si>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</si>
  <si>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</si>
  <si>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</si>
  <si>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</si>
  <si>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</si>
  <si>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</si>
  <si>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</si>
  <si>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</si>
  <si>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</si>
  <si>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</si>
  <si>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</si>
  <si>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</si>
  <si>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</si>
  <si>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</si>
  <si>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</si>
  <si>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</si>
  <si>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</si>
  <si>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</si>
  <si>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</si>
  <si>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</si>
  <si>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</si>
  <si>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</si>
  <si>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</si>
  <si>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</si>
  <si>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</si>
  <si>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</si>
  <si>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</si>
  <si>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</si>
  <si>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</si>
  <si>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</si>
  <si>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</si>
  <si>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</si>
  <si>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</si>
  <si>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</si>
  <si>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</si>
  <si>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</si>
  <si>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</si>
  <si>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</si>
  <si>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</si>
  <si>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</si>
  <si>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</si>
  <si>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</si>
  <si>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</si>
  <si>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</si>
  <si>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</si>
  <si>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</si>
  <si>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</si>
  <si>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</si>
  <si>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</si>
  <si>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</si>
  <si>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</si>
  <si>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</si>
  <si>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</si>
  <si>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</si>
  <si>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</si>
  <si>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</si>
  <si>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</si>
  <si>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</si>
  <si>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</si>
  <si>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</si>
  <si>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</si>
  <si>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</si>
  <si>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</si>
  <si>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</si>
  <si>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</si>
  <si>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</si>
  <si>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</si>
  <si>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</si>
  <si>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</si>
  <si>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</si>
  <si>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</si>
  <si>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</si>
  <si>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</si>
  <si>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</si>
  <si>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</si>
  <si>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</si>
  <si>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</si>
  <si>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</si>
  <si>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</si>
  <si>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</si>
  <si>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</si>
  <si>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</si>
  <si>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</si>
  <si>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</si>
  <si>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</si>
  <si>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</si>
  <si>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</si>
  <si>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</si>
  <si>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</si>
  <si>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</si>
  <si>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</si>
  <si>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</si>
  <si>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</si>
  <si>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</si>
  <si>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</si>
  <si>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</si>
  <si>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</si>
  <si>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</si>
  <si>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</si>
  <si>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</si>
  <si>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</si>
  <si>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</si>
  <si>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</si>
  <si>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</si>
  <si>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</si>
  <si>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</si>
  <si>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</si>
  <si>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</si>
  <si>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</si>
  <si>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</si>
  <si>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</si>
  <si>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</si>
  <si>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</si>
  <si>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</si>
  <si>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</si>
  <si>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</si>
  <si>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</si>
  <si>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</si>
  <si>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</si>
  <si>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</si>
  <si>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</si>
  <si>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</si>
  <si>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</si>
  <si>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</si>
  <si>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</si>
  <si>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</si>
  <si>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</si>
  <si>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</si>
  <si>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</si>
  <si>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</si>
  <si>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</si>
  <si>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</si>
  <si>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</si>
  <si>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</si>
  <si>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</si>
  <si>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</si>
  <si>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</si>
  <si>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</si>
  <si>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</si>
  <si>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</si>
  <si>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</si>
  <si>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</si>
  <si>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</si>
  <si>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</si>
  <si>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</si>
  <si>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</si>
  <si>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</si>
  <si>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</si>
  <si>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</si>
  <si>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</si>
  <si>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</si>
  <si>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</si>
  <si>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</si>
  <si>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</si>
  <si>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</si>
  <si>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</si>
  <si>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</si>
  <si>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</si>
  <si>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</si>
  <si>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</si>
  <si>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</si>
  <si>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</si>
  <si>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</si>
  <si>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</si>
  <si>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</si>
  <si>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</si>
  <si>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</si>
  <si>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</si>
  <si>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</si>
  <si>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</si>
  <si>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</si>
  <si>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</si>
  <si>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</si>
  <si>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</si>
  <si>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</si>
  <si>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</si>
  <si>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</si>
  <si>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</si>
  <si>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</si>
  <si>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</si>
  <si>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</si>
  <si>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</si>
  <si>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</si>
  <si>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</si>
  <si>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</si>
  <si>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</si>
  <si>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</si>
  <si>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</si>
  <si>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</si>
  <si>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</si>
  <si>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</si>
  <si>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</si>
  <si>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</si>
  <si>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</si>
  <si>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</si>
  <si>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</si>
  <si>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</si>
  <si>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</si>
  <si>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</si>
  <si>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</si>
  <si>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</si>
  <si>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</si>
  <si>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</si>
  <si>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</si>
  <si>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</si>
  <si>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</si>
  <si>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</si>
  <si>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</si>
  <si>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</si>
  <si>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</si>
  <si>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</si>
  <si>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</si>
  <si>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</si>
  <si>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</si>
  <si>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</si>
  <si>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</si>
  <si>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</si>
  <si>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</si>
  <si>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</si>
  <si>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</si>
  <si>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</si>
  <si>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</si>
  <si>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</si>
  <si>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</si>
  <si>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</si>
  <si>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</si>
  <si>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</si>
  <si>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</si>
  <si>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</si>
  <si>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</si>
  <si>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</si>
  <si>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</si>
  <si>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</si>
  <si>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</si>
  <si>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</si>
  <si>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</si>
  <si>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</si>
  <si>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</si>
  <si>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</si>
  <si>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</si>
  <si>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</si>
  <si>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</si>
  <si>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</si>
  <si>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</si>
  <si>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</si>
  <si>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</si>
  <si>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</si>
  <si>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</si>
  <si>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</si>
  <si>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</si>
  <si>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</si>
  <si>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</si>
  <si>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</si>
  <si>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</si>
  <si>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</si>
  <si>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</si>
  <si>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</si>
  <si>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</si>
  <si>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</si>
  <si>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</si>
  <si>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</si>
  <si>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</si>
  <si>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</si>
  <si>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</si>
  <si>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</si>
  <si>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</si>
  <si>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</si>
  <si>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</si>
  <si>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</si>
  <si>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</si>
  <si>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</si>
  <si>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</si>
  <si>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</si>
  <si>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</si>
  <si>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</si>
  <si>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</si>
  <si>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</si>
  <si>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</si>
  <si>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</si>
  <si>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</si>
  <si>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</si>
  <si>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</si>
  <si>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</si>
  <si>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</si>
  <si>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</si>
  <si>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</si>
  <si>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</si>
  <si>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</si>
  <si>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</si>
  <si>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</si>
  <si>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</si>
  <si>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</si>
  <si>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</si>
  <si>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</si>
  <si>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</si>
  <si>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</si>
  <si>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</si>
  <si>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</si>
  <si>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</si>
  <si>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</si>
  <si>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</si>
  <si>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</si>
  <si>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</si>
  <si>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</si>
  <si>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</si>
  <si>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</si>
  <si>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</si>
  <si>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</si>
  <si>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</si>
  <si>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</si>
  <si>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</si>
  <si>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</si>
  <si>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</si>
  <si>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</si>
  <si>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</si>
  <si>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</si>
  <si>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</si>
  <si>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</si>
  <si>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</si>
  <si>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</si>
  <si>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</si>
  <si>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</si>
  <si>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</si>
  <si>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</si>
  <si>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</si>
  <si>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</si>
  <si>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</si>
  <si>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</si>
  <si>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</si>
  <si>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</si>
  <si>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</si>
  <si>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</si>
  <si>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</si>
  <si>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</si>
  <si>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</si>
  <si>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</si>
  <si>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</si>
  <si>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</si>
  <si>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</si>
  <si>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</si>
  <si>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</si>
  <si>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</si>
  <si>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</si>
  <si>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</si>
  <si>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</si>
  <si>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</si>
  <si>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</si>
  <si>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</si>
  <si>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</si>
  <si>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</si>
  <si>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</si>
  <si>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</si>
  <si>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</si>
  <si>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</si>
  <si>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</si>
  <si>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</si>
  <si>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</si>
  <si>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</si>
  <si>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</si>
  <si>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</si>
  <si>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</si>
  <si>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</si>
  <si>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</si>
  <si>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</si>
  <si>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</si>
  <si>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</si>
  <si>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</si>
  <si>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</si>
  <si>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</si>
  <si>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</si>
  <si>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</si>
  <si>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</si>
  <si>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</si>
  <si>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</si>
  <si>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</si>
  <si>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</si>
  <si>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</si>
  <si>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</si>
  <si>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</si>
  <si>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</si>
  <si>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</si>
  <si>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</si>
  <si>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</si>
  <si>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</si>
  <si>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</si>
  <si>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</si>
  <si>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</si>
  <si>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</si>
  <si>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</si>
  <si>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</si>
  <si>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</si>
  <si>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</si>
  <si>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</si>
  <si>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</si>
  <si>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</si>
  <si>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</si>
  <si>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</si>
  <si>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</si>
  <si>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</si>
  <si>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</si>
  <si>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</si>
  <si>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</si>
  <si>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</si>
  <si>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</si>
  <si>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</si>
  <si>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</si>
  <si>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</si>
  <si>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</si>
  <si>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</si>
  <si>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</si>
  <si>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</si>
  <si>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</si>
  <si>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</si>
  <si>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</si>
  <si>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</si>
  <si>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</si>
  <si>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</si>
  <si>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</si>
  <si>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</si>
  <si>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</si>
  <si>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</si>
  <si>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</si>
  <si>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</si>
  <si>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</si>
  <si>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</si>
  <si>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</si>
  <si>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</si>
  <si>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</si>
  <si>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</si>
  <si>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</si>
  <si>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</si>
  <si>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</si>
  <si>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</si>
  <si>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</si>
  <si>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</si>
  <si>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</si>
  <si>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</si>
  <si>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</si>
  <si>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</si>
  <si>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</si>
  <si>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</si>
  <si>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</si>
  <si>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</si>
  <si>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</si>
  <si>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</si>
  <si>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</si>
  <si>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</si>
  <si>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</si>
  <si>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</si>
  <si>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</si>
  <si>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</si>
  <si>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</si>
  <si>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</si>
  <si>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</si>
  <si>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</si>
  <si>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</si>
  <si>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</si>
  <si>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</si>
  <si>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</si>
  <si>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</si>
  <si>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</si>
  <si>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</si>
  <si>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</si>
  <si>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</si>
  <si>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</si>
  <si>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</si>
  <si>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</si>
  <si>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</si>
  <si>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</si>
  <si>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</si>
  <si>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</si>
  <si>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</si>
  <si>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</si>
  <si>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</si>
  <si>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</si>
  <si>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</si>
  <si>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</si>
  <si>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</si>
  <si>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</si>
  <si>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</si>
  <si>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</si>
  <si>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</si>
  <si>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</si>
  <si>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</si>
  <si>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</si>
  <si>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</si>
  <si>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</si>
  <si>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</si>
  <si>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</si>
  <si>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</si>
  <si>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</si>
  <si>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</si>
  <si>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</si>
  <si>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</si>
  <si>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</si>
  <si>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</si>
  <si>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</si>
  <si>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</si>
  <si>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</si>
  <si>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</si>
  <si>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</si>
  <si>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</si>
  <si>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</si>
  <si>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</si>
  <si>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</si>
  <si>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</si>
  <si>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</si>
  <si>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</si>
  <si>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</si>
  <si>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</si>
  <si>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</si>
  <si>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</si>
  <si>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</si>
  <si>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Laser Scan</t>
  </si>
  <si>
    <t>Skill_XuanZhuan_Attack_2</t>
  </si>
  <si>
    <t>巨剑守护:职业专精</t>
    <phoneticPr fontId="50" type="noConversion"/>
  </si>
  <si>
    <t>破风者:职业专精</t>
    <phoneticPr fontId="50" type="noConversion"/>
  </si>
  <si>
    <t>泰坦之灵:职业专精</t>
    <phoneticPr fontId="5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</si>
</sst>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2">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23603015228737"/>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sz val="11"/>
      <color theme="1"/>
      <name val="Helvetica Neue"/>
      <family val="2"/>
      <scheme val="minor"/>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Tahoma"/>
      <family val="2"/>
    </font>
    <font>
      <sz val="9"/>
      <name val="宋体"/>
      <family val="3"/>
      <charset val="134"/>
    </font>
    <font>
      <b/>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4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37"/>
        <bgColor indexed="64"/>
      </patternFill>
    </fill>
    <fill>
      <patternFill patternType="solid">
        <fgColor theme="3" tint="0.79970702230903046"/>
        <bgColor indexed="64"/>
      </patternFill>
    </fill>
    <fill>
      <patternFill patternType="solid">
        <fgColor theme="4" tint="0.79970702230903046"/>
        <bgColor indexed="64"/>
      </patternFill>
    </fill>
    <fill>
      <patternFill patternType="solid">
        <fgColor theme="8" tint="-0.249977111117893"/>
        <bgColor indexed="64"/>
      </patternFill>
    </fill>
    <fill>
      <patternFill patternType="solid">
        <fgColor theme="7" tint="0.39942625202185128"/>
        <bgColor indexed="64"/>
      </patternFill>
    </fill>
    <fill>
      <patternFill patternType="solid">
        <fgColor theme="0" tint="-0.14822840052491837"/>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32"/>
        <bgColor indexed="64"/>
      </patternFill>
    </fill>
    <fill>
      <patternFill patternType="solid">
        <fgColor theme="0" tint="-0.14874721518601031"/>
        <bgColor indexed="64"/>
      </patternFill>
    </fill>
    <fill>
      <patternFill patternType="solid">
        <fgColor theme="0" tint="-0.14856410412915433"/>
        <bgColor indexed="64"/>
      </patternFill>
    </fill>
    <fill>
      <patternFill patternType="solid">
        <fgColor theme="0" tint="-0.14896084475234231"/>
        <bgColor indexed="64"/>
      </patternFill>
    </fill>
    <fill>
      <patternFill patternType="solid">
        <fgColor theme="3" tint="0.79967650379955446"/>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20551164281137"/>
        <bgColor indexed="64"/>
      </patternFill>
    </fill>
    <fill>
      <patternFill patternType="solid">
        <fgColor theme="4" tint="0.39823603015228737"/>
        <bgColor indexed="64"/>
      </patternFill>
    </fill>
    <fill>
      <patternFill patternType="solid">
        <fgColor theme="5" tint="0.39820551164281137"/>
        <bgColor indexed="64"/>
      </patternFill>
    </fill>
    <fill>
      <patternFill patternType="solid">
        <fgColor theme="5" tint="0.39823603015228737"/>
        <bgColor indexed="64"/>
      </patternFill>
    </fill>
    <fill>
      <patternFill patternType="solid">
        <fgColor theme="6" tint="0.39820551164281137"/>
        <bgColor indexed="64"/>
      </patternFill>
    </fill>
    <fill>
      <patternFill patternType="solid">
        <fgColor theme="6" tint="0.39823603015228737"/>
        <bgColor indexed="64"/>
      </patternFill>
    </fill>
    <fill>
      <patternFill patternType="solid">
        <fgColor theme="7" tint="0.39820551164281137"/>
        <bgColor indexed="64"/>
      </patternFill>
    </fill>
    <fill>
      <patternFill patternType="solid">
        <fgColor theme="7" tint="0.39823603015228737"/>
        <bgColor indexed="64"/>
      </patternFill>
    </fill>
    <fill>
      <patternFill patternType="solid">
        <fgColor theme="8" tint="0.39820551164281137"/>
        <bgColor indexed="64"/>
      </patternFill>
    </fill>
    <fill>
      <patternFill patternType="solid">
        <fgColor theme="8" tint="0.39823603015228737"/>
        <bgColor indexed="64"/>
      </patternFill>
    </fill>
    <fill>
      <patternFill patternType="solid">
        <fgColor theme="9" tint="0.39820551164281137"/>
        <bgColor indexed="64"/>
      </patternFill>
    </fill>
    <fill>
      <patternFill patternType="solid">
        <fgColor theme="9" tint="0.39823603015228737"/>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48">
    <xf numFmtId="0" fontId="0" fillId="0" borderId="0" applyNumberFormat="0" applyFill="0" applyBorder="0" applyProtection="0"/>
    <xf numFmtId="0" fontId="32" fillId="23" borderId="0" applyNumberFormat="0" applyBorder="0" applyAlignment="0" applyProtection="0">
      <alignment vertical="center"/>
    </xf>
    <xf numFmtId="0" fontId="32"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2" fillId="27" borderId="0" applyNumberFormat="0" applyBorder="0" applyAlignment="0" applyProtection="0">
      <alignment vertical="center"/>
    </xf>
    <xf numFmtId="0" fontId="32"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2" fillId="31" borderId="0" applyNumberFormat="0" applyBorder="0" applyAlignment="0" applyProtection="0">
      <alignment vertical="center"/>
    </xf>
    <xf numFmtId="0" fontId="32"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33" fillId="38" borderId="0" applyNumberFormat="0" applyBorder="0" applyAlignment="0" applyProtection="0">
      <alignment vertical="center"/>
    </xf>
    <xf numFmtId="0" fontId="33" fillId="39" borderId="0" applyNumberFormat="0" applyBorder="0" applyAlignment="0" applyProtection="0">
      <alignment vertical="center"/>
    </xf>
    <xf numFmtId="0" fontId="33" fillId="40" borderId="0" applyNumberFormat="0" applyBorder="0" applyAlignment="0" applyProtection="0">
      <alignment vertical="center"/>
    </xf>
    <xf numFmtId="0" fontId="33" fillId="41" borderId="0" applyNumberFormat="0" applyBorder="0" applyAlignment="0" applyProtection="0">
      <alignment vertical="center"/>
    </xf>
    <xf numFmtId="0" fontId="33" fillId="42" borderId="0" applyNumberFormat="0" applyBorder="0" applyAlignment="0" applyProtection="0">
      <alignment vertical="center"/>
    </xf>
    <xf numFmtId="0" fontId="33" fillId="43" borderId="0" applyNumberFormat="0" applyBorder="0" applyAlignment="0" applyProtection="0">
      <alignment vertical="center"/>
    </xf>
    <xf numFmtId="0" fontId="33" fillId="44" borderId="0" applyNumberFormat="0" applyBorder="0" applyAlignment="0" applyProtection="0">
      <alignment vertical="center"/>
    </xf>
    <xf numFmtId="0" fontId="33" fillId="45" borderId="0" applyNumberFormat="0" applyBorder="0" applyAlignment="0" applyProtection="0">
      <alignment vertical="center"/>
    </xf>
    <xf numFmtId="0" fontId="33" fillId="46" borderId="0" applyNumberFormat="0" applyBorder="0" applyAlignment="0" applyProtection="0">
      <alignment vertical="center"/>
    </xf>
    <xf numFmtId="9" fontId="32"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47" borderId="0" applyNumberFormat="0" applyBorder="0" applyAlignment="0" applyProtection="0">
      <alignment vertical="center"/>
    </xf>
    <xf numFmtId="0" fontId="2" fillId="0" borderId="0" applyNumberFormat="0" applyFill="0" applyBorder="0" applyProtection="0"/>
    <xf numFmtId="0" fontId="37" fillId="0" borderId="0">
      <alignment vertical="center"/>
    </xf>
    <xf numFmtId="0" fontId="32" fillId="0" borderId="0">
      <alignment vertical="center"/>
    </xf>
    <xf numFmtId="0" fontId="32" fillId="0" borderId="0"/>
    <xf numFmtId="0" fontId="38" fillId="0" borderId="0"/>
    <xf numFmtId="0" fontId="39" fillId="0" borderId="0"/>
    <xf numFmtId="0" fontId="40" fillId="0" borderId="0" applyNumberFormat="0" applyFill="0" applyBorder="0" applyAlignment="0" applyProtection="0">
      <alignment vertical="center"/>
    </xf>
    <xf numFmtId="0" fontId="41" fillId="48" borderId="0" applyNumberFormat="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33" fillId="49" borderId="0" applyNumberFormat="0" applyBorder="0" applyAlignment="0" applyProtection="0">
      <alignment vertical="center"/>
    </xf>
    <xf numFmtId="0" fontId="33" fillId="50" borderId="0" applyNumberFormat="0" applyBorder="0" applyAlignment="0" applyProtection="0">
      <alignment vertical="center"/>
    </xf>
    <xf numFmtId="0" fontId="33" fillId="51" borderId="0" applyNumberFormat="0" applyBorder="0" applyAlignment="0" applyProtection="0">
      <alignment vertical="center"/>
    </xf>
    <xf numFmtId="0" fontId="33" fillId="52" borderId="0" applyNumberFormat="0" applyBorder="0" applyAlignment="0" applyProtection="0">
      <alignment vertical="center"/>
    </xf>
    <xf numFmtId="0" fontId="33" fillId="53" borderId="0" applyNumberFormat="0" applyBorder="0" applyAlignment="0" applyProtection="0">
      <alignment vertical="center"/>
    </xf>
    <xf numFmtId="0" fontId="33" fillId="54" borderId="0" applyNumberFormat="0" applyBorder="0" applyAlignment="0" applyProtection="0">
      <alignment vertical="center"/>
    </xf>
    <xf numFmtId="0" fontId="44" fillId="55" borderId="0" applyNumberFormat="0" applyBorder="0" applyAlignment="0" applyProtection="0">
      <alignment vertical="center"/>
    </xf>
    <xf numFmtId="0" fontId="32" fillId="56" borderId="9" applyNumberFormat="0" applyFont="0" applyAlignment="0" applyProtection="0">
      <alignment vertical="center"/>
    </xf>
    <xf numFmtId="0" fontId="45" fillId="56" borderId="9" applyNumberFormat="0" applyFont="0" applyAlignment="0" applyProtection="0">
      <alignment vertical="center"/>
    </xf>
  </cellStyleXfs>
  <cellXfs count="38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32" applyFont="1" applyFill="1" applyBorder="1" applyAlignment="1">
      <alignment horizontal="center" vertical="center"/>
    </xf>
    <xf numFmtId="0" fontId="14" fillId="9" borderId="3" xfId="0" applyNumberFormat="1" applyFont="1" applyFill="1" applyBorder="1" applyAlignment="1">
      <alignment horizontal="left" vertical="center"/>
    </xf>
    <xf numFmtId="0" fontId="4" fillId="9" borderId="3" xfId="0" applyNumberFormat="1" applyFont="1" applyFill="1" applyBorder="1" applyAlignment="1">
      <alignment horizontal="center" vertical="center"/>
    </xf>
    <xf numFmtId="0" fontId="10" fillId="15" borderId="4" xfId="32" applyFont="1" applyFill="1" applyBorder="1" applyAlignment="1">
      <alignment horizontal="center" vertical="center"/>
    </xf>
    <xf numFmtId="3" fontId="6" fillId="9" borderId="3" xfId="0" applyNumberFormat="1" applyFont="1" applyFill="1" applyBorder="1" applyAlignment="1">
      <alignment horizontal="center"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32"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49" fontId="4" fillId="14" borderId="3" xfId="0" applyNumberFormat="1" applyFont="1" applyFill="1" applyBorder="1" applyAlignment="1">
      <alignment horizontal="center" vertical="center"/>
    </xf>
    <xf numFmtId="0" fontId="10" fillId="14" borderId="4" xfId="0" applyFont="1" applyFill="1" applyBorder="1" applyAlignment="1">
      <alignment horizontal="center"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0" fontId="4" fillId="14"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14"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 fillId="2" borderId="0" xfId="0" applyFont="1" applyFill="1" applyBorder="1"/>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0" fontId="14" fillId="2" borderId="0" xfId="0" applyFont="1" applyFill="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49" fontId="8" fillId="4" borderId="3" xfId="0" applyNumberFormat="1" applyFont="1" applyFill="1" applyBorder="1" applyAlignment="1">
      <alignment horizontal="left" vertical="center"/>
    </xf>
    <xf numFmtId="0" fontId="10" fillId="2" borderId="4" xfId="0" applyFont="1" applyFill="1" applyBorder="1" applyAlignment="1">
      <alignment horizontal="center" vertical="center"/>
    </xf>
    <xf numFmtId="3" fontId="6" fillId="4" borderId="3" xfId="0" applyNumberFormat="1" applyFont="1" applyFill="1" applyBorder="1" applyAlignment="1">
      <alignment horizontal="center"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19" borderId="4"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30" fillId="15" borderId="4" xfId="0"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0" fontId="8" fillId="14" borderId="0" xfId="0" applyNumberFormat="1" applyFont="1" applyFill="1" applyBorder="1" applyAlignment="1">
      <alignment horizontal="center" vertical="center"/>
    </xf>
    <xf numFmtId="0" fontId="31" fillId="20" borderId="5" xfId="34"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7" fillId="21" borderId="4" xfId="0" applyFont="1" applyFill="1" applyBorder="1" applyAlignment="1">
      <alignment horizontal="center" vertical="center"/>
    </xf>
    <xf numFmtId="0" fontId="7" fillId="21" borderId="0" xfId="0" applyFont="1" applyFill="1" applyBorder="1" applyAlignment="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9"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0" fontId="8" fillId="22"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0" fontId="12" fillId="7" borderId="3" xfId="0" applyNumberFormat="1" applyFont="1" applyFill="1" applyBorder="1" applyAlignment="1">
      <alignment horizontal="center" vertical="center"/>
    </xf>
    <xf numFmtId="0" fontId="12" fillId="22"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6" fillId="22" borderId="3" xfId="0" applyNumberFormat="1" applyFont="1" applyFill="1" applyBorder="1" applyAlignment="1">
      <alignment horizontal="center" vertical="center"/>
    </xf>
    <xf numFmtId="3" fontId="8" fillId="22" borderId="3" xfId="0" applyNumberFormat="1" applyFont="1" applyFill="1" applyBorder="1" applyAlignment="1">
      <alignment horizontal="center" vertical="center"/>
    </xf>
    <xf numFmtId="3" fontId="6" fillId="22" borderId="3" xfId="0" applyNumberFormat="1"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22"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49" fontId="8" fillId="22" borderId="3" xfId="0" applyNumberFormat="1" applyFont="1" applyFill="1" applyBorder="1" applyAlignment="1">
      <alignment horizontal="left" vertical="center"/>
    </xf>
    <xf numFmtId="0" fontId="7" fillId="7" borderId="4" xfId="0" applyFont="1" applyFill="1" applyBorder="1" applyAlignment="1">
      <alignment horizontal="center" vertical="center"/>
    </xf>
    <xf numFmtId="0" fontId="7" fillId="22" borderId="4" xfId="0" applyFont="1" applyFill="1" applyBorder="1" applyAlignment="1">
      <alignment horizontal="center" vertical="center"/>
    </xf>
    <xf numFmtId="49" fontId="8" fillId="22" borderId="0"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center" vertical="center" wrapText="1"/>
    </xf>
    <xf numFmtId="0" fontId="8" fillId="22" borderId="3" xfId="0" applyNumberFormat="1" applyFont="1" applyFill="1" applyBorder="1" applyAlignment="1">
      <alignment horizontal="left" vertical="center"/>
    </xf>
    <xf numFmtId="0" fontId="6" fillId="3"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2" borderId="3" xfId="0" quotePrefix="1" applyNumberFormat="1" applyFont="1" applyFill="1" applyBorder="1" applyAlignment="1">
      <alignment horizontal="center" vertical="center"/>
    </xf>
    <xf numFmtId="0" fontId="9" fillId="22" borderId="3" xfId="0" quotePrefix="1" applyNumberFormat="1" applyFont="1" applyFill="1" applyBorder="1" applyAlignment="1">
      <alignment horizontal="center" vertical="center"/>
    </xf>
    <xf numFmtId="3" fontId="6" fillId="22"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48">
    <cellStyle name="20% - 强调文字颜色 1 10" xfId="1" xr:uid="{00000000-0005-0000-0000-000031000000}"/>
    <cellStyle name="20% - 强调文字颜色 2 10" xfId="2" xr:uid="{00000000-0005-0000-0000-000032000000}"/>
    <cellStyle name="20% - 强调文字颜色 3 10" xfId="3" xr:uid="{00000000-0005-0000-0000-000033000000}"/>
    <cellStyle name="20% - 强调文字颜色 4 10" xfId="4" xr:uid="{00000000-0005-0000-0000-000034000000}"/>
    <cellStyle name="20% - 强调文字颜色 5 10" xfId="5" xr:uid="{00000000-0005-0000-0000-000035000000}"/>
    <cellStyle name="20% - 强调文字颜色 6 10" xfId="6" xr:uid="{00000000-0005-0000-0000-000036000000}"/>
    <cellStyle name="40% - 强调文字颜色 1 10" xfId="7" xr:uid="{00000000-0005-0000-0000-000037000000}"/>
    <cellStyle name="40% - 强调文字颜色 2 10" xfId="8" xr:uid="{00000000-0005-0000-0000-000038000000}"/>
    <cellStyle name="40% - 强调文字颜色 3 10" xfId="9" xr:uid="{00000000-0005-0000-0000-000039000000}"/>
    <cellStyle name="40% - 强调文字颜色 4 10" xfId="10" xr:uid="{00000000-0005-0000-0000-00003A000000}"/>
    <cellStyle name="40% - 强调文字颜色 5 10" xfId="11" xr:uid="{00000000-0005-0000-0000-00003B000000}"/>
    <cellStyle name="40% - 强调文字颜色 6 10" xfId="12" xr:uid="{00000000-0005-0000-0000-00003C000000}"/>
    <cellStyle name="60% - 强调文字颜色 1 2" xfId="13" xr:uid="{00000000-0005-0000-0000-00003D000000}"/>
    <cellStyle name="60% - 强调文字颜色 1 2 3" xfId="14" xr:uid="{00000000-0005-0000-0000-00003E000000}"/>
    <cellStyle name="60% - 强调文字颜色 2 2" xfId="15" xr:uid="{00000000-0005-0000-0000-00003F000000}"/>
    <cellStyle name="60% - 强调文字颜色 2 2 3" xfId="16" xr:uid="{00000000-0005-0000-0000-000040000000}"/>
    <cellStyle name="60% - 强调文字颜色 3 2" xfId="17" xr:uid="{00000000-0005-0000-0000-000041000000}"/>
    <cellStyle name="60% - 强调文字颜色 3 2 3" xfId="18" xr:uid="{00000000-0005-0000-0000-000042000000}"/>
    <cellStyle name="60% - 强调文字颜色 4 2" xfId="19" xr:uid="{00000000-0005-0000-0000-000043000000}"/>
    <cellStyle name="60% - 强调文字颜色 4 2 3" xfId="20" xr:uid="{00000000-0005-0000-0000-000044000000}"/>
    <cellStyle name="60% - 强调文字颜色 5 2" xfId="21" xr:uid="{00000000-0005-0000-0000-000045000000}"/>
    <cellStyle name="60% - 强调文字颜色 5 2 3" xfId="22" xr:uid="{00000000-0005-0000-0000-000046000000}"/>
    <cellStyle name="60% - 强调文字颜色 6 2" xfId="23" xr:uid="{00000000-0005-0000-0000-000047000000}"/>
    <cellStyle name="60% - 强调文字颜色 6 2 3" xfId="24" xr:uid="{00000000-0005-0000-0000-000048000000}"/>
    <cellStyle name="百分比 2" xfId="25" xr:uid="{00000000-0005-0000-0000-000049000000}"/>
    <cellStyle name="标题 4 2" xfId="26" xr:uid="{00000000-0005-0000-0000-00004A000000}"/>
    <cellStyle name="标题 5" xfId="27" xr:uid="{00000000-0005-0000-0000-00004B000000}"/>
    <cellStyle name="差 2" xfId="28" xr:uid="{00000000-0005-0000-0000-00004C000000}"/>
    <cellStyle name="常规" xfId="0" builtinId="0"/>
    <cellStyle name="常规 10" xfId="29" xr:uid="{00000000-0005-0000-0000-00004D000000}"/>
    <cellStyle name="常规 10 2" xfId="30" xr:uid="{00000000-0005-0000-0000-00004E000000}"/>
    <cellStyle name="常规 11 2" xfId="31" xr:uid="{00000000-0005-0000-0000-00004F000000}"/>
    <cellStyle name="常规 2" xfId="32" xr:uid="{00000000-0005-0000-0000-000050000000}"/>
    <cellStyle name="常规 3" xfId="33" xr:uid="{00000000-0005-0000-0000-000051000000}"/>
    <cellStyle name="常规 6" xfId="34" xr:uid="{00000000-0005-0000-0000-000052000000}"/>
    <cellStyle name="超链接 2" xfId="35" xr:uid="{00000000-0005-0000-0000-000053000000}"/>
    <cellStyle name="好 2" xfId="36" xr:uid="{00000000-0005-0000-0000-000054000000}"/>
    <cellStyle name="解释性文本 2" xfId="37" xr:uid="{00000000-0005-0000-0000-000055000000}"/>
    <cellStyle name="警告文本 2" xfId="38" xr:uid="{00000000-0005-0000-0000-000056000000}"/>
    <cellStyle name="强调文字颜色 1 2" xfId="39" xr:uid="{00000000-0005-0000-0000-000057000000}"/>
    <cellStyle name="强调文字颜色 2 2" xfId="40" xr:uid="{00000000-0005-0000-0000-000058000000}"/>
    <cellStyle name="强调文字颜色 3 2" xfId="41" xr:uid="{00000000-0005-0000-0000-000059000000}"/>
    <cellStyle name="强调文字颜色 4 2" xfId="42" xr:uid="{00000000-0005-0000-0000-00005A000000}"/>
    <cellStyle name="强调文字颜色 5 2" xfId="43" xr:uid="{00000000-0005-0000-0000-00005B000000}"/>
    <cellStyle name="强调文字颜色 6 2" xfId="44" xr:uid="{00000000-0005-0000-0000-00005C000000}"/>
    <cellStyle name="适中 2" xfId="45" xr:uid="{00000000-0005-0000-0000-00005D000000}"/>
    <cellStyle name="注释 2" xfId="46" xr:uid="{00000000-0005-0000-0000-00005E000000}"/>
    <cellStyle name="注释 2 2 2 2 3" xfId="47" xr:uid="{00000000-0005-0000-0000-00005F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4B746E84-7F89-4861-974A-590C0988137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www.wps.cn/officeDocument/2023/relationships/customStorage" Target="customStorage/customStorage.xml"/><Relationship Id="rId5" Type="http://schemas.openxmlformats.org/officeDocument/2006/relationships/calcChain" Target="calcChain.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07"/>
  <sheetViews>
    <sheetView showGridLines="0" tabSelected="1" workbookViewId="0">
      <pane xSplit="4" ySplit="5" topLeftCell="E1364" activePane="bottomRight" state="frozen"/>
      <selection pane="topRight"/>
      <selection pane="bottomLeft"/>
      <selection pane="bottomRight" activeCell="D1374" sqref="D137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38"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39"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0" t="s">
        <v>691</v>
      </c>
      <c r="AU185" s="341"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1"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2" t="s">
        <v>732</v>
      </c>
      <c r="AU201" s="343"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4"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5" t="s">
        <v>806</v>
      </c>
      <c r="AU225" s="346"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6"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7"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2" t="s">
        <v>819</v>
      </c>
      <c r="AU228" s="346"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2" t="s">
        <v>822</v>
      </c>
      <c r="AU229" s="346"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6"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5" t="s">
        <v>920</v>
      </c>
      <c r="AU267" s="346"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6"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48"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1"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49"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2"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4" t="s">
        <v>1184</v>
      </c>
      <c r="AV385" s="102"/>
      <c r="AW385" s="101" t="s">
        <v>199</v>
      </c>
      <c r="AX385" s="102" t="s">
        <v>545</v>
      </c>
      <c r="AY385" s="102">
        <v>10001005</v>
      </c>
      <c r="AZ385" s="344"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2" t="s">
        <v>1190</v>
      </c>
      <c r="AU386" s="347" t="s">
        <v>1191</v>
      </c>
      <c r="AV386" s="103"/>
      <c r="AW386" s="104" t="s">
        <v>198</v>
      </c>
      <c r="AX386" s="103" t="s">
        <v>534</v>
      </c>
      <c r="AY386" s="102">
        <v>0</v>
      </c>
      <c r="AZ386" s="344"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4"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4"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6"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4"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0" t="s">
        <v>1214</v>
      </c>
      <c r="AU391" s="351"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1"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2"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1" t="s">
        <v>1234</v>
      </c>
      <c r="AV396" s="81"/>
      <c r="AW396" s="61" t="s">
        <v>199</v>
      </c>
      <c r="AX396" s="62" t="s">
        <v>534</v>
      </c>
      <c r="AY396" s="66">
        <v>10000007</v>
      </c>
      <c r="AZ396" s="339"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1" t="s">
        <v>1234</v>
      </c>
      <c r="AV397" s="81"/>
      <c r="AW397" s="65" t="s">
        <v>256</v>
      </c>
      <c r="AX397" s="62" t="s">
        <v>534</v>
      </c>
      <c r="AY397" s="66">
        <v>10000007</v>
      </c>
      <c r="AZ397" s="339"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1" t="s">
        <v>1234</v>
      </c>
      <c r="AV398" s="81"/>
      <c r="AW398" s="61" t="s">
        <v>199</v>
      </c>
      <c r="AX398" s="62" t="s">
        <v>534</v>
      </c>
      <c r="AY398" s="66">
        <v>10000007</v>
      </c>
      <c r="AZ398" s="339"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49" t="s">
        <v>1252</v>
      </c>
      <c r="AU399" s="341"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49"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1"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2"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2"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3" t="s">
        <v>1278</v>
      </c>
      <c r="AU405" s="352"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2"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2"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4" t="s">
        <v>1293</v>
      </c>
      <c r="AV408" s="102"/>
      <c r="AW408" s="104" t="s">
        <v>287</v>
      </c>
      <c r="AX408" s="102" t="s">
        <v>545</v>
      </c>
      <c r="AY408" s="102">
        <v>10001005</v>
      </c>
      <c r="AZ408" s="344"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6" t="s">
        <v>198</v>
      </c>
      <c r="AV410" s="116"/>
      <c r="AW410" s="101" t="s">
        <v>199</v>
      </c>
      <c r="AX410" s="103" t="s">
        <v>534</v>
      </c>
      <c r="AY410" s="102">
        <v>10000007</v>
      </c>
      <c r="AZ410" s="344"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6" t="s">
        <v>1311</v>
      </c>
      <c r="AV412" s="116"/>
      <c r="AW412" s="101" t="s">
        <v>617</v>
      </c>
      <c r="AX412" s="103" t="s">
        <v>215</v>
      </c>
      <c r="AY412" s="102">
        <v>10000011</v>
      </c>
      <c r="AZ412" s="344"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2"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6" t="s">
        <v>198</v>
      </c>
      <c r="AV414" s="116"/>
      <c r="AW414" s="101" t="s">
        <v>199</v>
      </c>
      <c r="AX414" s="103" t="s">
        <v>534</v>
      </c>
      <c r="AY414" s="102">
        <v>10000007</v>
      </c>
      <c r="AZ414" s="344"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4"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spans="3:75" ht="20.100000000000001" customHeight="1">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spans="3:75" ht="20.100000000000001" customHeight="1">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spans="3:75" ht="20.100000000000001" customHeight="1">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s="1" customFormat="1" ht="20.100000000000001" customHeight="1">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pans="3:75" s="1" customFormat="1" ht="20.100000000000001" customHeight="1">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pans="3:75" s="1" customFormat="1" ht="20.100000000000001" customHeight="1">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pans="3:75" s="1" customFormat="1" ht="20.100000000000001" customHeight="1">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ht="20.100000000000001" customHeight="1">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spans="3:75" ht="20.100000000000001" customHeight="1">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spans="3:75" ht="20.100000000000001" customHeight="1">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spans="3:75" ht="20.100000000000001" customHeight="1">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19.5" customHeight="1">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spans="3:75" ht="20.100000000000001" customHeight="1">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spans="3:75" ht="20.100000000000001" customHeight="1">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20.100000000000001" customHeight="1">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spans="3:75" ht="20.100000000000001" customHeight="1">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spans="3:75" ht="20.100000000000001" customHeight="1">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19.5" customHeight="1">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spans="3:75" ht="20.100000000000001" customHeight="1">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spans="3:75" ht="20.100000000000001" customHeight="1">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spans="3:75" ht="20.100000000000001" customHeight="1">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1.1000000000000001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spans="3:75" ht="20.100000000000001" customHeight="1">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1.1000000000000001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spans="3:75" ht="20.100000000000001" customHeight="1">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1.1000000000000001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pans="3:75" s="1" customFormat="1" ht="20.100000000000001" customHeight="1">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spans="3:75" ht="20.100000000000001" customHeight="1">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pans="3:75" s="1" customFormat="1" ht="20.100000000000001" customHeight="1">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spans="3:75" ht="20.100000000000001" customHeight="1">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spans="3:75" ht="20.100000000000001" customHeight="1">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spans="3:75" ht="20.100000000000001" customHeight="1">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spans="3:75" ht="20.100000000000001" customHeight="1">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25" customHeight="1">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2.2000000000000002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100000000000001" customHeight="1">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1.1000000000000001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48"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48"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48"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48"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2.2000000000000002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48"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48"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5" t="s">
        <v>1501</v>
      </c>
      <c r="AU592" s="31" t="s">
        <v>198</v>
      </c>
      <c r="AV592" s="31"/>
      <c r="AW592" s="39" t="s">
        <v>199</v>
      </c>
      <c r="AX592" s="31" t="s">
        <v>348</v>
      </c>
      <c r="AY592" s="31">
        <v>0</v>
      </c>
      <c r="AZ592" s="31">
        <v>0</v>
      </c>
      <c r="BA592" s="39" t="s">
        <v>200</v>
      </c>
      <c r="BB592" s="39" t="s">
        <v>198</v>
      </c>
      <c r="BC592" s="31">
        <v>0</v>
      </c>
      <c r="BD592" s="31">
        <v>0</v>
      </c>
      <c r="BE592" s="182" t="s">
        <v>1502</v>
      </c>
      <c r="BF592" s="182"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spans="3:75" ht="20.100000000000001" customHeight="1">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5" t="s">
        <v>1501</v>
      </c>
      <c r="AU593" s="31" t="s">
        <v>198</v>
      </c>
      <c r="AV593" s="31"/>
      <c r="AW593" s="39" t="s">
        <v>199</v>
      </c>
      <c r="AX593" s="31" t="s">
        <v>348</v>
      </c>
      <c r="AY593" s="31">
        <v>0</v>
      </c>
      <c r="AZ593" s="31">
        <v>0</v>
      </c>
      <c r="BA593" s="39" t="s">
        <v>200</v>
      </c>
      <c r="BB593" s="39" t="s">
        <v>198</v>
      </c>
      <c r="BC593" s="31">
        <v>0</v>
      </c>
      <c r="BD593" s="31">
        <v>0</v>
      </c>
      <c r="BE593" s="182" t="s">
        <v>1502</v>
      </c>
      <c r="BF593" s="182"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spans="3:75" ht="20.100000000000001" customHeight="1">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5" t="s">
        <v>1504</v>
      </c>
      <c r="AU594" s="31" t="s">
        <v>198</v>
      </c>
      <c r="AV594" s="31"/>
      <c r="AW594" s="39" t="s">
        <v>199</v>
      </c>
      <c r="AX594" s="31" t="s">
        <v>348</v>
      </c>
      <c r="AY594" s="31">
        <v>0</v>
      </c>
      <c r="AZ594" s="31">
        <v>0</v>
      </c>
      <c r="BA594" s="39" t="s">
        <v>200</v>
      </c>
      <c r="BB594" s="39" t="s">
        <v>198</v>
      </c>
      <c r="BC594" s="31">
        <v>0</v>
      </c>
      <c r="BD594" s="31">
        <v>0</v>
      </c>
      <c r="BE594" s="182" t="s">
        <v>1505</v>
      </c>
      <c r="BF594" s="182"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spans="3:75" ht="20.100000000000001" customHeight="1">
      <c r="C595" s="31">
        <v>610211041</v>
      </c>
      <c r="D595" s="39" t="s">
        <v>1499</v>
      </c>
      <c r="E595" s="39" t="s">
        <v>1500</v>
      </c>
      <c r="F595" s="31">
        <v>3</v>
      </c>
      <c r="G595" s="31">
        <v>61021101</v>
      </c>
      <c r="H595" s="31">
        <v>0</v>
      </c>
      <c r="I595" s="31">
        <v>0</v>
      </c>
      <c r="J595" s="31">
        <v>0</v>
      </c>
      <c r="K595" s="184">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5" t="s">
        <v>1507</v>
      </c>
      <c r="AU595" s="31" t="s">
        <v>198</v>
      </c>
      <c r="AV595" s="31"/>
      <c r="AW595" s="39" t="s">
        <v>199</v>
      </c>
      <c r="AX595" s="31" t="s">
        <v>348</v>
      </c>
      <c r="AY595" s="31">
        <v>0</v>
      </c>
      <c r="AZ595" s="31">
        <v>0</v>
      </c>
      <c r="BA595" s="39" t="s">
        <v>200</v>
      </c>
      <c r="BB595" s="39" t="s">
        <v>198</v>
      </c>
      <c r="BC595" s="31">
        <v>0</v>
      </c>
      <c r="BD595" s="31">
        <v>0</v>
      </c>
      <c r="BE595" s="182" t="s">
        <v>1508</v>
      </c>
      <c r="BF595" s="182"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5" t="s">
        <v>1510</v>
      </c>
      <c r="AU596" s="31" t="s">
        <v>198</v>
      </c>
      <c r="AV596" s="31"/>
      <c r="AW596" s="39" t="s">
        <v>199</v>
      </c>
      <c r="AX596" s="31" t="s">
        <v>348</v>
      </c>
      <c r="AY596" s="31">
        <v>0</v>
      </c>
      <c r="AZ596" s="31">
        <v>0</v>
      </c>
      <c r="BA596" s="39" t="s">
        <v>200</v>
      </c>
      <c r="BB596" s="39" t="s">
        <v>198</v>
      </c>
      <c r="BC596" s="31">
        <v>0</v>
      </c>
      <c r="BD596" s="31">
        <v>0</v>
      </c>
      <c r="BE596" s="182" t="s">
        <v>1511</v>
      </c>
      <c r="BF596" s="182"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5" t="s">
        <v>1513</v>
      </c>
      <c r="AU597" s="31" t="s">
        <v>198</v>
      </c>
      <c r="AV597" s="31"/>
      <c r="AW597" s="39" t="s">
        <v>199</v>
      </c>
      <c r="AX597" s="31" t="s">
        <v>348</v>
      </c>
      <c r="AY597" s="31">
        <v>0</v>
      </c>
      <c r="AZ597" s="31">
        <v>0</v>
      </c>
      <c r="BA597" s="39" t="s">
        <v>200</v>
      </c>
      <c r="BB597" s="39" t="s">
        <v>198</v>
      </c>
      <c r="BC597" s="31">
        <v>0</v>
      </c>
      <c r="BD597" s="31">
        <v>0</v>
      </c>
      <c r="BE597" s="182" t="s">
        <v>1514</v>
      </c>
      <c r="BF597" s="182"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2"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2"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spans="3:75" ht="20.100000000000001" customHeight="1">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2"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2"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spans="3:75" ht="20.100000000000001" customHeight="1">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2" t="str">
        <f t="shared" si="26"/>
        <v>立即对当前脚下敌人目标造成200%攻击伤害+1400点固定伤害和使目标眩晕1秒,并迅速跳跃至目标区域</v>
      </c>
      <c r="BF600" s="182"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spans="3:75" ht="20.100000000000001" customHeight="1">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2" t="str">
        <f t="shared" si="26"/>
        <v>立即对当前脚下敌人目标造成200%攻击伤害+1750点固定伤害和使目标眩晕1秒,并迅速跳跃至目标区域</v>
      </c>
      <c r="BF601" s="182"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2" t="str">
        <f t="shared" si="26"/>
        <v>立即对当前脚下敌人目标造成200%攻击伤害+2100点固定伤害和使目标眩晕1秒,并迅速跳跃至目标区域</v>
      </c>
      <c r="BF602" s="182"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2" t="str">
        <f t="shared" si="26"/>
        <v>立即对当前脚下敌人目标造成200%攻击伤害+2450点固定伤害和使目标眩晕1秒,并迅速跳跃至目标区域</v>
      </c>
      <c r="BF603" s="182"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19.5" customHeight="1">
      <c r="C604" s="183">
        <v>61021101</v>
      </c>
      <c r="D604" s="20" t="s">
        <v>1523</v>
      </c>
      <c r="E604" s="20" t="s">
        <v>1524</v>
      </c>
      <c r="F604" s="17">
        <v>0</v>
      </c>
      <c r="G604" s="19">
        <v>61021401</v>
      </c>
      <c r="H604" s="183">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6"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spans="3:75" ht="19.5" customHeight="1">
      <c r="C605" s="183">
        <v>61021102</v>
      </c>
      <c r="D605" s="20" t="s">
        <v>1523</v>
      </c>
      <c r="E605" s="20" t="s">
        <v>1524</v>
      </c>
      <c r="F605" s="17">
        <v>1</v>
      </c>
      <c r="G605" s="19">
        <v>61021401</v>
      </c>
      <c r="H605" s="183">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6"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spans="3:75" ht="19.5" customHeight="1">
      <c r="C606" s="183">
        <v>61021103</v>
      </c>
      <c r="D606" s="20" t="s">
        <v>1523</v>
      </c>
      <c r="E606" s="20" t="s">
        <v>1524</v>
      </c>
      <c r="F606" s="17">
        <v>2</v>
      </c>
      <c r="G606" s="19">
        <v>61021401</v>
      </c>
      <c r="H606" s="183">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6"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spans="3:75" ht="19.5" customHeight="1">
      <c r="C607" s="183">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6"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3">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6"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3">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6"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spans="3:75" ht="19.5" customHeight="1">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spans="3:75" ht="19.5" customHeight="1">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spans="3:75" ht="19.5" customHeight="1">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spans="3:75" ht="19.5" customHeight="1">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spans="3:75" ht="19.5" customHeight="1">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spans="3:75" ht="19.5" customHeight="1">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6"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spans="3:75" ht="19.5" customHeight="1">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6"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spans="3:75" ht="19.5" customHeight="1">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6"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spans="3:75" ht="19.5" customHeight="1">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6"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6"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6"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20.100000000000001" customHeight="1">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spans="3:75" ht="20.100000000000001" customHeight="1">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spans="3:75" ht="20.100000000000001" customHeight="1">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spans="3:75" ht="20.100000000000001" customHeight="1">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spans="3:75" ht="20.100000000000001" customHeight="1">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spans="3:75" ht="20.100000000000001" customHeight="1">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spans="3:75" ht="19.5" customHeight="1">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6"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spans="3:75" ht="20.100000000000001" customHeight="1">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6"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spans="3:75" ht="20.100000000000001" customHeight="1">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6"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spans="3:75" ht="20.100000000000001" customHeight="1">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6"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6"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6"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48"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spans="3:75" ht="20.100000000000001" customHeight="1">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48"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spans="3:75" ht="20.100000000000001" customHeight="1">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48"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spans="3:75" ht="20.100000000000001" customHeight="1">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48"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48"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48"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5">
        <v>0</v>
      </c>
      <c r="AU640" s="356"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spans="3:75" ht="19.5" customHeight="1">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1.1000000000000001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spans="3:75" ht="20.100000000000001" customHeight="1">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1.1000000000000001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spans="3:75" ht="20.100000000000001" customHeight="1">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spans="3:75" ht="20.100000000000001" customHeight="1">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19.5" customHeight="1">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7"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19.5" customHeight="1">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7"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19.5" customHeight="1">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7"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7"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7"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7"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20.100000000000001" customHeight="1">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2" t="str">
        <f t="shared" ref="BE653:BE658" si="39">"立即对目标范围内的怪物造成"&amp;X653*100&amp;"%攻击伤害+"&amp;Z653&amp;"点固定伤害,并附带1秒眩晕效果"</f>
        <v>立即对目标范围内的怪物造成250%攻击伤害+1500点固定伤害,并附带1秒眩晕效果</v>
      </c>
      <c r="BF653" s="182"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spans="3:75" ht="20.100000000000001" customHeight="1">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2" t="str">
        <f t="shared" si="39"/>
        <v>立即对目标范围内的怪物造成250%攻击伤害+1500点固定伤害,并附带1秒眩晕效果</v>
      </c>
      <c r="BF654" s="182"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spans="3:75" ht="20.100000000000001" customHeight="1">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2" t="str">
        <f t="shared" si="39"/>
        <v>立即对目标范围内的怪物造成250%攻击伤害+2000点固定伤害,并附带1秒眩晕效果</v>
      </c>
      <c r="BF655" s="182"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spans="3:75" ht="20.100000000000001" customHeight="1">
      <c r="C656" s="31">
        <v>61022504</v>
      </c>
      <c r="D656" s="39" t="s">
        <v>1607</v>
      </c>
      <c r="E656" s="39" t="s">
        <v>1608</v>
      </c>
      <c r="F656" s="31">
        <v>3</v>
      </c>
      <c r="G656" s="31">
        <v>61023101</v>
      </c>
      <c r="H656" s="31">
        <v>0</v>
      </c>
      <c r="I656" s="31">
        <v>0</v>
      </c>
      <c r="J656" s="31">
        <v>0</v>
      </c>
      <c r="K656" s="184">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2" t="str">
        <f t="shared" si="39"/>
        <v>立即对目标范围内的怪物造成250%攻击伤害+2500点固定伤害,并附带1秒眩晕效果</v>
      </c>
      <c r="BF656" s="182"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2" t="str">
        <f t="shared" si="39"/>
        <v>立即对目标范围内的怪物造成250%攻击伤害+3000点固定伤害,并附带1秒眩晕效果</v>
      </c>
      <c r="BF657" s="182"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2" t="str">
        <f t="shared" si="39"/>
        <v>立即对目标范围内的怪物造成250%攻击伤害+3500点固定伤害,并附带1秒眩晕效果</v>
      </c>
      <c r="BF658" s="182"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6"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spans="3:75" ht="20.100000000000001" customHeight="1">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6"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spans="3:75" ht="20.100000000000001" customHeight="1">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6"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spans="3:75" ht="20.100000000000001" customHeight="1">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6"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6"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6"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48"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spans="3:75" ht="20.100000000000001" customHeight="1">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48"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spans="3:75" ht="20.100000000000001" customHeight="1">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48"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spans="3:75" ht="20.100000000000001" customHeight="1">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48"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48"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48"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6"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spans="3:75" ht="20.100000000000001" customHeight="1">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6"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spans="3:75" ht="20.100000000000001" customHeight="1">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6"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spans="3:75" ht="20.100000000000001" customHeight="1">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6"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6"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6"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6"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spans="3:75" ht="20.100000000000001" customHeight="1">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6"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spans="3:75" ht="20.100000000000001" customHeight="1">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6"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spans="3:75" ht="20.100000000000001" customHeight="1">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1.1499999999999999</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6"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spans="3:75" ht="20.100000000000001" customHeight="1">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6"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6"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6"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19.5" customHeight="1">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19.5" customHeight="1">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19.5" customHeight="1">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2.2000000000000002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2.2000000000000002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20.100000000000001" customHeight="1">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20.100000000000001" customHeight="1">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20.100000000000001" customHeight="1">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1.1000000000000001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6"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6"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6"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6"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6"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6"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19.5" customHeight="1">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19.5" customHeight="1">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19.5" customHeight="1">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20.100000000000001" customHeight="1">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2"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2"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spans="3:75" ht="20.100000000000001" customHeight="1">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2"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2"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spans="3:75" ht="20.100000000000001" customHeight="1">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2" t="str">
        <f t="shared" si="59"/>
        <v>立即对当前脚下敌人目标造成200%攻击伤害+1400点固定伤害和使目标眩晕1秒,并迅速跳跃至目标区域</v>
      </c>
      <c r="BF723" s="182"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spans="3:75" ht="20.100000000000001" customHeight="1">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2" t="str">
        <f t="shared" si="59"/>
        <v>立即对当前脚下敌人目标造成200%攻击伤害+1750点固定伤害和使目标眩晕1秒,并迅速跳跃至目标区域</v>
      </c>
      <c r="BF724" s="182"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2" t="str">
        <f t="shared" si="59"/>
        <v>立即对当前脚下敌人目标造成200%攻击伤害+2100点固定伤害和使目标眩晕1秒,并迅速跳跃至目标区域</v>
      </c>
      <c r="BF725" s="182"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2" t="str">
        <f t="shared" si="59"/>
        <v>立即对当前脚下敌人目标造成200%攻击伤害+2450点固定伤害和使目标眩晕1秒,并迅速跳跃至目标区域</v>
      </c>
      <c r="BF726" s="182"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spans="3:75" ht="20.100000000000001" customHeight="1">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spans="3:75" ht="20.100000000000001" customHeight="1">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spans="3:75" ht="20.100000000000001" customHeight="1">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19.5" customHeight="1">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58"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spans="3:75" ht="19.5" customHeight="1">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58"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spans="3:75" ht="19.5" customHeight="1">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58"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spans="3:75" ht="19.5" customHeight="1">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58"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58"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58"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6"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spans="1:75" ht="19.5" customHeight="1">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6"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spans="1:75" ht="19.5" customHeight="1">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6"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spans="1:75" ht="19.5" customHeight="1">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6"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6"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6"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20.100000000000001" customHeight="1">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20.100000000000001" customHeight="1">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20.100000000000001" customHeight="1">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2.2000000000000002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59"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spans="1:75" ht="20.100000000000001" customHeight="1">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59"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spans="3:75" ht="20.100000000000001" customHeight="1">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59"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spans="3:75" ht="19.5" customHeight="1">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59"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19.5" customHeight="1">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59"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19.5" customHeight="1">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59"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20.100000000000001" customHeight="1">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spans="3:75" ht="19.5" customHeight="1">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spans="3:75" ht="19.5" customHeight="1">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spans="3:75" ht="20.100000000000001" customHeight="1">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spans="3:75" ht="20.100000000000001" customHeight="1">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48"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spans="3:75" ht="20.100000000000001" customHeight="1">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48"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spans="3:75" ht="20.100000000000001" customHeight="1">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48"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spans="3:75" ht="20.100000000000001" customHeight="1">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48"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48"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48"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1.1000000000000001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spans="3:75" ht="20.100000000000001" customHeight="1">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1.1000000000000001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spans="3:75" ht="20.100000000000001" customHeight="1">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6"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spans="3:75" ht="20.100000000000001" customHeight="1">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6"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spans="3:75" ht="20.100000000000001" customHeight="1">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6"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6"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6"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6"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19.5" customHeight="1">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spans="3:75" ht="19.5" customHeight="1">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spans="3:75" ht="19.5" customHeight="1">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spans="3:75" ht="19.5" customHeight="1">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6"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6"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6"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6"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6"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6"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20.100000000000001" customHeight="1">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2" t="s">
        <v>1817</v>
      </c>
      <c r="BF791" s="182"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spans="3:75" ht="20.100000000000001" customHeight="1">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2" t="s">
        <v>1817</v>
      </c>
      <c r="BF792" s="182"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spans="3:75" ht="20.100000000000001" customHeight="1">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2" t="s">
        <v>1819</v>
      </c>
      <c r="BF793" s="182"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620231041</v>
      </c>
      <c r="D794" s="39" t="s">
        <v>1814</v>
      </c>
      <c r="E794" s="39" t="s">
        <v>1815</v>
      </c>
      <c r="F794" s="31">
        <v>3</v>
      </c>
      <c r="G794" s="31">
        <v>62023101</v>
      </c>
      <c r="H794" s="31">
        <v>0</v>
      </c>
      <c r="I794" s="31">
        <v>0</v>
      </c>
      <c r="J794" s="31">
        <v>0</v>
      </c>
      <c r="K794" s="184">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2" t="s">
        <v>1821</v>
      </c>
      <c r="BF794" s="182"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2" t="s">
        <v>1823</v>
      </c>
      <c r="BF795" s="182"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2" t="s">
        <v>1825</v>
      </c>
      <c r="BF796" s="182"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spans="3:75" ht="20.100000000000001" customHeight="1">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spans="3:75" ht="20.100000000000001" customHeight="1">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spans="3:75" ht="20.100000000000001" customHeight="1">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2:75" ht="20.100000000000001" customHeight="1">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2:75" ht="20.100000000000001" customHeight="1">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2:75" ht="20.100000000000001" customHeight="1">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1.1000000000000001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spans="2:75" ht="20.100000000000001" customHeight="1">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1.1000000000000001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spans="2:75" ht="20.100000000000001" customHeight="1">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spans="2:75" ht="20.100000000000001" customHeight="1">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2:75" ht="20.100000000000001" customHeight="1">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2:75" ht="20.100000000000001" customHeight="1">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2:75" ht="19.5" customHeight="1">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48"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2:75" ht="19.5" customHeight="1">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48"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2:75" ht="19.5" customHeight="1">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48"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2:75" ht="19.5" customHeight="1">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48"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2:75" ht="19.5" customHeight="1">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48"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2:75" ht="19.5" customHeight="1">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48"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2:75" ht="20.100000000000001" customHeight="1">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48"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spans="2:75" ht="20.100000000000001" customHeight="1">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48"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spans="2:75" ht="20.100000000000001" customHeight="1">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48"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spans="2:75" ht="20.100000000000001" customHeight="1">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48"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48"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48"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19.5" customHeight="1">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8">
        <v>0</v>
      </c>
      <c r="BN821" s="177">
        <v>0</v>
      </c>
      <c r="BO821" s="177">
        <v>0</v>
      </c>
      <c r="BP821" s="177">
        <v>0</v>
      </c>
      <c r="BQ821" s="177">
        <v>0</v>
      </c>
      <c r="BR821" s="177">
        <v>0</v>
      </c>
      <c r="BS821" s="177">
        <v>0</v>
      </c>
      <c r="BT821" s="13">
        <v>0</v>
      </c>
      <c r="BU821" s="49">
        <v>0</v>
      </c>
      <c r="BV821" s="49"/>
      <c r="BW821" s="49"/>
    </row>
    <row r="822" spans="2:75" ht="19.5" customHeight="1">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8">
        <v>0</v>
      </c>
      <c r="BN822" s="177">
        <v>0</v>
      </c>
      <c r="BO822" s="177">
        <v>0</v>
      </c>
      <c r="BP822" s="177">
        <v>0</v>
      </c>
      <c r="BQ822" s="177">
        <v>0</v>
      </c>
      <c r="BR822" s="177">
        <v>0</v>
      </c>
      <c r="BS822" s="177">
        <v>0</v>
      </c>
      <c r="BT822" s="13">
        <v>0</v>
      </c>
      <c r="BU822" s="49">
        <v>0</v>
      </c>
      <c r="BV822" s="49"/>
      <c r="BW822" s="49"/>
    </row>
    <row r="823" spans="2:75" ht="19.5" customHeight="1">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8">
        <v>0</v>
      </c>
      <c r="BN823" s="177">
        <v>0</v>
      </c>
      <c r="BO823" s="177">
        <v>0</v>
      </c>
      <c r="BP823" s="177">
        <v>0</v>
      </c>
      <c r="BQ823" s="177">
        <v>0</v>
      </c>
      <c r="BR823" s="177">
        <v>0</v>
      </c>
      <c r="BS823" s="177">
        <v>0</v>
      </c>
      <c r="BT823" s="13">
        <v>0</v>
      </c>
      <c r="BU823" s="49">
        <v>0</v>
      </c>
      <c r="BV823" s="49"/>
      <c r="BW823" s="49"/>
    </row>
    <row r="824" spans="2:75" ht="19.5" customHeight="1">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8">
        <v>0</v>
      </c>
      <c r="BN824" s="177">
        <v>0</v>
      </c>
      <c r="BO824" s="177">
        <v>0</v>
      </c>
      <c r="BP824" s="177">
        <v>0</v>
      </c>
      <c r="BQ824" s="177">
        <v>0</v>
      </c>
      <c r="BR824" s="177">
        <v>0</v>
      </c>
      <c r="BS824" s="177">
        <v>0</v>
      </c>
      <c r="BT824" s="13">
        <v>0</v>
      </c>
      <c r="BU824" s="49">
        <v>0</v>
      </c>
      <c r="BV824" s="49"/>
      <c r="BW824" s="49"/>
    </row>
    <row r="825" spans="2:75" ht="19.5" customHeight="1">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8">
        <v>0</v>
      </c>
      <c r="BN825" s="177">
        <v>0</v>
      </c>
      <c r="BO825" s="177">
        <v>0</v>
      </c>
      <c r="BP825" s="177">
        <v>0</v>
      </c>
      <c r="BQ825" s="177">
        <v>0</v>
      </c>
      <c r="BR825" s="177">
        <v>0</v>
      </c>
      <c r="BS825" s="177">
        <v>0</v>
      </c>
      <c r="BT825" s="13">
        <v>0</v>
      </c>
      <c r="BU825" s="49">
        <v>0</v>
      </c>
      <c r="BV825" s="49"/>
      <c r="BW825" s="49"/>
    </row>
    <row r="826" spans="2:75" ht="19.5" customHeight="1">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8">
        <v>0</v>
      </c>
      <c r="BN826" s="177">
        <v>0</v>
      </c>
      <c r="BO826" s="177">
        <v>0</v>
      </c>
      <c r="BP826" s="177">
        <v>0</v>
      </c>
      <c r="BQ826" s="177">
        <v>0</v>
      </c>
      <c r="BR826" s="177">
        <v>0</v>
      </c>
      <c r="BS826" s="177">
        <v>0</v>
      </c>
      <c r="BT826" s="13">
        <v>0</v>
      </c>
      <c r="BU826" s="49">
        <v>0</v>
      </c>
      <c r="BV826" s="49"/>
      <c r="BW826" s="49"/>
    </row>
    <row r="827" spans="2:75" ht="19.5" customHeight="1">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spans="2:75" ht="19.5" customHeight="1">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spans="2:75" ht="19.5" customHeight="1">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spans="2:75" ht="19.5" customHeight="1">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20.100000000000001" customHeight="1">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0" t="s">
        <v>1886</v>
      </c>
      <c r="BC833" s="177">
        <v>0</v>
      </c>
      <c r="BD833" s="177">
        <v>0</v>
      </c>
      <c r="BE833" s="206" t="s">
        <v>1887</v>
      </c>
      <c r="BF833" s="206"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spans="3:75" ht="20.100000000000001" customHeight="1">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0" t="s">
        <v>1886</v>
      </c>
      <c r="BC834" s="177">
        <v>0</v>
      </c>
      <c r="BD834" s="177">
        <v>0</v>
      </c>
      <c r="BE834" s="206" t="s">
        <v>1887</v>
      </c>
      <c r="BF834" s="206"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spans="3:75" ht="20.100000000000001" customHeight="1">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0" t="s">
        <v>1889</v>
      </c>
      <c r="BC835" s="177">
        <v>0</v>
      </c>
      <c r="BD835" s="177">
        <v>0</v>
      </c>
      <c r="BE835" s="206" t="s">
        <v>1890</v>
      </c>
      <c r="BF835" s="206"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spans="3:75" ht="19.5" customHeight="1">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0" t="s">
        <v>1892</v>
      </c>
      <c r="BC836" s="177">
        <v>0</v>
      </c>
      <c r="BD836" s="177">
        <v>0</v>
      </c>
      <c r="BE836" s="206" t="s">
        <v>1893</v>
      </c>
      <c r="BF836" s="206"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19.5" customHeight="1">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0" t="s">
        <v>1895</v>
      </c>
      <c r="BC837" s="177">
        <v>0</v>
      </c>
      <c r="BD837" s="177">
        <v>0</v>
      </c>
      <c r="BE837" s="206" t="s">
        <v>1896</v>
      </c>
      <c r="BF837" s="206"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19.5" customHeight="1">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0" t="s">
        <v>1898</v>
      </c>
      <c r="BC838" s="177">
        <v>0</v>
      </c>
      <c r="BD838" s="177">
        <v>0</v>
      </c>
      <c r="BE838" s="206" t="s">
        <v>1899</v>
      </c>
      <c r="BF838" s="206"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20.100000000000001" customHeight="1">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spans="3:75" ht="20.100000000000001" customHeight="1">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spans="3:75" ht="20.100000000000001" customHeight="1">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spans="3:75" ht="20.100000000000001" customHeight="1">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7" t="s">
        <v>1916</v>
      </c>
      <c r="BF843" s="207"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spans="3:75" ht="20.100000000000001" customHeight="1">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spans="3:75" ht="20.100000000000001" customHeight="1">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0" t="s">
        <v>1924</v>
      </c>
      <c r="BC846" s="177">
        <v>0</v>
      </c>
      <c r="BD846" s="177">
        <v>0</v>
      </c>
      <c r="BE846" s="206" t="s">
        <v>1925</v>
      </c>
      <c r="BF846" s="206"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spans="3:75" ht="20.100000000000001" customHeight="1">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0" t="s">
        <v>1924</v>
      </c>
      <c r="BC847" s="177">
        <v>0</v>
      </c>
      <c r="BD847" s="177">
        <v>0</v>
      </c>
      <c r="BE847" s="206" t="s">
        <v>1925</v>
      </c>
      <c r="BF847" s="206"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spans="3:75" ht="20.100000000000001" customHeight="1">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0" t="s">
        <v>1927</v>
      </c>
      <c r="BC848" s="177">
        <v>0</v>
      </c>
      <c r="BD848" s="177">
        <v>0</v>
      </c>
      <c r="BE848" s="206" t="s">
        <v>1928</v>
      </c>
      <c r="BF848" s="206"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spans="3:75" ht="19.5" customHeight="1">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0" t="s">
        <v>1930</v>
      </c>
      <c r="BC849" s="177">
        <v>0</v>
      </c>
      <c r="BD849" s="177">
        <v>0</v>
      </c>
      <c r="BE849" s="206" t="s">
        <v>1931</v>
      </c>
      <c r="BF849" s="206"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19.5" customHeight="1">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0" t="s">
        <v>1933</v>
      </c>
      <c r="BC850" s="177">
        <v>0</v>
      </c>
      <c r="BD850" s="177">
        <v>0</v>
      </c>
      <c r="BE850" s="206" t="s">
        <v>1934</v>
      </c>
      <c r="BF850" s="206"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19.5" customHeight="1">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0" t="s">
        <v>1936</v>
      </c>
      <c r="BC851" s="177">
        <v>0</v>
      </c>
      <c r="BD851" s="177">
        <v>0</v>
      </c>
      <c r="BE851" s="206" t="s">
        <v>1937</v>
      </c>
      <c r="BF851" s="206"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20.100000000000001" customHeight="1">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10">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spans="3:75" ht="20.100000000000001" customHeight="1">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10">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spans="3:75" ht="20.100000000000001" customHeight="1">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10">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spans="3:75" ht="20.100000000000001" customHeight="1">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10">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10">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10">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spans="3:75" ht="20.100000000000001" customHeight="1">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spans="3:75" ht="20.100000000000001" customHeight="1">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spans="3:75" ht="20.100000000000001" customHeight="1">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19.5" customHeight="1">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1" t="str">
        <f>"立即对当前前方区域的怪物造成"&amp;X864*100&amp;"%攻击伤害+"&amp;Z864&amp;"点固定伤害,且自身会向后方区域进行跳跃"</f>
        <v>立即对当前前方区域的怪物造成250%攻击伤害+900点固定伤害,且自身会向后方区域进行跳跃</v>
      </c>
      <c r="BF864" s="211"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spans="3:75" ht="19.5" customHeight="1">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1"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1"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spans="3:75" ht="19.5" customHeight="1">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1" t="str">
        <f t="shared" si="89"/>
        <v>立即对当前前方区域的怪物造成275%攻击伤害+1800点固定伤害,且自身会向后方区域进行跳跃</v>
      </c>
      <c r="BF866" s="211"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spans="3:75" ht="19.5" customHeight="1">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1" t="str">
        <f t="shared" si="89"/>
        <v>立即对当前前方区域的怪物造成300%攻击伤害+2800点固定伤害,且自身会向后方区域进行跳跃</v>
      </c>
      <c r="BF867" s="211"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1" t="str">
        <f t="shared" si="89"/>
        <v>立即对当前前方区域的怪物造成325%攻击伤害+4000点固定伤害,且自身会向后方区域进行跳跃</v>
      </c>
      <c r="BF868" s="211"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1" t="str">
        <f t="shared" si="89"/>
        <v>立即对当前前方区域的怪物造成350%攻击伤害+5200点固定伤害,且自身会向后方区域进行跳跃</v>
      </c>
      <c r="BF869" s="211"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20.100000000000001" customHeight="1">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2" t="s">
        <v>1964</v>
      </c>
      <c r="BF870" s="212"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20.100000000000001" customHeight="1">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2" t="s">
        <v>1964</v>
      </c>
      <c r="BF871" s="212"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20.100000000000001" customHeight="1">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2" t="s">
        <v>1967</v>
      </c>
      <c r="BF872" s="212"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2" t="s">
        <v>1970</v>
      </c>
      <c r="BF873" s="212"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2" t="s">
        <v>1973</v>
      </c>
      <c r="BF874" s="212"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2" t="s">
        <v>1976</v>
      </c>
      <c r="BF875" s="212"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19.5" customHeight="1">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spans="3:75" ht="19.5" customHeight="1">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spans="3:75" ht="19.5" customHeight="1">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spans="3:75" ht="19.5" customHeight="1">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20.100000000000001" customHeight="1">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2" t="s">
        <v>1988</v>
      </c>
      <c r="BF881" s="212"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spans="3:75" ht="20.100000000000001" customHeight="1">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2" t="s">
        <v>1988</v>
      </c>
      <c r="BF882" s="212"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spans="3:75" ht="20.100000000000001" customHeight="1">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2" t="s">
        <v>1991</v>
      </c>
      <c r="BF883" s="212"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spans="3:75" ht="20.100000000000001" customHeight="1">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2" t="s">
        <v>1994</v>
      </c>
      <c r="BF884" s="212"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2" t="s">
        <v>1997</v>
      </c>
      <c r="BF885" s="212"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2" t="s">
        <v>2000</v>
      </c>
      <c r="BF886" s="212"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19.5" customHeight="1">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spans="3:75" ht="19.5" customHeight="1">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spans="3:75" ht="19.5" customHeight="1">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spans="3:75" ht="19.5" customHeight="1">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20.100000000000001" customHeight="1">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1"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1"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spans="3:75" ht="20.100000000000001" customHeight="1">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1"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1"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spans="3:75" ht="20.100000000000001" customHeight="1">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1" t="str">
        <f t="shared" si="95"/>
        <v>在脚底下立即释放法术,在此范围内的目标每秒造成90%攻击伤害+800点固定伤害,目标移动速度降低50%,持续10秒</v>
      </c>
      <c r="BF894" s="211"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spans="3:75" ht="20.100000000000001" customHeight="1">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1" t="str">
        <f t="shared" si="95"/>
        <v>在脚底下立即释放法术,在此范围内的目标每秒造成100%攻击伤害+1150点固定伤害,目标移动速度降低50%,持续10秒</v>
      </c>
      <c r="BF895" s="211"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1.1000000000000001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1" t="str">
        <f t="shared" si="95"/>
        <v>在脚底下立即释放法术,在此范围内的目标每秒造成110%攻击伤害+1550点固定伤害,目标移动速度降低50%,持续10秒</v>
      </c>
      <c r="BF896" s="211"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1" t="str">
        <f t="shared" si="95"/>
        <v>在脚底下立即释放法术,在此范围内的目标每秒造成120%攻击伤害+2050点固定伤害,目标移动速度降低50%,持续10秒</v>
      </c>
      <c r="BF897" s="211"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19.5" customHeight="1">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1" t="s">
        <v>2019</v>
      </c>
      <c r="BC898" s="176">
        <v>0</v>
      </c>
      <c r="BD898" s="176">
        <v>0</v>
      </c>
      <c r="BE898" s="212" t="s">
        <v>2020</v>
      </c>
      <c r="BF898" s="212"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19.5" customHeight="1">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1" t="s">
        <v>2019</v>
      </c>
      <c r="BC899" s="176">
        <v>0</v>
      </c>
      <c r="BD899" s="176">
        <v>0</v>
      </c>
      <c r="BE899" s="212" t="s">
        <v>2020</v>
      </c>
      <c r="BF899" s="212"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19.5" customHeight="1">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1" t="s">
        <v>2022</v>
      </c>
      <c r="BC900" s="176">
        <v>0</v>
      </c>
      <c r="BD900" s="176">
        <v>0</v>
      </c>
      <c r="BE900" s="212" t="s">
        <v>2023</v>
      </c>
      <c r="BF900" s="212"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1" t="s">
        <v>2025</v>
      </c>
      <c r="BC901" s="176">
        <v>0</v>
      </c>
      <c r="BD901" s="176">
        <v>0</v>
      </c>
      <c r="BE901" s="212" t="s">
        <v>2026</v>
      </c>
      <c r="BF901" s="212"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1" t="s">
        <v>2028</v>
      </c>
      <c r="BC902" s="176">
        <v>0</v>
      </c>
      <c r="BD902" s="176">
        <v>0</v>
      </c>
      <c r="BE902" s="212" t="s">
        <v>2029</v>
      </c>
      <c r="BF902" s="212"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1" t="s">
        <v>2031</v>
      </c>
      <c r="BC903" s="176">
        <v>0</v>
      </c>
      <c r="BD903" s="176">
        <v>0</v>
      </c>
      <c r="BE903" s="212" t="s">
        <v>2032</v>
      </c>
      <c r="BF903" s="212"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20.100000000000001" customHeight="1">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spans="3:75" ht="20.100000000000001" customHeight="1">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spans="3:75" ht="20.100000000000001" customHeight="1">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spans="3:75" ht="19.5" customHeight="1">
      <c r="C907" s="174">
        <v>63022101</v>
      </c>
      <c r="D907" s="209" t="s">
        <v>2049</v>
      </c>
      <c r="E907" s="209"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09" t="s">
        <v>199</v>
      </c>
      <c r="AX907" s="204" t="s">
        <v>1400</v>
      </c>
      <c r="AY907" s="204">
        <v>10003002</v>
      </c>
      <c r="AZ907" s="204">
        <v>21202010</v>
      </c>
      <c r="BA907" s="209" t="s">
        <v>586</v>
      </c>
      <c r="BB907" s="209">
        <v>0</v>
      </c>
      <c r="BC907" s="204">
        <v>0</v>
      </c>
      <c r="BD907" s="204">
        <v>0</v>
      </c>
      <c r="BE907" s="213"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3" t="s">
        <v>2051</v>
      </c>
      <c r="BG907" s="204">
        <v>0</v>
      </c>
      <c r="BH907" s="204">
        <v>0</v>
      </c>
      <c r="BI907" s="204">
        <v>0</v>
      </c>
      <c r="BJ907" s="204">
        <v>0</v>
      </c>
      <c r="BK907" s="204">
        <v>0</v>
      </c>
      <c r="BL907" s="204">
        <v>0</v>
      </c>
      <c r="BM907" s="214">
        <v>0</v>
      </c>
      <c r="BN907" s="204">
        <v>0</v>
      </c>
      <c r="BO907" s="204">
        <v>0</v>
      </c>
      <c r="BP907" s="204">
        <v>0</v>
      </c>
      <c r="BQ907" s="204">
        <v>0</v>
      </c>
      <c r="BR907" s="204">
        <v>0</v>
      </c>
      <c r="BS907" s="204">
        <v>0</v>
      </c>
      <c r="BT907" s="13">
        <v>0</v>
      </c>
      <c r="BU907" s="49">
        <v>0</v>
      </c>
      <c r="BV907" s="49"/>
      <c r="BW907" s="49"/>
    </row>
    <row r="908" spans="3:75" ht="19.5" customHeight="1">
      <c r="C908" s="174">
        <v>63022102</v>
      </c>
      <c r="D908" s="209" t="s">
        <v>2049</v>
      </c>
      <c r="E908" s="209"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09" t="s">
        <v>199</v>
      </c>
      <c r="AX908" s="204" t="s">
        <v>1400</v>
      </c>
      <c r="AY908" s="204">
        <v>10003002</v>
      </c>
      <c r="AZ908" s="204">
        <v>21202010</v>
      </c>
      <c r="BA908" s="209" t="s">
        <v>586</v>
      </c>
      <c r="BB908" s="209">
        <v>0</v>
      </c>
      <c r="BC908" s="204">
        <v>0</v>
      </c>
      <c r="BD908" s="204">
        <v>0</v>
      </c>
      <c r="BE908" s="213"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3" t="s">
        <v>2051</v>
      </c>
      <c r="BG908" s="204">
        <v>0</v>
      </c>
      <c r="BH908" s="204">
        <v>0</v>
      </c>
      <c r="BI908" s="204">
        <v>0</v>
      </c>
      <c r="BJ908" s="204">
        <v>0</v>
      </c>
      <c r="BK908" s="204">
        <v>0</v>
      </c>
      <c r="BL908" s="204">
        <v>0</v>
      </c>
      <c r="BM908" s="214">
        <v>0</v>
      </c>
      <c r="BN908" s="204">
        <v>0</v>
      </c>
      <c r="BO908" s="204">
        <v>0</v>
      </c>
      <c r="BP908" s="204">
        <v>0</v>
      </c>
      <c r="BQ908" s="204">
        <v>0</v>
      </c>
      <c r="BR908" s="204">
        <v>0</v>
      </c>
      <c r="BS908" s="204">
        <v>0</v>
      </c>
      <c r="BT908" s="13">
        <v>0</v>
      </c>
      <c r="BU908" s="49">
        <v>0</v>
      </c>
      <c r="BV908" s="49"/>
      <c r="BW908" s="49"/>
    </row>
    <row r="909" spans="3:75" ht="19.5" customHeight="1">
      <c r="C909" s="174">
        <v>63022103</v>
      </c>
      <c r="D909" s="209" t="s">
        <v>2049</v>
      </c>
      <c r="E909" s="209"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09" t="s">
        <v>199</v>
      </c>
      <c r="AX909" s="204" t="s">
        <v>1400</v>
      </c>
      <c r="AY909" s="204">
        <v>10003002</v>
      </c>
      <c r="AZ909" s="204">
        <v>21202010</v>
      </c>
      <c r="BA909" s="209" t="s">
        <v>586</v>
      </c>
      <c r="BB909" s="209">
        <v>0</v>
      </c>
      <c r="BC909" s="204">
        <v>0</v>
      </c>
      <c r="BD909" s="204">
        <v>0</v>
      </c>
      <c r="BE909" s="213" t="str">
        <f t="shared" si="98"/>
        <v>立即对目标范围内的怪物造成350%攻击伤害+3600点固定伤害,并使目标移动速度降低50%,持续3秒,如果目标为怪物则附带易伤状态,使其受到伤害在提升20%,持续6秒</v>
      </c>
      <c r="BF909" s="213" t="s">
        <v>2052</v>
      </c>
      <c r="BG909" s="204">
        <v>0</v>
      </c>
      <c r="BH909" s="204">
        <v>0</v>
      </c>
      <c r="BI909" s="204">
        <v>0</v>
      </c>
      <c r="BJ909" s="204">
        <v>0</v>
      </c>
      <c r="BK909" s="204">
        <v>0</v>
      </c>
      <c r="BL909" s="204">
        <v>0</v>
      </c>
      <c r="BM909" s="214">
        <v>0</v>
      </c>
      <c r="BN909" s="204">
        <v>0</v>
      </c>
      <c r="BO909" s="204">
        <v>0</v>
      </c>
      <c r="BP909" s="204">
        <v>0</v>
      </c>
      <c r="BQ909" s="204">
        <v>0</v>
      </c>
      <c r="BR909" s="204">
        <v>0</v>
      </c>
      <c r="BS909" s="204">
        <v>0</v>
      </c>
      <c r="BT909" s="13">
        <v>0</v>
      </c>
      <c r="BU909" s="49">
        <v>0</v>
      </c>
      <c r="BV909" s="49"/>
      <c r="BW909" s="49"/>
    </row>
    <row r="910" spans="3:75" ht="19.5" customHeight="1">
      <c r="C910" s="174">
        <v>63022104</v>
      </c>
      <c r="D910" s="209" t="s">
        <v>2049</v>
      </c>
      <c r="E910" s="209"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09" t="s">
        <v>199</v>
      </c>
      <c r="AX910" s="204" t="s">
        <v>1400</v>
      </c>
      <c r="AY910" s="204">
        <v>10003002</v>
      </c>
      <c r="AZ910" s="204">
        <v>21202010</v>
      </c>
      <c r="BA910" s="209" t="s">
        <v>586</v>
      </c>
      <c r="BB910" s="209">
        <v>0</v>
      </c>
      <c r="BC910" s="204">
        <v>0</v>
      </c>
      <c r="BD910" s="204">
        <v>0</v>
      </c>
      <c r="BE910" s="213" t="str">
        <f t="shared" si="98"/>
        <v>立即对目标范围内的怪物造成400%攻击伤害+5600点固定伤害,并使目标移动速度降低50%,持续3秒,如果目标为怪物则附带易伤状态,使其受到伤害在提升20%,持续6秒</v>
      </c>
      <c r="BF910" s="213" t="s">
        <v>2053</v>
      </c>
      <c r="BG910" s="204">
        <v>0</v>
      </c>
      <c r="BH910" s="204">
        <v>0</v>
      </c>
      <c r="BI910" s="204">
        <v>0</v>
      </c>
      <c r="BJ910" s="204">
        <v>0</v>
      </c>
      <c r="BK910" s="204">
        <v>0</v>
      </c>
      <c r="BL910" s="204">
        <v>0</v>
      </c>
      <c r="BM910" s="214">
        <v>0</v>
      </c>
      <c r="BN910" s="204">
        <v>0</v>
      </c>
      <c r="BO910" s="204">
        <v>0</v>
      </c>
      <c r="BP910" s="204">
        <v>0</v>
      </c>
      <c r="BQ910" s="204">
        <v>0</v>
      </c>
      <c r="BR910" s="204">
        <v>0</v>
      </c>
      <c r="BS910" s="204">
        <v>0</v>
      </c>
      <c r="BT910" s="13">
        <v>0</v>
      </c>
      <c r="BU910" s="49">
        <v>0</v>
      </c>
      <c r="BV910" s="49"/>
      <c r="BW910" s="49"/>
    </row>
    <row r="911" spans="3:75" ht="19.5" customHeight="1">
      <c r="C911" s="174">
        <v>63022105</v>
      </c>
      <c r="D911" s="209" t="s">
        <v>2049</v>
      </c>
      <c r="E911" s="209"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09" t="s">
        <v>199</v>
      </c>
      <c r="AX911" s="204" t="s">
        <v>1400</v>
      </c>
      <c r="AY911" s="204">
        <v>10003002</v>
      </c>
      <c r="AZ911" s="204">
        <v>21202010</v>
      </c>
      <c r="BA911" s="209" t="s">
        <v>586</v>
      </c>
      <c r="BB911" s="209">
        <v>0</v>
      </c>
      <c r="BC911" s="204">
        <v>0</v>
      </c>
      <c r="BD911" s="204">
        <v>0</v>
      </c>
      <c r="BE911" s="213" t="str">
        <f t="shared" si="98"/>
        <v>立即对目标范围内的怪物造成450%攻击伤害+8000点固定伤害,并使目标移动速度降低50%,持续3秒,如果目标为怪物则附带易伤状态,使其受到伤害在提升20%,持续6秒</v>
      </c>
      <c r="BF911" s="213" t="s">
        <v>2054</v>
      </c>
      <c r="BG911" s="204">
        <v>0</v>
      </c>
      <c r="BH911" s="204">
        <v>0</v>
      </c>
      <c r="BI911" s="204">
        <v>0</v>
      </c>
      <c r="BJ911" s="204">
        <v>0</v>
      </c>
      <c r="BK911" s="204">
        <v>0</v>
      </c>
      <c r="BL911" s="204">
        <v>0</v>
      </c>
      <c r="BM911" s="214">
        <v>0</v>
      </c>
      <c r="BN911" s="204">
        <v>0</v>
      </c>
      <c r="BO911" s="204">
        <v>0</v>
      </c>
      <c r="BP911" s="204">
        <v>0</v>
      </c>
      <c r="BQ911" s="204">
        <v>0</v>
      </c>
      <c r="BR911" s="204">
        <v>0</v>
      </c>
      <c r="BS911" s="204">
        <v>0</v>
      </c>
      <c r="BT911" s="13">
        <v>0</v>
      </c>
      <c r="BU911" s="49">
        <v>0</v>
      </c>
      <c r="BV911" s="49"/>
      <c r="BW911" s="49"/>
    </row>
    <row r="912" spans="3:75" ht="19.5" customHeight="1">
      <c r="C912" s="174">
        <v>63022106</v>
      </c>
      <c r="D912" s="209" t="s">
        <v>2049</v>
      </c>
      <c r="E912" s="209"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09" t="s">
        <v>199</v>
      </c>
      <c r="AX912" s="204" t="s">
        <v>1400</v>
      </c>
      <c r="AY912" s="204">
        <v>10003002</v>
      </c>
      <c r="AZ912" s="204">
        <v>21202010</v>
      </c>
      <c r="BA912" s="209" t="s">
        <v>586</v>
      </c>
      <c r="BB912" s="209">
        <v>0</v>
      </c>
      <c r="BC912" s="204">
        <v>0</v>
      </c>
      <c r="BD912" s="204">
        <v>0</v>
      </c>
      <c r="BE912" s="213" t="str">
        <f t="shared" si="98"/>
        <v>立即对目标范围内的怪物造成500%攻击伤害+10400点固定伤害,并使目标移动速度降低50%,持续3秒,如果目标为怪物则附带易伤状态,使其受到伤害在提升20%,持续6秒</v>
      </c>
      <c r="BF912" s="213" t="s">
        <v>2055</v>
      </c>
      <c r="BG912" s="204">
        <v>0</v>
      </c>
      <c r="BH912" s="204">
        <v>0</v>
      </c>
      <c r="BI912" s="204">
        <v>0</v>
      </c>
      <c r="BJ912" s="204">
        <v>0</v>
      </c>
      <c r="BK912" s="204">
        <v>0</v>
      </c>
      <c r="BL912" s="204">
        <v>0</v>
      </c>
      <c r="BM912" s="214">
        <v>0</v>
      </c>
      <c r="BN912" s="204">
        <v>0</v>
      </c>
      <c r="BO912" s="204">
        <v>0</v>
      </c>
      <c r="BP912" s="204">
        <v>0</v>
      </c>
      <c r="BQ912" s="204">
        <v>0</v>
      </c>
      <c r="BR912" s="204">
        <v>0</v>
      </c>
      <c r="BS912" s="204">
        <v>0</v>
      </c>
      <c r="BT912" s="13">
        <v>0</v>
      </c>
      <c r="BU912" s="49">
        <v>0</v>
      </c>
      <c r="BV912" s="49"/>
      <c r="BW912" s="49"/>
    </row>
    <row r="913" spans="3:75" ht="20.100000000000001" customHeight="1">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3"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3"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spans="3:75" ht="20.100000000000001" customHeight="1">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3"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3"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spans="3:75" ht="20.100000000000001" customHeight="1">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3" t="str">
        <f t="shared" si="100"/>
        <v>每次向前方释放5个烈焰飓风，每个飓风可以对目标造成225%攻击伤害+1500点固定伤害,并使目标造成眩晕效果,持续1秒</v>
      </c>
      <c r="BF915" s="213"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spans="3:75" ht="20.100000000000001" customHeight="1">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3" t="str">
        <f t="shared" si="100"/>
        <v>每次向前方释放5个烈焰飓风，每个飓风可以对目标造成250%攻击伤害+2250点固定伤害,并使目标造成眩晕效果,持续1秒</v>
      </c>
      <c r="BF916" s="213"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3" t="str">
        <f t="shared" si="100"/>
        <v>每次向前方释放5个烈焰飓风，每个飓风可以对目标造成275%攻击伤害+3250点固定伤害,并使目标造成眩晕效果,持续1秒</v>
      </c>
      <c r="BF917" s="213"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3" t="str">
        <f t="shared" si="100"/>
        <v>每次向前方释放5个烈焰飓风，每个飓风可以对目标造成300%攻击伤害+4250点固定伤害,并使目标造成眩晕效果,持续1秒</v>
      </c>
      <c r="BF918" s="213"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19.5" customHeight="1">
      <c r="C919" s="174">
        <v>63022301</v>
      </c>
      <c r="D919" s="209" t="s">
        <v>1120</v>
      </c>
      <c r="E919" s="209"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09" t="s">
        <v>586</v>
      </c>
      <c r="BB919" s="209">
        <v>0</v>
      </c>
      <c r="BC919" s="204">
        <v>0</v>
      </c>
      <c r="BD919" s="204">
        <v>0</v>
      </c>
      <c r="BE919" s="213"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3" t="s">
        <v>2064</v>
      </c>
      <c r="BG919" s="204">
        <v>0</v>
      </c>
      <c r="BH919" s="204">
        <v>0</v>
      </c>
      <c r="BI919" s="204">
        <v>0</v>
      </c>
      <c r="BJ919" s="204">
        <v>0</v>
      </c>
      <c r="BK919" s="204">
        <v>0</v>
      </c>
      <c r="BL919" s="204">
        <v>0</v>
      </c>
      <c r="BM919" s="214">
        <v>0</v>
      </c>
      <c r="BN919" s="204">
        <v>0</v>
      </c>
      <c r="BO919" s="204">
        <v>0</v>
      </c>
      <c r="BP919" s="204">
        <v>0</v>
      </c>
      <c r="BQ919" s="204">
        <v>0</v>
      </c>
      <c r="BR919" s="204">
        <v>0</v>
      </c>
      <c r="BS919" s="204">
        <v>0</v>
      </c>
      <c r="BT919" s="13">
        <v>0</v>
      </c>
      <c r="BU919" s="49">
        <v>0</v>
      </c>
      <c r="BV919" s="49"/>
      <c r="BW919" s="49"/>
    </row>
    <row r="920" spans="3:75" ht="19.5" customHeight="1">
      <c r="C920" s="174">
        <v>63022302</v>
      </c>
      <c r="D920" s="209" t="s">
        <v>1120</v>
      </c>
      <c r="E920" s="209"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09" t="s">
        <v>586</v>
      </c>
      <c r="BB920" s="209">
        <v>0</v>
      </c>
      <c r="BC920" s="204">
        <v>0</v>
      </c>
      <c r="BD920" s="204">
        <v>0</v>
      </c>
      <c r="BE920" s="213"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3" t="s">
        <v>2064</v>
      </c>
      <c r="BG920" s="204">
        <v>0</v>
      </c>
      <c r="BH920" s="204">
        <v>0</v>
      </c>
      <c r="BI920" s="204">
        <v>0</v>
      </c>
      <c r="BJ920" s="204">
        <v>0</v>
      </c>
      <c r="BK920" s="204">
        <v>0</v>
      </c>
      <c r="BL920" s="204">
        <v>0</v>
      </c>
      <c r="BM920" s="214">
        <v>0</v>
      </c>
      <c r="BN920" s="204">
        <v>0</v>
      </c>
      <c r="BO920" s="204">
        <v>0</v>
      </c>
      <c r="BP920" s="204">
        <v>0</v>
      </c>
      <c r="BQ920" s="204">
        <v>0</v>
      </c>
      <c r="BR920" s="204">
        <v>0</v>
      </c>
      <c r="BS920" s="204">
        <v>0</v>
      </c>
      <c r="BT920" s="13">
        <v>0</v>
      </c>
      <c r="BU920" s="49">
        <v>0</v>
      </c>
      <c r="BV920" s="49"/>
      <c r="BW920" s="49"/>
    </row>
    <row r="921" spans="3:75" ht="19.5" customHeight="1">
      <c r="C921" s="174">
        <v>63022303</v>
      </c>
      <c r="D921" s="209" t="s">
        <v>1120</v>
      </c>
      <c r="E921" s="209"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09" t="s">
        <v>586</v>
      </c>
      <c r="BB921" s="209">
        <v>0</v>
      </c>
      <c r="BC921" s="204">
        <v>0</v>
      </c>
      <c r="BD921" s="204">
        <v>0</v>
      </c>
      <c r="BE921" s="213" t="str">
        <f t="shared" si="102"/>
        <v>蓄力1秒,立即对目标范围内的怪物造成825%攻击伤害+3000点固定伤害,中途可随时取消蓄力直接释放,但是技能伤害会相应降低</v>
      </c>
      <c r="BF921" s="213" t="s">
        <v>2065</v>
      </c>
      <c r="BG921" s="204">
        <v>0</v>
      </c>
      <c r="BH921" s="204">
        <v>0</v>
      </c>
      <c r="BI921" s="204">
        <v>0</v>
      </c>
      <c r="BJ921" s="204">
        <v>0</v>
      </c>
      <c r="BK921" s="204">
        <v>0</v>
      </c>
      <c r="BL921" s="204">
        <v>0</v>
      </c>
      <c r="BM921" s="214">
        <v>0</v>
      </c>
      <c r="BN921" s="204">
        <v>0</v>
      </c>
      <c r="BO921" s="204">
        <v>0</v>
      </c>
      <c r="BP921" s="204">
        <v>0</v>
      </c>
      <c r="BQ921" s="204">
        <v>0</v>
      </c>
      <c r="BR921" s="204">
        <v>0</v>
      </c>
      <c r="BS921" s="204">
        <v>0</v>
      </c>
      <c r="BT921" s="13">
        <v>0</v>
      </c>
      <c r="BU921" s="49">
        <v>0</v>
      </c>
      <c r="BV921" s="49"/>
      <c r="BW921" s="49"/>
    </row>
    <row r="922" spans="3:75" ht="19.5" customHeight="1">
      <c r="C922" s="174">
        <v>63022304</v>
      </c>
      <c r="D922" s="209" t="s">
        <v>1120</v>
      </c>
      <c r="E922" s="209"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09" t="s">
        <v>586</v>
      </c>
      <c r="BB922" s="209">
        <v>0</v>
      </c>
      <c r="BC922" s="204">
        <v>0</v>
      </c>
      <c r="BD922" s="204">
        <v>0</v>
      </c>
      <c r="BE922" s="213" t="str">
        <f t="shared" si="102"/>
        <v>蓄力1秒,立即对目标范围内的怪物造成900%攻击伤害+4500点固定伤害,中途可随时取消蓄力直接释放,但是技能伤害会相应降低</v>
      </c>
      <c r="BF922" s="213" t="s">
        <v>2066</v>
      </c>
      <c r="BG922" s="204">
        <v>0</v>
      </c>
      <c r="BH922" s="204">
        <v>0</v>
      </c>
      <c r="BI922" s="204">
        <v>0</v>
      </c>
      <c r="BJ922" s="204">
        <v>0</v>
      </c>
      <c r="BK922" s="204">
        <v>0</v>
      </c>
      <c r="BL922" s="204">
        <v>0</v>
      </c>
      <c r="BM922" s="214">
        <v>0</v>
      </c>
      <c r="BN922" s="204">
        <v>0</v>
      </c>
      <c r="BO922" s="204">
        <v>0</v>
      </c>
      <c r="BP922" s="204">
        <v>0</v>
      </c>
      <c r="BQ922" s="204">
        <v>0</v>
      </c>
      <c r="BR922" s="204">
        <v>0</v>
      </c>
      <c r="BS922" s="204">
        <v>0</v>
      </c>
      <c r="BT922" s="13">
        <v>0</v>
      </c>
      <c r="BU922" s="49">
        <v>0</v>
      </c>
      <c r="BV922" s="49"/>
      <c r="BW922" s="49"/>
    </row>
    <row r="923" spans="3:75" ht="19.5" customHeight="1">
      <c r="C923" s="174">
        <v>63022305</v>
      </c>
      <c r="D923" s="209" t="s">
        <v>1120</v>
      </c>
      <c r="E923" s="209"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09" t="s">
        <v>586</v>
      </c>
      <c r="BB923" s="209">
        <v>0</v>
      </c>
      <c r="BC923" s="204">
        <v>0</v>
      </c>
      <c r="BD923" s="204">
        <v>0</v>
      </c>
      <c r="BE923" s="213" t="str">
        <f t="shared" si="102"/>
        <v>蓄力1秒,立即对目标范围内的怪物造成975%攻击伤害+6500点固定伤害,中途可随时取消蓄力直接释放,但是技能伤害会相应降低</v>
      </c>
      <c r="BF923" s="213" t="s">
        <v>2067</v>
      </c>
      <c r="BG923" s="204">
        <v>0</v>
      </c>
      <c r="BH923" s="204">
        <v>0</v>
      </c>
      <c r="BI923" s="204">
        <v>0</v>
      </c>
      <c r="BJ923" s="204">
        <v>0</v>
      </c>
      <c r="BK923" s="204">
        <v>0</v>
      </c>
      <c r="BL923" s="204">
        <v>0</v>
      </c>
      <c r="BM923" s="214">
        <v>0</v>
      </c>
      <c r="BN923" s="204">
        <v>0</v>
      </c>
      <c r="BO923" s="204">
        <v>0</v>
      </c>
      <c r="BP923" s="204">
        <v>0</v>
      </c>
      <c r="BQ923" s="204">
        <v>0</v>
      </c>
      <c r="BR923" s="204">
        <v>0</v>
      </c>
      <c r="BS923" s="204">
        <v>0</v>
      </c>
      <c r="BT923" s="13">
        <v>0</v>
      </c>
      <c r="BU923" s="49">
        <v>0</v>
      </c>
      <c r="BV923" s="49"/>
      <c r="BW923" s="49"/>
    </row>
    <row r="924" spans="3:75" ht="19.5" customHeight="1">
      <c r="C924" s="174">
        <v>63022306</v>
      </c>
      <c r="D924" s="209" t="s">
        <v>1120</v>
      </c>
      <c r="E924" s="209"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09" t="s">
        <v>586</v>
      </c>
      <c r="BB924" s="209">
        <v>0</v>
      </c>
      <c r="BC924" s="204">
        <v>0</v>
      </c>
      <c r="BD924" s="204">
        <v>0</v>
      </c>
      <c r="BE924" s="213" t="str">
        <f t="shared" si="102"/>
        <v>蓄力1秒,立即对目标范围内的怪物造成1050%攻击伤害+8500点固定伤害,中途可随时取消蓄力直接释放,但是技能伤害会相应降低</v>
      </c>
      <c r="BF924" s="213" t="s">
        <v>2068</v>
      </c>
      <c r="BG924" s="204">
        <v>0</v>
      </c>
      <c r="BH924" s="204">
        <v>0</v>
      </c>
      <c r="BI924" s="204">
        <v>0</v>
      </c>
      <c r="BJ924" s="204">
        <v>0</v>
      </c>
      <c r="BK924" s="204">
        <v>0</v>
      </c>
      <c r="BL924" s="204">
        <v>0</v>
      </c>
      <c r="BM924" s="214">
        <v>0</v>
      </c>
      <c r="BN924" s="204">
        <v>0</v>
      </c>
      <c r="BO924" s="204">
        <v>0</v>
      </c>
      <c r="BP924" s="204">
        <v>0</v>
      </c>
      <c r="BQ924" s="204">
        <v>0</v>
      </c>
      <c r="BR924" s="204">
        <v>0</v>
      </c>
      <c r="BS924" s="204">
        <v>0</v>
      </c>
      <c r="BT924" s="13">
        <v>0</v>
      </c>
      <c r="BU924" s="49">
        <v>0</v>
      </c>
      <c r="BV924" s="49"/>
      <c r="BW924" s="49"/>
    </row>
    <row r="925" spans="3:75" ht="20.100000000000001" customHeight="1">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1"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1"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spans="3:75" ht="20.100000000000001" customHeight="1">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1"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1"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spans="3:75" ht="20.100000000000001" customHeight="1">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1" t="str">
        <f t="shared" si="104"/>
        <v>对目标区域释放箭域,在此范围内的目标每秒造成145%攻击伤害+960点固定伤害,在剑域内的目标受到物理伤害会额外提升20%,并使其移动速度降低50%</v>
      </c>
      <c r="BF927" s="211"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spans="3:75" ht="20.100000000000001" customHeight="1">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1" t="str">
        <f t="shared" si="104"/>
        <v>对目标区域释放箭域,在此范围内的目标每秒造成160%攻击伤害+1380点固定伤害,在剑域内的目标受到物理伤害会额外提升20%,并使其移动速度降低50%</v>
      </c>
      <c r="BF928" s="211"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1" t="str">
        <f t="shared" si="104"/>
        <v>对目标区域释放箭域,在此范围内的目标每秒造成175%攻击伤害+1860点固定伤害,在剑域内的目标受到物理伤害会额外提升20%,并使其移动速度降低50%</v>
      </c>
      <c r="BF929" s="211"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1" t="str">
        <f t="shared" si="104"/>
        <v>对目标区域释放箭域,在此范围内的目标每秒造成190%攻击伤害+2460点固定伤害,在剑域内的目标受到物理伤害会额外提升20%,并使其移动速度降低50%</v>
      </c>
      <c r="BF930" s="211"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1" t="s">
        <v>2080</v>
      </c>
      <c r="AV931" s="203"/>
      <c r="AW931" s="203" t="s">
        <v>1526</v>
      </c>
      <c r="AX931" s="177" t="s">
        <v>2081</v>
      </c>
      <c r="AY931" s="177" t="s">
        <v>198</v>
      </c>
      <c r="AZ931" s="177">
        <v>21203010</v>
      </c>
      <c r="BA931" s="202" t="s">
        <v>200</v>
      </c>
      <c r="BB931" s="177">
        <v>0</v>
      </c>
      <c r="BC931" s="177">
        <v>0</v>
      </c>
      <c r="BD931" s="177">
        <v>0</v>
      </c>
      <c r="BE931" s="218" t="s">
        <v>2082</v>
      </c>
      <c r="BF931" s="218"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1" t="s">
        <v>2080</v>
      </c>
      <c r="AV932" s="203"/>
      <c r="AW932" s="203" t="s">
        <v>1526</v>
      </c>
      <c r="AX932" s="177" t="s">
        <v>2081</v>
      </c>
      <c r="AY932" s="177" t="s">
        <v>198</v>
      </c>
      <c r="AZ932" s="177">
        <v>21203010</v>
      </c>
      <c r="BA932" s="202" t="s">
        <v>200</v>
      </c>
      <c r="BB932" s="177">
        <v>0</v>
      </c>
      <c r="BC932" s="177">
        <v>0</v>
      </c>
      <c r="BD932" s="177">
        <v>0</v>
      </c>
      <c r="BE932" s="218" t="s">
        <v>2082</v>
      </c>
      <c r="BF932" s="218"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1" t="s">
        <v>2085</v>
      </c>
      <c r="AV933" s="203"/>
      <c r="AW933" s="203" t="s">
        <v>1526</v>
      </c>
      <c r="AX933" s="177" t="s">
        <v>2081</v>
      </c>
      <c r="AY933" s="177" t="s">
        <v>198</v>
      </c>
      <c r="AZ933" s="177">
        <v>21203010</v>
      </c>
      <c r="BA933" s="202" t="s">
        <v>200</v>
      </c>
      <c r="BB933" s="177">
        <v>0</v>
      </c>
      <c r="BC933" s="177">
        <v>0</v>
      </c>
      <c r="BD933" s="177">
        <v>0</v>
      </c>
      <c r="BE933" s="218" t="s">
        <v>2086</v>
      </c>
      <c r="BF933" s="218"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1" t="s">
        <v>2088</v>
      </c>
      <c r="AU934" s="361" t="s">
        <v>2089</v>
      </c>
      <c r="AV934" s="203"/>
      <c r="AW934" s="203" t="s">
        <v>1526</v>
      </c>
      <c r="AX934" s="177" t="s">
        <v>2081</v>
      </c>
      <c r="AY934" s="177" t="s">
        <v>198</v>
      </c>
      <c r="AZ934" s="177">
        <v>21203010</v>
      </c>
      <c r="BA934" s="202" t="s">
        <v>200</v>
      </c>
      <c r="BB934" s="177">
        <v>0</v>
      </c>
      <c r="BC934" s="177">
        <v>0</v>
      </c>
      <c r="BD934" s="177">
        <v>0</v>
      </c>
      <c r="BE934" s="218" t="s">
        <v>2090</v>
      </c>
      <c r="BF934" s="218"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1" t="s">
        <v>2093</v>
      </c>
      <c r="AV935" s="203"/>
      <c r="AW935" s="203" t="s">
        <v>1526</v>
      </c>
      <c r="AX935" s="177" t="s">
        <v>2081</v>
      </c>
      <c r="AY935" s="177" t="s">
        <v>198</v>
      </c>
      <c r="AZ935" s="177">
        <v>21203010</v>
      </c>
      <c r="BA935" s="202" t="s">
        <v>200</v>
      </c>
      <c r="BB935" s="177">
        <v>0</v>
      </c>
      <c r="BC935" s="177">
        <v>0</v>
      </c>
      <c r="BD935" s="177">
        <v>0</v>
      </c>
      <c r="BE935" s="218" t="s">
        <v>2094</v>
      </c>
      <c r="BF935" s="218"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1" t="s">
        <v>2097</v>
      </c>
      <c r="AV936" s="203"/>
      <c r="AW936" s="203" t="s">
        <v>1526</v>
      </c>
      <c r="AX936" s="177" t="s">
        <v>2081</v>
      </c>
      <c r="AY936" s="177" t="s">
        <v>198</v>
      </c>
      <c r="AZ936" s="177">
        <v>21203010</v>
      </c>
      <c r="BA936" s="202" t="s">
        <v>200</v>
      </c>
      <c r="BB936" s="177">
        <v>0</v>
      </c>
      <c r="BC936" s="177">
        <v>0</v>
      </c>
      <c r="BD936" s="177">
        <v>0</v>
      </c>
      <c r="BE936" s="218" t="s">
        <v>2098</v>
      </c>
      <c r="BF936" s="218"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1"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1"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1" t="str">
        <f t="shared" si="107"/>
        <v>立即对目标区域的怪物造成200%攻击伤害+900点固定伤害,并让其附带一个狩猎印记,使其受到伤害额外提升20%,持续15秒</v>
      </c>
      <c r="BF938" s="211"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1" t="str">
        <f t="shared" si="107"/>
        <v>立即对目标区域的怪物造成225%攻击伤害+1800点固定伤害,并让其附带一个狩猎印记,使其受到伤害额外提升20%,持续15秒</v>
      </c>
      <c r="BF939" s="211"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1"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1"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1"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1"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1"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1"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19.5" customHeight="1">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spans="3:75" ht="19.5" customHeight="1">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spans="3:75" ht="19.5" customHeight="1">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spans="3:75" ht="19.5" customHeight="1">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20.100000000000001" customHeight="1">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6" t="s">
        <v>2117</v>
      </c>
      <c r="BF949" s="206"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spans="3:75" ht="20.100000000000001" customHeight="1">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6" t="s">
        <v>2117</v>
      </c>
      <c r="BF950" s="206"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spans="3:75" ht="20.100000000000001" customHeight="1">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6" t="s">
        <v>2121</v>
      </c>
      <c r="BF951" s="206"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spans="3:75" ht="19.5" customHeight="1">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6" t="s">
        <v>2124</v>
      </c>
      <c r="BF952" s="206"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19.5" customHeight="1">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6" t="s">
        <v>2127</v>
      </c>
      <c r="BF953" s="206"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19.5" customHeight="1">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6" t="s">
        <v>2130</v>
      </c>
      <c r="BF954" s="206"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20.100000000000001" customHeight="1">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spans="3:75" ht="20.100000000000001" customHeight="1">
      <c r="C956" s="215">
        <v>63023412</v>
      </c>
      <c r="D956" s="39" t="s">
        <v>2132</v>
      </c>
      <c r="E956" s="39" t="s">
        <v>2133</v>
      </c>
      <c r="F956" s="31">
        <v>1</v>
      </c>
      <c r="G956" s="215">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9" t="s">
        <v>2135</v>
      </c>
      <c r="BF956" s="219"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spans="3:75" ht="20.25" customHeight="1">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spans="3:75" ht="20.100000000000001" customHeight="1">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48"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spans="3:75" ht="20.100000000000001" customHeight="1">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spans="3:75" ht="20.100000000000001" customHeight="1">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spans="1:75" ht="20.100000000000001" customHeight="1">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pans="1:75" s="1" customFormat="1" ht="19.5" customHeight="1">
      <c r="A962" s="216"/>
      <c r="B962" s="216"/>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2"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pans="1:75" s="1" customFormat="1" ht="19.5" customHeight="1">
      <c r="A963" s="216"/>
      <c r="B963" s="216"/>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2"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pans="1:75" s="1" customFormat="1" ht="19.5" customHeight="1">
      <c r="A964" s="216"/>
      <c r="B964" s="216"/>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2.2000000000000002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2"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pans="1:75" s="1" customFormat="1" ht="19.5" customHeight="1">
      <c r="A965" s="216"/>
      <c r="B965" s="216"/>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2"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6"/>
      <c r="B966" s="216"/>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2"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6"/>
      <c r="B967" s="216"/>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2"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2" customFormat="1" ht="19.5" customHeight="1">
      <c r="A968" s="217"/>
      <c r="B968" s="217"/>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6"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2" t="s">
        <v>2164</v>
      </c>
      <c r="BV968" s="49"/>
      <c r="BW968" s="49"/>
    </row>
    <row r="969" spans="1:75" s="2" customFormat="1" ht="19.5" customHeight="1">
      <c r="A969" s="217"/>
      <c r="B969" s="217"/>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6"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2" t="s">
        <v>2164</v>
      </c>
      <c r="BV969" s="49"/>
      <c r="BW969" s="49"/>
    </row>
    <row r="970" spans="1:75" s="2" customFormat="1" ht="19.5" customHeight="1">
      <c r="A970" s="217"/>
      <c r="B970" s="217"/>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6"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2" t="s">
        <v>2164</v>
      </c>
      <c r="BV970" s="49"/>
      <c r="BW970" s="49"/>
    </row>
    <row r="971" spans="1:75" s="2" customFormat="1" ht="19.5" customHeight="1">
      <c r="A971" s="217"/>
      <c r="B971" s="217"/>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6"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2" t="s">
        <v>2164</v>
      </c>
      <c r="BV971" s="49"/>
      <c r="BW971" s="49"/>
    </row>
    <row r="972" spans="1:75" s="2" customFormat="1" ht="19.5" customHeight="1">
      <c r="A972" s="217"/>
      <c r="B972" s="217"/>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6"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2" t="s">
        <v>2164</v>
      </c>
      <c r="BV972" s="49"/>
      <c r="BW972" s="49"/>
    </row>
    <row r="973" spans="1:75" s="2" customFormat="1" ht="19.5" customHeight="1">
      <c r="A973" s="217"/>
      <c r="B973" s="217"/>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6"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2" t="s">
        <v>2164</v>
      </c>
      <c r="BV973" s="49"/>
      <c r="BW973" s="49"/>
    </row>
    <row r="974" spans="1:75" s="1" customFormat="1" ht="19.5" customHeight="1">
      <c r="A974" s="216"/>
      <c r="B974" s="216"/>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2"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pans="1:75" s="1" customFormat="1" ht="19.5" customHeight="1">
      <c r="A975" s="216"/>
      <c r="B975" s="216"/>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2"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pans="1:75" s="1" customFormat="1" ht="19.5" customHeight="1">
      <c r="A976" s="216"/>
      <c r="B976" s="216"/>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2"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pans="1:75" s="1" customFormat="1" ht="19.5" customHeight="1">
      <c r="A977" s="216"/>
      <c r="B977" s="216"/>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2"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6"/>
      <c r="B978" s="216"/>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2"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6"/>
      <c r="B979" s="216"/>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2"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3" customFormat="1" ht="20.100000000000001" customHeight="1">
      <c r="A980" s="220"/>
      <c r="B980" s="220"/>
      <c r="C980" s="221">
        <v>64011401</v>
      </c>
      <c r="D980" s="222" t="s">
        <v>2186</v>
      </c>
      <c r="E980" s="223" t="s">
        <v>2187</v>
      </c>
      <c r="F980" s="224">
        <v>1</v>
      </c>
      <c r="G980" s="225">
        <v>63021101</v>
      </c>
      <c r="H980" s="221">
        <v>0</v>
      </c>
      <c r="I980" s="227">
        <v>0</v>
      </c>
      <c r="J980" s="221">
        <v>1</v>
      </c>
      <c r="K980" s="225">
        <v>0</v>
      </c>
      <c r="L980" s="221">
        <v>0</v>
      </c>
      <c r="M980" s="225">
        <v>0</v>
      </c>
      <c r="N980" s="225">
        <v>0</v>
      </c>
      <c r="O980" s="225">
        <v>2</v>
      </c>
      <c r="P980" s="225">
        <v>1</v>
      </c>
      <c r="Q980" s="225">
        <v>0.2</v>
      </c>
      <c r="R980" s="225">
        <v>0</v>
      </c>
      <c r="S980" s="228">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8">
        <v>0</v>
      </c>
      <c r="AJ980" s="228">
        <v>1</v>
      </c>
      <c r="AK980" s="228">
        <v>0</v>
      </c>
      <c r="AL980" s="228">
        <v>2</v>
      </c>
      <c r="AM980" s="225">
        <v>0</v>
      </c>
      <c r="AN980" s="225">
        <v>0</v>
      </c>
      <c r="AO980" s="225">
        <v>0</v>
      </c>
      <c r="AP980" s="225">
        <v>0</v>
      </c>
      <c r="AQ980" s="225">
        <v>1000</v>
      </c>
      <c r="AR980" s="225">
        <v>0.2</v>
      </c>
      <c r="AS980" s="225">
        <v>0</v>
      </c>
      <c r="AT980" s="228">
        <v>0</v>
      </c>
      <c r="AU980" s="363" t="s">
        <v>2162</v>
      </c>
      <c r="AV980" s="230"/>
      <c r="AW980" s="231" t="s">
        <v>198</v>
      </c>
      <c r="AX980" s="225" t="s">
        <v>545</v>
      </c>
      <c r="AY980" s="221">
        <v>10000001</v>
      </c>
      <c r="AZ980" s="66">
        <v>77005002</v>
      </c>
      <c r="BA980" s="222" t="s">
        <v>200</v>
      </c>
      <c r="BB980" s="225">
        <v>0</v>
      </c>
      <c r="BC980" s="227">
        <v>0</v>
      </c>
      <c r="BD980" s="227">
        <v>0</v>
      </c>
      <c r="BE980" s="233" t="s">
        <v>2188</v>
      </c>
      <c r="BF980" s="233" t="s">
        <v>2189</v>
      </c>
      <c r="BG980" s="225">
        <v>0</v>
      </c>
      <c r="BH980" s="225">
        <v>0</v>
      </c>
      <c r="BI980" s="225">
        <v>0</v>
      </c>
      <c r="BJ980" s="225">
        <v>0</v>
      </c>
      <c r="BK980" s="225">
        <v>0</v>
      </c>
      <c r="BL980" s="225">
        <v>0</v>
      </c>
      <c r="BM980" s="224">
        <v>0</v>
      </c>
      <c r="BN980" s="228">
        <v>0</v>
      </c>
      <c r="BO980" s="228">
        <v>0</v>
      </c>
      <c r="BP980" s="228">
        <v>0</v>
      </c>
      <c r="BQ980" s="228">
        <v>0</v>
      </c>
      <c r="BR980" s="228">
        <v>0</v>
      </c>
      <c r="BS980" s="228">
        <v>0</v>
      </c>
      <c r="BT980" s="228">
        <v>0</v>
      </c>
      <c r="BU980" s="228">
        <v>0</v>
      </c>
      <c r="BV980" s="49"/>
      <c r="BW980" s="49"/>
    </row>
    <row r="981" spans="1:75" s="3" customFormat="1" ht="20.100000000000001" customHeight="1">
      <c r="C981" s="221">
        <v>64011501</v>
      </c>
      <c r="D981" s="222" t="s">
        <v>2190</v>
      </c>
      <c r="E981" s="223" t="s">
        <v>2191</v>
      </c>
      <c r="F981" s="224">
        <v>1</v>
      </c>
      <c r="G981" s="224">
        <v>0</v>
      </c>
      <c r="H981" s="225">
        <v>0</v>
      </c>
      <c r="I981" s="227">
        <v>0</v>
      </c>
      <c r="J981" s="221">
        <v>1</v>
      </c>
      <c r="K981" s="221">
        <v>0</v>
      </c>
      <c r="L981" s="221">
        <v>0</v>
      </c>
      <c r="M981" s="225">
        <v>0</v>
      </c>
      <c r="N981" s="225">
        <v>0</v>
      </c>
      <c r="O981" s="225">
        <v>2</v>
      </c>
      <c r="P981" s="225">
        <v>16</v>
      </c>
      <c r="Q981" s="225">
        <v>8</v>
      </c>
      <c r="R981" s="225">
        <v>0</v>
      </c>
      <c r="S981" s="228">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8">
        <v>0</v>
      </c>
      <c r="AJ981" s="228">
        <v>2</v>
      </c>
      <c r="AK981" s="228">
        <v>0</v>
      </c>
      <c r="AL981" s="228">
        <v>1.5</v>
      </c>
      <c r="AM981" s="225">
        <v>0</v>
      </c>
      <c r="AN981" s="225">
        <v>0</v>
      </c>
      <c r="AO981" s="225">
        <v>0</v>
      </c>
      <c r="AP981" s="225">
        <v>0.5</v>
      </c>
      <c r="AQ981" s="225">
        <v>600</v>
      </c>
      <c r="AR981" s="225">
        <v>0</v>
      </c>
      <c r="AS981" s="225">
        <v>12</v>
      </c>
      <c r="AT981" s="228">
        <v>0</v>
      </c>
      <c r="AU981" s="230">
        <v>0</v>
      </c>
      <c r="AV981" s="230"/>
      <c r="AW981" s="222" t="s">
        <v>199</v>
      </c>
      <c r="AX981" s="225" t="s">
        <v>215</v>
      </c>
      <c r="AY981" s="221">
        <v>10000011</v>
      </c>
      <c r="AZ981" s="66">
        <v>0</v>
      </c>
      <c r="BA981" s="222" t="s">
        <v>216</v>
      </c>
      <c r="BB981" s="225">
        <v>0</v>
      </c>
      <c r="BC981" s="227">
        <v>0</v>
      </c>
      <c r="BD981" s="227">
        <v>0</v>
      </c>
      <c r="BE981" s="233" t="s">
        <v>2192</v>
      </c>
      <c r="BF981" s="233" t="s">
        <v>2193</v>
      </c>
      <c r="BG981" s="225">
        <v>0</v>
      </c>
      <c r="BH981" s="225">
        <v>0</v>
      </c>
      <c r="BI981" s="225">
        <v>0</v>
      </c>
      <c r="BJ981" s="225">
        <v>0</v>
      </c>
      <c r="BK981" s="225">
        <v>0</v>
      </c>
      <c r="BL981" s="225">
        <v>0</v>
      </c>
      <c r="BM981" s="224">
        <v>0</v>
      </c>
      <c r="BN981" s="228">
        <v>0</v>
      </c>
      <c r="BO981" s="228">
        <v>0</v>
      </c>
      <c r="BP981" s="228">
        <v>0</v>
      </c>
      <c r="BQ981" s="228">
        <v>0</v>
      </c>
      <c r="BR981" s="228">
        <v>0</v>
      </c>
      <c r="BS981" s="228">
        <v>1</v>
      </c>
      <c r="BT981" s="228">
        <v>64011502</v>
      </c>
      <c r="BU981" s="228">
        <v>0</v>
      </c>
      <c r="BV981" s="49"/>
      <c r="BW981" s="49"/>
    </row>
    <row r="982" spans="1:75" s="3" customFormat="1" ht="20.100000000000001" customHeight="1">
      <c r="A982" s="220"/>
      <c r="B982" s="220"/>
      <c r="C982" s="221">
        <v>64011502</v>
      </c>
      <c r="D982" s="222" t="s">
        <v>2194</v>
      </c>
      <c r="E982" s="223" t="s">
        <v>2195</v>
      </c>
      <c r="F982" s="224">
        <v>1</v>
      </c>
      <c r="G982" s="225">
        <v>63021101</v>
      </c>
      <c r="H982" s="221">
        <v>0</v>
      </c>
      <c r="I982" s="227">
        <v>0</v>
      </c>
      <c r="J982" s="221">
        <v>1</v>
      </c>
      <c r="K982" s="225">
        <v>0</v>
      </c>
      <c r="L982" s="221">
        <v>0</v>
      </c>
      <c r="M982" s="225">
        <v>0</v>
      </c>
      <c r="N982" s="225">
        <v>0</v>
      </c>
      <c r="O982" s="225">
        <v>2</v>
      </c>
      <c r="P982" s="225">
        <v>16</v>
      </c>
      <c r="Q982" s="225">
        <v>1</v>
      </c>
      <c r="R982" s="225">
        <v>0</v>
      </c>
      <c r="S982" s="228">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8">
        <v>0</v>
      </c>
      <c r="AJ982" s="228">
        <v>1</v>
      </c>
      <c r="AK982" s="228">
        <v>0</v>
      </c>
      <c r="AL982" s="228">
        <v>2</v>
      </c>
      <c r="AM982" s="225">
        <v>0</v>
      </c>
      <c r="AN982" s="225">
        <v>0</v>
      </c>
      <c r="AO982" s="225">
        <v>0</v>
      </c>
      <c r="AP982" s="225">
        <v>0</v>
      </c>
      <c r="AQ982" s="225">
        <v>400</v>
      </c>
      <c r="AR982" s="225">
        <v>0.2</v>
      </c>
      <c r="AS982" s="225">
        <v>0</v>
      </c>
      <c r="AT982" s="228">
        <v>0</v>
      </c>
      <c r="AU982" s="363" t="s">
        <v>2162</v>
      </c>
      <c r="AV982" s="230"/>
      <c r="AW982" s="231" t="s">
        <v>198</v>
      </c>
      <c r="AX982" s="225" t="s">
        <v>545</v>
      </c>
      <c r="AY982" s="221">
        <v>10000001</v>
      </c>
      <c r="AZ982" s="66">
        <v>77005002</v>
      </c>
      <c r="BA982" s="222" t="s">
        <v>200</v>
      </c>
      <c r="BB982" s="225">
        <v>0</v>
      </c>
      <c r="BC982" s="227">
        <v>0</v>
      </c>
      <c r="BD982" s="227">
        <v>0</v>
      </c>
      <c r="BE982" s="233" t="s">
        <v>2188</v>
      </c>
      <c r="BF982" s="233" t="s">
        <v>2189</v>
      </c>
      <c r="BG982" s="225">
        <v>0</v>
      </c>
      <c r="BH982" s="225">
        <v>0</v>
      </c>
      <c r="BI982" s="225">
        <v>0</v>
      </c>
      <c r="BJ982" s="225">
        <v>0</v>
      </c>
      <c r="BK982" s="225">
        <v>0</v>
      </c>
      <c r="BL982" s="225">
        <v>0</v>
      </c>
      <c r="BM982" s="224">
        <v>0</v>
      </c>
      <c r="BN982" s="228">
        <v>0</v>
      </c>
      <c r="BO982" s="228">
        <v>0</v>
      </c>
      <c r="BP982" s="228">
        <v>0</v>
      </c>
      <c r="BQ982" s="228">
        <v>0</v>
      </c>
      <c r="BR982" s="228">
        <v>0</v>
      </c>
      <c r="BS982" s="228">
        <v>0</v>
      </c>
      <c r="BT982" s="228">
        <v>64011503</v>
      </c>
      <c r="BU982" s="228">
        <v>0</v>
      </c>
      <c r="BV982" s="49"/>
      <c r="BW982" s="49"/>
    </row>
    <row r="983" spans="1:75" s="3" customFormat="1" ht="20.100000000000001" customHeight="1">
      <c r="C983" s="221">
        <v>64011503</v>
      </c>
      <c r="D983" s="222" t="s">
        <v>760</v>
      </c>
      <c r="E983" s="223" t="s">
        <v>761</v>
      </c>
      <c r="F983" s="224">
        <v>1</v>
      </c>
      <c r="G983" s="224">
        <v>0</v>
      </c>
      <c r="H983" s="225">
        <v>0</v>
      </c>
      <c r="I983" s="227">
        <v>0</v>
      </c>
      <c r="J983" s="221">
        <v>1</v>
      </c>
      <c r="K983" s="221">
        <v>0</v>
      </c>
      <c r="L983" s="221">
        <v>0</v>
      </c>
      <c r="M983" s="225">
        <v>0</v>
      </c>
      <c r="N983" s="225">
        <v>0</v>
      </c>
      <c r="O983" s="225">
        <v>2</v>
      </c>
      <c r="P983" s="225">
        <v>16</v>
      </c>
      <c r="Q983" s="225">
        <v>1</v>
      </c>
      <c r="R983" s="225">
        <v>0</v>
      </c>
      <c r="S983" s="228">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8">
        <v>0</v>
      </c>
      <c r="AJ983" s="228">
        <v>2</v>
      </c>
      <c r="AK983" s="228">
        <v>0</v>
      </c>
      <c r="AL983" s="228">
        <v>1.5</v>
      </c>
      <c r="AM983" s="225">
        <v>0</v>
      </c>
      <c r="AN983" s="225">
        <v>0</v>
      </c>
      <c r="AO983" s="225">
        <v>0</v>
      </c>
      <c r="AP983" s="225">
        <v>0.5</v>
      </c>
      <c r="AQ983" s="225">
        <v>600</v>
      </c>
      <c r="AR983" s="225">
        <v>0</v>
      </c>
      <c r="AS983" s="225">
        <v>12</v>
      </c>
      <c r="AT983" s="228">
        <v>0</v>
      </c>
      <c r="AU983" s="230">
        <v>0</v>
      </c>
      <c r="AV983" s="230"/>
      <c r="AW983" s="222" t="s">
        <v>199</v>
      </c>
      <c r="AX983" s="225" t="s">
        <v>215</v>
      </c>
      <c r="AY983" s="221">
        <v>10000011</v>
      </c>
      <c r="AZ983" s="66">
        <v>0</v>
      </c>
      <c r="BA983" s="222" t="s">
        <v>216</v>
      </c>
      <c r="BB983" s="225">
        <v>0</v>
      </c>
      <c r="BC983" s="227">
        <v>0</v>
      </c>
      <c r="BD983" s="227">
        <v>0</v>
      </c>
      <c r="BE983" s="233" t="s">
        <v>2192</v>
      </c>
      <c r="BF983" s="233" t="s">
        <v>2193</v>
      </c>
      <c r="BG983" s="225">
        <v>0</v>
      </c>
      <c r="BH983" s="225">
        <v>0</v>
      </c>
      <c r="BI983" s="225">
        <v>0</v>
      </c>
      <c r="BJ983" s="225">
        <v>0</v>
      </c>
      <c r="BK983" s="225">
        <v>0</v>
      </c>
      <c r="BL983" s="225">
        <v>0</v>
      </c>
      <c r="BM983" s="224">
        <v>0</v>
      </c>
      <c r="BN983" s="228">
        <v>0</v>
      </c>
      <c r="BO983" s="228">
        <v>0</v>
      </c>
      <c r="BP983" s="228">
        <v>0</v>
      </c>
      <c r="BQ983" s="228">
        <v>0</v>
      </c>
      <c r="BR983" s="228">
        <v>0</v>
      </c>
      <c r="BS983" s="228">
        <v>1</v>
      </c>
      <c r="BT983" s="228">
        <v>64011504</v>
      </c>
      <c r="BU983" s="228">
        <v>0</v>
      </c>
      <c r="BV983" s="49"/>
      <c r="BW983" s="49"/>
    </row>
    <row r="984" spans="1:75" s="3" customFormat="1" ht="20.100000000000001" customHeight="1">
      <c r="A984" s="220"/>
      <c r="B984" s="220"/>
      <c r="C984" s="221">
        <v>64011504</v>
      </c>
      <c r="D984" s="222" t="s">
        <v>2194</v>
      </c>
      <c r="E984" s="223" t="s">
        <v>2195</v>
      </c>
      <c r="F984" s="224">
        <v>1</v>
      </c>
      <c r="G984" s="225">
        <v>63021101</v>
      </c>
      <c r="H984" s="221">
        <v>0</v>
      </c>
      <c r="I984" s="227">
        <v>0</v>
      </c>
      <c r="J984" s="221">
        <v>1</v>
      </c>
      <c r="K984" s="225">
        <v>0</v>
      </c>
      <c r="L984" s="221">
        <v>0</v>
      </c>
      <c r="M984" s="225">
        <v>0</v>
      </c>
      <c r="N984" s="225">
        <v>0</v>
      </c>
      <c r="O984" s="225">
        <v>2</v>
      </c>
      <c r="P984" s="225">
        <v>16</v>
      </c>
      <c r="Q984" s="225">
        <v>4</v>
      </c>
      <c r="R984" s="225">
        <v>0</v>
      </c>
      <c r="S984" s="228">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8">
        <v>0</v>
      </c>
      <c r="AJ984" s="228">
        <v>1</v>
      </c>
      <c r="AK984" s="228">
        <v>0</v>
      </c>
      <c r="AL984" s="228">
        <v>2</v>
      </c>
      <c r="AM984" s="225">
        <v>0</v>
      </c>
      <c r="AN984" s="225">
        <v>0</v>
      </c>
      <c r="AO984" s="225">
        <v>0</v>
      </c>
      <c r="AP984" s="225">
        <v>0</v>
      </c>
      <c r="AQ984" s="225">
        <v>400</v>
      </c>
      <c r="AR984" s="225">
        <v>0.2</v>
      </c>
      <c r="AS984" s="225">
        <v>0</v>
      </c>
      <c r="AT984" s="228">
        <v>0</v>
      </c>
      <c r="AU984" s="363" t="s">
        <v>2162</v>
      </c>
      <c r="AV984" s="230"/>
      <c r="AW984" s="231" t="s">
        <v>198</v>
      </c>
      <c r="AX984" s="225" t="s">
        <v>545</v>
      </c>
      <c r="AY984" s="221">
        <v>10000001</v>
      </c>
      <c r="AZ984" s="66">
        <v>77005002</v>
      </c>
      <c r="BA984" s="222" t="s">
        <v>200</v>
      </c>
      <c r="BB984" s="225">
        <v>0</v>
      </c>
      <c r="BC984" s="227">
        <v>0</v>
      </c>
      <c r="BD984" s="227">
        <v>0</v>
      </c>
      <c r="BE984" s="233" t="s">
        <v>2188</v>
      </c>
      <c r="BF984" s="233" t="s">
        <v>2189</v>
      </c>
      <c r="BG984" s="225">
        <v>0</v>
      </c>
      <c r="BH984" s="225">
        <v>0</v>
      </c>
      <c r="BI984" s="225">
        <v>0</v>
      </c>
      <c r="BJ984" s="225">
        <v>0</v>
      </c>
      <c r="BK984" s="225">
        <v>0</v>
      </c>
      <c r="BL984" s="225">
        <v>0</v>
      </c>
      <c r="BM984" s="224">
        <v>0</v>
      </c>
      <c r="BN984" s="228">
        <v>0</v>
      </c>
      <c r="BO984" s="228">
        <v>0</v>
      </c>
      <c r="BP984" s="228">
        <v>0</v>
      </c>
      <c r="BQ984" s="228">
        <v>0</v>
      </c>
      <c r="BR984" s="228">
        <v>0</v>
      </c>
      <c r="BS984" s="228">
        <v>0</v>
      </c>
      <c r="BT984" s="228">
        <v>64011505</v>
      </c>
      <c r="BU984" s="228">
        <v>0</v>
      </c>
      <c r="BV984" s="49"/>
      <c r="BW984" s="49"/>
    </row>
    <row r="985" spans="1:75" s="3" customFormat="1" ht="20.100000000000001" customHeight="1">
      <c r="C985" s="221">
        <v>64011505</v>
      </c>
      <c r="D985" s="222" t="s">
        <v>760</v>
      </c>
      <c r="E985" s="223" t="s">
        <v>761</v>
      </c>
      <c r="F985" s="224">
        <v>1</v>
      </c>
      <c r="G985" s="224">
        <v>0</v>
      </c>
      <c r="H985" s="225">
        <v>0</v>
      </c>
      <c r="I985" s="227">
        <v>0</v>
      </c>
      <c r="J985" s="221">
        <v>1</v>
      </c>
      <c r="K985" s="221">
        <v>0</v>
      </c>
      <c r="L985" s="221">
        <v>0</v>
      </c>
      <c r="M985" s="225">
        <v>0</v>
      </c>
      <c r="N985" s="225">
        <v>0</v>
      </c>
      <c r="O985" s="225">
        <v>2</v>
      </c>
      <c r="P985" s="225">
        <v>16</v>
      </c>
      <c r="Q985" s="225">
        <v>1</v>
      </c>
      <c r="R985" s="225">
        <v>0</v>
      </c>
      <c r="S985" s="228">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8">
        <v>0</v>
      </c>
      <c r="AJ985" s="228">
        <v>2</v>
      </c>
      <c r="AK985" s="228">
        <v>0</v>
      </c>
      <c r="AL985" s="228">
        <v>1.5</v>
      </c>
      <c r="AM985" s="225">
        <v>0</v>
      </c>
      <c r="AN985" s="225">
        <v>0</v>
      </c>
      <c r="AO985" s="225">
        <v>0</v>
      </c>
      <c r="AP985" s="225">
        <v>0.5</v>
      </c>
      <c r="AQ985" s="225">
        <v>600</v>
      </c>
      <c r="AR985" s="225">
        <v>0</v>
      </c>
      <c r="AS985" s="225">
        <v>12</v>
      </c>
      <c r="AT985" s="228">
        <v>0</v>
      </c>
      <c r="AU985" s="230">
        <v>0</v>
      </c>
      <c r="AV985" s="230"/>
      <c r="AW985" s="222" t="s">
        <v>199</v>
      </c>
      <c r="AX985" s="225" t="s">
        <v>215</v>
      </c>
      <c r="AY985" s="221">
        <v>10000011</v>
      </c>
      <c r="AZ985" s="66">
        <v>0</v>
      </c>
      <c r="BA985" s="222" t="s">
        <v>216</v>
      </c>
      <c r="BB985" s="225">
        <v>0</v>
      </c>
      <c r="BC985" s="227">
        <v>0</v>
      </c>
      <c r="BD985" s="227">
        <v>0</v>
      </c>
      <c r="BE985" s="233" t="s">
        <v>2192</v>
      </c>
      <c r="BF985" s="233" t="s">
        <v>2193</v>
      </c>
      <c r="BG985" s="225">
        <v>0</v>
      </c>
      <c r="BH985" s="225">
        <v>0</v>
      </c>
      <c r="BI985" s="225">
        <v>0</v>
      </c>
      <c r="BJ985" s="225">
        <v>0</v>
      </c>
      <c r="BK985" s="225">
        <v>0</v>
      </c>
      <c r="BL985" s="225">
        <v>0</v>
      </c>
      <c r="BM985" s="224">
        <v>0</v>
      </c>
      <c r="BN985" s="228">
        <v>0</v>
      </c>
      <c r="BO985" s="228">
        <v>0</v>
      </c>
      <c r="BP985" s="228">
        <v>0</v>
      </c>
      <c r="BQ985" s="228">
        <v>0</v>
      </c>
      <c r="BR985" s="228">
        <v>0</v>
      </c>
      <c r="BS985" s="228">
        <v>1</v>
      </c>
      <c r="BT985" s="228">
        <v>64011506</v>
      </c>
      <c r="BU985" s="228">
        <v>0</v>
      </c>
      <c r="BV985" s="49"/>
      <c r="BW985" s="49"/>
    </row>
    <row r="986" spans="1:75" s="3" customFormat="1" ht="20.100000000000001" customHeight="1">
      <c r="A986" s="220"/>
      <c r="B986" s="220"/>
      <c r="C986" s="221">
        <v>64011506</v>
      </c>
      <c r="D986" s="222" t="s">
        <v>2194</v>
      </c>
      <c r="E986" s="223" t="s">
        <v>2195</v>
      </c>
      <c r="F986" s="224">
        <v>1</v>
      </c>
      <c r="G986" s="225">
        <v>63021101</v>
      </c>
      <c r="H986" s="221">
        <v>0</v>
      </c>
      <c r="I986" s="227">
        <v>0</v>
      </c>
      <c r="J986" s="221">
        <v>1</v>
      </c>
      <c r="K986" s="225">
        <v>0</v>
      </c>
      <c r="L986" s="221">
        <v>0</v>
      </c>
      <c r="M986" s="225">
        <v>0</v>
      </c>
      <c r="N986" s="225">
        <v>0</v>
      </c>
      <c r="O986" s="225">
        <v>2</v>
      </c>
      <c r="P986" s="225">
        <v>16</v>
      </c>
      <c r="Q986" s="225">
        <v>4</v>
      </c>
      <c r="R986" s="225">
        <v>0</v>
      </c>
      <c r="S986" s="228">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8">
        <v>0</v>
      </c>
      <c r="AJ986" s="228">
        <v>1</v>
      </c>
      <c r="AK986" s="228">
        <v>0</v>
      </c>
      <c r="AL986" s="228">
        <v>2</v>
      </c>
      <c r="AM986" s="225">
        <v>0</v>
      </c>
      <c r="AN986" s="225">
        <v>0</v>
      </c>
      <c r="AO986" s="225">
        <v>0</v>
      </c>
      <c r="AP986" s="225">
        <v>0</v>
      </c>
      <c r="AQ986" s="225">
        <v>400</v>
      </c>
      <c r="AR986" s="225">
        <v>0.2</v>
      </c>
      <c r="AS986" s="225">
        <v>0</v>
      </c>
      <c r="AT986" s="228">
        <v>0</v>
      </c>
      <c r="AU986" s="363" t="s">
        <v>2162</v>
      </c>
      <c r="AV986" s="230"/>
      <c r="AW986" s="231" t="s">
        <v>198</v>
      </c>
      <c r="AX986" s="225" t="s">
        <v>545</v>
      </c>
      <c r="AY986" s="221">
        <v>10000001</v>
      </c>
      <c r="AZ986" s="66">
        <v>77005002</v>
      </c>
      <c r="BA986" s="222" t="s">
        <v>200</v>
      </c>
      <c r="BB986" s="225">
        <v>0</v>
      </c>
      <c r="BC986" s="227">
        <v>0</v>
      </c>
      <c r="BD986" s="227">
        <v>0</v>
      </c>
      <c r="BE986" s="233" t="s">
        <v>2188</v>
      </c>
      <c r="BF986" s="233" t="s">
        <v>2189</v>
      </c>
      <c r="BG986" s="225">
        <v>0</v>
      </c>
      <c r="BH986" s="225">
        <v>0</v>
      </c>
      <c r="BI986" s="225">
        <v>0</v>
      </c>
      <c r="BJ986" s="225">
        <v>0</v>
      </c>
      <c r="BK986" s="225">
        <v>0</v>
      </c>
      <c r="BL986" s="225">
        <v>0</v>
      </c>
      <c r="BM986" s="224">
        <v>0</v>
      </c>
      <c r="BN986" s="228">
        <v>0</v>
      </c>
      <c r="BO986" s="228">
        <v>0</v>
      </c>
      <c r="BP986" s="228">
        <v>0</v>
      </c>
      <c r="BQ986" s="228">
        <v>0</v>
      </c>
      <c r="BR986" s="228">
        <v>0</v>
      </c>
      <c r="BS986" s="228">
        <v>0</v>
      </c>
      <c r="BT986" s="228">
        <v>0</v>
      </c>
      <c r="BU986" s="228">
        <v>0</v>
      </c>
      <c r="BV986" s="49"/>
      <c r="BW986" s="49"/>
    </row>
    <row r="987" spans="1:75" s="1" customFormat="1" ht="19.5" customHeight="1">
      <c r="A987" s="216"/>
      <c r="B987" s="216"/>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pans="1:75" s="2" customFormat="1" ht="19.5" customHeight="1">
      <c r="A988" s="217"/>
      <c r="B988" s="217"/>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7" t="s">
        <v>2200</v>
      </c>
      <c r="AV988" s="362"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pans="1:75" s="2" customFormat="1" ht="19.5" customHeight="1">
      <c r="A989" s="217"/>
      <c r="B989" s="217"/>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7" t="s">
        <v>2200</v>
      </c>
      <c r="AV989" s="362"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pans="1:75" s="2" customFormat="1" ht="19.5" customHeight="1">
      <c r="A990" s="217"/>
      <c r="B990" s="217"/>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2.2000000000000002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7" t="s">
        <v>2200</v>
      </c>
      <c r="AV990" s="362"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pans="1:75" s="2" customFormat="1" ht="19.5" customHeight="1">
      <c r="A991" s="217"/>
      <c r="B991" s="217"/>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7" t="s">
        <v>2200</v>
      </c>
      <c r="AV991" s="362"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7"/>
      <c r="B992" s="217"/>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7" t="s">
        <v>2200</v>
      </c>
      <c r="AV992" s="362"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7"/>
      <c r="B993" s="217"/>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7" t="s">
        <v>2200</v>
      </c>
      <c r="AV993" s="362"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1" customFormat="1" ht="20.100000000000001" customHeight="1">
      <c r="A994" s="216"/>
      <c r="B994" s="216"/>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2" t="s">
        <v>2164</v>
      </c>
      <c r="BV994" s="49"/>
      <c r="BW994" s="49"/>
    </row>
    <row r="995" spans="1:75" s="1" customFormat="1" ht="20.100000000000001" customHeight="1">
      <c r="A995" s="216"/>
      <c r="B995" s="216"/>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2" t="s">
        <v>2164</v>
      </c>
      <c r="BV995" s="49"/>
      <c r="BW995" s="49"/>
    </row>
    <row r="996" spans="1:75" s="1" customFormat="1" ht="20.100000000000001" customHeight="1">
      <c r="A996" s="216"/>
      <c r="B996" s="216"/>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2" t="s">
        <v>2164</v>
      </c>
      <c r="BV996" s="49"/>
      <c r="BW996" s="49"/>
    </row>
    <row r="997" spans="1:75" s="1" customFormat="1" ht="20.100000000000001" customHeight="1">
      <c r="A997" s="216"/>
      <c r="B997" s="216"/>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2" t="s">
        <v>2164</v>
      </c>
      <c r="BV997" s="49"/>
      <c r="BW997" s="49"/>
    </row>
    <row r="998" spans="1:75" s="1" customFormat="1" ht="20.100000000000001" customHeight="1">
      <c r="A998" s="216"/>
      <c r="B998" s="216"/>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2" t="s">
        <v>2164</v>
      </c>
      <c r="BV998" s="49"/>
      <c r="BW998" s="49"/>
    </row>
    <row r="999" spans="1:75" s="1" customFormat="1" ht="20.100000000000001" customHeight="1">
      <c r="A999" s="216"/>
      <c r="B999" s="216"/>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2" t="s">
        <v>2164</v>
      </c>
      <c r="BV999" s="49"/>
      <c r="BW999" s="49"/>
    </row>
    <row r="1000" spans="1:75" s="2" customFormat="1" ht="20.100000000000001" customHeight="1">
      <c r="A1000" s="217"/>
      <c r="B1000" s="217"/>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2"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pans="1:75" s="2" customFormat="1" ht="20.100000000000001" customHeight="1">
      <c r="A1001" s="217"/>
      <c r="B1001" s="217"/>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2"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pans="1:75" s="2" customFormat="1" ht="20.100000000000001" customHeight="1">
      <c r="A1002" s="217"/>
      <c r="B1002" s="217"/>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2"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pans="1:75" s="2" customFormat="1" ht="20.100000000000001" customHeight="1">
      <c r="A1003" s="217"/>
      <c r="B1003" s="217"/>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2"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7"/>
      <c r="B1004" s="217"/>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2"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7"/>
      <c r="B1005" s="217"/>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2"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3" customFormat="1" ht="19.5" customHeight="1">
      <c r="A1006" s="220"/>
      <c r="B1006" s="220"/>
      <c r="C1006" s="221">
        <v>64012401</v>
      </c>
      <c r="D1006" s="222" t="s">
        <v>2224</v>
      </c>
      <c r="E1006" s="222" t="s">
        <v>2225</v>
      </c>
      <c r="F1006" s="221">
        <v>1</v>
      </c>
      <c r="G1006" s="221">
        <v>0</v>
      </c>
      <c r="H1006" s="221">
        <v>0</v>
      </c>
      <c r="I1006" s="227">
        <v>0</v>
      </c>
      <c r="J1006" s="221">
        <v>1</v>
      </c>
      <c r="K1006" s="221">
        <v>0</v>
      </c>
      <c r="L1006" s="221">
        <v>0</v>
      </c>
      <c r="M1006" s="225">
        <v>0</v>
      </c>
      <c r="N1006" s="225">
        <v>0</v>
      </c>
      <c r="O1006" s="225">
        <v>2</v>
      </c>
      <c r="P1006" s="225">
        <v>3</v>
      </c>
      <c r="Q1006" s="225">
        <v>0.2</v>
      </c>
      <c r="R1006" s="225">
        <v>0</v>
      </c>
      <c r="S1006" s="228">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8">
        <v>1</v>
      </c>
      <c r="AJ1006" s="228">
        <v>1</v>
      </c>
      <c r="AK1006" s="228">
        <v>0</v>
      </c>
      <c r="AL1006" s="228">
        <v>3</v>
      </c>
      <c r="AM1006" s="225">
        <v>0</v>
      </c>
      <c r="AN1006" s="225">
        <v>0</v>
      </c>
      <c r="AO1006" s="225">
        <v>0</v>
      </c>
      <c r="AP1006" s="225">
        <v>0</v>
      </c>
      <c r="AQ1006" s="225">
        <v>2000</v>
      </c>
      <c r="AR1006" s="225">
        <v>0.3</v>
      </c>
      <c r="AS1006" s="225">
        <v>0</v>
      </c>
      <c r="AT1006" s="228">
        <v>0</v>
      </c>
      <c r="AU1006" s="230">
        <v>0</v>
      </c>
      <c r="AV1006" s="230"/>
      <c r="AW1006" s="231" t="s">
        <v>198</v>
      </c>
      <c r="AX1006" s="225" t="s">
        <v>534</v>
      </c>
      <c r="AY1006" s="221">
        <v>0</v>
      </c>
      <c r="AZ1006" s="221">
        <v>77005004</v>
      </c>
      <c r="BA1006" s="222" t="s">
        <v>200</v>
      </c>
      <c r="BB1006" s="225">
        <v>0</v>
      </c>
      <c r="BC1006" s="227">
        <v>0</v>
      </c>
      <c r="BD1006" s="227">
        <v>0</v>
      </c>
      <c r="BE1006" s="233" t="s">
        <v>2226</v>
      </c>
      <c r="BF1006" s="233" t="s">
        <v>2227</v>
      </c>
      <c r="BG1006" s="225">
        <v>0</v>
      </c>
      <c r="BH1006" s="225">
        <v>0</v>
      </c>
      <c r="BI1006" s="225">
        <v>0</v>
      </c>
      <c r="BJ1006" s="225">
        <v>0</v>
      </c>
      <c r="BK1006" s="225">
        <v>0</v>
      </c>
      <c r="BL1006" s="225">
        <v>0</v>
      </c>
      <c r="BM1006" s="224">
        <v>0</v>
      </c>
      <c r="BN1006" s="228">
        <v>0</v>
      </c>
      <c r="BO1006" s="228">
        <v>0</v>
      </c>
      <c r="BP1006" s="228">
        <v>0</v>
      </c>
      <c r="BQ1006" s="228">
        <v>0</v>
      </c>
      <c r="BR1006" s="228">
        <v>0</v>
      </c>
      <c r="BS1006" s="228">
        <v>0</v>
      </c>
      <c r="BT1006" s="228">
        <v>0</v>
      </c>
      <c r="BU1006" s="228">
        <v>0</v>
      </c>
      <c r="BV1006" s="49"/>
      <c r="BW1006" s="49"/>
    </row>
    <row r="1007" spans="1:75" s="3" customFormat="1" ht="19.5" customHeight="1">
      <c r="A1007" s="220"/>
      <c r="B1007" s="220"/>
      <c r="C1007" s="221">
        <v>64012402</v>
      </c>
      <c r="D1007" s="222" t="s">
        <v>2224</v>
      </c>
      <c r="E1007" s="222" t="s">
        <v>2225</v>
      </c>
      <c r="F1007" s="221">
        <v>1</v>
      </c>
      <c r="G1007" s="221">
        <v>0</v>
      </c>
      <c r="H1007" s="221">
        <v>0</v>
      </c>
      <c r="I1007" s="227">
        <v>0</v>
      </c>
      <c r="J1007" s="221">
        <v>1</v>
      </c>
      <c r="K1007" s="221">
        <v>0</v>
      </c>
      <c r="L1007" s="221">
        <v>0</v>
      </c>
      <c r="M1007" s="225">
        <v>0</v>
      </c>
      <c r="N1007" s="225">
        <v>0</v>
      </c>
      <c r="O1007" s="225">
        <v>2</v>
      </c>
      <c r="P1007" s="225">
        <v>3</v>
      </c>
      <c r="Q1007" s="225">
        <v>0.2</v>
      </c>
      <c r="R1007" s="225">
        <v>0</v>
      </c>
      <c r="S1007" s="228">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8">
        <v>1</v>
      </c>
      <c r="AJ1007" s="228">
        <v>1</v>
      </c>
      <c r="AK1007" s="228">
        <v>0</v>
      </c>
      <c r="AL1007" s="228">
        <v>3</v>
      </c>
      <c r="AM1007" s="225">
        <v>0</v>
      </c>
      <c r="AN1007" s="225">
        <v>0</v>
      </c>
      <c r="AO1007" s="225">
        <v>0</v>
      </c>
      <c r="AP1007" s="225">
        <v>0</v>
      </c>
      <c r="AQ1007" s="225">
        <v>2000</v>
      </c>
      <c r="AR1007" s="225">
        <v>0.3</v>
      </c>
      <c r="AS1007" s="225">
        <v>0</v>
      </c>
      <c r="AT1007" s="228">
        <v>0</v>
      </c>
      <c r="AU1007" s="230">
        <v>0</v>
      </c>
      <c r="AV1007" s="230"/>
      <c r="AW1007" s="231" t="s">
        <v>198</v>
      </c>
      <c r="AX1007" s="225" t="s">
        <v>534</v>
      </c>
      <c r="AY1007" s="221">
        <v>0</v>
      </c>
      <c r="AZ1007" s="221">
        <v>77005004</v>
      </c>
      <c r="BA1007" s="222" t="s">
        <v>200</v>
      </c>
      <c r="BB1007" s="225">
        <v>0</v>
      </c>
      <c r="BC1007" s="227">
        <v>0</v>
      </c>
      <c r="BD1007" s="227">
        <v>0</v>
      </c>
      <c r="BE1007" s="233" t="s">
        <v>2226</v>
      </c>
      <c r="BF1007" s="233" t="s">
        <v>2227</v>
      </c>
      <c r="BG1007" s="225">
        <v>0</v>
      </c>
      <c r="BH1007" s="225">
        <v>0</v>
      </c>
      <c r="BI1007" s="225">
        <v>0</v>
      </c>
      <c r="BJ1007" s="225">
        <v>0</v>
      </c>
      <c r="BK1007" s="225">
        <v>0</v>
      </c>
      <c r="BL1007" s="225">
        <v>0</v>
      </c>
      <c r="BM1007" s="224">
        <v>0</v>
      </c>
      <c r="BN1007" s="228">
        <v>0</v>
      </c>
      <c r="BO1007" s="228">
        <v>0</v>
      </c>
      <c r="BP1007" s="228">
        <v>0</v>
      </c>
      <c r="BQ1007" s="228">
        <v>0</v>
      </c>
      <c r="BR1007" s="228">
        <v>0</v>
      </c>
      <c r="BS1007" s="228">
        <v>0</v>
      </c>
      <c r="BT1007" s="228">
        <v>0</v>
      </c>
      <c r="BU1007" s="228">
        <v>0</v>
      </c>
      <c r="BV1007" s="49"/>
      <c r="BW1007" s="49"/>
    </row>
    <row r="1008" spans="1:75" s="3" customFormat="1" ht="19.5" customHeight="1">
      <c r="A1008" s="220"/>
      <c r="B1008" s="220"/>
      <c r="C1008" s="221">
        <v>64012403</v>
      </c>
      <c r="D1008" s="222" t="s">
        <v>2224</v>
      </c>
      <c r="E1008" s="222" t="s">
        <v>2225</v>
      </c>
      <c r="F1008" s="221">
        <v>1</v>
      </c>
      <c r="G1008" s="221">
        <v>0</v>
      </c>
      <c r="H1008" s="221">
        <v>0</v>
      </c>
      <c r="I1008" s="227">
        <v>0</v>
      </c>
      <c r="J1008" s="221">
        <v>1</v>
      </c>
      <c r="K1008" s="221">
        <v>0</v>
      </c>
      <c r="L1008" s="221">
        <v>0</v>
      </c>
      <c r="M1008" s="225">
        <v>0</v>
      </c>
      <c r="N1008" s="225">
        <v>0</v>
      </c>
      <c r="O1008" s="225">
        <v>2</v>
      </c>
      <c r="P1008" s="225">
        <v>3</v>
      </c>
      <c r="Q1008" s="225">
        <v>0.2</v>
      </c>
      <c r="R1008" s="225">
        <v>0</v>
      </c>
      <c r="S1008" s="228">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8">
        <v>1</v>
      </c>
      <c r="AJ1008" s="228">
        <v>1</v>
      </c>
      <c r="AK1008" s="228">
        <v>0</v>
      </c>
      <c r="AL1008" s="228">
        <v>3</v>
      </c>
      <c r="AM1008" s="225">
        <v>0</v>
      </c>
      <c r="AN1008" s="225">
        <v>0</v>
      </c>
      <c r="AO1008" s="225">
        <v>0</v>
      </c>
      <c r="AP1008" s="225">
        <v>0</v>
      </c>
      <c r="AQ1008" s="225">
        <v>2000</v>
      </c>
      <c r="AR1008" s="225">
        <v>0.3</v>
      </c>
      <c r="AS1008" s="225">
        <v>0</v>
      </c>
      <c r="AT1008" s="228">
        <v>0</v>
      </c>
      <c r="AU1008" s="230">
        <v>0</v>
      </c>
      <c r="AV1008" s="230"/>
      <c r="AW1008" s="231" t="s">
        <v>198</v>
      </c>
      <c r="AX1008" s="225" t="s">
        <v>534</v>
      </c>
      <c r="AY1008" s="221">
        <v>0</v>
      </c>
      <c r="AZ1008" s="221">
        <v>77005004</v>
      </c>
      <c r="BA1008" s="222" t="s">
        <v>200</v>
      </c>
      <c r="BB1008" s="225">
        <v>0</v>
      </c>
      <c r="BC1008" s="227">
        <v>0</v>
      </c>
      <c r="BD1008" s="227">
        <v>0</v>
      </c>
      <c r="BE1008" s="233" t="s">
        <v>2226</v>
      </c>
      <c r="BF1008" s="233" t="s">
        <v>2227</v>
      </c>
      <c r="BG1008" s="225">
        <v>0</v>
      </c>
      <c r="BH1008" s="225">
        <v>0</v>
      </c>
      <c r="BI1008" s="225">
        <v>0</v>
      </c>
      <c r="BJ1008" s="225">
        <v>0</v>
      </c>
      <c r="BK1008" s="225">
        <v>0</v>
      </c>
      <c r="BL1008" s="225">
        <v>0</v>
      </c>
      <c r="BM1008" s="224">
        <v>0</v>
      </c>
      <c r="BN1008" s="228">
        <v>0</v>
      </c>
      <c r="BO1008" s="228">
        <v>0</v>
      </c>
      <c r="BP1008" s="228">
        <v>0</v>
      </c>
      <c r="BQ1008" s="228">
        <v>0</v>
      </c>
      <c r="BR1008" s="228">
        <v>0</v>
      </c>
      <c r="BS1008" s="228">
        <v>0</v>
      </c>
      <c r="BT1008" s="228">
        <v>0</v>
      </c>
      <c r="BU1008" s="228">
        <v>0</v>
      </c>
      <c r="BV1008" s="49"/>
      <c r="BW1008" s="49"/>
    </row>
    <row r="1009" spans="1:75" s="3" customFormat="1" ht="19.5" customHeight="1">
      <c r="A1009" s="220"/>
      <c r="B1009" s="220"/>
      <c r="C1009" s="221">
        <v>64012404</v>
      </c>
      <c r="D1009" s="222" t="s">
        <v>2224</v>
      </c>
      <c r="E1009" s="222" t="s">
        <v>2225</v>
      </c>
      <c r="F1009" s="221">
        <v>1</v>
      </c>
      <c r="G1009" s="221">
        <v>0</v>
      </c>
      <c r="H1009" s="221">
        <v>0</v>
      </c>
      <c r="I1009" s="227">
        <v>0</v>
      </c>
      <c r="J1009" s="221">
        <v>1</v>
      </c>
      <c r="K1009" s="221">
        <v>0</v>
      </c>
      <c r="L1009" s="221">
        <v>0</v>
      </c>
      <c r="M1009" s="225">
        <v>0</v>
      </c>
      <c r="N1009" s="225">
        <v>0</v>
      </c>
      <c r="O1009" s="225">
        <v>2</v>
      </c>
      <c r="P1009" s="225">
        <v>3</v>
      </c>
      <c r="Q1009" s="225">
        <v>0.2</v>
      </c>
      <c r="R1009" s="225">
        <v>0</v>
      </c>
      <c r="S1009" s="228">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8">
        <v>1</v>
      </c>
      <c r="AJ1009" s="228">
        <v>1</v>
      </c>
      <c r="AK1009" s="228">
        <v>0</v>
      </c>
      <c r="AL1009" s="228">
        <v>3</v>
      </c>
      <c r="AM1009" s="225">
        <v>0</v>
      </c>
      <c r="AN1009" s="225">
        <v>0</v>
      </c>
      <c r="AO1009" s="225">
        <v>0</v>
      </c>
      <c r="AP1009" s="225">
        <v>0</v>
      </c>
      <c r="AQ1009" s="225">
        <v>2000</v>
      </c>
      <c r="AR1009" s="225">
        <v>0.3</v>
      </c>
      <c r="AS1009" s="225">
        <v>0</v>
      </c>
      <c r="AT1009" s="228">
        <v>0</v>
      </c>
      <c r="AU1009" s="230">
        <v>0</v>
      </c>
      <c r="AV1009" s="230"/>
      <c r="AW1009" s="231" t="s">
        <v>198</v>
      </c>
      <c r="AX1009" s="225" t="s">
        <v>534</v>
      </c>
      <c r="AY1009" s="221">
        <v>0</v>
      </c>
      <c r="AZ1009" s="221">
        <v>77005004</v>
      </c>
      <c r="BA1009" s="222" t="s">
        <v>200</v>
      </c>
      <c r="BB1009" s="225">
        <v>0</v>
      </c>
      <c r="BC1009" s="227">
        <v>0</v>
      </c>
      <c r="BD1009" s="227">
        <v>0</v>
      </c>
      <c r="BE1009" s="233" t="s">
        <v>2226</v>
      </c>
      <c r="BF1009" s="233" t="s">
        <v>2227</v>
      </c>
      <c r="BG1009" s="225">
        <v>0</v>
      </c>
      <c r="BH1009" s="225">
        <v>0</v>
      </c>
      <c r="BI1009" s="225">
        <v>0</v>
      </c>
      <c r="BJ1009" s="225">
        <v>0</v>
      </c>
      <c r="BK1009" s="225">
        <v>0</v>
      </c>
      <c r="BL1009" s="225">
        <v>0</v>
      </c>
      <c r="BM1009" s="224">
        <v>0</v>
      </c>
      <c r="BN1009" s="228">
        <v>0</v>
      </c>
      <c r="BO1009" s="228">
        <v>0</v>
      </c>
      <c r="BP1009" s="228">
        <v>0</v>
      </c>
      <c r="BQ1009" s="228">
        <v>0</v>
      </c>
      <c r="BR1009" s="228">
        <v>0</v>
      </c>
      <c r="BS1009" s="228">
        <v>0</v>
      </c>
      <c r="BT1009" s="228">
        <v>0</v>
      </c>
      <c r="BU1009" s="228">
        <v>0</v>
      </c>
      <c r="BV1009" s="49"/>
      <c r="BW1009" s="49"/>
    </row>
    <row r="1010" spans="1:75" s="3" customFormat="1" ht="19.5" customHeight="1">
      <c r="A1010" s="220"/>
      <c r="B1010" s="220"/>
      <c r="C1010" s="221">
        <v>64012405</v>
      </c>
      <c r="D1010" s="222" t="s">
        <v>2224</v>
      </c>
      <c r="E1010" s="222" t="s">
        <v>2225</v>
      </c>
      <c r="F1010" s="221">
        <v>1</v>
      </c>
      <c r="G1010" s="221">
        <v>0</v>
      </c>
      <c r="H1010" s="221">
        <v>0</v>
      </c>
      <c r="I1010" s="227">
        <v>0</v>
      </c>
      <c r="J1010" s="221">
        <v>1</v>
      </c>
      <c r="K1010" s="221">
        <v>0</v>
      </c>
      <c r="L1010" s="221">
        <v>0</v>
      </c>
      <c r="M1010" s="225">
        <v>0</v>
      </c>
      <c r="N1010" s="225">
        <v>0</v>
      </c>
      <c r="O1010" s="225">
        <v>2</v>
      </c>
      <c r="P1010" s="225">
        <v>3</v>
      </c>
      <c r="Q1010" s="225">
        <v>0.2</v>
      </c>
      <c r="R1010" s="225">
        <v>0</v>
      </c>
      <c r="S1010" s="228">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8">
        <v>1</v>
      </c>
      <c r="AJ1010" s="228">
        <v>1</v>
      </c>
      <c r="AK1010" s="228">
        <v>0</v>
      </c>
      <c r="AL1010" s="228">
        <v>3</v>
      </c>
      <c r="AM1010" s="225">
        <v>0</v>
      </c>
      <c r="AN1010" s="225">
        <v>0</v>
      </c>
      <c r="AO1010" s="225">
        <v>0</v>
      </c>
      <c r="AP1010" s="225">
        <v>0</v>
      </c>
      <c r="AQ1010" s="225">
        <v>2000</v>
      </c>
      <c r="AR1010" s="225">
        <v>0.3</v>
      </c>
      <c r="AS1010" s="225">
        <v>0</v>
      </c>
      <c r="AT1010" s="228">
        <v>0</v>
      </c>
      <c r="AU1010" s="230">
        <v>0</v>
      </c>
      <c r="AV1010" s="230"/>
      <c r="AW1010" s="231" t="s">
        <v>198</v>
      </c>
      <c r="AX1010" s="225" t="s">
        <v>534</v>
      </c>
      <c r="AY1010" s="221">
        <v>0</v>
      </c>
      <c r="AZ1010" s="221">
        <v>77005004</v>
      </c>
      <c r="BA1010" s="222" t="s">
        <v>200</v>
      </c>
      <c r="BB1010" s="225">
        <v>0</v>
      </c>
      <c r="BC1010" s="227">
        <v>0</v>
      </c>
      <c r="BD1010" s="227">
        <v>0</v>
      </c>
      <c r="BE1010" s="233" t="s">
        <v>2226</v>
      </c>
      <c r="BF1010" s="233" t="s">
        <v>2227</v>
      </c>
      <c r="BG1010" s="225">
        <v>0</v>
      </c>
      <c r="BH1010" s="225">
        <v>0</v>
      </c>
      <c r="BI1010" s="225">
        <v>0</v>
      </c>
      <c r="BJ1010" s="225">
        <v>0</v>
      </c>
      <c r="BK1010" s="225">
        <v>0</v>
      </c>
      <c r="BL1010" s="225">
        <v>0</v>
      </c>
      <c r="BM1010" s="224">
        <v>0</v>
      </c>
      <c r="BN1010" s="228">
        <v>0</v>
      </c>
      <c r="BO1010" s="228">
        <v>0</v>
      </c>
      <c r="BP1010" s="228">
        <v>0</v>
      </c>
      <c r="BQ1010" s="228">
        <v>0</v>
      </c>
      <c r="BR1010" s="228">
        <v>0</v>
      </c>
      <c r="BS1010" s="228">
        <v>0</v>
      </c>
      <c r="BT1010" s="228">
        <v>0</v>
      </c>
      <c r="BU1010" s="228">
        <v>0</v>
      </c>
      <c r="BV1010" s="49"/>
      <c r="BW1010" s="49"/>
    </row>
    <row r="1011" spans="1:75" s="3" customFormat="1" ht="19.5" customHeight="1">
      <c r="A1011" s="220"/>
      <c r="B1011" s="220"/>
      <c r="C1011" s="221">
        <v>64012406</v>
      </c>
      <c r="D1011" s="222" t="s">
        <v>2224</v>
      </c>
      <c r="E1011" s="222" t="s">
        <v>2225</v>
      </c>
      <c r="F1011" s="221">
        <v>1</v>
      </c>
      <c r="G1011" s="221">
        <v>0</v>
      </c>
      <c r="H1011" s="221">
        <v>0</v>
      </c>
      <c r="I1011" s="227">
        <v>0</v>
      </c>
      <c r="J1011" s="221">
        <v>1</v>
      </c>
      <c r="K1011" s="221">
        <v>0</v>
      </c>
      <c r="L1011" s="221">
        <v>0</v>
      </c>
      <c r="M1011" s="225">
        <v>0</v>
      </c>
      <c r="N1011" s="225">
        <v>0</v>
      </c>
      <c r="O1011" s="225">
        <v>2</v>
      </c>
      <c r="P1011" s="225">
        <v>3</v>
      </c>
      <c r="Q1011" s="225">
        <v>0.2</v>
      </c>
      <c r="R1011" s="225">
        <v>0</v>
      </c>
      <c r="S1011" s="228">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8">
        <v>1</v>
      </c>
      <c r="AJ1011" s="228">
        <v>1</v>
      </c>
      <c r="AK1011" s="228">
        <v>0</v>
      </c>
      <c r="AL1011" s="228">
        <v>3</v>
      </c>
      <c r="AM1011" s="225">
        <v>0</v>
      </c>
      <c r="AN1011" s="225">
        <v>0</v>
      </c>
      <c r="AO1011" s="225">
        <v>0</v>
      </c>
      <c r="AP1011" s="225">
        <v>0</v>
      </c>
      <c r="AQ1011" s="225">
        <v>2000</v>
      </c>
      <c r="AR1011" s="225">
        <v>0.3</v>
      </c>
      <c r="AS1011" s="225">
        <v>0</v>
      </c>
      <c r="AT1011" s="228">
        <v>0</v>
      </c>
      <c r="AU1011" s="230">
        <v>0</v>
      </c>
      <c r="AV1011" s="230"/>
      <c r="AW1011" s="231" t="s">
        <v>198</v>
      </c>
      <c r="AX1011" s="225" t="s">
        <v>534</v>
      </c>
      <c r="AY1011" s="221">
        <v>0</v>
      </c>
      <c r="AZ1011" s="221">
        <v>77005004</v>
      </c>
      <c r="BA1011" s="222" t="s">
        <v>200</v>
      </c>
      <c r="BB1011" s="225">
        <v>0</v>
      </c>
      <c r="BC1011" s="227">
        <v>0</v>
      </c>
      <c r="BD1011" s="227">
        <v>0</v>
      </c>
      <c r="BE1011" s="233" t="s">
        <v>2226</v>
      </c>
      <c r="BF1011" s="233" t="s">
        <v>2227</v>
      </c>
      <c r="BG1011" s="225">
        <v>0</v>
      </c>
      <c r="BH1011" s="225">
        <v>0</v>
      </c>
      <c r="BI1011" s="225">
        <v>0</v>
      </c>
      <c r="BJ1011" s="225">
        <v>0</v>
      </c>
      <c r="BK1011" s="225">
        <v>0</v>
      </c>
      <c r="BL1011" s="225">
        <v>0</v>
      </c>
      <c r="BM1011" s="224">
        <v>0</v>
      </c>
      <c r="BN1011" s="228">
        <v>0</v>
      </c>
      <c r="BO1011" s="228">
        <v>0</v>
      </c>
      <c r="BP1011" s="228">
        <v>0</v>
      </c>
      <c r="BQ1011" s="228">
        <v>0</v>
      </c>
      <c r="BR1011" s="228">
        <v>0</v>
      </c>
      <c r="BS1011" s="228">
        <v>0</v>
      </c>
      <c r="BT1011" s="228">
        <v>0</v>
      </c>
      <c r="BU1011" s="228">
        <v>0</v>
      </c>
      <c r="BV1011" s="49"/>
      <c r="BW1011" s="49"/>
    </row>
    <row r="1012" spans="1:75" s="1" customFormat="1" ht="19.5" customHeight="1">
      <c r="A1012" s="216"/>
      <c r="B1012" s="216"/>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pans="1:75" s="1" customFormat="1" ht="19.5" customHeight="1">
      <c r="A1013" s="216"/>
      <c r="B1013" s="216"/>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pans="1:75" s="1" customFormat="1" ht="19.5" customHeight="1">
      <c r="A1014" s="216"/>
      <c r="B1014" s="216"/>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pans="1:75" s="1" customFormat="1" ht="19.5" customHeight="1">
      <c r="A1015" s="216"/>
      <c r="B1015" s="216"/>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6"/>
      <c r="B1016" s="216"/>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6"/>
      <c r="B1017" s="216"/>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2" customFormat="1" ht="19.5" customHeight="1">
      <c r="A1018" s="217"/>
      <c r="B1018" s="217"/>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2"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pans="1:75" s="2" customFormat="1" ht="19.5" customHeight="1">
      <c r="A1019" s="217"/>
      <c r="B1019" s="217"/>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2"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pans="1:75" s="2" customFormat="1" ht="19.5" customHeight="1">
      <c r="A1020" s="217"/>
      <c r="B1020" s="217"/>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2"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pans="1:75" s="2" customFormat="1" ht="19.5" customHeight="1">
      <c r="A1021" s="217"/>
      <c r="B1021" s="217"/>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2"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7"/>
      <c r="B1022" s="217"/>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2"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7"/>
      <c r="B1023" s="217"/>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2"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1" customFormat="1" ht="20.100000000000001" customHeight="1">
      <c r="A1024" s="216"/>
      <c r="B1024" s="216"/>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2" t="s">
        <v>2244</v>
      </c>
      <c r="AV1024" s="362"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49" t="s">
        <v>2246</v>
      </c>
      <c r="BV1024" s="49"/>
      <c r="BW1024" s="49"/>
    </row>
    <row r="1025" spans="1:75" s="1" customFormat="1" ht="20.100000000000001" customHeight="1">
      <c r="A1025" s="216"/>
      <c r="B1025" s="216"/>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2" t="s">
        <v>2244</v>
      </c>
      <c r="AV1025" s="362"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49" t="s">
        <v>2247</v>
      </c>
      <c r="BV1025" s="49"/>
      <c r="BW1025" s="49"/>
    </row>
    <row r="1026" spans="1:75" s="1" customFormat="1" ht="20.100000000000001" customHeight="1">
      <c r="A1026" s="216"/>
      <c r="B1026" s="216"/>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2" t="s">
        <v>2244</v>
      </c>
      <c r="AV1026" s="362"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49" t="s">
        <v>2249</v>
      </c>
      <c r="BV1026" s="49"/>
      <c r="BW1026" s="49"/>
    </row>
    <row r="1027" spans="1:75" s="1" customFormat="1" ht="20.100000000000001" customHeight="1">
      <c r="A1027" s="216"/>
      <c r="B1027" s="216"/>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2" t="s">
        <v>2244</v>
      </c>
      <c r="AV1027" s="362"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49" t="s">
        <v>2251</v>
      </c>
      <c r="BV1027" s="49"/>
      <c r="BW1027" s="49"/>
    </row>
    <row r="1028" spans="1:75" s="1" customFormat="1" ht="20.100000000000001" customHeight="1">
      <c r="A1028" s="216"/>
      <c r="B1028" s="216"/>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2" t="s">
        <v>2244</v>
      </c>
      <c r="AV1028" s="362"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49" t="s">
        <v>2253</v>
      </c>
      <c r="BV1028" s="49"/>
      <c r="BW1028" s="49"/>
    </row>
    <row r="1029" spans="1:75" s="1" customFormat="1" ht="20.100000000000001" customHeight="1">
      <c r="A1029" s="216"/>
      <c r="B1029" s="216"/>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2" t="s">
        <v>2244</v>
      </c>
      <c r="AV1029" s="362"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49" t="s">
        <v>2255</v>
      </c>
      <c r="BV1029" s="49"/>
      <c r="BW1029" s="49"/>
    </row>
    <row r="1030" spans="1:75" s="4" customFormat="1" ht="20.100000000000001" customHeight="1">
      <c r="A1030" s="226"/>
      <c r="B1030" s="226"/>
      <c r="C1030" s="50">
        <v>64013311</v>
      </c>
      <c r="D1030" s="51" t="s">
        <v>2256</v>
      </c>
      <c r="E1030" s="51" t="s">
        <v>2257</v>
      </c>
      <c r="F1030" s="215">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29">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4" t="s">
        <v>2258</v>
      </c>
      <c r="AU1030" s="50">
        <v>0</v>
      </c>
      <c r="AV1030" s="50"/>
      <c r="AW1030" s="51" t="s">
        <v>198</v>
      </c>
      <c r="AX1030" s="50" t="s">
        <v>545</v>
      </c>
      <c r="AY1030" s="50">
        <v>0</v>
      </c>
      <c r="AZ1030" s="50">
        <v>77005103</v>
      </c>
      <c r="BA1030" s="51" t="s">
        <v>1174</v>
      </c>
      <c r="BB1030" s="364" t="s">
        <v>2259</v>
      </c>
      <c r="BC1030" s="50">
        <v>0</v>
      </c>
      <c r="BD1030" s="50">
        <v>0</v>
      </c>
      <c r="BE1030" s="55" t="s">
        <v>2260</v>
      </c>
      <c r="BF1030" s="55" t="s">
        <v>2261</v>
      </c>
      <c r="BG1030" s="50">
        <v>0</v>
      </c>
      <c r="BH1030" s="50">
        <v>0</v>
      </c>
      <c r="BI1030" s="50">
        <v>0</v>
      </c>
      <c r="BJ1030" s="50">
        <v>0</v>
      </c>
      <c r="BK1030" s="50">
        <v>0</v>
      </c>
      <c r="BL1030" s="50">
        <v>0</v>
      </c>
      <c r="BM1030" s="234">
        <v>0</v>
      </c>
      <c r="BN1030" s="50">
        <v>0</v>
      </c>
      <c r="BO1030" s="50">
        <v>0</v>
      </c>
      <c r="BP1030" s="50">
        <v>0</v>
      </c>
      <c r="BQ1030" s="50">
        <v>0</v>
      </c>
      <c r="BR1030" s="50">
        <v>0</v>
      </c>
      <c r="BS1030" s="50">
        <v>0</v>
      </c>
      <c r="BT1030" s="50">
        <v>0</v>
      </c>
      <c r="BU1030" s="50">
        <v>0</v>
      </c>
      <c r="BV1030" s="49"/>
      <c r="BW1030" s="49"/>
    </row>
    <row r="1031" spans="1:75" s="4" customFormat="1" ht="20.100000000000001" customHeight="1">
      <c r="A1031" s="226"/>
      <c r="B1031" s="226"/>
      <c r="C1031" s="50">
        <v>64013312</v>
      </c>
      <c r="D1031" s="51" t="s">
        <v>2256</v>
      </c>
      <c r="E1031" s="51" t="s">
        <v>2257</v>
      </c>
      <c r="F1031" s="215">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29">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4" t="s">
        <v>2258</v>
      </c>
      <c r="AU1031" s="50">
        <v>0</v>
      </c>
      <c r="AV1031" s="50"/>
      <c r="AW1031" s="51" t="s">
        <v>198</v>
      </c>
      <c r="AX1031" s="50" t="s">
        <v>545</v>
      </c>
      <c r="AY1031" s="50">
        <v>0</v>
      </c>
      <c r="AZ1031" s="50">
        <v>77005103</v>
      </c>
      <c r="BA1031" s="51" t="s">
        <v>1174</v>
      </c>
      <c r="BB1031" s="364" t="s">
        <v>2259</v>
      </c>
      <c r="BC1031" s="50">
        <v>0</v>
      </c>
      <c r="BD1031" s="50">
        <v>0</v>
      </c>
      <c r="BE1031" s="55" t="s">
        <v>2260</v>
      </c>
      <c r="BF1031" s="55" t="s">
        <v>2261</v>
      </c>
      <c r="BG1031" s="50">
        <v>0</v>
      </c>
      <c r="BH1031" s="50">
        <v>0</v>
      </c>
      <c r="BI1031" s="50">
        <v>0</v>
      </c>
      <c r="BJ1031" s="50">
        <v>0</v>
      </c>
      <c r="BK1031" s="50">
        <v>0</v>
      </c>
      <c r="BL1031" s="50">
        <v>0</v>
      </c>
      <c r="BM1031" s="234">
        <v>0</v>
      </c>
      <c r="BN1031" s="50">
        <v>0</v>
      </c>
      <c r="BO1031" s="50">
        <v>0</v>
      </c>
      <c r="BP1031" s="50">
        <v>0</v>
      </c>
      <c r="BQ1031" s="50">
        <v>0</v>
      </c>
      <c r="BR1031" s="50">
        <v>0</v>
      </c>
      <c r="BS1031" s="50">
        <v>0</v>
      </c>
      <c r="BT1031" s="50">
        <v>0</v>
      </c>
      <c r="BU1031" s="50">
        <v>0</v>
      </c>
      <c r="BV1031" s="49"/>
      <c r="BW1031" s="49"/>
    </row>
    <row r="1032" spans="1:75" s="4" customFormat="1" ht="20.100000000000001" customHeight="1">
      <c r="A1032" s="226"/>
      <c r="B1032" s="226"/>
      <c r="C1032" s="50">
        <v>64013313</v>
      </c>
      <c r="D1032" s="51" t="s">
        <v>2256</v>
      </c>
      <c r="E1032" s="51" t="s">
        <v>2257</v>
      </c>
      <c r="F1032" s="215">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29">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4" t="s">
        <v>2258</v>
      </c>
      <c r="AU1032" s="50">
        <v>0</v>
      </c>
      <c r="AV1032" s="50"/>
      <c r="AW1032" s="51" t="s">
        <v>198</v>
      </c>
      <c r="AX1032" s="50" t="s">
        <v>545</v>
      </c>
      <c r="AY1032" s="50">
        <v>0</v>
      </c>
      <c r="AZ1032" s="50">
        <v>77005103</v>
      </c>
      <c r="BA1032" s="51" t="s">
        <v>1174</v>
      </c>
      <c r="BB1032" s="364" t="s">
        <v>2259</v>
      </c>
      <c r="BC1032" s="50">
        <v>0</v>
      </c>
      <c r="BD1032" s="50">
        <v>0</v>
      </c>
      <c r="BE1032" s="55" t="s">
        <v>2260</v>
      </c>
      <c r="BF1032" s="55" t="s">
        <v>2261</v>
      </c>
      <c r="BG1032" s="50">
        <v>0</v>
      </c>
      <c r="BH1032" s="50">
        <v>0</v>
      </c>
      <c r="BI1032" s="50">
        <v>0</v>
      </c>
      <c r="BJ1032" s="50">
        <v>0</v>
      </c>
      <c r="BK1032" s="50">
        <v>0</v>
      </c>
      <c r="BL1032" s="50">
        <v>0</v>
      </c>
      <c r="BM1032" s="234">
        <v>0</v>
      </c>
      <c r="BN1032" s="50">
        <v>0</v>
      </c>
      <c r="BO1032" s="50">
        <v>0</v>
      </c>
      <c r="BP1032" s="50">
        <v>0</v>
      </c>
      <c r="BQ1032" s="50">
        <v>0</v>
      </c>
      <c r="BR1032" s="50">
        <v>0</v>
      </c>
      <c r="BS1032" s="50">
        <v>0</v>
      </c>
      <c r="BT1032" s="50">
        <v>0</v>
      </c>
      <c r="BU1032" s="50">
        <v>0</v>
      </c>
      <c r="BV1032" s="49"/>
      <c r="BW1032" s="49"/>
    </row>
    <row r="1033" spans="1:75" s="4" customFormat="1" ht="20.100000000000001" customHeight="1">
      <c r="A1033" s="226"/>
      <c r="B1033" s="226"/>
      <c r="C1033" s="50">
        <v>64013314</v>
      </c>
      <c r="D1033" s="51" t="s">
        <v>2256</v>
      </c>
      <c r="E1033" s="51" t="s">
        <v>2257</v>
      </c>
      <c r="F1033" s="215">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29">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4" t="s">
        <v>2258</v>
      </c>
      <c r="AU1033" s="50">
        <v>0</v>
      </c>
      <c r="AV1033" s="50"/>
      <c r="AW1033" s="51" t="s">
        <v>198</v>
      </c>
      <c r="AX1033" s="50" t="s">
        <v>545</v>
      </c>
      <c r="AY1033" s="50">
        <v>0</v>
      </c>
      <c r="AZ1033" s="50">
        <v>77005103</v>
      </c>
      <c r="BA1033" s="51" t="s">
        <v>1174</v>
      </c>
      <c r="BB1033" s="364" t="s">
        <v>2259</v>
      </c>
      <c r="BC1033" s="50">
        <v>0</v>
      </c>
      <c r="BD1033" s="50">
        <v>0</v>
      </c>
      <c r="BE1033" s="55" t="s">
        <v>2260</v>
      </c>
      <c r="BF1033" s="55" t="s">
        <v>2261</v>
      </c>
      <c r="BG1033" s="50">
        <v>0</v>
      </c>
      <c r="BH1033" s="50">
        <v>0</v>
      </c>
      <c r="BI1033" s="50">
        <v>0</v>
      </c>
      <c r="BJ1033" s="50">
        <v>0</v>
      </c>
      <c r="BK1033" s="50">
        <v>0</v>
      </c>
      <c r="BL1033" s="50">
        <v>0</v>
      </c>
      <c r="BM1033" s="234">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26"/>
      <c r="B1034" s="226"/>
      <c r="C1034" s="50">
        <v>64013315</v>
      </c>
      <c r="D1034" s="51" t="s">
        <v>2256</v>
      </c>
      <c r="E1034" s="51" t="s">
        <v>2257</v>
      </c>
      <c r="F1034" s="215">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29">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4" t="s">
        <v>2258</v>
      </c>
      <c r="AU1034" s="50">
        <v>0</v>
      </c>
      <c r="AV1034" s="50"/>
      <c r="AW1034" s="51" t="s">
        <v>198</v>
      </c>
      <c r="AX1034" s="50" t="s">
        <v>545</v>
      </c>
      <c r="AY1034" s="50">
        <v>0</v>
      </c>
      <c r="AZ1034" s="50">
        <v>77005103</v>
      </c>
      <c r="BA1034" s="51" t="s">
        <v>1174</v>
      </c>
      <c r="BB1034" s="364" t="s">
        <v>2259</v>
      </c>
      <c r="BC1034" s="50">
        <v>0</v>
      </c>
      <c r="BD1034" s="50">
        <v>0</v>
      </c>
      <c r="BE1034" s="55" t="s">
        <v>2260</v>
      </c>
      <c r="BF1034" s="55" t="s">
        <v>2261</v>
      </c>
      <c r="BG1034" s="50">
        <v>0</v>
      </c>
      <c r="BH1034" s="50">
        <v>0</v>
      </c>
      <c r="BI1034" s="50">
        <v>0</v>
      </c>
      <c r="BJ1034" s="50">
        <v>0</v>
      </c>
      <c r="BK1034" s="50">
        <v>0</v>
      </c>
      <c r="BL1034" s="50">
        <v>0</v>
      </c>
      <c r="BM1034" s="234">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26"/>
      <c r="B1035" s="226"/>
      <c r="C1035" s="50">
        <v>64013316</v>
      </c>
      <c r="D1035" s="51" t="s">
        <v>2256</v>
      </c>
      <c r="E1035" s="51" t="s">
        <v>2257</v>
      </c>
      <c r="F1035" s="215">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29">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4" t="s">
        <v>2258</v>
      </c>
      <c r="AU1035" s="50">
        <v>0</v>
      </c>
      <c r="AV1035" s="50"/>
      <c r="AW1035" s="51" t="s">
        <v>198</v>
      </c>
      <c r="AX1035" s="50" t="s">
        <v>545</v>
      </c>
      <c r="AY1035" s="50">
        <v>0</v>
      </c>
      <c r="AZ1035" s="50">
        <v>77005103</v>
      </c>
      <c r="BA1035" s="51" t="s">
        <v>1174</v>
      </c>
      <c r="BB1035" s="364" t="s">
        <v>2259</v>
      </c>
      <c r="BC1035" s="50">
        <v>0</v>
      </c>
      <c r="BD1035" s="50">
        <v>0</v>
      </c>
      <c r="BE1035" s="55" t="s">
        <v>2260</v>
      </c>
      <c r="BF1035" s="55" t="s">
        <v>2261</v>
      </c>
      <c r="BG1035" s="50">
        <v>0</v>
      </c>
      <c r="BH1035" s="50">
        <v>0</v>
      </c>
      <c r="BI1035" s="50">
        <v>0</v>
      </c>
      <c r="BJ1035" s="50">
        <v>0</v>
      </c>
      <c r="BK1035" s="50">
        <v>0</v>
      </c>
      <c r="BL1035" s="50">
        <v>0</v>
      </c>
      <c r="BM1035" s="234">
        <v>0</v>
      </c>
      <c r="BN1035" s="50">
        <v>0</v>
      </c>
      <c r="BO1035" s="50">
        <v>0</v>
      </c>
      <c r="BP1035" s="50">
        <v>0</v>
      </c>
      <c r="BQ1035" s="50">
        <v>0</v>
      </c>
      <c r="BR1035" s="50">
        <v>0</v>
      </c>
      <c r="BS1035" s="50">
        <v>0</v>
      </c>
      <c r="BT1035" s="50">
        <v>0</v>
      </c>
      <c r="BU1035" s="50">
        <v>0</v>
      </c>
      <c r="BV1035" s="49"/>
      <c r="BW1035" s="49"/>
    </row>
    <row r="1036" spans="1:75" s="2" customFormat="1" ht="20.100000000000001" customHeight="1">
      <c r="A1036" s="217"/>
      <c r="B1036" s="217"/>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2" t="s">
        <v>2264</v>
      </c>
      <c r="AU1036" s="103" t="s">
        <v>198</v>
      </c>
      <c r="AV1036" s="362"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pans="1:75" s="2" customFormat="1" ht="20.100000000000001" customHeight="1">
      <c r="A1037" s="217"/>
      <c r="B1037" s="217"/>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2" t="s">
        <v>2264</v>
      </c>
      <c r="AU1037" s="103" t="s">
        <v>198</v>
      </c>
      <c r="AV1037" s="362"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pans="1:75" s="2" customFormat="1" ht="20.100000000000001" customHeight="1">
      <c r="A1038" s="217"/>
      <c r="B1038" s="217"/>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2" t="s">
        <v>2264</v>
      </c>
      <c r="AU1038" s="103" t="s">
        <v>198</v>
      </c>
      <c r="AV1038" s="362"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pans="1:75" s="2" customFormat="1" ht="20.100000000000001" customHeight="1">
      <c r="A1039" s="217"/>
      <c r="B1039" s="217"/>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2" t="s">
        <v>2264</v>
      </c>
      <c r="AU1039" s="103" t="s">
        <v>198</v>
      </c>
      <c r="AV1039" s="362"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7"/>
      <c r="B1040" s="217"/>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2" t="s">
        <v>2264</v>
      </c>
      <c r="AU1040" s="103" t="s">
        <v>198</v>
      </c>
      <c r="AV1040" s="362"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7"/>
      <c r="B1041" s="217"/>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2" t="s">
        <v>2264</v>
      </c>
      <c r="AU1041" s="103" t="s">
        <v>198</v>
      </c>
      <c r="AV1041" s="362"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3" customFormat="1" ht="19.5" customHeight="1">
      <c r="A1042" s="220"/>
      <c r="B1042" s="220"/>
      <c r="C1042" s="221">
        <v>64013501</v>
      </c>
      <c r="D1042" s="222" t="s">
        <v>760</v>
      </c>
      <c r="E1042" s="222" t="s">
        <v>761</v>
      </c>
      <c r="F1042" s="225">
        <v>1</v>
      </c>
      <c r="G1042" s="225">
        <v>0</v>
      </c>
      <c r="H1042" s="225">
        <v>0</v>
      </c>
      <c r="I1042" s="227">
        <v>0</v>
      </c>
      <c r="J1042" s="221">
        <v>1</v>
      </c>
      <c r="K1042" s="221">
        <v>0</v>
      </c>
      <c r="L1042" s="221">
        <v>0</v>
      </c>
      <c r="M1042" s="225">
        <v>0</v>
      </c>
      <c r="N1042" s="225">
        <v>0</v>
      </c>
      <c r="O1042" s="225">
        <v>2</v>
      </c>
      <c r="P1042" s="225">
        <v>1</v>
      </c>
      <c r="Q1042" s="225">
        <v>1</v>
      </c>
      <c r="R1042" s="225">
        <v>1</v>
      </c>
      <c r="S1042" s="228">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8">
        <v>0</v>
      </c>
      <c r="AJ1042" s="228">
        <v>2</v>
      </c>
      <c r="AK1042" s="228">
        <v>0</v>
      </c>
      <c r="AL1042" s="228">
        <v>1.5</v>
      </c>
      <c r="AM1042" s="225">
        <v>0</v>
      </c>
      <c r="AN1042" s="225">
        <v>0.5</v>
      </c>
      <c r="AO1042" s="225">
        <v>0</v>
      </c>
      <c r="AP1042" s="225">
        <v>1</v>
      </c>
      <c r="AQ1042" s="225">
        <v>1000</v>
      </c>
      <c r="AR1042" s="225">
        <v>0.2</v>
      </c>
      <c r="AS1042" s="225">
        <v>15</v>
      </c>
      <c r="AT1042" s="228">
        <v>0</v>
      </c>
      <c r="AU1042" s="363" t="s">
        <v>2270</v>
      </c>
      <c r="AV1042" s="230"/>
      <c r="AW1042" s="222" t="s">
        <v>199</v>
      </c>
      <c r="AX1042" s="225" t="s">
        <v>215</v>
      </c>
      <c r="AY1042" s="221">
        <v>0</v>
      </c>
      <c r="AZ1042" s="221">
        <v>0</v>
      </c>
      <c r="BA1042" s="232" t="s">
        <v>216</v>
      </c>
      <c r="BB1042" s="225">
        <v>0</v>
      </c>
      <c r="BC1042" s="227">
        <v>0</v>
      </c>
      <c r="BD1042" s="227">
        <v>0</v>
      </c>
      <c r="BE1042" s="233" t="s">
        <v>2271</v>
      </c>
      <c r="BF1042" s="233" t="s">
        <v>2272</v>
      </c>
      <c r="BG1042" s="225">
        <v>0</v>
      </c>
      <c r="BH1042" s="225">
        <v>0</v>
      </c>
      <c r="BI1042" s="225">
        <v>0</v>
      </c>
      <c r="BJ1042" s="225">
        <v>0</v>
      </c>
      <c r="BK1042" s="225">
        <v>0</v>
      </c>
      <c r="BL1042" s="225">
        <v>0</v>
      </c>
      <c r="BM1042" s="224">
        <v>0</v>
      </c>
      <c r="BN1042" s="228">
        <v>0</v>
      </c>
      <c r="BO1042" s="228">
        <v>0</v>
      </c>
      <c r="BP1042" s="228">
        <v>0</v>
      </c>
      <c r="BQ1042" s="228">
        <v>0</v>
      </c>
      <c r="BR1042" s="228">
        <v>0</v>
      </c>
      <c r="BS1042" s="228">
        <v>0</v>
      </c>
      <c r="BT1042" s="228">
        <v>0</v>
      </c>
      <c r="BU1042" s="228">
        <v>0</v>
      </c>
      <c r="BV1042" s="49"/>
      <c r="BW1042" s="49"/>
    </row>
    <row r="1043" spans="1:75" s="3" customFormat="1" ht="19.5" customHeight="1">
      <c r="A1043" s="220"/>
      <c r="B1043" s="220"/>
      <c r="C1043" s="221">
        <v>64013601</v>
      </c>
      <c r="D1043" s="222" t="s">
        <v>2273</v>
      </c>
      <c r="E1043" s="222" t="s">
        <v>2274</v>
      </c>
      <c r="F1043" s="221">
        <v>1</v>
      </c>
      <c r="G1043" s="221">
        <v>0</v>
      </c>
      <c r="H1043" s="221">
        <v>0</v>
      </c>
      <c r="I1043" s="227">
        <v>0</v>
      </c>
      <c r="J1043" s="221">
        <v>1</v>
      </c>
      <c r="K1043" s="221">
        <v>0</v>
      </c>
      <c r="L1043" s="221">
        <v>0</v>
      </c>
      <c r="M1043" s="225">
        <v>0</v>
      </c>
      <c r="N1043" s="225">
        <v>0</v>
      </c>
      <c r="O1043" s="225">
        <v>2</v>
      </c>
      <c r="P1043" s="225">
        <v>3</v>
      </c>
      <c r="Q1043" s="225">
        <v>0.2</v>
      </c>
      <c r="R1043" s="225">
        <v>0</v>
      </c>
      <c r="S1043" s="228">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8">
        <v>0</v>
      </c>
      <c r="AJ1043" s="228">
        <v>1</v>
      </c>
      <c r="AK1043" s="228">
        <v>0</v>
      </c>
      <c r="AL1043" s="228">
        <v>3</v>
      </c>
      <c r="AM1043" s="225">
        <v>0</v>
      </c>
      <c r="AN1043" s="225">
        <v>0</v>
      </c>
      <c r="AO1043" s="225">
        <v>0</v>
      </c>
      <c r="AP1043" s="225">
        <v>0</v>
      </c>
      <c r="AQ1043" s="225">
        <v>500</v>
      </c>
      <c r="AR1043" s="225">
        <v>0</v>
      </c>
      <c r="AS1043" s="225">
        <v>0</v>
      </c>
      <c r="AT1043" s="228">
        <v>95101004</v>
      </c>
      <c r="AU1043" s="230">
        <v>0</v>
      </c>
      <c r="AV1043" s="230"/>
      <c r="AW1043" s="231" t="s">
        <v>198</v>
      </c>
      <c r="AX1043" s="225" t="s">
        <v>534</v>
      </c>
      <c r="AY1043" s="221">
        <v>0</v>
      </c>
      <c r="AZ1043" s="221">
        <v>0</v>
      </c>
      <c r="BA1043" s="222" t="s">
        <v>200</v>
      </c>
      <c r="BB1043" s="225">
        <v>0</v>
      </c>
      <c r="BC1043" s="227">
        <v>0</v>
      </c>
      <c r="BD1043" s="227">
        <v>0</v>
      </c>
      <c r="BE1043" s="233" t="s">
        <v>2275</v>
      </c>
      <c r="BF1043" s="233" t="s">
        <v>2276</v>
      </c>
      <c r="BG1043" s="225">
        <v>0</v>
      </c>
      <c r="BH1043" s="225">
        <v>0</v>
      </c>
      <c r="BI1043" s="225">
        <v>0</v>
      </c>
      <c r="BJ1043" s="225">
        <v>0</v>
      </c>
      <c r="BK1043" s="225">
        <v>0</v>
      </c>
      <c r="BL1043" s="225">
        <v>0</v>
      </c>
      <c r="BM1043" s="224">
        <v>0</v>
      </c>
      <c r="BN1043" s="228">
        <v>0</v>
      </c>
      <c r="BO1043" s="228">
        <v>0</v>
      </c>
      <c r="BP1043" s="228">
        <v>0</v>
      </c>
      <c r="BQ1043" s="228">
        <v>0</v>
      </c>
      <c r="BR1043" s="228">
        <v>0</v>
      </c>
      <c r="BS1043" s="228">
        <v>0</v>
      </c>
      <c r="BT1043" s="228">
        <v>0</v>
      </c>
      <c r="BU1043" s="228">
        <v>0</v>
      </c>
      <c r="BV1043" s="49"/>
      <c r="BW1043" s="49"/>
    </row>
    <row r="1044" spans="1:75" s="3" customFormat="1" ht="19.5" customHeight="1">
      <c r="A1044" s="220"/>
      <c r="B1044" s="220"/>
      <c r="C1044" s="221">
        <v>64013602</v>
      </c>
      <c r="D1044" s="222" t="s">
        <v>2273</v>
      </c>
      <c r="E1044" s="222" t="s">
        <v>2274</v>
      </c>
      <c r="F1044" s="221">
        <v>1</v>
      </c>
      <c r="G1044" s="221">
        <v>0</v>
      </c>
      <c r="H1044" s="221">
        <v>0</v>
      </c>
      <c r="I1044" s="227">
        <v>0</v>
      </c>
      <c r="J1044" s="221">
        <v>1</v>
      </c>
      <c r="K1044" s="221">
        <v>0</v>
      </c>
      <c r="L1044" s="221">
        <v>0</v>
      </c>
      <c r="M1044" s="225">
        <v>0</v>
      </c>
      <c r="N1044" s="225">
        <v>0</v>
      </c>
      <c r="O1044" s="225">
        <v>2</v>
      </c>
      <c r="P1044" s="225">
        <v>3</v>
      </c>
      <c r="Q1044" s="225">
        <v>0.2</v>
      </c>
      <c r="R1044" s="225">
        <v>0</v>
      </c>
      <c r="S1044" s="228">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8">
        <v>0</v>
      </c>
      <c r="AJ1044" s="228">
        <v>1</v>
      </c>
      <c r="AK1044" s="228">
        <v>0</v>
      </c>
      <c r="AL1044" s="228">
        <v>3</v>
      </c>
      <c r="AM1044" s="225">
        <v>0</v>
      </c>
      <c r="AN1044" s="225">
        <v>0</v>
      </c>
      <c r="AO1044" s="225">
        <v>0</v>
      </c>
      <c r="AP1044" s="225">
        <v>0</v>
      </c>
      <c r="AQ1044" s="225">
        <v>500</v>
      </c>
      <c r="AR1044" s="225">
        <v>0</v>
      </c>
      <c r="AS1044" s="225">
        <v>0</v>
      </c>
      <c r="AT1044" s="228">
        <v>95101004</v>
      </c>
      <c r="AU1044" s="230">
        <v>0</v>
      </c>
      <c r="AV1044" s="230"/>
      <c r="AW1044" s="231" t="s">
        <v>198</v>
      </c>
      <c r="AX1044" s="225" t="s">
        <v>534</v>
      </c>
      <c r="AY1044" s="221">
        <v>0</v>
      </c>
      <c r="AZ1044" s="221">
        <v>0</v>
      </c>
      <c r="BA1044" s="222" t="s">
        <v>200</v>
      </c>
      <c r="BB1044" s="225">
        <v>0</v>
      </c>
      <c r="BC1044" s="227">
        <v>0</v>
      </c>
      <c r="BD1044" s="227">
        <v>0</v>
      </c>
      <c r="BE1044" s="233" t="s">
        <v>2275</v>
      </c>
      <c r="BF1044" s="233" t="s">
        <v>2276</v>
      </c>
      <c r="BG1044" s="225">
        <v>0</v>
      </c>
      <c r="BH1044" s="225">
        <v>0</v>
      </c>
      <c r="BI1044" s="225">
        <v>0</v>
      </c>
      <c r="BJ1044" s="225">
        <v>0</v>
      </c>
      <c r="BK1044" s="225">
        <v>0</v>
      </c>
      <c r="BL1044" s="225">
        <v>0</v>
      </c>
      <c r="BM1044" s="224">
        <v>0</v>
      </c>
      <c r="BN1044" s="228">
        <v>0</v>
      </c>
      <c r="BO1044" s="228">
        <v>0</v>
      </c>
      <c r="BP1044" s="228">
        <v>0</v>
      </c>
      <c r="BQ1044" s="228">
        <v>0</v>
      </c>
      <c r="BR1044" s="228">
        <v>0</v>
      </c>
      <c r="BS1044" s="228">
        <v>0</v>
      </c>
      <c r="BT1044" s="228">
        <v>0</v>
      </c>
      <c r="BU1044" s="228">
        <v>0</v>
      </c>
      <c r="BV1044" s="49"/>
      <c r="BW1044" s="49"/>
    </row>
    <row r="1045" spans="1:75" s="3" customFormat="1" ht="19.5" customHeight="1">
      <c r="A1045" s="220"/>
      <c r="B1045" s="220"/>
      <c r="C1045" s="221">
        <v>64013603</v>
      </c>
      <c r="D1045" s="222" t="s">
        <v>2273</v>
      </c>
      <c r="E1045" s="222" t="s">
        <v>2274</v>
      </c>
      <c r="F1045" s="221">
        <v>1</v>
      </c>
      <c r="G1045" s="221">
        <v>0</v>
      </c>
      <c r="H1045" s="221">
        <v>0</v>
      </c>
      <c r="I1045" s="227">
        <v>0</v>
      </c>
      <c r="J1045" s="221">
        <v>1</v>
      </c>
      <c r="K1045" s="221">
        <v>0</v>
      </c>
      <c r="L1045" s="221">
        <v>0</v>
      </c>
      <c r="M1045" s="225">
        <v>0</v>
      </c>
      <c r="N1045" s="225">
        <v>0</v>
      </c>
      <c r="O1045" s="225">
        <v>2</v>
      </c>
      <c r="P1045" s="225">
        <v>3</v>
      </c>
      <c r="Q1045" s="225">
        <v>0.2</v>
      </c>
      <c r="R1045" s="225">
        <v>0</v>
      </c>
      <c r="S1045" s="228">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8">
        <v>0</v>
      </c>
      <c r="AJ1045" s="228">
        <v>1</v>
      </c>
      <c r="AK1045" s="228">
        <v>0</v>
      </c>
      <c r="AL1045" s="228">
        <v>3</v>
      </c>
      <c r="AM1045" s="225">
        <v>0</v>
      </c>
      <c r="AN1045" s="225">
        <v>0</v>
      </c>
      <c r="AO1045" s="225">
        <v>0</v>
      </c>
      <c r="AP1045" s="225">
        <v>0</v>
      </c>
      <c r="AQ1045" s="225">
        <v>500</v>
      </c>
      <c r="AR1045" s="225">
        <v>0</v>
      </c>
      <c r="AS1045" s="225">
        <v>0</v>
      </c>
      <c r="AT1045" s="228">
        <v>95101004</v>
      </c>
      <c r="AU1045" s="230">
        <v>0</v>
      </c>
      <c r="AV1045" s="230"/>
      <c r="AW1045" s="231" t="s">
        <v>198</v>
      </c>
      <c r="AX1045" s="225" t="s">
        <v>534</v>
      </c>
      <c r="AY1045" s="221">
        <v>0</v>
      </c>
      <c r="AZ1045" s="221">
        <v>0</v>
      </c>
      <c r="BA1045" s="222" t="s">
        <v>200</v>
      </c>
      <c r="BB1045" s="225">
        <v>0</v>
      </c>
      <c r="BC1045" s="227">
        <v>0</v>
      </c>
      <c r="BD1045" s="227">
        <v>0</v>
      </c>
      <c r="BE1045" s="233" t="s">
        <v>2275</v>
      </c>
      <c r="BF1045" s="233" t="s">
        <v>2276</v>
      </c>
      <c r="BG1045" s="225">
        <v>0</v>
      </c>
      <c r="BH1045" s="225">
        <v>0</v>
      </c>
      <c r="BI1045" s="225">
        <v>0</v>
      </c>
      <c r="BJ1045" s="225">
        <v>0</v>
      </c>
      <c r="BK1045" s="225">
        <v>0</v>
      </c>
      <c r="BL1045" s="225">
        <v>0</v>
      </c>
      <c r="BM1045" s="224">
        <v>0</v>
      </c>
      <c r="BN1045" s="228">
        <v>0</v>
      </c>
      <c r="BO1045" s="228">
        <v>0</v>
      </c>
      <c r="BP1045" s="228">
        <v>0</v>
      </c>
      <c r="BQ1045" s="228">
        <v>0</v>
      </c>
      <c r="BR1045" s="228">
        <v>0</v>
      </c>
      <c r="BS1045" s="228">
        <v>0</v>
      </c>
      <c r="BT1045" s="228">
        <v>0</v>
      </c>
      <c r="BU1045" s="228">
        <v>0</v>
      </c>
      <c r="BV1045" s="49"/>
      <c r="BW1045" s="49"/>
    </row>
    <row r="1046" spans="1:75" s="3" customFormat="1" ht="19.5" customHeight="1">
      <c r="A1046" s="220"/>
      <c r="B1046" s="220"/>
      <c r="C1046" s="221">
        <v>64013604</v>
      </c>
      <c r="D1046" s="222" t="s">
        <v>2273</v>
      </c>
      <c r="E1046" s="222" t="s">
        <v>2274</v>
      </c>
      <c r="F1046" s="221">
        <v>1</v>
      </c>
      <c r="G1046" s="221">
        <v>0</v>
      </c>
      <c r="H1046" s="221">
        <v>0</v>
      </c>
      <c r="I1046" s="227">
        <v>0</v>
      </c>
      <c r="J1046" s="221">
        <v>1</v>
      </c>
      <c r="K1046" s="221">
        <v>0</v>
      </c>
      <c r="L1046" s="221">
        <v>0</v>
      </c>
      <c r="M1046" s="225">
        <v>0</v>
      </c>
      <c r="N1046" s="225">
        <v>0</v>
      </c>
      <c r="O1046" s="225">
        <v>2</v>
      </c>
      <c r="P1046" s="225">
        <v>3</v>
      </c>
      <c r="Q1046" s="225">
        <v>0.2</v>
      </c>
      <c r="R1046" s="225">
        <v>0</v>
      </c>
      <c r="S1046" s="228">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8">
        <v>0</v>
      </c>
      <c r="AJ1046" s="228">
        <v>1</v>
      </c>
      <c r="AK1046" s="228">
        <v>0</v>
      </c>
      <c r="AL1046" s="228">
        <v>3</v>
      </c>
      <c r="AM1046" s="225">
        <v>0</v>
      </c>
      <c r="AN1046" s="225">
        <v>0</v>
      </c>
      <c r="AO1046" s="225">
        <v>0</v>
      </c>
      <c r="AP1046" s="225">
        <v>0</v>
      </c>
      <c r="AQ1046" s="225">
        <v>500</v>
      </c>
      <c r="AR1046" s="225">
        <v>0</v>
      </c>
      <c r="AS1046" s="225">
        <v>0</v>
      </c>
      <c r="AT1046" s="228">
        <v>95101004</v>
      </c>
      <c r="AU1046" s="230">
        <v>0</v>
      </c>
      <c r="AV1046" s="230"/>
      <c r="AW1046" s="231" t="s">
        <v>198</v>
      </c>
      <c r="AX1046" s="225" t="s">
        <v>534</v>
      </c>
      <c r="AY1046" s="221">
        <v>0</v>
      </c>
      <c r="AZ1046" s="221">
        <v>0</v>
      </c>
      <c r="BA1046" s="222" t="s">
        <v>200</v>
      </c>
      <c r="BB1046" s="225">
        <v>0</v>
      </c>
      <c r="BC1046" s="227">
        <v>0</v>
      </c>
      <c r="BD1046" s="227">
        <v>0</v>
      </c>
      <c r="BE1046" s="233" t="s">
        <v>2275</v>
      </c>
      <c r="BF1046" s="233" t="s">
        <v>2276</v>
      </c>
      <c r="BG1046" s="225">
        <v>0</v>
      </c>
      <c r="BH1046" s="225">
        <v>0</v>
      </c>
      <c r="BI1046" s="225">
        <v>0</v>
      </c>
      <c r="BJ1046" s="225">
        <v>0</v>
      </c>
      <c r="BK1046" s="225">
        <v>0</v>
      </c>
      <c r="BL1046" s="225">
        <v>0</v>
      </c>
      <c r="BM1046" s="224">
        <v>0</v>
      </c>
      <c r="BN1046" s="228">
        <v>0</v>
      </c>
      <c r="BO1046" s="228">
        <v>0</v>
      </c>
      <c r="BP1046" s="228">
        <v>0</v>
      </c>
      <c r="BQ1046" s="228">
        <v>0</v>
      </c>
      <c r="BR1046" s="228">
        <v>0</v>
      </c>
      <c r="BS1046" s="228">
        <v>0</v>
      </c>
      <c r="BT1046" s="228">
        <v>0</v>
      </c>
      <c r="BU1046" s="228">
        <v>0</v>
      </c>
      <c r="BV1046" s="49"/>
      <c r="BW1046" s="49"/>
    </row>
    <row r="1047" spans="1:75" s="3" customFormat="1" ht="19.5" customHeight="1">
      <c r="A1047" s="220"/>
      <c r="B1047" s="220"/>
      <c r="C1047" s="221">
        <v>64013605</v>
      </c>
      <c r="D1047" s="222" t="s">
        <v>2273</v>
      </c>
      <c r="E1047" s="222" t="s">
        <v>2274</v>
      </c>
      <c r="F1047" s="221">
        <v>1</v>
      </c>
      <c r="G1047" s="221">
        <v>0</v>
      </c>
      <c r="H1047" s="221">
        <v>0</v>
      </c>
      <c r="I1047" s="227">
        <v>0</v>
      </c>
      <c r="J1047" s="221">
        <v>1</v>
      </c>
      <c r="K1047" s="221">
        <v>0</v>
      </c>
      <c r="L1047" s="221">
        <v>0</v>
      </c>
      <c r="M1047" s="225">
        <v>0</v>
      </c>
      <c r="N1047" s="225">
        <v>0</v>
      </c>
      <c r="O1047" s="225">
        <v>2</v>
      </c>
      <c r="P1047" s="225">
        <v>3</v>
      </c>
      <c r="Q1047" s="225">
        <v>0.2</v>
      </c>
      <c r="R1047" s="225">
        <v>0</v>
      </c>
      <c r="S1047" s="228">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8">
        <v>0</v>
      </c>
      <c r="AJ1047" s="228">
        <v>1</v>
      </c>
      <c r="AK1047" s="228">
        <v>0</v>
      </c>
      <c r="AL1047" s="228">
        <v>3</v>
      </c>
      <c r="AM1047" s="225">
        <v>0</v>
      </c>
      <c r="AN1047" s="225">
        <v>0</v>
      </c>
      <c r="AO1047" s="225">
        <v>0</v>
      </c>
      <c r="AP1047" s="225">
        <v>0</v>
      </c>
      <c r="AQ1047" s="225">
        <v>500</v>
      </c>
      <c r="AR1047" s="225">
        <v>0</v>
      </c>
      <c r="AS1047" s="225">
        <v>0</v>
      </c>
      <c r="AT1047" s="228">
        <v>95101004</v>
      </c>
      <c r="AU1047" s="230">
        <v>0</v>
      </c>
      <c r="AV1047" s="230"/>
      <c r="AW1047" s="231" t="s">
        <v>198</v>
      </c>
      <c r="AX1047" s="225" t="s">
        <v>534</v>
      </c>
      <c r="AY1047" s="221">
        <v>0</v>
      </c>
      <c r="AZ1047" s="221">
        <v>0</v>
      </c>
      <c r="BA1047" s="222" t="s">
        <v>200</v>
      </c>
      <c r="BB1047" s="225">
        <v>0</v>
      </c>
      <c r="BC1047" s="227">
        <v>0</v>
      </c>
      <c r="BD1047" s="227">
        <v>0</v>
      </c>
      <c r="BE1047" s="233" t="s">
        <v>2275</v>
      </c>
      <c r="BF1047" s="233" t="s">
        <v>2276</v>
      </c>
      <c r="BG1047" s="225">
        <v>0</v>
      </c>
      <c r="BH1047" s="225">
        <v>0</v>
      </c>
      <c r="BI1047" s="225">
        <v>0</v>
      </c>
      <c r="BJ1047" s="225">
        <v>0</v>
      </c>
      <c r="BK1047" s="225">
        <v>0</v>
      </c>
      <c r="BL1047" s="225">
        <v>0</v>
      </c>
      <c r="BM1047" s="224">
        <v>0</v>
      </c>
      <c r="BN1047" s="228">
        <v>0</v>
      </c>
      <c r="BO1047" s="228">
        <v>0</v>
      </c>
      <c r="BP1047" s="228">
        <v>0</v>
      </c>
      <c r="BQ1047" s="228">
        <v>0</v>
      </c>
      <c r="BR1047" s="228">
        <v>0</v>
      </c>
      <c r="BS1047" s="228">
        <v>0</v>
      </c>
      <c r="BT1047" s="228">
        <v>0</v>
      </c>
      <c r="BU1047" s="228">
        <v>0</v>
      </c>
      <c r="BV1047" s="49"/>
      <c r="BW1047" s="49"/>
    </row>
    <row r="1048" spans="1:75" s="3" customFormat="1" ht="19.5" customHeight="1">
      <c r="A1048" s="220"/>
      <c r="B1048" s="220"/>
      <c r="C1048" s="221">
        <v>64013606</v>
      </c>
      <c r="D1048" s="222" t="s">
        <v>2273</v>
      </c>
      <c r="E1048" s="222" t="s">
        <v>2274</v>
      </c>
      <c r="F1048" s="221">
        <v>1</v>
      </c>
      <c r="G1048" s="221">
        <v>0</v>
      </c>
      <c r="H1048" s="221">
        <v>0</v>
      </c>
      <c r="I1048" s="227">
        <v>0</v>
      </c>
      <c r="J1048" s="221">
        <v>1</v>
      </c>
      <c r="K1048" s="221">
        <v>0</v>
      </c>
      <c r="L1048" s="221">
        <v>0</v>
      </c>
      <c r="M1048" s="225">
        <v>0</v>
      </c>
      <c r="N1048" s="225">
        <v>0</v>
      </c>
      <c r="O1048" s="225">
        <v>2</v>
      </c>
      <c r="P1048" s="225">
        <v>3</v>
      </c>
      <c r="Q1048" s="225">
        <v>0.2</v>
      </c>
      <c r="R1048" s="225">
        <v>0</v>
      </c>
      <c r="S1048" s="228">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8">
        <v>0</v>
      </c>
      <c r="AJ1048" s="228">
        <v>1</v>
      </c>
      <c r="AK1048" s="228">
        <v>0</v>
      </c>
      <c r="AL1048" s="228">
        <v>3</v>
      </c>
      <c r="AM1048" s="225">
        <v>0</v>
      </c>
      <c r="AN1048" s="225">
        <v>0</v>
      </c>
      <c r="AO1048" s="225">
        <v>0</v>
      </c>
      <c r="AP1048" s="225">
        <v>0</v>
      </c>
      <c r="AQ1048" s="225">
        <v>500</v>
      </c>
      <c r="AR1048" s="225">
        <v>0</v>
      </c>
      <c r="AS1048" s="225">
        <v>0</v>
      </c>
      <c r="AT1048" s="228">
        <v>95101004</v>
      </c>
      <c r="AU1048" s="230">
        <v>0</v>
      </c>
      <c r="AV1048" s="230"/>
      <c r="AW1048" s="231" t="s">
        <v>198</v>
      </c>
      <c r="AX1048" s="225" t="s">
        <v>534</v>
      </c>
      <c r="AY1048" s="221">
        <v>0</v>
      </c>
      <c r="AZ1048" s="221">
        <v>0</v>
      </c>
      <c r="BA1048" s="222" t="s">
        <v>200</v>
      </c>
      <c r="BB1048" s="225">
        <v>0</v>
      </c>
      <c r="BC1048" s="227">
        <v>0</v>
      </c>
      <c r="BD1048" s="227">
        <v>0</v>
      </c>
      <c r="BE1048" s="233" t="s">
        <v>2275</v>
      </c>
      <c r="BF1048" s="233" t="s">
        <v>2276</v>
      </c>
      <c r="BG1048" s="225">
        <v>0</v>
      </c>
      <c r="BH1048" s="225">
        <v>0</v>
      </c>
      <c r="BI1048" s="225">
        <v>0</v>
      </c>
      <c r="BJ1048" s="225">
        <v>0</v>
      </c>
      <c r="BK1048" s="225">
        <v>0</v>
      </c>
      <c r="BL1048" s="225">
        <v>0</v>
      </c>
      <c r="BM1048" s="224">
        <v>0</v>
      </c>
      <c r="BN1048" s="228">
        <v>0</v>
      </c>
      <c r="BO1048" s="228">
        <v>0</v>
      </c>
      <c r="BP1048" s="228">
        <v>0</v>
      </c>
      <c r="BQ1048" s="228">
        <v>0</v>
      </c>
      <c r="BR1048" s="228">
        <v>0</v>
      </c>
      <c r="BS1048" s="228">
        <v>0</v>
      </c>
      <c r="BT1048" s="228">
        <v>0</v>
      </c>
      <c r="BU1048" s="228">
        <v>0</v>
      </c>
      <c r="BV1048" s="49"/>
      <c r="BW1048" s="49"/>
    </row>
    <row r="1049" spans="1:75" s="1" customFormat="1" ht="20.100000000000001" customHeight="1">
      <c r="A1049" s="216"/>
      <c r="B1049" s="216"/>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2"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pans="1:75" s="1" customFormat="1" ht="20.100000000000001" customHeight="1">
      <c r="A1050" s="216"/>
      <c r="B1050" s="216"/>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2"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pans="1:75" s="1" customFormat="1" ht="20.100000000000001" customHeight="1">
      <c r="A1051" s="216"/>
      <c r="B1051" s="216"/>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2"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pans="1:75" s="1" customFormat="1" ht="20.100000000000001" customHeight="1">
      <c r="A1052" s="216"/>
      <c r="B1052" s="216"/>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2"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6"/>
      <c r="B1053" s="216"/>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2"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6"/>
      <c r="B1054" s="216"/>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2"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2" customFormat="1" ht="19.5" customHeight="1">
      <c r="A1055" s="217"/>
      <c r="B1055" s="216"/>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7" t="s">
        <v>2286</v>
      </c>
      <c r="AV1055" s="362"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pans="1:75" s="2" customFormat="1" ht="19.5" customHeight="1">
      <c r="A1056" s="217"/>
      <c r="B1056" s="216"/>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7" t="s">
        <v>2286</v>
      </c>
      <c r="AV1056" s="362"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pans="1:75" s="2" customFormat="1" ht="19.5" customHeight="1">
      <c r="A1057" s="217"/>
      <c r="B1057" s="217"/>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7" t="s">
        <v>2286</v>
      </c>
      <c r="AV1057" s="362"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pans="1:75" s="2" customFormat="1" ht="19.5" customHeight="1">
      <c r="A1058" s="217"/>
      <c r="B1058" s="217"/>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7" t="s">
        <v>2286</v>
      </c>
      <c r="AV1058" s="362"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7"/>
      <c r="B1059" s="217"/>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7" t="s">
        <v>2286</v>
      </c>
      <c r="AV1059" s="362"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7"/>
      <c r="B1060" s="217"/>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7" t="s">
        <v>2286</v>
      </c>
      <c r="AV1060" s="362"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20.100000000000001" customHeight="1">
      <c r="A1061" s="217"/>
      <c r="B1061" s="217"/>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2" t="s">
        <v>2296</v>
      </c>
      <c r="BV1061" s="49"/>
      <c r="BW1061" s="49"/>
    </row>
    <row r="1062" spans="1:75" s="2" customFormat="1" ht="20.100000000000001" customHeight="1">
      <c r="A1062" s="217"/>
      <c r="B1062" s="217"/>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2" t="s">
        <v>2297</v>
      </c>
      <c r="BV1062" s="49"/>
      <c r="BW1062" s="49"/>
    </row>
    <row r="1063" spans="1:75" s="2" customFormat="1" ht="20.100000000000001" customHeight="1">
      <c r="A1063" s="217"/>
      <c r="B1063" s="217"/>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2" t="s">
        <v>2299</v>
      </c>
      <c r="BV1063" s="49"/>
      <c r="BW1063" s="49"/>
    </row>
    <row r="1064" spans="1:75" s="2" customFormat="1" ht="20.100000000000001" customHeight="1">
      <c r="A1064" s="217"/>
      <c r="B1064" s="217"/>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2" t="s">
        <v>2301</v>
      </c>
      <c r="BV1064" s="49"/>
      <c r="BW1064" s="49"/>
    </row>
    <row r="1065" spans="1:75" s="2" customFormat="1" ht="20.100000000000001" customHeight="1">
      <c r="A1065" s="217"/>
      <c r="B1065" s="217"/>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2" t="s">
        <v>2303</v>
      </c>
      <c r="BV1065" s="49"/>
      <c r="BW1065" s="49"/>
    </row>
    <row r="1066" spans="1:75" s="2" customFormat="1" ht="20.100000000000001" customHeight="1">
      <c r="A1066" s="217"/>
      <c r="B1066" s="217"/>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2" t="s">
        <v>2305</v>
      </c>
      <c r="BV1066" s="49"/>
      <c r="BW1066" s="49"/>
    </row>
    <row r="1067" spans="1:75" s="1" customFormat="1" ht="20.100000000000001" customHeight="1">
      <c r="A1067" s="216"/>
      <c r="B1067" s="216"/>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49" t="s">
        <v>2308</v>
      </c>
      <c r="AU1067" s="362"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pans="1:75" s="1" customFormat="1" ht="20.100000000000001" customHeight="1">
      <c r="A1068" s="216"/>
      <c r="B1068" s="216"/>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49" t="s">
        <v>2308</v>
      </c>
      <c r="AU1068" s="362"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pans="1:75" s="1" customFormat="1" ht="20.100000000000001" customHeight="1">
      <c r="A1069" s="216"/>
      <c r="B1069" s="216"/>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49" t="s">
        <v>2308</v>
      </c>
      <c r="AU1069" s="362"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pans="1:75" s="1" customFormat="1" ht="20.100000000000001" customHeight="1">
      <c r="A1070" s="216"/>
      <c r="B1070" s="216"/>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49" t="s">
        <v>2308</v>
      </c>
      <c r="AU1070" s="362"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6"/>
      <c r="B1071" s="216"/>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49" t="s">
        <v>2308</v>
      </c>
      <c r="AU1071" s="362"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6"/>
      <c r="B1072" s="216"/>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49" t="s">
        <v>2308</v>
      </c>
      <c r="AU1072" s="362"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2" customFormat="1" ht="19.5" customHeight="1">
      <c r="A1073" s="217"/>
      <c r="B1073" s="217"/>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7" t="s">
        <v>2286</v>
      </c>
      <c r="AV1073" s="362"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pans="1:75" s="2" customFormat="1" ht="19.5" customHeight="1">
      <c r="A1074" s="217"/>
      <c r="B1074" s="217"/>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1.2250000000000001</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7" t="s">
        <v>2286</v>
      </c>
      <c r="AV1074" s="362"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pans="1:75" s="2" customFormat="1" ht="19.5" customHeight="1">
      <c r="A1075" s="217"/>
      <c r="B1075" s="217"/>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1.1499999999999999</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7" t="s">
        <v>2286</v>
      </c>
      <c r="AV1075" s="362"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pans="1:75" s="2" customFormat="1" ht="19.5" customHeight="1">
      <c r="A1076" s="217"/>
      <c r="B1076" s="217"/>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1.2250000000000001</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7" t="s">
        <v>2286</v>
      </c>
      <c r="AV1076" s="362"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pans="1:75" s="2" customFormat="1" ht="19.5" customHeight="1">
      <c r="A1077" s="217"/>
      <c r="B1077" s="217"/>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7" t="s">
        <v>2286</v>
      </c>
      <c r="AV1077" s="362"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pans="1:75" s="3" customFormat="1" ht="19.5" customHeight="1">
      <c r="A1078" s="220"/>
      <c r="B1078" s="220"/>
      <c r="C1078" s="221">
        <v>64014501</v>
      </c>
      <c r="D1078" s="222" t="s">
        <v>2224</v>
      </c>
      <c r="E1078" s="222" t="s">
        <v>2225</v>
      </c>
      <c r="F1078" s="221">
        <v>1</v>
      </c>
      <c r="G1078" s="221">
        <v>0</v>
      </c>
      <c r="H1078" s="221">
        <v>0</v>
      </c>
      <c r="I1078" s="227">
        <v>0</v>
      </c>
      <c r="J1078" s="221">
        <v>1</v>
      </c>
      <c r="K1078" s="221">
        <v>0</v>
      </c>
      <c r="L1078" s="221">
        <v>0</v>
      </c>
      <c r="M1078" s="225">
        <v>0</v>
      </c>
      <c r="N1078" s="225">
        <v>0</v>
      </c>
      <c r="O1078" s="225">
        <v>2</v>
      </c>
      <c r="P1078" s="225">
        <v>3</v>
      </c>
      <c r="Q1078" s="225">
        <v>0.2</v>
      </c>
      <c r="R1078" s="225">
        <v>0</v>
      </c>
      <c r="S1078" s="228">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8">
        <v>1</v>
      </c>
      <c r="AJ1078" s="228">
        <v>1</v>
      </c>
      <c r="AK1078" s="228">
        <v>0</v>
      </c>
      <c r="AL1078" s="228">
        <v>3</v>
      </c>
      <c r="AM1078" s="225">
        <v>0</v>
      </c>
      <c r="AN1078" s="225">
        <v>0</v>
      </c>
      <c r="AO1078" s="225">
        <v>0</v>
      </c>
      <c r="AP1078" s="225">
        <v>0</v>
      </c>
      <c r="AQ1078" s="225">
        <v>1000</v>
      </c>
      <c r="AR1078" s="225">
        <v>0.4</v>
      </c>
      <c r="AS1078" s="225">
        <v>0</v>
      </c>
      <c r="AT1078" s="228">
        <v>0</v>
      </c>
      <c r="AU1078" s="363" t="s">
        <v>2270</v>
      </c>
      <c r="AV1078" s="230"/>
      <c r="AW1078" s="231" t="s">
        <v>198</v>
      </c>
      <c r="AX1078" s="225" t="s">
        <v>534</v>
      </c>
      <c r="AY1078" s="221">
        <v>0</v>
      </c>
      <c r="AZ1078" s="221">
        <v>77005207</v>
      </c>
      <c r="BA1078" s="222" t="s">
        <v>200</v>
      </c>
      <c r="BB1078" s="225">
        <v>0</v>
      </c>
      <c r="BC1078" s="227">
        <v>0</v>
      </c>
      <c r="BD1078" s="227">
        <v>0</v>
      </c>
      <c r="BE1078" s="233" t="s">
        <v>2319</v>
      </c>
      <c r="BF1078" s="233" t="s">
        <v>2320</v>
      </c>
      <c r="BG1078" s="225">
        <v>0</v>
      </c>
      <c r="BH1078" s="225">
        <v>0</v>
      </c>
      <c r="BI1078" s="225">
        <v>0</v>
      </c>
      <c r="BJ1078" s="225">
        <v>0</v>
      </c>
      <c r="BK1078" s="225">
        <v>0</v>
      </c>
      <c r="BL1078" s="225">
        <v>0</v>
      </c>
      <c r="BM1078" s="224">
        <v>0</v>
      </c>
      <c r="BN1078" s="228">
        <v>0</v>
      </c>
      <c r="BO1078" s="228">
        <v>0</v>
      </c>
      <c r="BP1078" s="228">
        <v>0</v>
      </c>
      <c r="BQ1078" s="228">
        <v>0</v>
      </c>
      <c r="BR1078" s="228">
        <v>0</v>
      </c>
      <c r="BS1078" s="228">
        <v>0</v>
      </c>
      <c r="BT1078" s="228">
        <v>0</v>
      </c>
      <c r="BU1078" s="228">
        <v>0</v>
      </c>
      <c r="BV1078" s="49"/>
      <c r="BW1078" s="49">
        <v>1</v>
      </c>
    </row>
    <row r="1079" spans="1:75" s="3" customFormat="1" ht="19.5" customHeight="1">
      <c r="A1079" s="220"/>
      <c r="B1079" s="220"/>
      <c r="C1079" s="221">
        <v>64014601</v>
      </c>
      <c r="D1079" s="222" t="s">
        <v>2321</v>
      </c>
      <c r="E1079" s="222" t="s">
        <v>2322</v>
      </c>
      <c r="F1079" s="221">
        <v>1</v>
      </c>
      <c r="G1079" s="225">
        <v>0</v>
      </c>
      <c r="H1079" s="221">
        <v>0</v>
      </c>
      <c r="I1079" s="227">
        <v>0</v>
      </c>
      <c r="J1079" s="221">
        <v>1</v>
      </c>
      <c r="K1079" s="221">
        <v>0</v>
      </c>
      <c r="L1079" s="221">
        <v>0</v>
      </c>
      <c r="M1079" s="225">
        <v>0</v>
      </c>
      <c r="N1079" s="225">
        <v>0</v>
      </c>
      <c r="O1079" s="225">
        <v>2</v>
      </c>
      <c r="P1079" s="225">
        <v>16</v>
      </c>
      <c r="Q1079" s="225">
        <v>1</v>
      </c>
      <c r="R1079" s="225">
        <v>0</v>
      </c>
      <c r="S1079" s="228">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8">
        <v>0</v>
      </c>
      <c r="AJ1079" s="228">
        <v>2</v>
      </c>
      <c r="AK1079" s="228">
        <v>0</v>
      </c>
      <c r="AL1079" s="228">
        <v>2</v>
      </c>
      <c r="AM1079" s="225">
        <v>0</v>
      </c>
      <c r="AN1079" s="225">
        <v>0</v>
      </c>
      <c r="AO1079" s="225">
        <v>0</v>
      </c>
      <c r="AP1079" s="225">
        <v>0</v>
      </c>
      <c r="AQ1079" s="225">
        <v>5000</v>
      </c>
      <c r="AR1079" s="225">
        <v>0</v>
      </c>
      <c r="AS1079" s="225">
        <v>15</v>
      </c>
      <c r="AT1079" s="235">
        <v>0</v>
      </c>
      <c r="AU1079" s="363" t="s">
        <v>2270</v>
      </c>
      <c r="AV1079" s="230"/>
      <c r="AW1079" s="222" t="s">
        <v>198</v>
      </c>
      <c r="AX1079" s="225" t="s">
        <v>534</v>
      </c>
      <c r="AY1079" s="221">
        <v>10000007</v>
      </c>
      <c r="AZ1079" s="221">
        <v>77005205</v>
      </c>
      <c r="BA1079" s="222" t="s">
        <v>586</v>
      </c>
      <c r="BB1079" s="225" t="s">
        <v>2323</v>
      </c>
      <c r="BC1079" s="227">
        <v>0</v>
      </c>
      <c r="BD1079" s="227">
        <v>1</v>
      </c>
      <c r="BE1079" s="233" t="s">
        <v>2324</v>
      </c>
      <c r="BF1079" s="233" t="s">
        <v>2325</v>
      </c>
      <c r="BG1079" s="225">
        <v>0</v>
      </c>
      <c r="BH1079" s="225">
        <v>0</v>
      </c>
      <c r="BI1079" s="225">
        <v>0</v>
      </c>
      <c r="BJ1079" s="225">
        <v>0</v>
      </c>
      <c r="BK1079" s="225">
        <v>0</v>
      </c>
      <c r="BL1079" s="225">
        <v>0</v>
      </c>
      <c r="BM1079" s="224">
        <v>0</v>
      </c>
      <c r="BN1079" s="228">
        <v>0</v>
      </c>
      <c r="BO1079" s="228">
        <v>0</v>
      </c>
      <c r="BP1079" s="228">
        <v>0</v>
      </c>
      <c r="BQ1079" s="228">
        <v>0</v>
      </c>
      <c r="BR1079" s="228">
        <v>0</v>
      </c>
      <c r="BS1079" s="228">
        <v>0</v>
      </c>
      <c r="BT1079" s="228">
        <v>0</v>
      </c>
      <c r="BU1079" s="228">
        <v>0</v>
      </c>
      <c r="BV1079" s="49"/>
      <c r="BW1079" s="49"/>
    </row>
    <row r="1080" spans="1:75" s="3" customFormat="1" ht="19.5" customHeight="1">
      <c r="A1080" s="220"/>
      <c r="B1080" s="220"/>
      <c r="C1080" s="221">
        <v>64014602</v>
      </c>
      <c r="D1080" s="222" t="s">
        <v>2321</v>
      </c>
      <c r="E1080" s="222" t="s">
        <v>2322</v>
      </c>
      <c r="F1080" s="221">
        <v>1</v>
      </c>
      <c r="G1080" s="225">
        <v>0</v>
      </c>
      <c r="H1080" s="221">
        <v>0</v>
      </c>
      <c r="I1080" s="227">
        <v>0</v>
      </c>
      <c r="J1080" s="221">
        <v>1</v>
      </c>
      <c r="K1080" s="221">
        <v>0</v>
      </c>
      <c r="L1080" s="221">
        <v>0</v>
      </c>
      <c r="M1080" s="225">
        <v>0</v>
      </c>
      <c r="N1080" s="225">
        <v>0</v>
      </c>
      <c r="O1080" s="225">
        <v>2</v>
      </c>
      <c r="P1080" s="225">
        <v>16</v>
      </c>
      <c r="Q1080" s="225">
        <v>1</v>
      </c>
      <c r="R1080" s="225">
        <v>0</v>
      </c>
      <c r="S1080" s="228">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8">
        <v>0</v>
      </c>
      <c r="AJ1080" s="228">
        <v>2</v>
      </c>
      <c r="AK1080" s="228">
        <v>0</v>
      </c>
      <c r="AL1080" s="228">
        <v>2</v>
      </c>
      <c r="AM1080" s="225">
        <v>0</v>
      </c>
      <c r="AN1080" s="225">
        <v>0</v>
      </c>
      <c r="AO1080" s="225">
        <v>0</v>
      </c>
      <c r="AP1080" s="225">
        <v>0</v>
      </c>
      <c r="AQ1080" s="225">
        <v>5000</v>
      </c>
      <c r="AR1080" s="225">
        <v>0</v>
      </c>
      <c r="AS1080" s="225">
        <v>15</v>
      </c>
      <c r="AT1080" s="235">
        <v>0</v>
      </c>
      <c r="AU1080" s="363" t="s">
        <v>2270</v>
      </c>
      <c r="AV1080" s="230"/>
      <c r="AW1080" s="222" t="s">
        <v>198</v>
      </c>
      <c r="AX1080" s="225" t="s">
        <v>534</v>
      </c>
      <c r="AY1080" s="221">
        <v>10000007</v>
      </c>
      <c r="AZ1080" s="221">
        <v>77005205</v>
      </c>
      <c r="BA1080" s="222" t="s">
        <v>586</v>
      </c>
      <c r="BB1080" s="225" t="s">
        <v>2323</v>
      </c>
      <c r="BC1080" s="227">
        <v>0</v>
      </c>
      <c r="BD1080" s="227">
        <v>1</v>
      </c>
      <c r="BE1080" s="233" t="s">
        <v>2324</v>
      </c>
      <c r="BF1080" s="233" t="s">
        <v>2325</v>
      </c>
      <c r="BG1080" s="225">
        <v>0</v>
      </c>
      <c r="BH1080" s="225">
        <v>0</v>
      </c>
      <c r="BI1080" s="225">
        <v>0</v>
      </c>
      <c r="BJ1080" s="225">
        <v>0</v>
      </c>
      <c r="BK1080" s="225">
        <v>0</v>
      </c>
      <c r="BL1080" s="225">
        <v>0</v>
      </c>
      <c r="BM1080" s="224">
        <v>0</v>
      </c>
      <c r="BN1080" s="228">
        <v>0</v>
      </c>
      <c r="BO1080" s="228">
        <v>0</v>
      </c>
      <c r="BP1080" s="228">
        <v>0</v>
      </c>
      <c r="BQ1080" s="228">
        <v>0</v>
      </c>
      <c r="BR1080" s="228">
        <v>0</v>
      </c>
      <c r="BS1080" s="228">
        <v>0</v>
      </c>
      <c r="BT1080" s="228">
        <v>0</v>
      </c>
      <c r="BU1080" s="228">
        <v>0</v>
      </c>
      <c r="BV1080" s="49"/>
      <c r="BW1080" s="49"/>
    </row>
    <row r="1081" spans="1:75" s="3" customFormat="1" ht="19.5" customHeight="1">
      <c r="A1081" s="220"/>
      <c r="B1081" s="220"/>
      <c r="C1081" s="221">
        <v>64014603</v>
      </c>
      <c r="D1081" s="222" t="s">
        <v>2321</v>
      </c>
      <c r="E1081" s="222" t="s">
        <v>2322</v>
      </c>
      <c r="F1081" s="221">
        <v>1</v>
      </c>
      <c r="G1081" s="225">
        <v>0</v>
      </c>
      <c r="H1081" s="221">
        <v>0</v>
      </c>
      <c r="I1081" s="227">
        <v>0</v>
      </c>
      <c r="J1081" s="221">
        <v>1</v>
      </c>
      <c r="K1081" s="221">
        <v>0</v>
      </c>
      <c r="L1081" s="221">
        <v>0</v>
      </c>
      <c r="M1081" s="225">
        <v>0</v>
      </c>
      <c r="N1081" s="225">
        <v>0</v>
      </c>
      <c r="O1081" s="225">
        <v>2</v>
      </c>
      <c r="P1081" s="225">
        <v>16</v>
      </c>
      <c r="Q1081" s="225">
        <v>1</v>
      </c>
      <c r="R1081" s="225">
        <v>0</v>
      </c>
      <c r="S1081" s="228">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8">
        <v>0</v>
      </c>
      <c r="AJ1081" s="228">
        <v>2</v>
      </c>
      <c r="AK1081" s="228">
        <v>0</v>
      </c>
      <c r="AL1081" s="228">
        <v>2</v>
      </c>
      <c r="AM1081" s="225">
        <v>0</v>
      </c>
      <c r="AN1081" s="225">
        <v>0</v>
      </c>
      <c r="AO1081" s="225">
        <v>0</v>
      </c>
      <c r="AP1081" s="225">
        <v>0</v>
      </c>
      <c r="AQ1081" s="225">
        <v>5000</v>
      </c>
      <c r="AR1081" s="225">
        <v>0</v>
      </c>
      <c r="AS1081" s="225">
        <v>15</v>
      </c>
      <c r="AT1081" s="235">
        <v>0</v>
      </c>
      <c r="AU1081" s="363" t="s">
        <v>2270</v>
      </c>
      <c r="AV1081" s="230"/>
      <c r="AW1081" s="222" t="s">
        <v>198</v>
      </c>
      <c r="AX1081" s="225" t="s">
        <v>534</v>
      </c>
      <c r="AY1081" s="221">
        <v>10000007</v>
      </c>
      <c r="AZ1081" s="221">
        <v>77005205</v>
      </c>
      <c r="BA1081" s="222" t="s">
        <v>586</v>
      </c>
      <c r="BB1081" s="225" t="s">
        <v>2323</v>
      </c>
      <c r="BC1081" s="227">
        <v>0</v>
      </c>
      <c r="BD1081" s="227">
        <v>1</v>
      </c>
      <c r="BE1081" s="233" t="s">
        <v>2324</v>
      </c>
      <c r="BF1081" s="233" t="s">
        <v>2325</v>
      </c>
      <c r="BG1081" s="225">
        <v>0</v>
      </c>
      <c r="BH1081" s="225">
        <v>0</v>
      </c>
      <c r="BI1081" s="225">
        <v>0</v>
      </c>
      <c r="BJ1081" s="225">
        <v>0</v>
      </c>
      <c r="BK1081" s="225">
        <v>0</v>
      </c>
      <c r="BL1081" s="225">
        <v>0</v>
      </c>
      <c r="BM1081" s="224">
        <v>0</v>
      </c>
      <c r="BN1081" s="228">
        <v>0</v>
      </c>
      <c r="BO1081" s="228">
        <v>0</v>
      </c>
      <c r="BP1081" s="228">
        <v>0</v>
      </c>
      <c r="BQ1081" s="228">
        <v>0</v>
      </c>
      <c r="BR1081" s="228">
        <v>0</v>
      </c>
      <c r="BS1081" s="228">
        <v>0</v>
      </c>
      <c r="BT1081" s="228">
        <v>0</v>
      </c>
      <c r="BU1081" s="228">
        <v>0</v>
      </c>
      <c r="BV1081" s="49"/>
      <c r="BW1081" s="49"/>
    </row>
    <row r="1082" spans="1:75" s="3" customFormat="1" ht="19.5" customHeight="1">
      <c r="A1082" s="220"/>
      <c r="B1082" s="220"/>
      <c r="C1082" s="221">
        <v>64014604</v>
      </c>
      <c r="D1082" s="222" t="s">
        <v>2321</v>
      </c>
      <c r="E1082" s="222" t="s">
        <v>2322</v>
      </c>
      <c r="F1082" s="221">
        <v>1</v>
      </c>
      <c r="G1082" s="225">
        <v>0</v>
      </c>
      <c r="H1082" s="221">
        <v>0</v>
      </c>
      <c r="I1082" s="227">
        <v>0</v>
      </c>
      <c r="J1082" s="221">
        <v>1</v>
      </c>
      <c r="K1082" s="221">
        <v>0</v>
      </c>
      <c r="L1082" s="221">
        <v>0</v>
      </c>
      <c r="M1082" s="225">
        <v>0</v>
      </c>
      <c r="N1082" s="225">
        <v>0</v>
      </c>
      <c r="O1082" s="225">
        <v>2</v>
      </c>
      <c r="P1082" s="225">
        <v>16</v>
      </c>
      <c r="Q1082" s="225">
        <v>1</v>
      </c>
      <c r="R1082" s="225">
        <v>0</v>
      </c>
      <c r="S1082" s="228">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8">
        <v>0</v>
      </c>
      <c r="AJ1082" s="228">
        <v>2</v>
      </c>
      <c r="AK1082" s="228">
        <v>0</v>
      </c>
      <c r="AL1082" s="228">
        <v>2</v>
      </c>
      <c r="AM1082" s="225">
        <v>0</v>
      </c>
      <c r="AN1082" s="225">
        <v>0</v>
      </c>
      <c r="AO1082" s="225">
        <v>0</v>
      </c>
      <c r="AP1082" s="225">
        <v>0</v>
      </c>
      <c r="AQ1082" s="225">
        <v>5000</v>
      </c>
      <c r="AR1082" s="225">
        <v>0</v>
      </c>
      <c r="AS1082" s="225">
        <v>15</v>
      </c>
      <c r="AT1082" s="235">
        <v>0</v>
      </c>
      <c r="AU1082" s="363" t="s">
        <v>2270</v>
      </c>
      <c r="AV1082" s="230"/>
      <c r="AW1082" s="222" t="s">
        <v>198</v>
      </c>
      <c r="AX1082" s="225" t="s">
        <v>534</v>
      </c>
      <c r="AY1082" s="221">
        <v>10000007</v>
      </c>
      <c r="AZ1082" s="221">
        <v>77005205</v>
      </c>
      <c r="BA1082" s="222" t="s">
        <v>586</v>
      </c>
      <c r="BB1082" s="225" t="s">
        <v>2323</v>
      </c>
      <c r="BC1082" s="227">
        <v>0</v>
      </c>
      <c r="BD1082" s="227">
        <v>1</v>
      </c>
      <c r="BE1082" s="233" t="s">
        <v>2324</v>
      </c>
      <c r="BF1082" s="233" t="s">
        <v>2325</v>
      </c>
      <c r="BG1082" s="225">
        <v>0</v>
      </c>
      <c r="BH1082" s="225">
        <v>0</v>
      </c>
      <c r="BI1082" s="225">
        <v>0</v>
      </c>
      <c r="BJ1082" s="225">
        <v>0</v>
      </c>
      <c r="BK1082" s="225">
        <v>0</v>
      </c>
      <c r="BL1082" s="225">
        <v>0</v>
      </c>
      <c r="BM1082" s="224">
        <v>0</v>
      </c>
      <c r="BN1082" s="228">
        <v>0</v>
      </c>
      <c r="BO1082" s="228">
        <v>0</v>
      </c>
      <c r="BP1082" s="228">
        <v>0</v>
      </c>
      <c r="BQ1082" s="228">
        <v>0</v>
      </c>
      <c r="BR1082" s="228">
        <v>0</v>
      </c>
      <c r="BS1082" s="228">
        <v>0</v>
      </c>
      <c r="BT1082" s="228">
        <v>0</v>
      </c>
      <c r="BU1082" s="228">
        <v>0</v>
      </c>
      <c r="BV1082" s="49"/>
      <c r="BW1082" s="49"/>
    </row>
    <row r="1083" spans="1:75" s="3" customFormat="1" ht="19.5" customHeight="1">
      <c r="A1083" s="220"/>
      <c r="B1083" s="220"/>
      <c r="C1083" s="221">
        <v>64014605</v>
      </c>
      <c r="D1083" s="222" t="s">
        <v>2321</v>
      </c>
      <c r="E1083" s="222" t="s">
        <v>2322</v>
      </c>
      <c r="F1083" s="221">
        <v>1</v>
      </c>
      <c r="G1083" s="225">
        <v>0</v>
      </c>
      <c r="H1083" s="221">
        <v>0</v>
      </c>
      <c r="I1083" s="227">
        <v>0</v>
      </c>
      <c r="J1083" s="221">
        <v>1</v>
      </c>
      <c r="K1083" s="221">
        <v>0</v>
      </c>
      <c r="L1083" s="221">
        <v>0</v>
      </c>
      <c r="M1083" s="225">
        <v>0</v>
      </c>
      <c r="N1083" s="225">
        <v>0</v>
      </c>
      <c r="O1083" s="225">
        <v>2</v>
      </c>
      <c r="P1083" s="225">
        <v>16</v>
      </c>
      <c r="Q1083" s="225">
        <v>1</v>
      </c>
      <c r="R1083" s="225">
        <v>0</v>
      </c>
      <c r="S1083" s="228">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8">
        <v>0</v>
      </c>
      <c r="AJ1083" s="228">
        <v>2</v>
      </c>
      <c r="AK1083" s="228">
        <v>0</v>
      </c>
      <c r="AL1083" s="228">
        <v>2</v>
      </c>
      <c r="AM1083" s="225">
        <v>0</v>
      </c>
      <c r="AN1083" s="225">
        <v>0</v>
      </c>
      <c r="AO1083" s="225">
        <v>0</v>
      </c>
      <c r="AP1083" s="225">
        <v>0</v>
      </c>
      <c r="AQ1083" s="225">
        <v>5000</v>
      </c>
      <c r="AR1083" s="225">
        <v>0</v>
      </c>
      <c r="AS1083" s="225">
        <v>15</v>
      </c>
      <c r="AT1083" s="235">
        <v>0</v>
      </c>
      <c r="AU1083" s="363" t="s">
        <v>2270</v>
      </c>
      <c r="AV1083" s="230"/>
      <c r="AW1083" s="222" t="s">
        <v>198</v>
      </c>
      <c r="AX1083" s="225" t="s">
        <v>534</v>
      </c>
      <c r="AY1083" s="221">
        <v>10000007</v>
      </c>
      <c r="AZ1083" s="221">
        <v>77005205</v>
      </c>
      <c r="BA1083" s="222" t="s">
        <v>586</v>
      </c>
      <c r="BB1083" s="225" t="s">
        <v>2323</v>
      </c>
      <c r="BC1083" s="227">
        <v>0</v>
      </c>
      <c r="BD1083" s="227">
        <v>1</v>
      </c>
      <c r="BE1083" s="233" t="s">
        <v>2324</v>
      </c>
      <c r="BF1083" s="233" t="s">
        <v>2325</v>
      </c>
      <c r="BG1083" s="225">
        <v>0</v>
      </c>
      <c r="BH1083" s="225">
        <v>0</v>
      </c>
      <c r="BI1083" s="225">
        <v>0</v>
      </c>
      <c r="BJ1083" s="225">
        <v>0</v>
      </c>
      <c r="BK1083" s="225">
        <v>0</v>
      </c>
      <c r="BL1083" s="225">
        <v>0</v>
      </c>
      <c r="BM1083" s="224">
        <v>0</v>
      </c>
      <c r="BN1083" s="228">
        <v>0</v>
      </c>
      <c r="BO1083" s="228">
        <v>0</v>
      </c>
      <c r="BP1083" s="228">
        <v>0</v>
      </c>
      <c r="BQ1083" s="228">
        <v>0</v>
      </c>
      <c r="BR1083" s="228">
        <v>0</v>
      </c>
      <c r="BS1083" s="228">
        <v>0</v>
      </c>
      <c r="BT1083" s="228">
        <v>0</v>
      </c>
      <c r="BU1083" s="228">
        <v>0</v>
      </c>
      <c r="BV1083" s="49"/>
      <c r="BW1083" s="49"/>
    </row>
    <row r="1084" spans="1:75" s="3" customFormat="1" ht="19.5" customHeight="1">
      <c r="A1084" s="220"/>
      <c r="B1084" s="220"/>
      <c r="C1084" s="221">
        <v>64014606</v>
      </c>
      <c r="D1084" s="222" t="s">
        <v>2321</v>
      </c>
      <c r="E1084" s="222" t="s">
        <v>2322</v>
      </c>
      <c r="F1084" s="221">
        <v>1</v>
      </c>
      <c r="G1084" s="225">
        <v>0</v>
      </c>
      <c r="H1084" s="221">
        <v>0</v>
      </c>
      <c r="I1084" s="227">
        <v>0</v>
      </c>
      <c r="J1084" s="221">
        <v>1</v>
      </c>
      <c r="K1084" s="221">
        <v>0</v>
      </c>
      <c r="L1084" s="221">
        <v>0</v>
      </c>
      <c r="M1084" s="225">
        <v>0</v>
      </c>
      <c r="N1084" s="225">
        <v>0</v>
      </c>
      <c r="O1084" s="225">
        <v>2</v>
      </c>
      <c r="P1084" s="225">
        <v>16</v>
      </c>
      <c r="Q1084" s="225">
        <v>1</v>
      </c>
      <c r="R1084" s="225">
        <v>0</v>
      </c>
      <c r="S1084" s="228">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8">
        <v>0</v>
      </c>
      <c r="AJ1084" s="228">
        <v>2</v>
      </c>
      <c r="AK1084" s="228">
        <v>0</v>
      </c>
      <c r="AL1084" s="228">
        <v>2</v>
      </c>
      <c r="AM1084" s="225">
        <v>0</v>
      </c>
      <c r="AN1084" s="225">
        <v>0</v>
      </c>
      <c r="AO1084" s="225">
        <v>0</v>
      </c>
      <c r="AP1084" s="225">
        <v>0</v>
      </c>
      <c r="AQ1084" s="225">
        <v>5000</v>
      </c>
      <c r="AR1084" s="225">
        <v>0</v>
      </c>
      <c r="AS1084" s="225">
        <v>15</v>
      </c>
      <c r="AT1084" s="235">
        <v>0</v>
      </c>
      <c r="AU1084" s="363" t="s">
        <v>2270</v>
      </c>
      <c r="AV1084" s="230"/>
      <c r="AW1084" s="222" t="s">
        <v>198</v>
      </c>
      <c r="AX1084" s="225" t="s">
        <v>534</v>
      </c>
      <c r="AY1084" s="221">
        <v>10000007</v>
      </c>
      <c r="AZ1084" s="221">
        <v>77005205</v>
      </c>
      <c r="BA1084" s="222" t="s">
        <v>586</v>
      </c>
      <c r="BB1084" s="225" t="s">
        <v>2323</v>
      </c>
      <c r="BC1084" s="227">
        <v>0</v>
      </c>
      <c r="BD1084" s="227">
        <v>1</v>
      </c>
      <c r="BE1084" s="233" t="s">
        <v>2324</v>
      </c>
      <c r="BF1084" s="233" t="s">
        <v>2325</v>
      </c>
      <c r="BG1084" s="225">
        <v>0</v>
      </c>
      <c r="BH1084" s="225">
        <v>0</v>
      </c>
      <c r="BI1084" s="225">
        <v>0</v>
      </c>
      <c r="BJ1084" s="225">
        <v>0</v>
      </c>
      <c r="BK1084" s="225">
        <v>0</v>
      </c>
      <c r="BL1084" s="225">
        <v>0</v>
      </c>
      <c r="BM1084" s="224">
        <v>0</v>
      </c>
      <c r="BN1084" s="228">
        <v>0</v>
      </c>
      <c r="BO1084" s="228">
        <v>0</v>
      </c>
      <c r="BP1084" s="228">
        <v>0</v>
      </c>
      <c r="BQ1084" s="228">
        <v>0</v>
      </c>
      <c r="BR1084" s="228">
        <v>0</v>
      </c>
      <c r="BS1084" s="228">
        <v>0</v>
      </c>
      <c r="BT1084" s="228">
        <v>0</v>
      </c>
      <c r="BU1084" s="228">
        <v>0</v>
      </c>
      <c r="BV1084" s="49"/>
      <c r="BW1084" s="49"/>
    </row>
    <row r="1085" spans="1:75" s="3" customFormat="1" ht="19.5" customHeight="1">
      <c r="A1085" s="220"/>
      <c r="B1085" s="220"/>
      <c r="C1085" s="221">
        <v>64014701</v>
      </c>
      <c r="D1085" s="222" t="s">
        <v>2326</v>
      </c>
      <c r="E1085" s="222" t="s">
        <v>2327</v>
      </c>
      <c r="F1085" s="221">
        <v>1</v>
      </c>
      <c r="G1085" s="221">
        <v>0</v>
      </c>
      <c r="H1085" s="221">
        <v>0</v>
      </c>
      <c r="I1085" s="227">
        <v>0</v>
      </c>
      <c r="J1085" s="221">
        <v>1</v>
      </c>
      <c r="K1085" s="221">
        <v>0</v>
      </c>
      <c r="L1085" s="221">
        <v>0</v>
      </c>
      <c r="M1085" s="225">
        <v>0</v>
      </c>
      <c r="N1085" s="225">
        <v>0</v>
      </c>
      <c r="O1085" s="225">
        <v>2</v>
      </c>
      <c r="P1085" s="225">
        <v>3</v>
      </c>
      <c r="Q1085" s="225">
        <v>0.2</v>
      </c>
      <c r="R1085" s="225">
        <v>0</v>
      </c>
      <c r="S1085" s="228">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8">
        <v>1</v>
      </c>
      <c r="AJ1085" s="228">
        <v>1</v>
      </c>
      <c r="AK1085" s="228">
        <v>0</v>
      </c>
      <c r="AL1085" s="228">
        <v>3</v>
      </c>
      <c r="AM1085" s="225">
        <v>0</v>
      </c>
      <c r="AN1085" s="225">
        <v>0</v>
      </c>
      <c r="AO1085" s="225">
        <v>0</v>
      </c>
      <c r="AP1085" s="225">
        <v>0</v>
      </c>
      <c r="AQ1085" s="225">
        <v>2000</v>
      </c>
      <c r="AR1085" s="225">
        <v>0.3</v>
      </c>
      <c r="AS1085" s="225">
        <v>0</v>
      </c>
      <c r="AT1085" s="228">
        <v>0</v>
      </c>
      <c r="AU1085" s="363" t="s">
        <v>2328</v>
      </c>
      <c r="AV1085" s="230"/>
      <c r="AW1085" s="231" t="s">
        <v>198</v>
      </c>
      <c r="AX1085" s="225" t="s">
        <v>534</v>
      </c>
      <c r="AY1085" s="221">
        <v>0</v>
      </c>
      <c r="AZ1085" s="221">
        <v>77005202</v>
      </c>
      <c r="BA1085" s="222" t="s">
        <v>200</v>
      </c>
      <c r="BB1085" s="225">
        <v>0</v>
      </c>
      <c r="BC1085" s="227">
        <v>0</v>
      </c>
      <c r="BD1085" s="227">
        <v>0</v>
      </c>
      <c r="BE1085" s="233" t="s">
        <v>2226</v>
      </c>
      <c r="BF1085" s="233" t="s">
        <v>2227</v>
      </c>
      <c r="BG1085" s="225">
        <v>0</v>
      </c>
      <c r="BH1085" s="225">
        <v>0</v>
      </c>
      <c r="BI1085" s="225">
        <v>0</v>
      </c>
      <c r="BJ1085" s="225">
        <v>0</v>
      </c>
      <c r="BK1085" s="225">
        <v>0</v>
      </c>
      <c r="BL1085" s="225">
        <v>0</v>
      </c>
      <c r="BM1085" s="224">
        <v>0</v>
      </c>
      <c r="BN1085" s="228">
        <v>0</v>
      </c>
      <c r="BO1085" s="228">
        <v>0</v>
      </c>
      <c r="BP1085" s="228">
        <v>0</v>
      </c>
      <c r="BQ1085" s="228">
        <v>0</v>
      </c>
      <c r="BR1085" s="228">
        <v>0</v>
      </c>
      <c r="BS1085" s="228">
        <v>0</v>
      </c>
      <c r="BT1085" s="228">
        <v>0</v>
      </c>
      <c r="BU1085" s="228">
        <v>0</v>
      </c>
      <c r="BV1085" s="49"/>
      <c r="BW1085" s="49"/>
    </row>
    <row r="1086" spans="1:75" s="3" customFormat="1" ht="19.5" customHeight="1">
      <c r="A1086" s="220"/>
      <c r="B1086" s="220"/>
      <c r="C1086" s="221">
        <v>64014702</v>
      </c>
      <c r="D1086" s="222" t="s">
        <v>2326</v>
      </c>
      <c r="E1086" s="222" t="s">
        <v>2327</v>
      </c>
      <c r="F1086" s="221">
        <v>1</v>
      </c>
      <c r="G1086" s="221">
        <v>0</v>
      </c>
      <c r="H1086" s="221">
        <v>0</v>
      </c>
      <c r="I1086" s="227">
        <v>0</v>
      </c>
      <c r="J1086" s="221">
        <v>1</v>
      </c>
      <c r="K1086" s="221">
        <v>0</v>
      </c>
      <c r="L1086" s="221">
        <v>0</v>
      </c>
      <c r="M1086" s="225">
        <v>0</v>
      </c>
      <c r="N1086" s="225">
        <v>0</v>
      </c>
      <c r="O1086" s="225">
        <v>2</v>
      </c>
      <c r="P1086" s="225">
        <v>3</v>
      </c>
      <c r="Q1086" s="225">
        <v>0.2</v>
      </c>
      <c r="R1086" s="225">
        <v>0</v>
      </c>
      <c r="S1086" s="228">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8">
        <v>1</v>
      </c>
      <c r="AJ1086" s="228">
        <v>1</v>
      </c>
      <c r="AK1086" s="228">
        <v>0</v>
      </c>
      <c r="AL1086" s="228">
        <v>3</v>
      </c>
      <c r="AM1086" s="225">
        <v>0</v>
      </c>
      <c r="AN1086" s="225">
        <v>0</v>
      </c>
      <c r="AO1086" s="225">
        <v>0</v>
      </c>
      <c r="AP1086" s="225">
        <v>0</v>
      </c>
      <c r="AQ1086" s="225">
        <v>2000</v>
      </c>
      <c r="AR1086" s="225">
        <v>0.3</v>
      </c>
      <c r="AS1086" s="225">
        <v>0</v>
      </c>
      <c r="AT1086" s="228">
        <v>0</v>
      </c>
      <c r="AU1086" s="363" t="s">
        <v>2328</v>
      </c>
      <c r="AV1086" s="230"/>
      <c r="AW1086" s="231" t="s">
        <v>198</v>
      </c>
      <c r="AX1086" s="225" t="s">
        <v>534</v>
      </c>
      <c r="AY1086" s="221">
        <v>0</v>
      </c>
      <c r="AZ1086" s="221">
        <v>77005202</v>
      </c>
      <c r="BA1086" s="222" t="s">
        <v>200</v>
      </c>
      <c r="BB1086" s="225">
        <v>0</v>
      </c>
      <c r="BC1086" s="227">
        <v>0</v>
      </c>
      <c r="BD1086" s="227">
        <v>0</v>
      </c>
      <c r="BE1086" s="233" t="s">
        <v>2226</v>
      </c>
      <c r="BF1086" s="233" t="s">
        <v>2227</v>
      </c>
      <c r="BG1086" s="225">
        <v>0</v>
      </c>
      <c r="BH1086" s="225">
        <v>0</v>
      </c>
      <c r="BI1086" s="225">
        <v>0</v>
      </c>
      <c r="BJ1086" s="225">
        <v>0</v>
      </c>
      <c r="BK1086" s="225">
        <v>0</v>
      </c>
      <c r="BL1086" s="225">
        <v>0</v>
      </c>
      <c r="BM1086" s="224">
        <v>0</v>
      </c>
      <c r="BN1086" s="228">
        <v>0</v>
      </c>
      <c r="BO1086" s="228">
        <v>0</v>
      </c>
      <c r="BP1086" s="228">
        <v>0</v>
      </c>
      <c r="BQ1086" s="228">
        <v>0</v>
      </c>
      <c r="BR1086" s="228">
        <v>0</v>
      </c>
      <c r="BS1086" s="228">
        <v>0</v>
      </c>
      <c r="BT1086" s="228">
        <v>0</v>
      </c>
      <c r="BU1086" s="228">
        <v>0</v>
      </c>
      <c r="BV1086" s="49"/>
      <c r="BW1086" s="49"/>
    </row>
    <row r="1087" spans="1:75" s="3" customFormat="1" ht="19.5" customHeight="1">
      <c r="A1087" s="220"/>
      <c r="B1087" s="220"/>
      <c r="C1087" s="221">
        <v>64014703</v>
      </c>
      <c r="D1087" s="222" t="s">
        <v>2326</v>
      </c>
      <c r="E1087" s="222" t="s">
        <v>2327</v>
      </c>
      <c r="F1087" s="221">
        <v>1</v>
      </c>
      <c r="G1087" s="221">
        <v>0</v>
      </c>
      <c r="H1087" s="221">
        <v>0</v>
      </c>
      <c r="I1087" s="227">
        <v>0</v>
      </c>
      <c r="J1087" s="221">
        <v>1</v>
      </c>
      <c r="K1087" s="221">
        <v>0</v>
      </c>
      <c r="L1087" s="221">
        <v>0</v>
      </c>
      <c r="M1087" s="225">
        <v>0</v>
      </c>
      <c r="N1087" s="225">
        <v>0</v>
      </c>
      <c r="O1087" s="225">
        <v>2</v>
      </c>
      <c r="P1087" s="225">
        <v>3</v>
      </c>
      <c r="Q1087" s="225">
        <v>0.2</v>
      </c>
      <c r="R1087" s="225">
        <v>0</v>
      </c>
      <c r="S1087" s="228">
        <v>0</v>
      </c>
      <c r="T1087" s="225">
        <v>0</v>
      </c>
      <c r="U1087" s="225">
        <v>1</v>
      </c>
      <c r="V1087" s="225">
        <v>2</v>
      </c>
      <c r="W1087" s="225">
        <v>0</v>
      </c>
      <c r="X1087" s="225">
        <v>0.55000000000000004</v>
      </c>
      <c r="Y1087" s="225">
        <v>0.55000000000000004</v>
      </c>
      <c r="Z1087" s="225">
        <v>0</v>
      </c>
      <c r="AA1087" s="225">
        <v>1</v>
      </c>
      <c r="AB1087" s="225">
        <v>0</v>
      </c>
      <c r="AC1087" s="225">
        <v>0</v>
      </c>
      <c r="AD1087" s="225">
        <v>1</v>
      </c>
      <c r="AE1087" s="225">
        <v>1</v>
      </c>
      <c r="AF1087" s="225">
        <v>12</v>
      </c>
      <c r="AG1087" s="225">
        <v>1</v>
      </c>
      <c r="AH1087" s="225">
        <v>3</v>
      </c>
      <c r="AI1087" s="228">
        <v>1</v>
      </c>
      <c r="AJ1087" s="228">
        <v>1</v>
      </c>
      <c r="AK1087" s="228">
        <v>0</v>
      </c>
      <c r="AL1087" s="228">
        <v>3</v>
      </c>
      <c r="AM1087" s="225">
        <v>0</v>
      </c>
      <c r="AN1087" s="225">
        <v>0</v>
      </c>
      <c r="AO1087" s="225">
        <v>0</v>
      </c>
      <c r="AP1087" s="225">
        <v>0</v>
      </c>
      <c r="AQ1087" s="225">
        <v>2000</v>
      </c>
      <c r="AR1087" s="225">
        <v>0.3</v>
      </c>
      <c r="AS1087" s="225">
        <v>0</v>
      </c>
      <c r="AT1087" s="228">
        <v>0</v>
      </c>
      <c r="AU1087" s="363" t="s">
        <v>2328</v>
      </c>
      <c r="AV1087" s="230"/>
      <c r="AW1087" s="231" t="s">
        <v>198</v>
      </c>
      <c r="AX1087" s="225" t="s">
        <v>534</v>
      </c>
      <c r="AY1087" s="221">
        <v>0</v>
      </c>
      <c r="AZ1087" s="221">
        <v>77005202</v>
      </c>
      <c r="BA1087" s="222" t="s">
        <v>200</v>
      </c>
      <c r="BB1087" s="225">
        <v>0</v>
      </c>
      <c r="BC1087" s="227">
        <v>0</v>
      </c>
      <c r="BD1087" s="227">
        <v>0</v>
      </c>
      <c r="BE1087" s="233" t="s">
        <v>2226</v>
      </c>
      <c r="BF1087" s="233" t="s">
        <v>2227</v>
      </c>
      <c r="BG1087" s="225">
        <v>0</v>
      </c>
      <c r="BH1087" s="225">
        <v>0</v>
      </c>
      <c r="BI1087" s="225">
        <v>0</v>
      </c>
      <c r="BJ1087" s="225">
        <v>0</v>
      </c>
      <c r="BK1087" s="225">
        <v>0</v>
      </c>
      <c r="BL1087" s="225">
        <v>0</v>
      </c>
      <c r="BM1087" s="224">
        <v>0</v>
      </c>
      <c r="BN1087" s="228">
        <v>0</v>
      </c>
      <c r="BO1087" s="228">
        <v>0</v>
      </c>
      <c r="BP1087" s="228">
        <v>0</v>
      </c>
      <c r="BQ1087" s="228">
        <v>0</v>
      </c>
      <c r="BR1087" s="228">
        <v>0</v>
      </c>
      <c r="BS1087" s="228">
        <v>0</v>
      </c>
      <c r="BT1087" s="228">
        <v>0</v>
      </c>
      <c r="BU1087" s="228">
        <v>0</v>
      </c>
      <c r="BV1087" s="49"/>
      <c r="BW1087" s="49"/>
    </row>
    <row r="1088" spans="1:75" s="3" customFormat="1" ht="19.5" customHeight="1">
      <c r="A1088" s="220"/>
      <c r="B1088" s="220"/>
      <c r="C1088" s="221">
        <v>64014704</v>
      </c>
      <c r="D1088" s="222" t="s">
        <v>2326</v>
      </c>
      <c r="E1088" s="222" t="s">
        <v>2327</v>
      </c>
      <c r="F1088" s="221">
        <v>1</v>
      </c>
      <c r="G1088" s="221">
        <v>0</v>
      </c>
      <c r="H1088" s="221">
        <v>0</v>
      </c>
      <c r="I1088" s="227">
        <v>0</v>
      </c>
      <c r="J1088" s="221">
        <v>1</v>
      </c>
      <c r="K1088" s="221">
        <v>0</v>
      </c>
      <c r="L1088" s="221">
        <v>0</v>
      </c>
      <c r="M1088" s="225">
        <v>0</v>
      </c>
      <c r="N1088" s="225">
        <v>0</v>
      </c>
      <c r="O1088" s="225">
        <v>2</v>
      </c>
      <c r="P1088" s="225">
        <v>3</v>
      </c>
      <c r="Q1088" s="225">
        <v>0.2</v>
      </c>
      <c r="R1088" s="225">
        <v>0</v>
      </c>
      <c r="S1088" s="228">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8">
        <v>1</v>
      </c>
      <c r="AJ1088" s="228">
        <v>1</v>
      </c>
      <c r="AK1088" s="228">
        <v>0</v>
      </c>
      <c r="AL1088" s="228">
        <v>3</v>
      </c>
      <c r="AM1088" s="225">
        <v>0</v>
      </c>
      <c r="AN1088" s="225">
        <v>0</v>
      </c>
      <c r="AO1088" s="225">
        <v>0</v>
      </c>
      <c r="AP1088" s="225">
        <v>0</v>
      </c>
      <c r="AQ1088" s="225">
        <v>2000</v>
      </c>
      <c r="AR1088" s="225">
        <v>0.3</v>
      </c>
      <c r="AS1088" s="225">
        <v>0</v>
      </c>
      <c r="AT1088" s="228">
        <v>0</v>
      </c>
      <c r="AU1088" s="363" t="s">
        <v>2328</v>
      </c>
      <c r="AV1088" s="230"/>
      <c r="AW1088" s="231" t="s">
        <v>198</v>
      </c>
      <c r="AX1088" s="225" t="s">
        <v>534</v>
      </c>
      <c r="AY1088" s="221">
        <v>0</v>
      </c>
      <c r="AZ1088" s="221">
        <v>77005202</v>
      </c>
      <c r="BA1088" s="222" t="s">
        <v>200</v>
      </c>
      <c r="BB1088" s="225">
        <v>0</v>
      </c>
      <c r="BC1088" s="227">
        <v>0</v>
      </c>
      <c r="BD1088" s="227">
        <v>0</v>
      </c>
      <c r="BE1088" s="233" t="s">
        <v>2226</v>
      </c>
      <c r="BF1088" s="233" t="s">
        <v>2227</v>
      </c>
      <c r="BG1088" s="225">
        <v>0</v>
      </c>
      <c r="BH1088" s="225">
        <v>0</v>
      </c>
      <c r="BI1088" s="225">
        <v>0</v>
      </c>
      <c r="BJ1088" s="225">
        <v>0</v>
      </c>
      <c r="BK1088" s="225">
        <v>0</v>
      </c>
      <c r="BL1088" s="225">
        <v>0</v>
      </c>
      <c r="BM1088" s="224">
        <v>0</v>
      </c>
      <c r="BN1088" s="228">
        <v>0</v>
      </c>
      <c r="BO1088" s="228">
        <v>0</v>
      </c>
      <c r="BP1088" s="228">
        <v>0</v>
      </c>
      <c r="BQ1088" s="228">
        <v>0</v>
      </c>
      <c r="BR1088" s="228">
        <v>0</v>
      </c>
      <c r="BS1088" s="228">
        <v>0</v>
      </c>
      <c r="BT1088" s="228">
        <v>0</v>
      </c>
      <c r="BU1088" s="228">
        <v>0</v>
      </c>
      <c r="BV1088" s="49"/>
      <c r="BW1088" s="49"/>
    </row>
    <row r="1089" spans="1:75" s="3" customFormat="1" ht="19.5" customHeight="1">
      <c r="A1089" s="220"/>
      <c r="B1089" s="220"/>
      <c r="C1089" s="221">
        <v>64014705</v>
      </c>
      <c r="D1089" s="222" t="s">
        <v>2326</v>
      </c>
      <c r="E1089" s="222" t="s">
        <v>2327</v>
      </c>
      <c r="F1089" s="221">
        <v>1</v>
      </c>
      <c r="G1089" s="221">
        <v>0</v>
      </c>
      <c r="H1089" s="221">
        <v>0</v>
      </c>
      <c r="I1089" s="227">
        <v>0</v>
      </c>
      <c r="J1089" s="221">
        <v>1</v>
      </c>
      <c r="K1089" s="221">
        <v>0</v>
      </c>
      <c r="L1089" s="221">
        <v>0</v>
      </c>
      <c r="M1089" s="225">
        <v>0</v>
      </c>
      <c r="N1089" s="225">
        <v>0</v>
      </c>
      <c r="O1089" s="225">
        <v>2</v>
      </c>
      <c r="P1089" s="225">
        <v>3</v>
      </c>
      <c r="Q1089" s="225">
        <v>0.2</v>
      </c>
      <c r="R1089" s="225">
        <v>0</v>
      </c>
      <c r="S1089" s="228">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8">
        <v>1</v>
      </c>
      <c r="AJ1089" s="228">
        <v>1</v>
      </c>
      <c r="AK1089" s="228">
        <v>0</v>
      </c>
      <c r="AL1089" s="228">
        <v>3</v>
      </c>
      <c r="AM1089" s="225">
        <v>0</v>
      </c>
      <c r="AN1089" s="225">
        <v>0</v>
      </c>
      <c r="AO1089" s="225">
        <v>0</v>
      </c>
      <c r="AP1089" s="225">
        <v>0</v>
      </c>
      <c r="AQ1089" s="225">
        <v>2000</v>
      </c>
      <c r="AR1089" s="225">
        <v>0.3</v>
      </c>
      <c r="AS1089" s="225">
        <v>0</v>
      </c>
      <c r="AT1089" s="228">
        <v>0</v>
      </c>
      <c r="AU1089" s="363" t="s">
        <v>2328</v>
      </c>
      <c r="AV1089" s="230"/>
      <c r="AW1089" s="231" t="s">
        <v>198</v>
      </c>
      <c r="AX1089" s="225" t="s">
        <v>534</v>
      </c>
      <c r="AY1089" s="221">
        <v>0</v>
      </c>
      <c r="AZ1089" s="221">
        <v>77005202</v>
      </c>
      <c r="BA1089" s="222" t="s">
        <v>200</v>
      </c>
      <c r="BB1089" s="225">
        <v>0</v>
      </c>
      <c r="BC1089" s="227">
        <v>0</v>
      </c>
      <c r="BD1089" s="227">
        <v>0</v>
      </c>
      <c r="BE1089" s="233" t="s">
        <v>2226</v>
      </c>
      <c r="BF1089" s="233" t="s">
        <v>2227</v>
      </c>
      <c r="BG1089" s="225">
        <v>0</v>
      </c>
      <c r="BH1089" s="225">
        <v>0</v>
      </c>
      <c r="BI1089" s="225">
        <v>0</v>
      </c>
      <c r="BJ1089" s="225">
        <v>0</v>
      </c>
      <c r="BK1089" s="225">
        <v>0</v>
      </c>
      <c r="BL1089" s="225">
        <v>0</v>
      </c>
      <c r="BM1089" s="224">
        <v>0</v>
      </c>
      <c r="BN1089" s="228">
        <v>0</v>
      </c>
      <c r="BO1089" s="228">
        <v>0</v>
      </c>
      <c r="BP1089" s="228">
        <v>0</v>
      </c>
      <c r="BQ1089" s="228">
        <v>0</v>
      </c>
      <c r="BR1089" s="228">
        <v>0</v>
      </c>
      <c r="BS1089" s="228">
        <v>0</v>
      </c>
      <c r="BT1089" s="228">
        <v>0</v>
      </c>
      <c r="BU1089" s="228">
        <v>0</v>
      </c>
      <c r="BV1089" s="49"/>
      <c r="BW1089" s="49"/>
    </row>
    <row r="1090" spans="1:75" s="3" customFormat="1" ht="19.5" customHeight="1">
      <c r="A1090" s="220"/>
      <c r="B1090" s="220"/>
      <c r="C1090" s="221">
        <v>64014706</v>
      </c>
      <c r="D1090" s="222" t="s">
        <v>2326</v>
      </c>
      <c r="E1090" s="222" t="s">
        <v>2327</v>
      </c>
      <c r="F1090" s="221">
        <v>1</v>
      </c>
      <c r="G1090" s="221">
        <v>0</v>
      </c>
      <c r="H1090" s="221">
        <v>0</v>
      </c>
      <c r="I1090" s="227">
        <v>0</v>
      </c>
      <c r="J1090" s="221">
        <v>1</v>
      </c>
      <c r="K1090" s="221">
        <v>0</v>
      </c>
      <c r="L1090" s="221">
        <v>0</v>
      </c>
      <c r="M1090" s="225">
        <v>0</v>
      </c>
      <c r="N1090" s="225">
        <v>0</v>
      </c>
      <c r="O1090" s="225">
        <v>2</v>
      </c>
      <c r="P1090" s="225">
        <v>3</v>
      </c>
      <c r="Q1090" s="225">
        <v>0.2</v>
      </c>
      <c r="R1090" s="225">
        <v>0</v>
      </c>
      <c r="S1090" s="228">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8">
        <v>1</v>
      </c>
      <c r="AJ1090" s="228">
        <v>1</v>
      </c>
      <c r="AK1090" s="228">
        <v>0</v>
      </c>
      <c r="AL1090" s="228">
        <v>3</v>
      </c>
      <c r="AM1090" s="225">
        <v>0</v>
      </c>
      <c r="AN1090" s="225">
        <v>0</v>
      </c>
      <c r="AO1090" s="225">
        <v>0</v>
      </c>
      <c r="AP1090" s="225">
        <v>0</v>
      </c>
      <c r="AQ1090" s="225">
        <v>2000</v>
      </c>
      <c r="AR1090" s="225">
        <v>0.3</v>
      </c>
      <c r="AS1090" s="225">
        <v>0</v>
      </c>
      <c r="AT1090" s="228">
        <v>0</v>
      </c>
      <c r="AU1090" s="363" t="s">
        <v>2328</v>
      </c>
      <c r="AV1090" s="230"/>
      <c r="AW1090" s="231" t="s">
        <v>198</v>
      </c>
      <c r="AX1090" s="225" t="s">
        <v>534</v>
      </c>
      <c r="AY1090" s="221">
        <v>0</v>
      </c>
      <c r="AZ1090" s="221">
        <v>77005202</v>
      </c>
      <c r="BA1090" s="222" t="s">
        <v>200</v>
      </c>
      <c r="BB1090" s="225">
        <v>0</v>
      </c>
      <c r="BC1090" s="227">
        <v>0</v>
      </c>
      <c r="BD1090" s="227">
        <v>0</v>
      </c>
      <c r="BE1090" s="233" t="s">
        <v>2226</v>
      </c>
      <c r="BF1090" s="233" t="s">
        <v>2227</v>
      </c>
      <c r="BG1090" s="225">
        <v>0</v>
      </c>
      <c r="BH1090" s="225">
        <v>0</v>
      </c>
      <c r="BI1090" s="225">
        <v>0</v>
      </c>
      <c r="BJ1090" s="225">
        <v>0</v>
      </c>
      <c r="BK1090" s="225">
        <v>0</v>
      </c>
      <c r="BL1090" s="225">
        <v>0</v>
      </c>
      <c r="BM1090" s="224">
        <v>0</v>
      </c>
      <c r="BN1090" s="228">
        <v>0</v>
      </c>
      <c r="BO1090" s="228">
        <v>0</v>
      </c>
      <c r="BP1090" s="228">
        <v>0</v>
      </c>
      <c r="BQ1090" s="228">
        <v>0</v>
      </c>
      <c r="BR1090" s="228">
        <v>0</v>
      </c>
      <c r="BS1090" s="228">
        <v>0</v>
      </c>
      <c r="BT1090" s="228">
        <v>0</v>
      </c>
      <c r="BU1090" s="228">
        <v>0</v>
      </c>
      <c r="BV1090" s="49"/>
      <c r="BW1090" s="49"/>
    </row>
    <row r="1091" spans="1:75" s="2" customFormat="1" ht="19.5" customHeight="1">
      <c r="A1091" s="217"/>
      <c r="B1091" s="217"/>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pans="1:75" s="2" customFormat="1" ht="19.5" customHeight="1">
      <c r="A1092" s="217"/>
      <c r="B1092" s="217"/>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pans="1:75" s="2" customFormat="1" ht="19.5" customHeight="1">
      <c r="A1093" s="217"/>
      <c r="B1093" s="217"/>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1.1000000000000001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pans="1:75" s="2" customFormat="1" ht="19.5" customHeight="1">
      <c r="A1094" s="217"/>
      <c r="B1094" s="217"/>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7"/>
      <c r="B1095" s="217"/>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7"/>
      <c r="B1096" s="217"/>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ht="20.100000000000001" customHeight="1">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1" t="s">
        <v>2080</v>
      </c>
      <c r="AV1097" s="203"/>
      <c r="AW1097" s="20" t="s">
        <v>199</v>
      </c>
      <c r="AX1097" s="177" t="s">
        <v>2081</v>
      </c>
      <c r="AY1097" s="177" t="s">
        <v>198</v>
      </c>
      <c r="AZ1097" s="177">
        <v>21203010</v>
      </c>
      <c r="BA1097" s="202" t="s">
        <v>200</v>
      </c>
      <c r="BB1097" s="177">
        <v>0</v>
      </c>
      <c r="BC1097" s="177">
        <v>0</v>
      </c>
      <c r="BD1097" s="177">
        <v>0</v>
      </c>
      <c r="BE1097" s="218" t="s">
        <v>2082</v>
      </c>
      <c r="BF1097" s="218"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spans="1:75" ht="20.100000000000001" customHeight="1">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1" t="s">
        <v>2080</v>
      </c>
      <c r="AV1098" s="203"/>
      <c r="AW1098" s="20" t="s">
        <v>199</v>
      </c>
      <c r="AX1098" s="177" t="s">
        <v>2081</v>
      </c>
      <c r="AY1098" s="177" t="s">
        <v>198</v>
      </c>
      <c r="AZ1098" s="177">
        <v>21203010</v>
      </c>
      <c r="BA1098" s="202" t="s">
        <v>200</v>
      </c>
      <c r="BB1098" s="177">
        <v>0</v>
      </c>
      <c r="BC1098" s="177">
        <v>0</v>
      </c>
      <c r="BD1098" s="177">
        <v>0</v>
      </c>
      <c r="BE1098" s="218" t="s">
        <v>2082</v>
      </c>
      <c r="BF1098" s="218"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spans="1:75" ht="20.100000000000001" customHeight="1">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1" t="s">
        <v>2085</v>
      </c>
      <c r="AV1099" s="203"/>
      <c r="AW1099" s="20" t="s">
        <v>199</v>
      </c>
      <c r="AX1099" s="177" t="s">
        <v>2081</v>
      </c>
      <c r="AY1099" s="177" t="s">
        <v>198</v>
      </c>
      <c r="AZ1099" s="177">
        <v>21203010</v>
      </c>
      <c r="BA1099" s="202" t="s">
        <v>200</v>
      </c>
      <c r="BB1099" s="177">
        <v>0</v>
      </c>
      <c r="BC1099" s="177">
        <v>0</v>
      </c>
      <c r="BD1099" s="177">
        <v>0</v>
      </c>
      <c r="BE1099" s="218" t="s">
        <v>2086</v>
      </c>
      <c r="BF1099" s="218"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spans="1:75" ht="20.100000000000001" customHeight="1">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1" t="s">
        <v>2088</v>
      </c>
      <c r="AU1100" s="361" t="s">
        <v>2089</v>
      </c>
      <c r="AV1100" s="203"/>
      <c r="AW1100" s="20" t="s">
        <v>199</v>
      </c>
      <c r="AX1100" s="177" t="s">
        <v>2081</v>
      </c>
      <c r="AY1100" s="177" t="s">
        <v>198</v>
      </c>
      <c r="AZ1100" s="177">
        <v>21203010</v>
      </c>
      <c r="BA1100" s="202" t="s">
        <v>200</v>
      </c>
      <c r="BB1100" s="177">
        <v>0</v>
      </c>
      <c r="BC1100" s="177">
        <v>0</v>
      </c>
      <c r="BD1100" s="177">
        <v>0</v>
      </c>
      <c r="BE1100" s="218" t="s">
        <v>2090</v>
      </c>
      <c r="BF1100" s="218"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1" t="s">
        <v>2093</v>
      </c>
      <c r="AV1101" s="203"/>
      <c r="AW1101" s="20" t="s">
        <v>199</v>
      </c>
      <c r="AX1101" s="177" t="s">
        <v>2081</v>
      </c>
      <c r="AY1101" s="177" t="s">
        <v>198</v>
      </c>
      <c r="AZ1101" s="177">
        <v>21203010</v>
      </c>
      <c r="BA1101" s="202" t="s">
        <v>200</v>
      </c>
      <c r="BB1101" s="177">
        <v>0</v>
      </c>
      <c r="BC1101" s="177">
        <v>0</v>
      </c>
      <c r="BD1101" s="177">
        <v>0</v>
      </c>
      <c r="BE1101" s="218" t="s">
        <v>2094</v>
      </c>
      <c r="BF1101" s="218"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1" t="s">
        <v>2097</v>
      </c>
      <c r="AV1102" s="203"/>
      <c r="AW1102" s="20" t="s">
        <v>199</v>
      </c>
      <c r="AX1102" s="177" t="s">
        <v>2081</v>
      </c>
      <c r="AY1102" s="177" t="s">
        <v>198</v>
      </c>
      <c r="AZ1102" s="177">
        <v>21203010</v>
      </c>
      <c r="BA1102" s="202" t="s">
        <v>200</v>
      </c>
      <c r="BB1102" s="177">
        <v>0</v>
      </c>
      <c r="BC1102" s="177">
        <v>0</v>
      </c>
      <c r="BD1102" s="177">
        <v>0</v>
      </c>
      <c r="BE1102" s="218" t="s">
        <v>2098</v>
      </c>
      <c r="BF1102" s="218"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s="2" customFormat="1" ht="20.100000000000001" customHeight="1">
      <c r="A1103" s="217"/>
      <c r="B1103" s="217"/>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2"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pans="1:75" s="2" customFormat="1" ht="20.100000000000001" customHeight="1">
      <c r="A1104" s="217"/>
      <c r="B1104" s="217"/>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2"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pans="1:75" s="2" customFormat="1" ht="20.100000000000001" customHeight="1">
      <c r="A1105" s="217"/>
      <c r="B1105" s="217"/>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2"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pans="1:75" s="2" customFormat="1" ht="20.100000000000001" customHeight="1">
      <c r="A1106" s="217"/>
      <c r="B1106" s="217"/>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2"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7"/>
      <c r="B1107" s="217"/>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2"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19.5" customHeight="1">
      <c r="A1108" s="217"/>
      <c r="B1108" s="217"/>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2"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1" customFormat="1" ht="20.100000000000001" customHeight="1">
      <c r="A1109" s="216"/>
      <c r="B1109" s="216"/>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2"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pans="1:75" s="1" customFormat="1" ht="20.100000000000001" customHeight="1">
      <c r="A1110" s="216"/>
      <c r="B1110" s="216"/>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2"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pans="1:75" s="1" customFormat="1" ht="20.100000000000001" customHeight="1">
      <c r="A1111" s="216"/>
      <c r="B1111" s="216"/>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2"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pans="1:75" s="1" customFormat="1" ht="20.100000000000001" customHeight="1">
      <c r="A1112" s="216"/>
      <c r="B1112" s="216"/>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2"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6"/>
      <c r="B1113" s="216"/>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2"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6"/>
      <c r="B1114" s="216"/>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2"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3" customFormat="1" ht="20.100000000000001" customHeight="1">
      <c r="A1115" s="220"/>
      <c r="B1115" s="220"/>
      <c r="C1115" s="221">
        <v>64015501</v>
      </c>
      <c r="D1115" s="222" t="s">
        <v>600</v>
      </c>
      <c r="E1115" s="223" t="s">
        <v>601</v>
      </c>
      <c r="F1115" s="224">
        <v>1</v>
      </c>
      <c r="G1115" s="225">
        <v>63021101</v>
      </c>
      <c r="H1115" s="221">
        <v>0</v>
      </c>
      <c r="I1115" s="227">
        <v>0</v>
      </c>
      <c r="J1115" s="221">
        <v>1</v>
      </c>
      <c r="K1115" s="225">
        <v>0</v>
      </c>
      <c r="L1115" s="221">
        <v>0</v>
      </c>
      <c r="M1115" s="225">
        <v>0</v>
      </c>
      <c r="N1115" s="225">
        <v>0</v>
      </c>
      <c r="O1115" s="225">
        <v>1</v>
      </c>
      <c r="P1115" s="225">
        <v>0</v>
      </c>
      <c r="Q1115" s="225">
        <v>0</v>
      </c>
      <c r="R1115" s="225">
        <v>0</v>
      </c>
      <c r="S1115" s="228">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8">
        <v>0</v>
      </c>
      <c r="AJ1115" s="228">
        <v>0</v>
      </c>
      <c r="AK1115" s="228">
        <v>0</v>
      </c>
      <c r="AL1115" s="228">
        <v>1.5</v>
      </c>
      <c r="AM1115" s="225">
        <v>0</v>
      </c>
      <c r="AN1115" s="225">
        <v>0</v>
      </c>
      <c r="AO1115" s="225">
        <v>0</v>
      </c>
      <c r="AP1115" s="221">
        <v>0.2</v>
      </c>
      <c r="AQ1115" s="225">
        <v>3000</v>
      </c>
      <c r="AR1115" s="225">
        <v>0.2</v>
      </c>
      <c r="AS1115" s="225">
        <v>0</v>
      </c>
      <c r="AT1115" s="228">
        <v>0</v>
      </c>
      <c r="AU1115" s="225" t="s">
        <v>198</v>
      </c>
      <c r="AV1115" s="225"/>
      <c r="AW1115" s="222" t="s">
        <v>198</v>
      </c>
      <c r="AX1115" s="225" t="s">
        <v>545</v>
      </c>
      <c r="AY1115" s="221">
        <v>0</v>
      </c>
      <c r="AZ1115" s="221">
        <v>0</v>
      </c>
      <c r="BA1115" s="222" t="s">
        <v>2365</v>
      </c>
      <c r="BB1115" s="365" t="s">
        <v>2366</v>
      </c>
      <c r="BC1115" s="227">
        <v>0</v>
      </c>
      <c r="BD1115" s="227">
        <v>0</v>
      </c>
      <c r="BE1115" s="233" t="s">
        <v>2367</v>
      </c>
      <c r="BF1115" s="233" t="s">
        <v>2368</v>
      </c>
      <c r="BG1115" s="225">
        <v>0</v>
      </c>
      <c r="BH1115" s="225">
        <v>0</v>
      </c>
      <c r="BI1115" s="225">
        <v>0</v>
      </c>
      <c r="BJ1115" s="225">
        <v>0</v>
      </c>
      <c r="BK1115" s="225">
        <v>0</v>
      </c>
      <c r="BL1115" s="225">
        <v>0</v>
      </c>
      <c r="BM1115" s="224">
        <v>0</v>
      </c>
      <c r="BN1115" s="228">
        <v>0</v>
      </c>
      <c r="BO1115" s="228">
        <v>0</v>
      </c>
      <c r="BP1115" s="228">
        <v>0</v>
      </c>
      <c r="BQ1115" s="228">
        <v>0</v>
      </c>
      <c r="BR1115" s="228">
        <v>0</v>
      </c>
      <c r="BS1115" s="228">
        <v>0</v>
      </c>
      <c r="BT1115" s="228">
        <v>0</v>
      </c>
      <c r="BU1115" s="228">
        <v>0</v>
      </c>
      <c r="BV1115" s="49"/>
      <c r="BW1115" s="49"/>
    </row>
    <row r="1116" spans="1:75" s="3" customFormat="1" ht="20.100000000000001" customHeight="1">
      <c r="C1116" s="221">
        <v>64015601</v>
      </c>
      <c r="D1116" s="231" t="s">
        <v>2369</v>
      </c>
      <c r="E1116" s="231" t="s">
        <v>2370</v>
      </c>
      <c r="F1116" s="225">
        <v>1</v>
      </c>
      <c r="G1116" s="225">
        <v>0</v>
      </c>
      <c r="H1116" s="221">
        <v>0</v>
      </c>
      <c r="I1116" s="227">
        <v>0</v>
      </c>
      <c r="J1116" s="225">
        <v>1</v>
      </c>
      <c r="K1116" s="225">
        <v>0</v>
      </c>
      <c r="L1116" s="225">
        <v>0</v>
      </c>
      <c r="M1116" s="221">
        <v>0</v>
      </c>
      <c r="N1116" s="221">
        <v>0</v>
      </c>
      <c r="O1116" s="221">
        <v>2</v>
      </c>
      <c r="P1116" s="221">
        <v>16</v>
      </c>
      <c r="Q1116" s="221">
        <v>10</v>
      </c>
      <c r="R1116" s="221">
        <v>0</v>
      </c>
      <c r="S1116" s="228">
        <v>0</v>
      </c>
      <c r="T1116" s="227">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8">
        <v>0</v>
      </c>
      <c r="AJ1116" s="228">
        <v>2</v>
      </c>
      <c r="AK1116" s="228">
        <v>0</v>
      </c>
      <c r="AL1116" s="228">
        <v>3</v>
      </c>
      <c r="AM1116" s="221">
        <v>0</v>
      </c>
      <c r="AN1116" s="221">
        <v>0</v>
      </c>
      <c r="AO1116" s="221">
        <v>0</v>
      </c>
      <c r="AP1116" s="221">
        <v>1</v>
      </c>
      <c r="AQ1116" s="221">
        <v>2000</v>
      </c>
      <c r="AR1116" s="221">
        <v>1</v>
      </c>
      <c r="AS1116" s="221">
        <v>0</v>
      </c>
      <c r="AT1116" s="228">
        <v>0</v>
      </c>
      <c r="AU1116" s="221">
        <v>95103003</v>
      </c>
      <c r="AV1116" s="221"/>
      <c r="AW1116" s="231" t="s">
        <v>287</v>
      </c>
      <c r="AX1116" s="221" t="s">
        <v>534</v>
      </c>
      <c r="AY1116" s="221">
        <v>10000015</v>
      </c>
      <c r="AZ1116" s="221">
        <v>77005304</v>
      </c>
      <c r="BA1116" s="222" t="s">
        <v>200</v>
      </c>
      <c r="BB1116" s="231">
        <v>0</v>
      </c>
      <c r="BC1116" s="227">
        <v>0</v>
      </c>
      <c r="BD1116" s="227">
        <v>0</v>
      </c>
      <c r="BE1116" s="240" t="s">
        <v>2371</v>
      </c>
      <c r="BF1116" s="240" t="s">
        <v>2372</v>
      </c>
      <c r="BG1116" s="221">
        <v>0</v>
      </c>
      <c r="BH1116" s="225">
        <v>0</v>
      </c>
      <c r="BI1116" s="221">
        <v>0</v>
      </c>
      <c r="BJ1116" s="221">
        <v>0</v>
      </c>
      <c r="BK1116" s="221">
        <v>0</v>
      </c>
      <c r="BL1116" s="221">
        <v>0</v>
      </c>
      <c r="BM1116" s="224">
        <v>0</v>
      </c>
      <c r="BN1116" s="228">
        <v>1</v>
      </c>
      <c r="BO1116" s="228">
        <v>0</v>
      </c>
      <c r="BP1116" s="228">
        <v>0</v>
      </c>
      <c r="BQ1116" s="228">
        <v>0</v>
      </c>
      <c r="BR1116" s="228">
        <v>0</v>
      </c>
      <c r="BS1116" s="228">
        <v>0</v>
      </c>
      <c r="BT1116" s="228">
        <v>0</v>
      </c>
      <c r="BU1116" s="228">
        <v>0</v>
      </c>
      <c r="BV1116" s="49"/>
      <c r="BW1116" s="49"/>
    </row>
    <row r="1117" spans="1:75" s="3" customFormat="1" ht="19.5" customHeight="1">
      <c r="A1117" s="220"/>
      <c r="B1117" s="220"/>
      <c r="C1117" s="221">
        <v>64015602</v>
      </c>
      <c r="D1117" s="222" t="s">
        <v>1265</v>
      </c>
      <c r="E1117" s="222" t="s">
        <v>1266</v>
      </c>
      <c r="F1117" s="225">
        <v>1</v>
      </c>
      <c r="G1117" s="225">
        <v>0</v>
      </c>
      <c r="H1117" s="225">
        <v>0</v>
      </c>
      <c r="I1117" s="227">
        <v>0</v>
      </c>
      <c r="J1117" s="221">
        <v>1</v>
      </c>
      <c r="K1117" s="221">
        <v>0</v>
      </c>
      <c r="L1117" s="221">
        <v>0</v>
      </c>
      <c r="M1117" s="225">
        <v>0</v>
      </c>
      <c r="N1117" s="225">
        <v>0</v>
      </c>
      <c r="O1117" s="225">
        <v>2</v>
      </c>
      <c r="P1117" s="225">
        <v>1</v>
      </c>
      <c r="Q1117" s="225">
        <v>0.2</v>
      </c>
      <c r="R1117" s="225">
        <v>0</v>
      </c>
      <c r="S1117" s="228">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8">
        <v>0</v>
      </c>
      <c r="AJ1117" s="228">
        <v>2</v>
      </c>
      <c r="AK1117" s="228">
        <v>0</v>
      </c>
      <c r="AL1117" s="228">
        <v>1.5</v>
      </c>
      <c r="AM1117" s="225">
        <v>0</v>
      </c>
      <c r="AN1117" s="225">
        <v>0</v>
      </c>
      <c r="AO1117" s="225">
        <v>0</v>
      </c>
      <c r="AP1117" s="225">
        <v>0.3</v>
      </c>
      <c r="AQ1117" s="225">
        <v>300</v>
      </c>
      <c r="AR1117" s="225">
        <v>0</v>
      </c>
      <c r="AS1117" s="225">
        <v>15</v>
      </c>
      <c r="AT1117" s="228">
        <v>0</v>
      </c>
      <c r="AU1117" s="230">
        <v>0</v>
      </c>
      <c r="AV1117" s="230"/>
      <c r="AW1117" s="222" t="s">
        <v>198</v>
      </c>
      <c r="AX1117" s="225" t="s">
        <v>215</v>
      </c>
      <c r="AY1117" s="221">
        <v>0</v>
      </c>
      <c r="AZ1117" s="221">
        <v>0</v>
      </c>
      <c r="BA1117" s="232" t="s">
        <v>216</v>
      </c>
      <c r="BB1117" s="225">
        <v>1</v>
      </c>
      <c r="BC1117" s="227">
        <v>0</v>
      </c>
      <c r="BD1117" s="227">
        <v>0</v>
      </c>
      <c r="BE1117" s="233" t="s">
        <v>2373</v>
      </c>
      <c r="BF1117" s="233" t="s">
        <v>2374</v>
      </c>
      <c r="BG1117" s="225">
        <v>0</v>
      </c>
      <c r="BH1117" s="225">
        <v>0</v>
      </c>
      <c r="BI1117" s="225">
        <v>0</v>
      </c>
      <c r="BJ1117" s="225">
        <v>0</v>
      </c>
      <c r="BK1117" s="225">
        <v>0</v>
      </c>
      <c r="BL1117" s="225">
        <v>0</v>
      </c>
      <c r="BM1117" s="224">
        <v>0</v>
      </c>
      <c r="BN1117" s="228">
        <v>0</v>
      </c>
      <c r="BO1117" s="228">
        <v>0</v>
      </c>
      <c r="BP1117" s="228">
        <v>0</v>
      </c>
      <c r="BQ1117" s="228">
        <v>0</v>
      </c>
      <c r="BR1117" s="228">
        <v>0</v>
      </c>
      <c r="BS1117" s="228">
        <v>1</v>
      </c>
      <c r="BT1117" s="228">
        <v>64015603</v>
      </c>
      <c r="BU1117" s="228">
        <v>0</v>
      </c>
      <c r="BV1117" s="49"/>
      <c r="BW1117" s="49"/>
    </row>
    <row r="1118" spans="1:75" s="3" customFormat="1" ht="19.5" customHeight="1">
      <c r="A1118" s="220"/>
      <c r="B1118" s="220"/>
      <c r="C1118" s="221">
        <v>64015603</v>
      </c>
      <c r="D1118" s="231" t="s">
        <v>1265</v>
      </c>
      <c r="E1118" s="231" t="s">
        <v>1266</v>
      </c>
      <c r="F1118" s="225">
        <v>1</v>
      </c>
      <c r="G1118" s="225">
        <v>0</v>
      </c>
      <c r="H1118" s="221">
        <v>0</v>
      </c>
      <c r="I1118" s="227">
        <v>0</v>
      </c>
      <c r="J1118" s="225">
        <v>1</v>
      </c>
      <c r="K1118" s="225">
        <v>0</v>
      </c>
      <c r="L1118" s="225">
        <v>0</v>
      </c>
      <c r="M1118" s="221">
        <v>0</v>
      </c>
      <c r="N1118" s="221">
        <v>0</v>
      </c>
      <c r="O1118" s="221">
        <v>2</v>
      </c>
      <c r="P1118" s="221">
        <v>1</v>
      </c>
      <c r="Q1118" s="221">
        <v>1</v>
      </c>
      <c r="R1118" s="221">
        <v>0</v>
      </c>
      <c r="S1118" s="228">
        <v>0</v>
      </c>
      <c r="T1118" s="227">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9">
        <v>4</v>
      </c>
      <c r="AI1118" s="228">
        <v>0</v>
      </c>
      <c r="AJ1118" s="228">
        <v>1</v>
      </c>
      <c r="AK1118" s="228">
        <v>0</v>
      </c>
      <c r="AL1118" s="228">
        <v>5</v>
      </c>
      <c r="AM1118" s="221">
        <v>0</v>
      </c>
      <c r="AN1118" s="221">
        <v>1</v>
      </c>
      <c r="AO1118" s="221">
        <v>0</v>
      </c>
      <c r="AP1118" s="221">
        <v>0.6</v>
      </c>
      <c r="AQ1118" s="221">
        <v>2000</v>
      </c>
      <c r="AR1118" s="221">
        <v>0.6</v>
      </c>
      <c r="AS1118" s="221">
        <v>0</v>
      </c>
      <c r="AT1118" s="228">
        <v>0</v>
      </c>
      <c r="AU1118" s="221">
        <v>95103001</v>
      </c>
      <c r="AV1118" s="221"/>
      <c r="AW1118" s="231" t="s">
        <v>287</v>
      </c>
      <c r="AX1118" s="221" t="s">
        <v>545</v>
      </c>
      <c r="AY1118" s="221">
        <v>10001005</v>
      </c>
      <c r="AZ1118" s="221">
        <v>77005305</v>
      </c>
      <c r="BA1118" s="231" t="s">
        <v>200</v>
      </c>
      <c r="BB1118" s="231">
        <v>0</v>
      </c>
      <c r="BC1118" s="227">
        <v>0</v>
      </c>
      <c r="BD1118" s="227">
        <v>0</v>
      </c>
      <c r="BE1118" s="240" t="s">
        <v>1269</v>
      </c>
      <c r="BF1118" s="240" t="s">
        <v>1270</v>
      </c>
      <c r="BG1118" s="221">
        <v>0</v>
      </c>
      <c r="BH1118" s="225">
        <v>0</v>
      </c>
      <c r="BI1118" s="221">
        <v>0</v>
      </c>
      <c r="BJ1118" s="221">
        <v>0</v>
      </c>
      <c r="BK1118" s="221">
        <v>0</v>
      </c>
      <c r="BL1118" s="221">
        <v>0</v>
      </c>
      <c r="BM1118" s="224">
        <v>0</v>
      </c>
      <c r="BN1118" s="228">
        <v>0</v>
      </c>
      <c r="BO1118" s="228">
        <v>0</v>
      </c>
      <c r="BP1118" s="228">
        <v>0</v>
      </c>
      <c r="BQ1118" s="228">
        <v>0</v>
      </c>
      <c r="BR1118" s="228">
        <v>0</v>
      </c>
      <c r="BS1118" s="228">
        <v>0</v>
      </c>
      <c r="BT1118" s="228">
        <v>0</v>
      </c>
      <c r="BU1118" s="228">
        <v>0</v>
      </c>
      <c r="BV1118" s="49"/>
      <c r="BW1118" s="49"/>
    </row>
    <row r="1119" spans="1:75" ht="20.100000000000001" customHeight="1">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spans="1:75" ht="20.100000000000001" customHeight="1">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spans="3:75" ht="20.100000000000001" customHeight="1">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spans="3:75" ht="20.100000000000001" customHeight="1">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spans="3:75" ht="20.100000000000001" customHeight="1">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spans="3:75" ht="20.100000000000001" customHeight="1">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spans="3:75" ht="20.100000000000001" customHeight="1">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6"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spans="3:75" ht="20.100000000000001" customHeight="1">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6"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spans="3:75" ht="20.100000000000001" customHeight="1">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6"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spans="3:75" ht="20.100000000000001" customHeight="1">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6"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3:75" ht="20.100000000000001" customHeight="1">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6"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3:75" ht="20.100000000000001" customHeight="1">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6"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3:75" ht="20.100000000000001" customHeight="1">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spans="3:75" ht="20.100000000000001" customHeight="1">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spans="3:75" ht="20.100000000000001" customHeight="1">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spans="3:75" ht="20.100000000000001" customHeight="1">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3:75" ht="20.100000000000001" customHeight="1">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3:75" ht="20.100000000000001" customHeight="1">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spans="3:75" ht="20.100000000000001" customHeight="1">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spans="3:75" ht="20.100000000000001" customHeight="1">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spans="3:75" ht="20.100000000000001" customHeight="1">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65012301</v>
      </c>
      <c r="D1149" s="14" t="s">
        <v>2732</v>
      </c>
      <c r="E1149" s="14" t="s">
        <v>2733</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2734</v>
      </c>
      <c r="AU1149" s="13" t="s">
        <v>198</v>
      </c>
      <c r="AV1149" s="13"/>
      <c r="AW1149" s="14" t="s">
        <v>199</v>
      </c>
      <c r="AX1149" s="13" t="s">
        <v>1816</v>
      </c>
      <c r="AY1149" s="13">
        <v>0</v>
      </c>
      <c r="AZ1149" s="13">
        <v>40000003</v>
      </c>
      <c r="BA1149" s="14" t="s">
        <v>200</v>
      </c>
      <c r="BB1149" s="13" t="s">
        <v>198</v>
      </c>
      <c r="BC1149" s="13">
        <v>0</v>
      </c>
      <c r="BD1149" s="13">
        <v>1</v>
      </c>
      <c r="BE1149" s="187" t="s">
        <v>2735</v>
      </c>
      <c r="BF1149" s="187" t="s">
        <v>2736</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spans="3:75" ht="20.100000000000001" customHeight="1">
      <c r="C1150" s="13">
        <v>65012302</v>
      </c>
      <c r="D1150" s="14" t="s">
        <v>2732</v>
      </c>
      <c r="E1150" s="14" t="s">
        <v>2733</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2734</v>
      </c>
      <c r="AU1150" s="13" t="s">
        <v>198</v>
      </c>
      <c r="AV1150" s="13"/>
      <c r="AW1150" s="14" t="s">
        <v>199</v>
      </c>
      <c r="AX1150" s="13" t="s">
        <v>1816</v>
      </c>
      <c r="AY1150" s="13">
        <v>0</v>
      </c>
      <c r="AZ1150" s="13">
        <v>40000003</v>
      </c>
      <c r="BA1150" s="14" t="s">
        <v>200</v>
      </c>
      <c r="BB1150" s="13" t="s">
        <v>198</v>
      </c>
      <c r="BC1150" s="13">
        <v>0</v>
      </c>
      <c r="BD1150" s="13">
        <v>1</v>
      </c>
      <c r="BE1150" s="187" t="s">
        <v>2735</v>
      </c>
      <c r="BF1150" s="187" t="s">
        <v>2736</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spans="3:75" ht="20.100000000000001" customHeight="1">
      <c r="C1151" s="13">
        <v>65012303</v>
      </c>
      <c r="D1151" s="14" t="s">
        <v>2732</v>
      </c>
      <c r="E1151" s="14" t="s">
        <v>2733</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2734</v>
      </c>
      <c r="AU1151" s="13" t="s">
        <v>198</v>
      </c>
      <c r="AV1151" s="13"/>
      <c r="AW1151" s="14" t="s">
        <v>199</v>
      </c>
      <c r="AX1151" s="13" t="s">
        <v>1816</v>
      </c>
      <c r="AY1151" s="13">
        <v>0</v>
      </c>
      <c r="AZ1151" s="13">
        <v>40000003</v>
      </c>
      <c r="BA1151" s="14" t="s">
        <v>200</v>
      </c>
      <c r="BB1151" s="13" t="s">
        <v>198</v>
      </c>
      <c r="BC1151" s="13">
        <v>0</v>
      </c>
      <c r="BD1151" s="13">
        <v>1</v>
      </c>
      <c r="BE1151" s="187" t="s">
        <v>2735</v>
      </c>
      <c r="BF1151" s="187" t="s">
        <v>2736</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spans="3:75" ht="20.100000000000001" customHeight="1">
      <c r="C1152" s="13">
        <v>65012304</v>
      </c>
      <c r="D1152" s="14" t="s">
        <v>2732</v>
      </c>
      <c r="E1152" s="14" t="s">
        <v>2733</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2734</v>
      </c>
      <c r="AU1152" s="13" t="s">
        <v>198</v>
      </c>
      <c r="AV1152" s="13"/>
      <c r="AW1152" s="14" t="s">
        <v>199</v>
      </c>
      <c r="AX1152" s="13" t="s">
        <v>1816</v>
      </c>
      <c r="AY1152" s="13">
        <v>0</v>
      </c>
      <c r="AZ1152" s="13">
        <v>40000003</v>
      </c>
      <c r="BA1152" s="14" t="s">
        <v>200</v>
      </c>
      <c r="BB1152" s="13" t="s">
        <v>198</v>
      </c>
      <c r="BC1152" s="13">
        <v>0</v>
      </c>
      <c r="BD1152" s="13">
        <v>1</v>
      </c>
      <c r="BE1152" s="187" t="s">
        <v>2735</v>
      </c>
      <c r="BF1152" s="187" t="s">
        <v>2736</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65012305</v>
      </c>
      <c r="D1153" s="14" t="s">
        <v>2732</v>
      </c>
      <c r="E1153" s="14" t="s">
        <v>2733</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2734</v>
      </c>
      <c r="AU1153" s="13" t="s">
        <v>198</v>
      </c>
      <c r="AV1153" s="13"/>
      <c r="AW1153" s="14" t="s">
        <v>199</v>
      </c>
      <c r="AX1153" s="13" t="s">
        <v>1816</v>
      </c>
      <c r="AY1153" s="13">
        <v>0</v>
      </c>
      <c r="AZ1153" s="13">
        <v>40000003</v>
      </c>
      <c r="BA1153" s="14" t="s">
        <v>200</v>
      </c>
      <c r="BB1153" s="13" t="s">
        <v>198</v>
      </c>
      <c r="BC1153" s="13">
        <v>0</v>
      </c>
      <c r="BD1153" s="13">
        <v>1</v>
      </c>
      <c r="BE1153" s="187" t="s">
        <v>2735</v>
      </c>
      <c r="BF1153" s="187" t="s">
        <v>2736</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65012306</v>
      </c>
      <c r="D1154" s="14" t="s">
        <v>2732</v>
      </c>
      <c r="E1154" s="14" t="s">
        <v>2733</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2734</v>
      </c>
      <c r="AU1154" s="13" t="s">
        <v>198</v>
      </c>
      <c r="AV1154" s="13"/>
      <c r="AW1154" s="14" t="s">
        <v>199</v>
      </c>
      <c r="AX1154" s="13" t="s">
        <v>1816</v>
      </c>
      <c r="AY1154" s="13">
        <v>0</v>
      </c>
      <c r="AZ1154" s="13">
        <v>40000003</v>
      </c>
      <c r="BA1154" s="14" t="s">
        <v>200</v>
      </c>
      <c r="BB1154" s="13" t="s">
        <v>198</v>
      </c>
      <c r="BC1154" s="13">
        <v>0</v>
      </c>
      <c r="BD1154" s="13">
        <v>1</v>
      </c>
      <c r="BE1154" s="187" t="s">
        <v>2735</v>
      </c>
      <c r="BF1154" s="187" t="s">
        <v>2736</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19.5" customHeight="1">
      <c r="C1155" s="174">
        <v>65021101</v>
      </c>
      <c r="D1155" s="20" t="s">
        <v>1542</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6" t="s">
        <v>1545</v>
      </c>
      <c r="AV1155" s="19"/>
      <c r="AW1155" s="20" t="s">
        <v>256</v>
      </c>
      <c r="AX1155" s="19" t="s">
        <v>545</v>
      </c>
      <c r="AY1155" s="19">
        <v>10001007</v>
      </c>
      <c r="AZ1155" s="19">
        <v>21010030</v>
      </c>
      <c r="BA1155" s="20" t="s">
        <v>200</v>
      </c>
      <c r="BB1155" s="20">
        <v>0</v>
      </c>
      <c r="BC1155" s="28">
        <v>0</v>
      </c>
      <c r="BD1155" s="28">
        <v>0</v>
      </c>
      <c r="BE1155" s="186" t="str">
        <f>"立即对目标范围内的怪物造成"&amp;X1155*100&amp;"%攻击伤害+"&amp;Z1155&amp;"点固定伤害,并使目标冰冻1秒,使其受到伤害额外提升20%"</f>
        <v>立即对目标范围内的怪物造成250%攻击伤害+1000点固定伤害,并使目标冰冻1秒,使其受到伤害额外提升20%</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spans="3:75" ht="19.5" customHeight="1">
      <c r="C1156" s="174">
        <v>65021102</v>
      </c>
      <c r="D1156" s="20" t="s">
        <v>1542</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6" t="s">
        <v>1545</v>
      </c>
      <c r="AV1156" s="19"/>
      <c r="AW1156" s="20" t="s">
        <v>256</v>
      </c>
      <c r="AX1156" s="19" t="s">
        <v>545</v>
      </c>
      <c r="AY1156" s="19">
        <v>10001007</v>
      </c>
      <c r="AZ1156" s="19">
        <v>21010030</v>
      </c>
      <c r="BA1156" s="20" t="s">
        <v>200</v>
      </c>
      <c r="BB1156" s="20">
        <v>0</v>
      </c>
      <c r="BC1156" s="28">
        <v>0</v>
      </c>
      <c r="BD1156" s="28">
        <v>0</v>
      </c>
      <c r="BE1156" s="186" t="str">
        <f t="shared" ref="BE1156:BE1160" si="132">"立即对目标范围内的怪物造成"&amp;X1156*100&amp;"%攻击伤害+"&amp;Z1156&amp;"点固定伤害,并使目标冰冻1秒,使其受到伤害额外提升20%"</f>
        <v>立即对目标范围内的怪物造成250%攻击伤害+1000点固定伤害,并使目标冰冻1秒,使其受到伤害额外提升20%</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spans="3:75" ht="19.5" customHeight="1">
      <c r="C1157" s="174">
        <v>65021103</v>
      </c>
      <c r="D1157" s="20" t="s">
        <v>1542</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2.75</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6" t="s">
        <v>1545</v>
      </c>
      <c r="AV1157" s="19"/>
      <c r="AW1157" s="20" t="s">
        <v>256</v>
      </c>
      <c r="AX1157" s="19" t="s">
        <v>545</v>
      </c>
      <c r="AY1157" s="19">
        <v>10001007</v>
      </c>
      <c r="AZ1157" s="19">
        <v>21010030</v>
      </c>
      <c r="BA1157" s="20" t="s">
        <v>200</v>
      </c>
      <c r="BB1157" s="20">
        <v>0</v>
      </c>
      <c r="BC1157" s="28">
        <v>0</v>
      </c>
      <c r="BD1157" s="28">
        <v>0</v>
      </c>
      <c r="BE1157" s="186" t="str">
        <f t="shared" si="132"/>
        <v>立即对目标范围内的怪物造成275%攻击伤害+1500点固定伤害,并使目标冰冻1秒,使其受到伤害额外提升20%</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spans="3:75" ht="19.5" customHeight="1">
      <c r="C1158" s="174">
        <v>65021104</v>
      </c>
      <c r="D1158" s="20" t="s">
        <v>1542</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6" t="s">
        <v>1545</v>
      </c>
      <c r="AV1158" s="19"/>
      <c r="AW1158" s="20" t="s">
        <v>256</v>
      </c>
      <c r="AX1158" s="19" t="s">
        <v>545</v>
      </c>
      <c r="AY1158" s="19">
        <v>10001007</v>
      </c>
      <c r="AZ1158" s="19">
        <v>21010030</v>
      </c>
      <c r="BA1158" s="20" t="s">
        <v>200</v>
      </c>
      <c r="BB1158" s="20">
        <v>0</v>
      </c>
      <c r="BC1158" s="28">
        <v>0</v>
      </c>
      <c r="BD1158" s="28">
        <v>0</v>
      </c>
      <c r="BE1158" s="186" t="str">
        <f t="shared" si="132"/>
        <v>立即对目标范围内的怪物造成300%攻击伤害+2000点固定伤害,并使目标冰冻1秒,使其受到伤害额外提升20%</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65021105</v>
      </c>
      <c r="D1159" s="20" t="s">
        <v>1542</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3.25</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6" t="s">
        <v>1545</v>
      </c>
      <c r="AV1159" s="19"/>
      <c r="AW1159" s="20" t="s">
        <v>256</v>
      </c>
      <c r="AX1159" s="19" t="s">
        <v>545</v>
      </c>
      <c r="AY1159" s="19">
        <v>10001007</v>
      </c>
      <c r="AZ1159" s="19">
        <v>21010030</v>
      </c>
      <c r="BA1159" s="20" t="s">
        <v>200</v>
      </c>
      <c r="BB1159" s="20">
        <v>0</v>
      </c>
      <c r="BC1159" s="28">
        <v>0</v>
      </c>
      <c r="BD1159" s="28">
        <v>0</v>
      </c>
      <c r="BE1159" s="186" t="str">
        <f t="shared" si="132"/>
        <v>立即对目标范围内的怪物造成325%攻击伤害+2750点固定伤害,并使目标冰冻1秒,使其受到伤害额外提升20%</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65021106</v>
      </c>
      <c r="D1160" s="20" t="s">
        <v>1542</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3.5</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6" t="s">
        <v>1545</v>
      </c>
      <c r="AV1160" s="19"/>
      <c r="AW1160" s="20" t="s">
        <v>256</v>
      </c>
      <c r="AX1160" s="19" t="s">
        <v>545</v>
      </c>
      <c r="AY1160" s="19">
        <v>10001007</v>
      </c>
      <c r="AZ1160" s="19">
        <v>21010030</v>
      </c>
      <c r="BA1160" s="20" t="s">
        <v>200</v>
      </c>
      <c r="BB1160" s="20">
        <v>0</v>
      </c>
      <c r="BC1160" s="28">
        <v>0</v>
      </c>
      <c r="BD1160" s="28">
        <v>0</v>
      </c>
      <c r="BE1160" s="186" t="str">
        <f t="shared" si="132"/>
        <v>立即对目标范围内的怪物造成350%攻击伤害+3500点固定伤害,并使目标冰冻1秒,使其受到伤害额外提升20%</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20.100000000000001" customHeight="1">
      <c r="C1161" s="174">
        <v>65021201</v>
      </c>
      <c r="D1161" s="61" t="s">
        <v>5352</v>
      </c>
      <c r="E1161" s="61" t="s">
        <v>5353</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4</v>
      </c>
      <c r="Y1161" s="13">
        <v>0</v>
      </c>
      <c r="Z1161" s="62">
        <v>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10000</v>
      </c>
      <c r="AR1161" s="62">
        <v>0</v>
      </c>
      <c r="AS1161" s="62">
        <v>0</v>
      </c>
      <c r="AT1161" s="13">
        <v>0</v>
      </c>
      <c r="AU1161" s="62">
        <v>0</v>
      </c>
      <c r="AV1161" s="62"/>
      <c r="AW1161" s="61" t="s">
        <v>287</v>
      </c>
      <c r="AX1161" s="17">
        <v>0</v>
      </c>
      <c r="AY1161" s="66">
        <v>0</v>
      </c>
      <c r="AZ1161" s="19">
        <v>77010111</v>
      </c>
      <c r="BA1161" s="61" t="s">
        <v>5354</v>
      </c>
      <c r="BB1161" s="62">
        <v>60</v>
      </c>
      <c r="BC1161" s="68">
        <v>0</v>
      </c>
      <c r="BD1161" s="68">
        <v>0</v>
      </c>
      <c r="BE1161" s="92" t="s">
        <v>630</v>
      </c>
      <c r="BF1161" s="92" t="s">
        <v>631</v>
      </c>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spans="3:75" ht="20.100000000000001" customHeight="1">
      <c r="C1162" s="174">
        <v>65021202</v>
      </c>
      <c r="D1162" s="61" t="s">
        <v>5352</v>
      </c>
      <c r="E1162" s="61" t="s">
        <v>5353</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4</v>
      </c>
      <c r="Y1162" s="13">
        <v>0</v>
      </c>
      <c r="Z1162" s="62">
        <v>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10000</v>
      </c>
      <c r="AR1162" s="62">
        <v>0</v>
      </c>
      <c r="AS1162" s="62">
        <v>0</v>
      </c>
      <c r="AT1162" s="13">
        <v>0</v>
      </c>
      <c r="AU1162" s="62">
        <v>0</v>
      </c>
      <c r="AV1162" s="62"/>
      <c r="AW1162" s="61" t="s">
        <v>287</v>
      </c>
      <c r="AX1162" s="17">
        <v>0</v>
      </c>
      <c r="AY1162" s="66">
        <v>0</v>
      </c>
      <c r="AZ1162" s="19">
        <v>77010111</v>
      </c>
      <c r="BA1162" s="61" t="s">
        <v>5354</v>
      </c>
      <c r="BB1162" s="62">
        <v>60</v>
      </c>
      <c r="BC1162" s="68">
        <v>0</v>
      </c>
      <c r="BD1162" s="68">
        <v>0</v>
      </c>
      <c r="BE1162" s="92" t="s">
        <v>630</v>
      </c>
      <c r="BF1162" s="92" t="s">
        <v>631</v>
      </c>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spans="3:75" ht="20.100000000000001" customHeight="1">
      <c r="C1163" s="174">
        <v>65021203</v>
      </c>
      <c r="D1163" s="61" t="s">
        <v>5352</v>
      </c>
      <c r="E1163" s="61" t="s">
        <v>5353</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4</v>
      </c>
      <c r="Y1163" s="13">
        <v>0</v>
      </c>
      <c r="Z1163" s="62">
        <v>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10000</v>
      </c>
      <c r="AR1163" s="62">
        <v>0</v>
      </c>
      <c r="AS1163" s="62">
        <v>0</v>
      </c>
      <c r="AT1163" s="13">
        <v>0</v>
      </c>
      <c r="AU1163" s="62">
        <v>0</v>
      </c>
      <c r="AV1163" s="62"/>
      <c r="AW1163" s="61" t="s">
        <v>287</v>
      </c>
      <c r="AX1163" s="17">
        <v>0</v>
      </c>
      <c r="AY1163" s="66">
        <v>0</v>
      </c>
      <c r="AZ1163" s="19">
        <v>77010111</v>
      </c>
      <c r="BA1163" s="61" t="s">
        <v>5354</v>
      </c>
      <c r="BB1163" s="62">
        <v>60</v>
      </c>
      <c r="BC1163" s="68">
        <v>0</v>
      </c>
      <c r="BD1163" s="68">
        <v>0</v>
      </c>
      <c r="BE1163" s="92" t="s">
        <v>630</v>
      </c>
      <c r="BF1163" s="92" t="s">
        <v>631</v>
      </c>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spans="3:75" ht="20.100000000000001" customHeight="1">
      <c r="C1164" s="174">
        <v>65021204</v>
      </c>
      <c r="D1164" s="61" t="s">
        <v>5352</v>
      </c>
      <c r="E1164" s="61" t="s">
        <v>5353</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4</v>
      </c>
      <c r="Y1164" s="13">
        <v>0</v>
      </c>
      <c r="Z1164" s="62">
        <v>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10000</v>
      </c>
      <c r="AR1164" s="62">
        <v>0</v>
      </c>
      <c r="AS1164" s="62">
        <v>0</v>
      </c>
      <c r="AT1164" s="13">
        <v>0</v>
      </c>
      <c r="AU1164" s="62">
        <v>0</v>
      </c>
      <c r="AV1164" s="62"/>
      <c r="AW1164" s="61" t="s">
        <v>287</v>
      </c>
      <c r="AX1164" s="17">
        <v>0</v>
      </c>
      <c r="AY1164" s="66">
        <v>0</v>
      </c>
      <c r="AZ1164" s="19">
        <v>77010111</v>
      </c>
      <c r="BA1164" s="61" t="s">
        <v>5354</v>
      </c>
      <c r="BB1164" s="62">
        <v>60</v>
      </c>
      <c r="BC1164" s="68">
        <v>0</v>
      </c>
      <c r="BD1164" s="68">
        <v>0</v>
      </c>
      <c r="BE1164" s="92" t="s">
        <v>630</v>
      </c>
      <c r="BF1164" s="92" t="s">
        <v>631</v>
      </c>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65021205</v>
      </c>
      <c r="D1165" s="61" t="s">
        <v>5352</v>
      </c>
      <c r="E1165" s="61" t="s">
        <v>5353</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4</v>
      </c>
      <c r="Y1165" s="13">
        <v>0</v>
      </c>
      <c r="Z1165" s="62">
        <v>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10000</v>
      </c>
      <c r="AR1165" s="62">
        <v>0</v>
      </c>
      <c r="AS1165" s="62">
        <v>0</v>
      </c>
      <c r="AT1165" s="13">
        <v>0</v>
      </c>
      <c r="AU1165" s="62">
        <v>0</v>
      </c>
      <c r="AV1165" s="62"/>
      <c r="AW1165" s="61" t="s">
        <v>287</v>
      </c>
      <c r="AX1165" s="17">
        <v>0</v>
      </c>
      <c r="AY1165" s="66">
        <v>0</v>
      </c>
      <c r="AZ1165" s="19">
        <v>77010111</v>
      </c>
      <c r="BA1165" s="61" t="s">
        <v>5354</v>
      </c>
      <c r="BB1165" s="62">
        <v>60</v>
      </c>
      <c r="BC1165" s="68">
        <v>0</v>
      </c>
      <c r="BD1165" s="68">
        <v>0</v>
      </c>
      <c r="BE1165" s="92" t="s">
        <v>630</v>
      </c>
      <c r="BF1165" s="92" t="s">
        <v>631</v>
      </c>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65021206</v>
      </c>
      <c r="D1166" s="61" t="s">
        <v>5352</v>
      </c>
      <c r="E1166" s="61" t="s">
        <v>5353</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4</v>
      </c>
      <c r="Y1166" s="13">
        <v>0</v>
      </c>
      <c r="Z1166" s="62">
        <v>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10000</v>
      </c>
      <c r="AR1166" s="62">
        <v>0</v>
      </c>
      <c r="AS1166" s="62">
        <v>0</v>
      </c>
      <c r="AT1166" s="13">
        <v>0</v>
      </c>
      <c r="AU1166" s="62">
        <v>0</v>
      </c>
      <c r="AV1166" s="62"/>
      <c r="AW1166" s="61" t="s">
        <v>287</v>
      </c>
      <c r="AX1166" s="17">
        <v>0</v>
      </c>
      <c r="AY1166" s="66">
        <v>0</v>
      </c>
      <c r="AZ1166" s="19">
        <v>77010111</v>
      </c>
      <c r="BA1166" s="61" t="s">
        <v>5354</v>
      </c>
      <c r="BB1166" s="62">
        <v>60</v>
      </c>
      <c r="BC1166" s="68">
        <v>0</v>
      </c>
      <c r="BD1166" s="68">
        <v>0</v>
      </c>
      <c r="BE1166" s="92" t="s">
        <v>630</v>
      </c>
      <c r="BF1166" s="92" t="s">
        <v>631</v>
      </c>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65021301</v>
      </c>
      <c r="D1167" s="14" t="s">
        <v>1567</v>
      </c>
      <c r="E1167" s="14" t="s">
        <v>1568</v>
      </c>
      <c r="F1167" s="13">
        <v>0</v>
      </c>
      <c r="G1167" s="13">
        <v>61022201</v>
      </c>
      <c r="H1167" s="174">
        <v>65021302</v>
      </c>
      <c r="I1167" s="13">
        <v>0</v>
      </c>
      <c r="J1167" s="17">
        <v>30</v>
      </c>
      <c r="K1167" s="19">
        <v>5</v>
      </c>
      <c r="L1167" s="13">
        <v>0</v>
      </c>
      <c r="M1167" s="13">
        <v>0</v>
      </c>
      <c r="N1167" s="13">
        <v>0</v>
      </c>
      <c r="O1167" s="13">
        <v>1</v>
      </c>
      <c r="P1167" s="13">
        <v>0</v>
      </c>
      <c r="Q1167" s="13">
        <v>0</v>
      </c>
      <c r="R1167" s="13">
        <v>0</v>
      </c>
      <c r="S1167" s="13">
        <v>0</v>
      </c>
      <c r="T1167" s="13">
        <v>0</v>
      </c>
      <c r="U1167" s="13">
        <v>1</v>
      </c>
      <c r="V1167" s="13">
        <v>2</v>
      </c>
      <c r="W1167" s="13">
        <v>0</v>
      </c>
      <c r="X1167" s="13">
        <v>0</v>
      </c>
      <c r="Y1167" s="13">
        <v>0</v>
      </c>
      <c r="Z1167" s="13">
        <v>0</v>
      </c>
      <c r="AA1167" s="13">
        <v>0</v>
      </c>
      <c r="AB1167" s="13">
        <v>0</v>
      </c>
      <c r="AC1167" s="13">
        <v>0</v>
      </c>
      <c r="AD1167" s="13">
        <v>0</v>
      </c>
      <c r="AE1167" s="13">
        <v>0</v>
      </c>
      <c r="AF1167" s="13">
        <v>30</v>
      </c>
      <c r="AG1167" s="13">
        <v>0</v>
      </c>
      <c r="AH1167" s="13">
        <v>0</v>
      </c>
      <c r="AI1167" s="13">
        <v>0</v>
      </c>
      <c r="AJ1167" s="13">
        <v>0</v>
      </c>
      <c r="AK1167" s="13">
        <v>0</v>
      </c>
      <c r="AL1167" s="13">
        <v>0</v>
      </c>
      <c r="AM1167" s="13">
        <v>0</v>
      </c>
      <c r="AN1167" s="13">
        <v>0</v>
      </c>
      <c r="AO1167" s="13">
        <v>0</v>
      </c>
      <c r="AP1167" s="13">
        <v>0.2</v>
      </c>
      <c r="AQ1167" s="13">
        <v>3000</v>
      </c>
      <c r="AR1167" s="13">
        <v>0.5</v>
      </c>
      <c r="AS1167" s="13">
        <v>0</v>
      </c>
      <c r="AT1167" s="348" t="s">
        <v>1569</v>
      </c>
      <c r="AU1167" s="13" t="s">
        <v>198</v>
      </c>
      <c r="AV1167" s="13"/>
      <c r="AW1167" s="14" t="s">
        <v>199</v>
      </c>
      <c r="AX1167" s="13" t="s">
        <v>1408</v>
      </c>
      <c r="AY1167" s="13">
        <v>0</v>
      </c>
      <c r="AZ1167" s="13">
        <v>21020020</v>
      </c>
      <c r="BA1167" s="14" t="s">
        <v>200</v>
      </c>
      <c r="BB1167" s="14">
        <v>0</v>
      </c>
      <c r="BC1167" s="13">
        <v>0</v>
      </c>
      <c r="BD1167" s="13">
        <v>0</v>
      </c>
      <c r="BE1167" s="187" t="s">
        <v>1570</v>
      </c>
      <c r="BF1167" s="187" t="s">
        <v>1571</v>
      </c>
      <c r="BG1167" s="13">
        <v>0</v>
      </c>
      <c r="BH1167" s="13">
        <v>0</v>
      </c>
      <c r="BI1167" s="13">
        <v>0</v>
      </c>
      <c r="BJ1167" s="13">
        <v>0</v>
      </c>
      <c r="BK1167" s="13">
        <v>0</v>
      </c>
      <c r="BL1167" s="13">
        <v>0</v>
      </c>
      <c r="BM1167" s="188">
        <v>0</v>
      </c>
      <c r="BN1167" s="13">
        <v>1</v>
      </c>
      <c r="BO1167" s="13">
        <v>0</v>
      </c>
      <c r="BP1167" s="13">
        <v>0</v>
      </c>
      <c r="BQ1167" s="13">
        <v>0</v>
      </c>
      <c r="BR1167" s="13">
        <v>0</v>
      </c>
      <c r="BS1167" s="13">
        <v>0</v>
      </c>
      <c r="BT1167" s="13">
        <v>0</v>
      </c>
      <c r="BU1167" s="49">
        <v>0</v>
      </c>
      <c r="BV1167" s="49"/>
      <c r="BW1167" s="49"/>
    </row>
    <row r="1168" spans="3:75" ht="20.100000000000001" customHeight="1">
      <c r="C1168" s="174">
        <v>65021302</v>
      </c>
      <c r="D1168" s="14" t="s">
        <v>1567</v>
      </c>
      <c r="E1168" s="14" t="s">
        <v>1568</v>
      </c>
      <c r="F1168" s="13">
        <v>1</v>
      </c>
      <c r="G1168" s="13">
        <v>61022201</v>
      </c>
      <c r="H1168" s="174">
        <v>65021303</v>
      </c>
      <c r="I1168" s="13">
        <v>0</v>
      </c>
      <c r="J1168" s="17">
        <v>37</v>
      </c>
      <c r="K1168" s="19">
        <v>2</v>
      </c>
      <c r="L1168" s="13">
        <v>0</v>
      </c>
      <c r="M1168" s="13">
        <v>0</v>
      </c>
      <c r="N1168" s="13">
        <v>0</v>
      </c>
      <c r="O1168" s="13">
        <v>1</v>
      </c>
      <c r="P1168" s="13">
        <v>0</v>
      </c>
      <c r="Q1168" s="13">
        <v>0</v>
      </c>
      <c r="R1168" s="13">
        <v>0</v>
      </c>
      <c r="S1168" s="13">
        <v>0</v>
      </c>
      <c r="T1168" s="13">
        <v>0</v>
      </c>
      <c r="U1168" s="13">
        <v>1</v>
      </c>
      <c r="V1168" s="13">
        <v>2</v>
      </c>
      <c r="W1168" s="13">
        <v>0</v>
      </c>
      <c r="X1168" s="13">
        <v>0</v>
      </c>
      <c r="Y1168" s="13">
        <v>0</v>
      </c>
      <c r="Z1168" s="13">
        <v>0</v>
      </c>
      <c r="AA1168" s="13">
        <v>0</v>
      </c>
      <c r="AB1168" s="13">
        <v>0</v>
      </c>
      <c r="AC1168" s="13">
        <v>0</v>
      </c>
      <c r="AD1168" s="13">
        <v>0</v>
      </c>
      <c r="AE1168" s="13">
        <v>0</v>
      </c>
      <c r="AF1168" s="13">
        <v>30</v>
      </c>
      <c r="AG1168" s="13">
        <v>0</v>
      </c>
      <c r="AH1168" s="13">
        <v>0</v>
      </c>
      <c r="AI1168" s="13">
        <v>0</v>
      </c>
      <c r="AJ1168" s="13">
        <v>0</v>
      </c>
      <c r="AK1168" s="13">
        <v>0</v>
      </c>
      <c r="AL1168" s="13">
        <v>0</v>
      </c>
      <c r="AM1168" s="13">
        <v>0</v>
      </c>
      <c r="AN1168" s="13">
        <v>0</v>
      </c>
      <c r="AO1168" s="13">
        <v>0</v>
      </c>
      <c r="AP1168" s="13">
        <v>0.2</v>
      </c>
      <c r="AQ1168" s="13">
        <v>3000</v>
      </c>
      <c r="AR1168" s="13">
        <v>0.5</v>
      </c>
      <c r="AS1168" s="13">
        <v>0</v>
      </c>
      <c r="AT1168" s="348" t="s">
        <v>1569</v>
      </c>
      <c r="AU1168" s="13" t="s">
        <v>198</v>
      </c>
      <c r="AV1168" s="13"/>
      <c r="AW1168" s="14" t="s">
        <v>199</v>
      </c>
      <c r="AX1168" s="13" t="s">
        <v>1408</v>
      </c>
      <c r="AY1168" s="13">
        <v>0</v>
      </c>
      <c r="AZ1168" s="13">
        <v>21020020</v>
      </c>
      <c r="BA1168" s="14" t="s">
        <v>200</v>
      </c>
      <c r="BB1168" s="14">
        <v>0</v>
      </c>
      <c r="BC1168" s="13">
        <v>0</v>
      </c>
      <c r="BD1168" s="13">
        <v>0</v>
      </c>
      <c r="BE1168" s="187" t="s">
        <v>1570</v>
      </c>
      <c r="BF1168" s="187" t="s">
        <v>1571</v>
      </c>
      <c r="BG1168" s="13">
        <v>0</v>
      </c>
      <c r="BH1168" s="13">
        <v>0</v>
      </c>
      <c r="BI1168" s="13">
        <v>0</v>
      </c>
      <c r="BJ1168" s="13">
        <v>0</v>
      </c>
      <c r="BK1168" s="13">
        <v>0</v>
      </c>
      <c r="BL1168" s="13">
        <v>0</v>
      </c>
      <c r="BM1168" s="188">
        <v>0</v>
      </c>
      <c r="BN1168" s="13">
        <v>1</v>
      </c>
      <c r="BO1168" s="13">
        <v>0</v>
      </c>
      <c r="BP1168" s="13">
        <v>0</v>
      </c>
      <c r="BQ1168" s="13">
        <v>0</v>
      </c>
      <c r="BR1168" s="13">
        <v>0</v>
      </c>
      <c r="BS1168" s="13">
        <v>0</v>
      </c>
      <c r="BT1168" s="13">
        <v>0</v>
      </c>
      <c r="BU1168" s="49">
        <v>0</v>
      </c>
      <c r="BV1168" s="49"/>
      <c r="BW1168" s="49"/>
    </row>
    <row r="1169" spans="3:75" ht="20.100000000000001" customHeight="1">
      <c r="C1169" s="174">
        <v>65021303</v>
      </c>
      <c r="D1169" s="14" t="s">
        <v>1567</v>
      </c>
      <c r="E1169" s="14" t="s">
        <v>1568</v>
      </c>
      <c r="F1169" s="13">
        <v>2</v>
      </c>
      <c r="G1169" s="13">
        <v>61022201</v>
      </c>
      <c r="H1169" s="174">
        <v>65021304</v>
      </c>
      <c r="I1169" s="13">
        <v>0</v>
      </c>
      <c r="J1169" s="17">
        <v>42</v>
      </c>
      <c r="K1169" s="19">
        <v>2</v>
      </c>
      <c r="L1169" s="13">
        <v>0</v>
      </c>
      <c r="M1169" s="13">
        <v>0</v>
      </c>
      <c r="N1169" s="13">
        <v>0</v>
      </c>
      <c r="O1169" s="13">
        <v>1</v>
      </c>
      <c r="P1169" s="13">
        <v>0</v>
      </c>
      <c r="Q1169" s="13">
        <v>0</v>
      </c>
      <c r="R1169" s="13">
        <v>0</v>
      </c>
      <c r="S1169" s="13">
        <v>0</v>
      </c>
      <c r="T1169" s="13">
        <v>0</v>
      </c>
      <c r="U1169" s="13">
        <v>1</v>
      </c>
      <c r="V1169" s="13">
        <v>2</v>
      </c>
      <c r="W1169" s="13">
        <v>0</v>
      </c>
      <c r="X1169" s="13">
        <v>0</v>
      </c>
      <c r="Y1169" s="13">
        <v>0</v>
      </c>
      <c r="Z1169" s="13">
        <v>0</v>
      </c>
      <c r="AA1169" s="13">
        <v>0</v>
      </c>
      <c r="AB1169" s="13">
        <v>0</v>
      </c>
      <c r="AC1169" s="13">
        <v>0</v>
      </c>
      <c r="AD1169" s="13">
        <v>0</v>
      </c>
      <c r="AE1169" s="13">
        <v>0</v>
      </c>
      <c r="AF1169" s="13">
        <v>30</v>
      </c>
      <c r="AG1169" s="13">
        <v>0</v>
      </c>
      <c r="AH1169" s="13">
        <v>0</v>
      </c>
      <c r="AI1169" s="13">
        <v>0</v>
      </c>
      <c r="AJ1169" s="13">
        <v>0</v>
      </c>
      <c r="AK1169" s="13">
        <v>0</v>
      </c>
      <c r="AL1169" s="13">
        <v>0</v>
      </c>
      <c r="AM1169" s="13">
        <v>0</v>
      </c>
      <c r="AN1169" s="13">
        <v>0</v>
      </c>
      <c r="AO1169" s="13">
        <v>0</v>
      </c>
      <c r="AP1169" s="13">
        <v>0.2</v>
      </c>
      <c r="AQ1169" s="13">
        <v>3000</v>
      </c>
      <c r="AR1169" s="13">
        <v>0.5</v>
      </c>
      <c r="AS1169" s="13">
        <v>0</v>
      </c>
      <c r="AT1169" s="348" t="s">
        <v>1572</v>
      </c>
      <c r="AU1169" s="13" t="s">
        <v>198</v>
      </c>
      <c r="AV1169" s="13"/>
      <c r="AW1169" s="14" t="s">
        <v>199</v>
      </c>
      <c r="AX1169" s="13" t="s">
        <v>1408</v>
      </c>
      <c r="AY1169" s="13">
        <v>0</v>
      </c>
      <c r="AZ1169" s="13">
        <v>21020020</v>
      </c>
      <c r="BA1169" s="14" t="s">
        <v>200</v>
      </c>
      <c r="BB1169" s="14">
        <v>0</v>
      </c>
      <c r="BC1169" s="13">
        <v>0</v>
      </c>
      <c r="BD1169" s="13">
        <v>0</v>
      </c>
      <c r="BE1169" s="187" t="s">
        <v>1573</v>
      </c>
      <c r="BF1169" s="187" t="s">
        <v>1574</v>
      </c>
      <c r="BG1169" s="13">
        <v>0</v>
      </c>
      <c r="BH1169" s="13">
        <v>0</v>
      </c>
      <c r="BI1169" s="13">
        <v>0</v>
      </c>
      <c r="BJ1169" s="13">
        <v>0</v>
      </c>
      <c r="BK1169" s="13">
        <v>0</v>
      </c>
      <c r="BL1169" s="13">
        <v>0</v>
      </c>
      <c r="BM1169" s="188">
        <v>0</v>
      </c>
      <c r="BN1169" s="13">
        <v>1</v>
      </c>
      <c r="BO1169" s="13">
        <v>0</v>
      </c>
      <c r="BP1169" s="13">
        <v>0</v>
      </c>
      <c r="BQ1169" s="13">
        <v>0</v>
      </c>
      <c r="BR1169" s="13">
        <v>0</v>
      </c>
      <c r="BS1169" s="13">
        <v>0</v>
      </c>
      <c r="BT1169" s="13">
        <v>0</v>
      </c>
      <c r="BU1169" s="49">
        <v>0</v>
      </c>
      <c r="BV1169" s="49"/>
      <c r="BW1169" s="49"/>
    </row>
    <row r="1170" spans="3:75" ht="20.100000000000001" customHeight="1">
      <c r="C1170" s="174">
        <v>65021304</v>
      </c>
      <c r="D1170" s="14" t="s">
        <v>1567</v>
      </c>
      <c r="E1170" s="14" t="s">
        <v>1568</v>
      </c>
      <c r="F1170" s="13">
        <v>3</v>
      </c>
      <c r="G1170" s="13">
        <v>61022201</v>
      </c>
      <c r="H1170" s="13">
        <v>0</v>
      </c>
      <c r="I1170" s="13">
        <v>0</v>
      </c>
      <c r="J1170" s="19">
        <v>0</v>
      </c>
      <c r="K1170" s="19">
        <v>0</v>
      </c>
      <c r="L1170" s="13">
        <v>0</v>
      </c>
      <c r="M1170" s="13">
        <v>0</v>
      </c>
      <c r="N1170" s="13">
        <v>0</v>
      </c>
      <c r="O1170" s="13">
        <v>1</v>
      </c>
      <c r="P1170" s="13">
        <v>0</v>
      </c>
      <c r="Q1170" s="13">
        <v>0</v>
      </c>
      <c r="R1170" s="13">
        <v>0</v>
      </c>
      <c r="S1170" s="13">
        <v>0</v>
      </c>
      <c r="T1170" s="13">
        <v>0</v>
      </c>
      <c r="U1170" s="13">
        <v>1</v>
      </c>
      <c r="V1170" s="13">
        <v>2</v>
      </c>
      <c r="W1170" s="13">
        <v>0</v>
      </c>
      <c r="X1170" s="13">
        <v>0</v>
      </c>
      <c r="Y1170" s="13">
        <v>0</v>
      </c>
      <c r="Z1170" s="13">
        <v>0</v>
      </c>
      <c r="AA1170" s="13">
        <v>0</v>
      </c>
      <c r="AB1170" s="13">
        <v>0</v>
      </c>
      <c r="AC1170" s="13">
        <v>0</v>
      </c>
      <c r="AD1170" s="13">
        <v>0</v>
      </c>
      <c r="AE1170" s="13">
        <v>0</v>
      </c>
      <c r="AF1170" s="13">
        <v>30</v>
      </c>
      <c r="AG1170" s="13">
        <v>0</v>
      </c>
      <c r="AH1170" s="13">
        <v>0</v>
      </c>
      <c r="AI1170" s="13">
        <v>0</v>
      </c>
      <c r="AJ1170" s="13">
        <v>0</v>
      </c>
      <c r="AK1170" s="13">
        <v>0</v>
      </c>
      <c r="AL1170" s="13">
        <v>0</v>
      </c>
      <c r="AM1170" s="13">
        <v>0</v>
      </c>
      <c r="AN1170" s="13">
        <v>0</v>
      </c>
      <c r="AO1170" s="13">
        <v>0</v>
      </c>
      <c r="AP1170" s="13">
        <v>0.2</v>
      </c>
      <c r="AQ1170" s="13">
        <v>3000</v>
      </c>
      <c r="AR1170" s="13">
        <v>0.5</v>
      </c>
      <c r="AS1170" s="13">
        <v>0</v>
      </c>
      <c r="AT1170" s="348" t="s">
        <v>1575</v>
      </c>
      <c r="AU1170" s="13" t="s">
        <v>198</v>
      </c>
      <c r="AV1170" s="13"/>
      <c r="AW1170" s="14" t="s">
        <v>199</v>
      </c>
      <c r="AX1170" s="13" t="s">
        <v>1408</v>
      </c>
      <c r="AY1170" s="13">
        <v>0</v>
      </c>
      <c r="AZ1170" s="13">
        <v>21020020</v>
      </c>
      <c r="BA1170" s="14" t="s">
        <v>200</v>
      </c>
      <c r="BB1170" s="14">
        <v>0</v>
      </c>
      <c r="BC1170" s="13">
        <v>0</v>
      </c>
      <c r="BD1170" s="13">
        <v>0</v>
      </c>
      <c r="BE1170" s="187" t="s">
        <v>1576</v>
      </c>
      <c r="BF1170" s="187" t="s">
        <v>1577</v>
      </c>
      <c r="BG1170" s="13">
        <v>0</v>
      </c>
      <c r="BH1170" s="13">
        <v>0</v>
      </c>
      <c r="BI1170" s="13">
        <v>0</v>
      </c>
      <c r="BJ1170" s="13">
        <v>0</v>
      </c>
      <c r="BK1170" s="13">
        <v>0</v>
      </c>
      <c r="BL1170" s="13">
        <v>0</v>
      </c>
      <c r="BM1170" s="188">
        <v>0</v>
      </c>
      <c r="BN1170" s="13">
        <v>1</v>
      </c>
      <c r="BO1170" s="13">
        <v>0</v>
      </c>
      <c r="BP1170" s="13">
        <v>0</v>
      </c>
      <c r="BQ1170" s="13">
        <v>0</v>
      </c>
      <c r="BR1170" s="13">
        <v>0</v>
      </c>
      <c r="BS1170" s="13">
        <v>0</v>
      </c>
      <c r="BT1170" s="13">
        <v>0</v>
      </c>
      <c r="BU1170" s="49">
        <v>0</v>
      </c>
      <c r="BV1170" s="49"/>
      <c r="BW1170" s="49"/>
    </row>
    <row r="1171" spans="3:75" ht="20.100000000000001" customHeight="1">
      <c r="C1171" s="174">
        <v>65021305</v>
      </c>
      <c r="D1171" s="14" t="s">
        <v>1567</v>
      </c>
      <c r="E1171" s="14" t="s">
        <v>1568</v>
      </c>
      <c r="F1171" s="13">
        <v>4</v>
      </c>
      <c r="G1171" s="13">
        <v>61022201</v>
      </c>
      <c r="H1171" s="13">
        <v>0</v>
      </c>
      <c r="I1171" s="13">
        <v>0</v>
      </c>
      <c r="J1171" s="19">
        <v>0</v>
      </c>
      <c r="K1171" s="19">
        <v>0</v>
      </c>
      <c r="L1171" s="13">
        <v>0</v>
      </c>
      <c r="M1171" s="13">
        <v>0</v>
      </c>
      <c r="N1171" s="13">
        <v>0</v>
      </c>
      <c r="O1171" s="13">
        <v>1</v>
      </c>
      <c r="P1171" s="13">
        <v>0</v>
      </c>
      <c r="Q1171" s="13">
        <v>0</v>
      </c>
      <c r="R1171" s="13">
        <v>0</v>
      </c>
      <c r="S1171" s="13">
        <v>0</v>
      </c>
      <c r="T1171" s="13">
        <v>0</v>
      </c>
      <c r="U1171" s="13">
        <v>1</v>
      </c>
      <c r="V1171" s="13">
        <v>2</v>
      </c>
      <c r="W1171" s="13">
        <v>0</v>
      </c>
      <c r="X1171" s="13">
        <v>0</v>
      </c>
      <c r="Y1171" s="13">
        <v>0</v>
      </c>
      <c r="Z1171" s="13">
        <v>0</v>
      </c>
      <c r="AA1171" s="13">
        <v>0</v>
      </c>
      <c r="AB1171" s="13">
        <v>0</v>
      </c>
      <c r="AC1171" s="13">
        <v>0</v>
      </c>
      <c r="AD1171" s="13">
        <v>0</v>
      </c>
      <c r="AE1171" s="13">
        <v>0</v>
      </c>
      <c r="AF1171" s="13">
        <v>30</v>
      </c>
      <c r="AG1171" s="13">
        <v>0</v>
      </c>
      <c r="AH1171" s="13">
        <v>0</v>
      </c>
      <c r="AI1171" s="13">
        <v>0</v>
      </c>
      <c r="AJ1171" s="13">
        <v>0</v>
      </c>
      <c r="AK1171" s="13">
        <v>0</v>
      </c>
      <c r="AL1171" s="13">
        <v>0</v>
      </c>
      <c r="AM1171" s="13">
        <v>0</v>
      </c>
      <c r="AN1171" s="13">
        <v>0</v>
      </c>
      <c r="AO1171" s="13">
        <v>0</v>
      </c>
      <c r="AP1171" s="13">
        <v>0.2</v>
      </c>
      <c r="AQ1171" s="13">
        <v>3000</v>
      </c>
      <c r="AR1171" s="13">
        <v>0.5</v>
      </c>
      <c r="AS1171" s="13">
        <v>0</v>
      </c>
      <c r="AT1171" s="348" t="s">
        <v>1578</v>
      </c>
      <c r="AU1171" s="13" t="s">
        <v>198</v>
      </c>
      <c r="AV1171" s="13"/>
      <c r="AW1171" s="14" t="s">
        <v>199</v>
      </c>
      <c r="AX1171" s="13" t="s">
        <v>1408</v>
      </c>
      <c r="AY1171" s="13">
        <v>0</v>
      </c>
      <c r="AZ1171" s="13">
        <v>21020020</v>
      </c>
      <c r="BA1171" s="14" t="s">
        <v>200</v>
      </c>
      <c r="BB1171" s="14">
        <v>0</v>
      </c>
      <c r="BC1171" s="13">
        <v>0</v>
      </c>
      <c r="BD1171" s="13">
        <v>0</v>
      </c>
      <c r="BE1171" s="187" t="s">
        <v>1579</v>
      </c>
      <c r="BF1171" s="187" t="s">
        <v>1580</v>
      </c>
      <c r="BG1171" s="13">
        <v>0</v>
      </c>
      <c r="BH1171" s="13">
        <v>0</v>
      </c>
      <c r="BI1171" s="13">
        <v>0</v>
      </c>
      <c r="BJ1171" s="13">
        <v>0</v>
      </c>
      <c r="BK1171" s="13">
        <v>0</v>
      </c>
      <c r="BL1171" s="13">
        <v>0</v>
      </c>
      <c r="BM1171" s="188">
        <v>0</v>
      </c>
      <c r="BN1171" s="13">
        <v>1</v>
      </c>
      <c r="BO1171" s="13">
        <v>0</v>
      </c>
      <c r="BP1171" s="13">
        <v>0</v>
      </c>
      <c r="BQ1171" s="13">
        <v>0</v>
      </c>
      <c r="BR1171" s="13">
        <v>0</v>
      </c>
      <c r="BS1171" s="13">
        <v>0</v>
      </c>
      <c r="BT1171" s="13">
        <v>0</v>
      </c>
      <c r="BU1171" s="49">
        <v>0</v>
      </c>
      <c r="BV1171" s="49"/>
      <c r="BW1171" s="49"/>
    </row>
    <row r="1172" spans="3:75" ht="20.100000000000001" customHeight="1">
      <c r="C1172" s="174">
        <v>65021306</v>
      </c>
      <c r="D1172" s="14" t="s">
        <v>1567</v>
      </c>
      <c r="E1172" s="14" t="s">
        <v>1568</v>
      </c>
      <c r="F1172" s="13">
        <v>5</v>
      </c>
      <c r="G1172" s="13">
        <v>61022201</v>
      </c>
      <c r="H1172" s="13">
        <v>0</v>
      </c>
      <c r="I1172" s="13">
        <v>0</v>
      </c>
      <c r="J1172" s="19">
        <v>0</v>
      </c>
      <c r="K1172" s="19">
        <v>0</v>
      </c>
      <c r="L1172" s="13">
        <v>0</v>
      </c>
      <c r="M1172" s="13">
        <v>0</v>
      </c>
      <c r="N1172" s="13">
        <v>0</v>
      </c>
      <c r="O1172" s="13">
        <v>1</v>
      </c>
      <c r="P1172" s="13">
        <v>0</v>
      </c>
      <c r="Q1172" s="13">
        <v>0</v>
      </c>
      <c r="R1172" s="13">
        <v>0</v>
      </c>
      <c r="S1172" s="13">
        <v>0</v>
      </c>
      <c r="T1172" s="13">
        <v>0</v>
      </c>
      <c r="U1172" s="13">
        <v>1</v>
      </c>
      <c r="V1172" s="13">
        <v>2</v>
      </c>
      <c r="W1172" s="13">
        <v>0</v>
      </c>
      <c r="X1172" s="13">
        <v>0</v>
      </c>
      <c r="Y1172" s="13">
        <v>0</v>
      </c>
      <c r="Z1172" s="13">
        <v>0</v>
      </c>
      <c r="AA1172" s="13">
        <v>0</v>
      </c>
      <c r="AB1172" s="13">
        <v>0</v>
      </c>
      <c r="AC1172" s="13">
        <v>0</v>
      </c>
      <c r="AD1172" s="13">
        <v>0</v>
      </c>
      <c r="AE1172" s="13">
        <v>0</v>
      </c>
      <c r="AF1172" s="13">
        <v>30</v>
      </c>
      <c r="AG1172" s="13">
        <v>0</v>
      </c>
      <c r="AH1172" s="13">
        <v>0</v>
      </c>
      <c r="AI1172" s="13">
        <v>0</v>
      </c>
      <c r="AJ1172" s="13">
        <v>0</v>
      </c>
      <c r="AK1172" s="13">
        <v>0</v>
      </c>
      <c r="AL1172" s="13">
        <v>0</v>
      </c>
      <c r="AM1172" s="13">
        <v>0</v>
      </c>
      <c r="AN1172" s="13">
        <v>0</v>
      </c>
      <c r="AO1172" s="13">
        <v>0</v>
      </c>
      <c r="AP1172" s="13">
        <v>0.2</v>
      </c>
      <c r="AQ1172" s="13">
        <v>3000</v>
      </c>
      <c r="AR1172" s="13">
        <v>0.5</v>
      </c>
      <c r="AS1172" s="13">
        <v>0</v>
      </c>
      <c r="AT1172" s="348" t="s">
        <v>1581</v>
      </c>
      <c r="AU1172" s="13" t="s">
        <v>198</v>
      </c>
      <c r="AV1172" s="13"/>
      <c r="AW1172" s="14" t="s">
        <v>199</v>
      </c>
      <c r="AX1172" s="13" t="s">
        <v>1408</v>
      </c>
      <c r="AY1172" s="13">
        <v>0</v>
      </c>
      <c r="AZ1172" s="13">
        <v>21020020</v>
      </c>
      <c r="BA1172" s="14" t="s">
        <v>200</v>
      </c>
      <c r="BB1172" s="14">
        <v>0</v>
      </c>
      <c r="BC1172" s="13">
        <v>0</v>
      </c>
      <c r="BD1172" s="13">
        <v>0</v>
      </c>
      <c r="BE1172" s="187" t="s">
        <v>1582</v>
      </c>
      <c r="BF1172" s="187" t="s">
        <v>1583</v>
      </c>
      <c r="BG1172" s="13">
        <v>0</v>
      </c>
      <c r="BH1172" s="13">
        <v>0</v>
      </c>
      <c r="BI1172" s="13">
        <v>0</v>
      </c>
      <c r="BJ1172" s="13">
        <v>0</v>
      </c>
      <c r="BK1172" s="13">
        <v>0</v>
      </c>
      <c r="BL1172" s="13">
        <v>0</v>
      </c>
      <c r="BM1172" s="188">
        <v>0</v>
      </c>
      <c r="BN1172" s="13">
        <v>1</v>
      </c>
      <c r="BO1172" s="13">
        <v>0</v>
      </c>
      <c r="BP1172" s="13">
        <v>0</v>
      </c>
      <c r="BQ1172" s="13">
        <v>0</v>
      </c>
      <c r="BR1172" s="13">
        <v>0</v>
      </c>
      <c r="BS1172" s="13">
        <v>0</v>
      </c>
      <c r="BT1172" s="13">
        <v>0</v>
      </c>
      <c r="BU1172" s="49">
        <v>0</v>
      </c>
      <c r="BV1172" s="49"/>
      <c r="BW1172" s="49"/>
    </row>
    <row r="1173" spans="3:75" ht="20.100000000000001" customHeight="1">
      <c r="C1173" s="174">
        <v>65021401</v>
      </c>
      <c r="D1173" s="20" t="s">
        <v>1616</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2.5</v>
      </c>
      <c r="Y1173" s="13">
        <v>0</v>
      </c>
      <c r="Z1173" s="19">
        <v>900</v>
      </c>
      <c r="AA1173" s="19">
        <v>1</v>
      </c>
      <c r="AB1173" s="19">
        <v>0</v>
      </c>
      <c r="AC1173" s="19">
        <v>0</v>
      </c>
      <c r="AD1173" s="19">
        <v>0</v>
      </c>
      <c r="AE1173" s="19">
        <v>0</v>
      </c>
      <c r="AF1173" s="19">
        <v>9</v>
      </c>
      <c r="AG1173" s="19">
        <v>1</v>
      </c>
      <c r="AH1173" s="19">
        <v>3.5</v>
      </c>
      <c r="AI1173" s="13">
        <v>0</v>
      </c>
      <c r="AJ1173" s="13">
        <v>0</v>
      </c>
      <c r="AK1173" s="13">
        <v>0</v>
      </c>
      <c r="AL1173" s="13">
        <v>3</v>
      </c>
      <c r="AM1173" s="19">
        <v>0</v>
      </c>
      <c r="AN1173" s="19">
        <v>0</v>
      </c>
      <c r="AO1173" s="19">
        <v>0</v>
      </c>
      <c r="AP1173" s="19">
        <v>0.3</v>
      </c>
      <c r="AQ1173" s="19">
        <v>2000</v>
      </c>
      <c r="AR1173" s="19">
        <v>0.5</v>
      </c>
      <c r="AS1173" s="19">
        <v>0</v>
      </c>
      <c r="AT1173" s="13">
        <v>0</v>
      </c>
      <c r="AU1173" s="356" t="s">
        <v>1618</v>
      </c>
      <c r="AV1173" s="19"/>
      <c r="AW1173" s="20" t="s">
        <v>1526</v>
      </c>
      <c r="AX1173" s="19" t="s">
        <v>534</v>
      </c>
      <c r="AY1173" s="19">
        <v>10000009</v>
      </c>
      <c r="AZ1173" s="19">
        <v>21020050</v>
      </c>
      <c r="BA1173" s="18" t="s">
        <v>1528</v>
      </c>
      <c r="BB1173" s="20">
        <v>0</v>
      </c>
      <c r="BC1173" s="28">
        <v>0</v>
      </c>
      <c r="BD1173" s="28">
        <v>0</v>
      </c>
      <c r="BE1173" s="186" t="str">
        <f>"立即对目标范围内的怪物造成"&amp;X1173*100&amp;"%攻击伤害+"&amp;Z1173&amp;"点固定伤害,并附带1秒眩晕效果,对怪物将怪立即拉近至自身攻击范围并将眩晕效果将提升至2秒"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spans="3:75" ht="20.100000000000001" customHeight="1">
      <c r="C1174" s="174">
        <v>65021402</v>
      </c>
      <c r="D1174" s="20" t="s">
        <v>1616</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2.5</v>
      </c>
      <c r="Y1174" s="13">
        <v>0</v>
      </c>
      <c r="Z1174" s="19">
        <v>900</v>
      </c>
      <c r="AA1174" s="19">
        <v>1</v>
      </c>
      <c r="AB1174" s="19">
        <v>0</v>
      </c>
      <c r="AC1174" s="19">
        <v>0</v>
      </c>
      <c r="AD1174" s="19">
        <v>0</v>
      </c>
      <c r="AE1174" s="19">
        <v>0</v>
      </c>
      <c r="AF1174" s="19">
        <v>9</v>
      </c>
      <c r="AG1174" s="19">
        <v>1</v>
      </c>
      <c r="AH1174" s="19">
        <v>3.5</v>
      </c>
      <c r="AI1174" s="13">
        <v>0</v>
      </c>
      <c r="AJ1174" s="13">
        <v>0</v>
      </c>
      <c r="AK1174" s="13">
        <v>0</v>
      </c>
      <c r="AL1174" s="13">
        <v>3</v>
      </c>
      <c r="AM1174" s="19">
        <v>0</v>
      </c>
      <c r="AN1174" s="19">
        <v>0</v>
      </c>
      <c r="AO1174" s="19">
        <v>0</v>
      </c>
      <c r="AP1174" s="19">
        <v>0.3</v>
      </c>
      <c r="AQ1174" s="19">
        <v>2000</v>
      </c>
      <c r="AR1174" s="19">
        <v>0.5</v>
      </c>
      <c r="AS1174" s="19">
        <v>0</v>
      </c>
      <c r="AT1174" s="13">
        <v>0</v>
      </c>
      <c r="AU1174" s="356" t="s">
        <v>1618</v>
      </c>
      <c r="AV1174" s="19"/>
      <c r="AW1174" s="20" t="s">
        <v>1526</v>
      </c>
      <c r="AX1174" s="19" t="s">
        <v>534</v>
      </c>
      <c r="AY1174" s="19">
        <v>10000009</v>
      </c>
      <c r="AZ1174" s="19">
        <v>21030010</v>
      </c>
      <c r="BA1174" s="18" t="s">
        <v>1528</v>
      </c>
      <c r="BB1174" s="20">
        <v>0</v>
      </c>
      <c r="BC1174" s="28">
        <v>0</v>
      </c>
      <c r="BD1174" s="28">
        <v>0</v>
      </c>
      <c r="BE1174" s="186" t="str">
        <f t="shared" ref="BE1174:BE1178" si="133">"立即对目标范围内的怪物造成"&amp;X1174*100&amp;"%攻击伤害+"&amp;Z1174&amp;"点固定伤害,并附带1秒眩晕效果,对怪物将怪立即拉近至自身攻击范围并将眩晕效果将提升至2秒"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spans="3:75" ht="20.100000000000001" customHeight="1">
      <c r="C1175" s="174">
        <v>65021403</v>
      </c>
      <c r="D1175" s="20" t="s">
        <v>1616</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2.75</v>
      </c>
      <c r="Y1175" s="13">
        <v>0</v>
      </c>
      <c r="Z1175" s="19">
        <v>1800</v>
      </c>
      <c r="AA1175" s="19">
        <v>1</v>
      </c>
      <c r="AB1175" s="19">
        <v>0</v>
      </c>
      <c r="AC1175" s="19">
        <v>0</v>
      </c>
      <c r="AD1175" s="19">
        <v>0</v>
      </c>
      <c r="AE1175" s="19">
        <v>0</v>
      </c>
      <c r="AF1175" s="19">
        <v>9</v>
      </c>
      <c r="AG1175" s="19">
        <v>1</v>
      </c>
      <c r="AH1175" s="19">
        <v>3.5</v>
      </c>
      <c r="AI1175" s="13">
        <v>0</v>
      </c>
      <c r="AJ1175" s="13">
        <v>0</v>
      </c>
      <c r="AK1175" s="13">
        <v>0</v>
      </c>
      <c r="AL1175" s="13">
        <v>3</v>
      </c>
      <c r="AM1175" s="19">
        <v>0</v>
      </c>
      <c r="AN1175" s="19">
        <v>0</v>
      </c>
      <c r="AO1175" s="19">
        <v>0</v>
      </c>
      <c r="AP1175" s="19">
        <v>0.3</v>
      </c>
      <c r="AQ1175" s="19">
        <v>2000</v>
      </c>
      <c r="AR1175" s="19">
        <v>0.5</v>
      </c>
      <c r="AS1175" s="19">
        <v>0</v>
      </c>
      <c r="AT1175" s="13">
        <v>0</v>
      </c>
      <c r="AU1175" s="356" t="s">
        <v>1618</v>
      </c>
      <c r="AV1175" s="19"/>
      <c r="AW1175" s="20" t="s">
        <v>1526</v>
      </c>
      <c r="AX1175" s="19" t="s">
        <v>534</v>
      </c>
      <c r="AY1175" s="19">
        <v>10000009</v>
      </c>
      <c r="AZ1175" s="19">
        <v>21030010</v>
      </c>
      <c r="BA1175" s="18" t="s">
        <v>1528</v>
      </c>
      <c r="BB1175" s="20">
        <v>0</v>
      </c>
      <c r="BC1175" s="28">
        <v>0</v>
      </c>
      <c r="BD1175" s="28">
        <v>0</v>
      </c>
      <c r="BE1175" s="186" t="str">
        <f t="shared" si="133"/>
        <v>立即对目标范围内的怪物造成275%攻击伤害+1800点固定伤害,并附带1秒眩晕效果,对怪物将怪立即拉近至自身攻击范围并将眩晕效果将提升至2秒</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spans="3:75" ht="20.100000000000001" customHeight="1">
      <c r="C1176" s="174">
        <v>65021404</v>
      </c>
      <c r="D1176" s="20" t="s">
        <v>1616</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2800</v>
      </c>
      <c r="AA1176" s="19">
        <v>1</v>
      </c>
      <c r="AB1176" s="19">
        <v>0</v>
      </c>
      <c r="AC1176" s="19">
        <v>0</v>
      </c>
      <c r="AD1176" s="19">
        <v>0</v>
      </c>
      <c r="AE1176" s="19">
        <v>0</v>
      </c>
      <c r="AF1176" s="19">
        <v>9</v>
      </c>
      <c r="AG1176" s="19">
        <v>1</v>
      </c>
      <c r="AH1176" s="19">
        <v>3.5</v>
      </c>
      <c r="AI1176" s="13">
        <v>0</v>
      </c>
      <c r="AJ1176" s="13">
        <v>0</v>
      </c>
      <c r="AK1176" s="13">
        <v>0</v>
      </c>
      <c r="AL1176" s="13">
        <v>3</v>
      </c>
      <c r="AM1176" s="19">
        <v>0</v>
      </c>
      <c r="AN1176" s="19">
        <v>0</v>
      </c>
      <c r="AO1176" s="19">
        <v>0</v>
      </c>
      <c r="AP1176" s="19">
        <v>0.3</v>
      </c>
      <c r="AQ1176" s="19">
        <v>2000</v>
      </c>
      <c r="AR1176" s="19">
        <v>0.5</v>
      </c>
      <c r="AS1176" s="19">
        <v>0</v>
      </c>
      <c r="AT1176" s="13">
        <v>0</v>
      </c>
      <c r="AU1176" s="356" t="s">
        <v>1618</v>
      </c>
      <c r="AV1176" s="19"/>
      <c r="AW1176" s="20" t="s">
        <v>1526</v>
      </c>
      <c r="AX1176" s="19" t="s">
        <v>534</v>
      </c>
      <c r="AY1176" s="19">
        <v>10000009</v>
      </c>
      <c r="AZ1176" s="19">
        <v>21030010</v>
      </c>
      <c r="BA1176" s="18" t="s">
        <v>1528</v>
      </c>
      <c r="BB1176" s="20">
        <v>0</v>
      </c>
      <c r="BC1176" s="28">
        <v>0</v>
      </c>
      <c r="BD1176" s="28">
        <v>0</v>
      </c>
      <c r="BE1176" s="186" t="str">
        <f t="shared" si="133"/>
        <v>立即对目标范围内的怪物造成300%攻击伤害+2800点固定伤害,并附带1秒眩晕效果,对怪物将怪立即拉近至自身攻击范围并将眩晕效果将提升至2秒</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65021405</v>
      </c>
      <c r="D1177" s="20" t="s">
        <v>1616</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3.25</v>
      </c>
      <c r="Y1177" s="13">
        <v>0</v>
      </c>
      <c r="Z1177" s="19">
        <v>4000</v>
      </c>
      <c r="AA1177" s="19">
        <v>1</v>
      </c>
      <c r="AB1177" s="19">
        <v>0</v>
      </c>
      <c r="AC1177" s="19">
        <v>0</v>
      </c>
      <c r="AD1177" s="19">
        <v>0</v>
      </c>
      <c r="AE1177" s="19">
        <v>0</v>
      </c>
      <c r="AF1177" s="19">
        <v>9</v>
      </c>
      <c r="AG1177" s="19">
        <v>1</v>
      </c>
      <c r="AH1177" s="19">
        <v>3.5</v>
      </c>
      <c r="AI1177" s="13">
        <v>0</v>
      </c>
      <c r="AJ1177" s="13">
        <v>0</v>
      </c>
      <c r="AK1177" s="13">
        <v>0</v>
      </c>
      <c r="AL1177" s="13">
        <v>3</v>
      </c>
      <c r="AM1177" s="19">
        <v>0</v>
      </c>
      <c r="AN1177" s="19">
        <v>0</v>
      </c>
      <c r="AO1177" s="19">
        <v>0</v>
      </c>
      <c r="AP1177" s="19">
        <v>0.3</v>
      </c>
      <c r="AQ1177" s="19">
        <v>2000</v>
      </c>
      <c r="AR1177" s="19">
        <v>0.5</v>
      </c>
      <c r="AS1177" s="19">
        <v>0</v>
      </c>
      <c r="AT1177" s="13">
        <v>0</v>
      </c>
      <c r="AU1177" s="356" t="s">
        <v>1618</v>
      </c>
      <c r="AV1177" s="19"/>
      <c r="AW1177" s="20" t="s">
        <v>1526</v>
      </c>
      <c r="AX1177" s="19" t="s">
        <v>534</v>
      </c>
      <c r="AY1177" s="19">
        <v>10000009</v>
      </c>
      <c r="AZ1177" s="19">
        <v>21030010</v>
      </c>
      <c r="BA1177" s="18" t="s">
        <v>1528</v>
      </c>
      <c r="BB1177" s="20">
        <v>0</v>
      </c>
      <c r="BC1177" s="28">
        <v>0</v>
      </c>
      <c r="BD1177" s="28">
        <v>0</v>
      </c>
      <c r="BE1177" s="186" t="str">
        <f t="shared" si="133"/>
        <v>立即对目标范围内的怪物造成325%攻击伤害+4000点固定伤害,并附带1秒眩晕效果,对怪物将怪立即拉近至自身攻击范围并将眩晕效果将提升至2秒</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65021406</v>
      </c>
      <c r="D1178" s="20" t="s">
        <v>1616</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3.5</v>
      </c>
      <c r="Y1178" s="13">
        <v>0</v>
      </c>
      <c r="Z1178" s="19">
        <v>5200</v>
      </c>
      <c r="AA1178" s="19">
        <v>1</v>
      </c>
      <c r="AB1178" s="19">
        <v>0</v>
      </c>
      <c r="AC1178" s="19">
        <v>0</v>
      </c>
      <c r="AD1178" s="19">
        <v>0</v>
      </c>
      <c r="AE1178" s="19">
        <v>0</v>
      </c>
      <c r="AF1178" s="19">
        <v>9</v>
      </c>
      <c r="AG1178" s="19">
        <v>1</v>
      </c>
      <c r="AH1178" s="19">
        <v>3.5</v>
      </c>
      <c r="AI1178" s="13">
        <v>0</v>
      </c>
      <c r="AJ1178" s="13">
        <v>0</v>
      </c>
      <c r="AK1178" s="13">
        <v>0</v>
      </c>
      <c r="AL1178" s="13">
        <v>3</v>
      </c>
      <c r="AM1178" s="19">
        <v>0</v>
      </c>
      <c r="AN1178" s="19">
        <v>0</v>
      </c>
      <c r="AO1178" s="19">
        <v>0</v>
      </c>
      <c r="AP1178" s="19">
        <v>0.3</v>
      </c>
      <c r="AQ1178" s="19">
        <v>2000</v>
      </c>
      <c r="AR1178" s="19">
        <v>0.5</v>
      </c>
      <c r="AS1178" s="19">
        <v>0</v>
      </c>
      <c r="AT1178" s="13">
        <v>0</v>
      </c>
      <c r="AU1178" s="356" t="s">
        <v>1618</v>
      </c>
      <c r="AV1178" s="19"/>
      <c r="AW1178" s="20" t="s">
        <v>1526</v>
      </c>
      <c r="AX1178" s="19" t="s">
        <v>534</v>
      </c>
      <c r="AY1178" s="19">
        <v>10000009</v>
      </c>
      <c r="AZ1178" s="19">
        <v>21030010</v>
      </c>
      <c r="BA1178" s="18" t="s">
        <v>1528</v>
      </c>
      <c r="BB1178" s="20">
        <v>0</v>
      </c>
      <c r="BC1178" s="28">
        <v>0</v>
      </c>
      <c r="BD1178" s="28">
        <v>0</v>
      </c>
      <c r="BE1178" s="186" t="str">
        <f t="shared" si="133"/>
        <v>立即对目标范围内的怪物造成350%攻击伤害+5200点固定伤害,并附带1秒眩晕效果,对怪物将怪立即拉近至自身攻击范围并将眩晕效果将提升至2秒</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65022101</v>
      </c>
      <c r="D1179" s="14" t="s">
        <v>1567</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48" t="s">
        <v>1569</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spans="3:75" ht="20.100000000000001" customHeight="1">
      <c r="C1180" s="174">
        <v>65022102</v>
      </c>
      <c r="D1180" s="14" t="s">
        <v>1567</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48" t="s">
        <v>1569</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spans="3:75" ht="20.100000000000001" customHeight="1">
      <c r="C1181" s="174">
        <v>65022103</v>
      </c>
      <c r="D1181" s="14" t="s">
        <v>1567</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48" t="s">
        <v>1572</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spans="3:75" ht="20.100000000000001" customHeight="1">
      <c r="C1182" s="174">
        <v>65022104</v>
      </c>
      <c r="D1182" s="14" t="s">
        <v>1567</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48" t="s">
        <v>1575</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spans="3:75" ht="20.100000000000001" customHeight="1">
      <c r="C1183" s="174">
        <v>65022105</v>
      </c>
      <c r="D1183" s="14" t="s">
        <v>1567</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48" t="s">
        <v>1578</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65022106</v>
      </c>
      <c r="D1184" s="14" t="s">
        <v>1567</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48" t="s">
        <v>1581</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6"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spans="1:75" ht="20.100000000000001" customHeight="1">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6" t="s">
        <v>1618</v>
      </c>
      <c r="AV1186" s="19"/>
      <c r="AW1186" s="20" t="s">
        <v>1526</v>
      </c>
      <c r="AX1186" s="19" t="s">
        <v>534</v>
      </c>
      <c r="AY1186" s="19">
        <v>10000009</v>
      </c>
      <c r="AZ1186" s="19">
        <v>21030010</v>
      </c>
      <c r="BA1186" s="18" t="s">
        <v>1528</v>
      </c>
      <c r="BB1186" s="20">
        <v>0</v>
      </c>
      <c r="BC1186" s="28">
        <v>0</v>
      </c>
      <c r="BD1186" s="28">
        <v>0</v>
      </c>
      <c r="BE1186" s="186" t="str">
        <f t="shared" ref="BE1186:BE1190" si="134">"立即对目标范围内的怪物造成"&amp;X1186*100&amp;"%攻击伤害+"&amp;Z1186&amp;"点固定伤害,并附带1秒眩晕效果,对怪物将怪立即拉近至自身攻击范围并将眩晕效果将提升至2秒"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spans="1:75" ht="20.100000000000001" customHeight="1">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6" t="s">
        <v>1618</v>
      </c>
      <c r="AV1187" s="19"/>
      <c r="AW1187" s="20" t="s">
        <v>1526</v>
      </c>
      <c r="AX1187" s="19" t="s">
        <v>534</v>
      </c>
      <c r="AY1187" s="19">
        <v>10000009</v>
      </c>
      <c r="AZ1187" s="19">
        <v>21030010</v>
      </c>
      <c r="BA1187" s="18" t="s">
        <v>1528</v>
      </c>
      <c r="BB1187" s="20">
        <v>0</v>
      </c>
      <c r="BC1187" s="28">
        <v>0</v>
      </c>
      <c r="BD1187" s="28">
        <v>0</v>
      </c>
      <c r="BE1187" s="186" t="str">
        <f t="shared" si="134"/>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spans="1:75" ht="20.100000000000001" customHeight="1">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6" t="s">
        <v>1618</v>
      </c>
      <c r="AV1188" s="19"/>
      <c r="AW1188" s="20" t="s">
        <v>1526</v>
      </c>
      <c r="AX1188" s="19" t="s">
        <v>534</v>
      </c>
      <c r="AY1188" s="19">
        <v>10000009</v>
      </c>
      <c r="AZ1188" s="19">
        <v>21030010</v>
      </c>
      <c r="BA1188" s="18" t="s">
        <v>1528</v>
      </c>
      <c r="BB1188" s="20">
        <v>0</v>
      </c>
      <c r="BC1188" s="28">
        <v>0</v>
      </c>
      <c r="BD1188" s="28">
        <v>0</v>
      </c>
      <c r="BE1188" s="186" t="str">
        <f t="shared" si="134"/>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spans="1:75" ht="20.100000000000001" customHeight="1">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6" t="s">
        <v>1618</v>
      </c>
      <c r="AV1189" s="19"/>
      <c r="AW1189" s="20" t="s">
        <v>1526</v>
      </c>
      <c r="AX1189" s="19" t="s">
        <v>534</v>
      </c>
      <c r="AY1189" s="19">
        <v>10000009</v>
      </c>
      <c r="AZ1189" s="19">
        <v>21030010</v>
      </c>
      <c r="BA1189" s="18" t="s">
        <v>1528</v>
      </c>
      <c r="BB1189" s="20">
        <v>0</v>
      </c>
      <c r="BC1189" s="28">
        <v>0</v>
      </c>
      <c r="BD1189" s="28">
        <v>0</v>
      </c>
      <c r="BE1189" s="186" t="str">
        <f t="shared" si="134"/>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spans="1:75" ht="20.100000000000001" customHeight="1">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6" t="s">
        <v>1618</v>
      </c>
      <c r="AV1190" s="19"/>
      <c r="AW1190" s="20" t="s">
        <v>1526</v>
      </c>
      <c r="AX1190" s="19" t="s">
        <v>534</v>
      </c>
      <c r="AY1190" s="19">
        <v>10000009</v>
      </c>
      <c r="AZ1190" s="19">
        <v>21030010</v>
      </c>
      <c r="BA1190" s="18" t="s">
        <v>1528</v>
      </c>
      <c r="BB1190" s="20">
        <v>0</v>
      </c>
      <c r="BC1190" s="28">
        <v>0</v>
      </c>
      <c r="BD1190" s="28">
        <v>0</v>
      </c>
      <c r="BE1190" s="186" t="str">
        <f t="shared" si="134"/>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pans="1:75" s="2" customFormat="1" ht="20.100000000000001" customHeight="1">
      <c r="A1191" s="217"/>
      <c r="B1191" s="217"/>
      <c r="C1191" s="174">
        <v>65022301</v>
      </c>
      <c r="D1191" s="101" t="s">
        <v>2262</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2" t="s">
        <v>2264</v>
      </c>
      <c r="AU1191" s="103" t="s">
        <v>198</v>
      </c>
      <c r="AV1191" s="362" t="s">
        <v>2155</v>
      </c>
      <c r="AW1191" s="101" t="s">
        <v>198</v>
      </c>
      <c r="AX1191" s="103" t="s">
        <v>545</v>
      </c>
      <c r="AY1191" s="102">
        <v>0</v>
      </c>
      <c r="AZ1191" s="102">
        <v>77005104</v>
      </c>
      <c r="BA1191" s="101" t="s">
        <v>1165</v>
      </c>
      <c r="BB1191" s="103">
        <v>0</v>
      </c>
      <c r="BC1191" s="107">
        <v>0</v>
      </c>
      <c r="BD1191" s="107">
        <v>0</v>
      </c>
      <c r="BE1191" s="186" t="str">
        <f>"自身变成燃烧的烈风,移动速度降低25%,旋风状态中无法选并且无法释放其他技能，对附近的单位每"&amp;X1191*100&amp;"%攻击伤害+"&amp;Z1191&amp;"点固定伤害,并附加1秒眩晕和魔法印记"</f>
        <v>自身变成燃烧的烈风,移动速度降低25%,旋风状态中无法选并且无法释放其他技能，对附近的单位每240%攻击伤害+900点固定伤害,并附加1秒眩晕和魔法印记</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pans="1:75" s="2" customFormat="1" ht="20.100000000000001" customHeight="1">
      <c r="A1192" s="217"/>
      <c r="B1192" s="217"/>
      <c r="C1192" s="174">
        <v>65022302</v>
      </c>
      <c r="D1192" s="101" t="s">
        <v>2262</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2" t="s">
        <v>2264</v>
      </c>
      <c r="AU1192" s="103" t="s">
        <v>198</v>
      </c>
      <c r="AV1192" s="362" t="s">
        <v>2155</v>
      </c>
      <c r="AW1192" s="101" t="s">
        <v>198</v>
      </c>
      <c r="AX1192" s="103" t="s">
        <v>545</v>
      </c>
      <c r="AY1192" s="102">
        <v>0</v>
      </c>
      <c r="AZ1192" s="102">
        <v>77005104</v>
      </c>
      <c r="BA1192" s="101" t="s">
        <v>1165</v>
      </c>
      <c r="BB1192" s="103">
        <v>0</v>
      </c>
      <c r="BC1192" s="107">
        <v>0</v>
      </c>
      <c r="BD1192" s="107">
        <v>0</v>
      </c>
      <c r="BE1192" s="186" t="str">
        <f t="shared" ref="BE1192:BE1196" si="135">"自身变成燃烧的烈风,移动速度降低25%,旋风状态中无法选并且无法释放其他技能，对附近的单位每"&amp;X1192*100&amp;"%攻击伤害+"&amp;Z1192&amp;"点固定伤害,并附加1秒眩晕和魔法印记"</f>
        <v>自身变成燃烧的烈风,移动速度降低25%,旋风状态中无法选并且无法释放其他技能，对附近的单位每240%攻击伤害+900点固定伤害,并附加1秒眩晕和魔法印记</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pans="1:75" s="2" customFormat="1" ht="20.100000000000001" customHeight="1">
      <c r="A1193" s="217"/>
      <c r="B1193" s="217"/>
      <c r="C1193" s="174">
        <v>65022303</v>
      </c>
      <c r="D1193" s="101" t="s">
        <v>2262</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2" t="s">
        <v>2264</v>
      </c>
      <c r="AU1193" s="103" t="s">
        <v>198</v>
      </c>
      <c r="AV1193" s="362" t="s">
        <v>2155</v>
      </c>
      <c r="AW1193" s="101" t="s">
        <v>198</v>
      </c>
      <c r="AX1193" s="103" t="s">
        <v>545</v>
      </c>
      <c r="AY1193" s="102">
        <v>0</v>
      </c>
      <c r="AZ1193" s="102">
        <v>77005104</v>
      </c>
      <c r="BA1193" s="101" t="s">
        <v>1165</v>
      </c>
      <c r="BB1193" s="103">
        <v>0</v>
      </c>
      <c r="BC1193" s="107">
        <v>0</v>
      </c>
      <c r="BD1193" s="107">
        <v>0</v>
      </c>
      <c r="BE1193" s="186" t="str">
        <f t="shared" si="135"/>
        <v>自身变成燃烧的烈风,移动速度降低25%,旋风状态中无法选并且无法释放其他技能，对附近的单位每270%攻击伤害+1800点固定伤害,并附加1秒眩晕和魔法印记</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pans="1:75" s="2" customFormat="1" ht="20.100000000000001" customHeight="1">
      <c r="A1194" s="217"/>
      <c r="B1194" s="217"/>
      <c r="C1194" s="174">
        <v>65022304</v>
      </c>
      <c r="D1194" s="101" t="s">
        <v>2262</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2" t="s">
        <v>2264</v>
      </c>
      <c r="AU1194" s="103" t="s">
        <v>198</v>
      </c>
      <c r="AV1194" s="362" t="s">
        <v>2155</v>
      </c>
      <c r="AW1194" s="101" t="s">
        <v>198</v>
      </c>
      <c r="AX1194" s="103" t="s">
        <v>545</v>
      </c>
      <c r="AY1194" s="102">
        <v>0</v>
      </c>
      <c r="AZ1194" s="102">
        <v>77005104</v>
      </c>
      <c r="BA1194" s="101" t="s">
        <v>1165</v>
      </c>
      <c r="BB1194" s="103">
        <v>0</v>
      </c>
      <c r="BC1194" s="107">
        <v>0</v>
      </c>
      <c r="BD1194" s="107">
        <v>0</v>
      </c>
      <c r="BE1194" s="186" t="str">
        <f t="shared" si="135"/>
        <v>自身变成燃烧的烈风,移动速度降低25%,旋风状态中无法选并且无法释放其他技能，对附近的单位每300%攻击伤害+2800点固定伤害,并附加1秒眩晕和魔法印记</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pans="1:75" s="2" customFormat="1" ht="20.100000000000001" customHeight="1">
      <c r="A1195" s="217"/>
      <c r="B1195" s="217"/>
      <c r="C1195" s="174">
        <v>65022305</v>
      </c>
      <c r="D1195" s="101" t="s">
        <v>2262</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2" t="s">
        <v>2264</v>
      </c>
      <c r="AU1195" s="103" t="s">
        <v>198</v>
      </c>
      <c r="AV1195" s="362" t="s">
        <v>2155</v>
      </c>
      <c r="AW1195" s="101" t="s">
        <v>198</v>
      </c>
      <c r="AX1195" s="103" t="s">
        <v>545</v>
      </c>
      <c r="AY1195" s="102">
        <v>0</v>
      </c>
      <c r="AZ1195" s="102">
        <v>77005104</v>
      </c>
      <c r="BA1195" s="101" t="s">
        <v>1165</v>
      </c>
      <c r="BB1195" s="103">
        <v>0</v>
      </c>
      <c r="BC1195" s="107">
        <v>0</v>
      </c>
      <c r="BD1195" s="107">
        <v>0</v>
      </c>
      <c r="BE1195" s="186" t="str">
        <f t="shared" si="135"/>
        <v>自身变成燃烧的烈风,移动速度降低25%,旋风状态中无法选并且无法释放其他技能，对附近的单位每330%攻击伤害+4000点固定伤害,并附加1秒眩晕和魔法印记</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7"/>
      <c r="B1196" s="217"/>
      <c r="C1196" s="174">
        <v>65022306</v>
      </c>
      <c r="D1196" s="101" t="s">
        <v>2262</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2" t="s">
        <v>2264</v>
      </c>
      <c r="AU1196" s="103" t="s">
        <v>198</v>
      </c>
      <c r="AV1196" s="362" t="s">
        <v>2155</v>
      </c>
      <c r="AW1196" s="101" t="s">
        <v>198</v>
      </c>
      <c r="AX1196" s="103" t="s">
        <v>545</v>
      </c>
      <c r="AY1196" s="102">
        <v>0</v>
      </c>
      <c r="AZ1196" s="102">
        <v>77005104</v>
      </c>
      <c r="BA1196" s="101" t="s">
        <v>1165</v>
      </c>
      <c r="BB1196" s="103">
        <v>0</v>
      </c>
      <c r="BC1196" s="107">
        <v>0</v>
      </c>
      <c r="BD1196" s="107">
        <v>0</v>
      </c>
      <c r="BE1196" s="186" t="str">
        <f t="shared" si="135"/>
        <v>自身变成燃烧的烈风,移动速度降低25%,旋风状态中无法选并且无法释放其他技能，对附近的单位每360%攻击伤害+5200点固定伤害,并附加1秒眩晕和魔法印记</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ht="19.5" customHeight="1">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1" t="s">
        <v>2019</v>
      </c>
      <c r="BC1197" s="176">
        <v>0</v>
      </c>
      <c r="BD1197" s="176">
        <v>0</v>
      </c>
      <c r="BE1197" s="212" t="s">
        <v>2020</v>
      </c>
      <c r="BF1197" s="212"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spans="1:75" ht="19.5" customHeight="1">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1" t="s">
        <v>2019</v>
      </c>
      <c r="BC1198" s="176">
        <v>0</v>
      </c>
      <c r="BD1198" s="176">
        <v>0</v>
      </c>
      <c r="BE1198" s="212" t="s">
        <v>2020</v>
      </c>
      <c r="BF1198" s="212"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spans="1:75" ht="19.5" customHeight="1">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1" t="s">
        <v>2022</v>
      </c>
      <c r="BC1199" s="176">
        <v>0</v>
      </c>
      <c r="BD1199" s="176">
        <v>0</v>
      </c>
      <c r="BE1199" s="212" t="s">
        <v>2023</v>
      </c>
      <c r="BF1199" s="212"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spans="1:75" ht="19.5" customHeight="1">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1" t="s">
        <v>2025</v>
      </c>
      <c r="BC1200" s="176">
        <v>0</v>
      </c>
      <c r="BD1200" s="176">
        <v>0</v>
      </c>
      <c r="BE1200" s="212" t="s">
        <v>2026</v>
      </c>
      <c r="BF1200" s="212"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spans="3:75" ht="19.5" customHeight="1">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1" t="s">
        <v>2028</v>
      </c>
      <c r="BC1201" s="176">
        <v>0</v>
      </c>
      <c r="BD1201" s="176">
        <v>0</v>
      </c>
      <c r="BE1201" s="212" t="s">
        <v>2029</v>
      </c>
      <c r="BF1201" s="212"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1" t="s">
        <v>2031</v>
      </c>
      <c r="BC1202" s="176">
        <v>0</v>
      </c>
      <c r="BD1202" s="176">
        <v>0</v>
      </c>
      <c r="BE1202" s="212" t="s">
        <v>2032</v>
      </c>
      <c r="BF1202" s="212"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20.100000000000001" customHeight="1">
      <c r="C1203" s="17">
        <v>65023101</v>
      </c>
      <c r="D1203" s="18" t="s">
        <v>1741</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0.5</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59" t="s">
        <v>1743</v>
      </c>
      <c r="BC1203" s="28">
        <v>0</v>
      </c>
      <c r="BD1203" s="28">
        <v>0</v>
      </c>
      <c r="BE1203" s="46" t="s">
        <v>1744</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spans="3:75" ht="20.100000000000001" customHeight="1">
      <c r="C1204" s="17">
        <v>65023102</v>
      </c>
      <c r="D1204" s="18" t="s">
        <v>1741</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0.5</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59" t="s">
        <v>1743</v>
      </c>
      <c r="BC1204" s="28">
        <v>0</v>
      </c>
      <c r="BD1204" s="28">
        <v>0</v>
      </c>
      <c r="BE1204" s="46" t="s">
        <v>1744</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spans="3:75" ht="20.100000000000001" customHeight="1">
      <c r="C1205" s="17">
        <v>65023103</v>
      </c>
      <c r="D1205" s="18" t="s">
        <v>1741</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0.5</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59" t="s">
        <v>1746</v>
      </c>
      <c r="BC1205" s="28">
        <v>0</v>
      </c>
      <c r="BD1205" s="28">
        <v>0</v>
      </c>
      <c r="BE1205" s="46" t="s">
        <v>1747</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spans="3:75" ht="19.5" customHeight="1">
      <c r="C1206" s="17">
        <v>65023104</v>
      </c>
      <c r="D1206" s="18" t="s">
        <v>1741</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0.5</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59" t="s">
        <v>1749</v>
      </c>
      <c r="BC1206" s="28">
        <v>0</v>
      </c>
      <c r="BD1206" s="28">
        <v>0</v>
      </c>
      <c r="BE1206" s="46" t="s">
        <v>1750</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spans="3:75" ht="19.5" customHeight="1">
      <c r="C1207" s="17">
        <v>65023105</v>
      </c>
      <c r="D1207" s="18" t="s">
        <v>1741</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0.5</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59" t="s">
        <v>1752</v>
      </c>
      <c r="BC1207" s="28">
        <v>0</v>
      </c>
      <c r="BD1207" s="28">
        <v>0</v>
      </c>
      <c r="BE1207" s="46" t="s">
        <v>1753</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19.5" customHeight="1">
      <c r="C1208" s="17">
        <v>65023106</v>
      </c>
      <c r="D1208" s="18" t="s">
        <v>1741</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0.5</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59" t="s">
        <v>1755</v>
      </c>
      <c r="BC1208" s="28">
        <v>0</v>
      </c>
      <c r="BD1208" s="28">
        <v>0</v>
      </c>
      <c r="BE1208" s="46" t="s">
        <v>1756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3">
        <v>65023201</v>
      </c>
      <c r="D1209" s="14" t="s">
        <v>1567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48" t="s">
        <v>1569</v>
      </c>
      <c r="AU1209" s="13" t="s">
        <v>198</v>
      </c>
      <c r="AV1209" s="13"/>
      <c r="AW1209" s="14" t="s">
        <v>199</v>
      </c>
      <c r="AX1209" s="13" t="s">
        <v>1408</v>
      </c>
      <c r="AY1209" s="13">
        <v>0</v>
      </c>
      <c r="AZ1209" s="13">
        <v>21020020</v>
      </c>
      <c r="BA1209" s="14" t="s">
        <v>200</v>
      </c>
      <c r="BB1209" s="14">
        <v>0</v>
      </c>
      <c r="BC1209" s="13">
        <v>0</v>
      </c>
      <c r="BD1209" s="13">
        <v>0</v>
      </c>
      <c r="BE1209" s="187" t="s">
        <v>1570</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spans="3:75" ht="20.100000000000001" customHeight="1">
      <c r="C1210" s="13">
        <v>65023202</v>
      </c>
      <c r="D1210" s="14" t="s">
        <v>1567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48" t="s">
        <v>1569</v>
      </c>
      <c r="AU1210" s="13" t="s">
        <v>198</v>
      </c>
      <c r="AV1210" s="13"/>
      <c r="AW1210" s="14" t="s">
        <v>199</v>
      </c>
      <c r="AX1210" s="13" t="s">
        <v>1408</v>
      </c>
      <c r="AY1210" s="13">
        <v>0</v>
      </c>
      <c r="AZ1210" s="13">
        <v>21020020</v>
      </c>
      <c r="BA1210" s="14" t="s">
        <v>200</v>
      </c>
      <c r="BB1210" s="14">
        <v>0</v>
      </c>
      <c r="BC1210" s="13">
        <v>0</v>
      </c>
      <c r="BD1210" s="13">
        <v>0</v>
      </c>
      <c r="BE1210" s="187" t="s">
        <v>1570</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spans="3:75" ht="20.100000000000001" customHeight="1">
      <c r="C1211" s="13">
        <v>65023203</v>
      </c>
      <c r="D1211" s="14" t="s">
        <v>1567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48" t="s">
        <v>1572</v>
      </c>
      <c r="AU1211" s="13" t="s">
        <v>198</v>
      </c>
      <c r="AV1211" s="13"/>
      <c r="AW1211" s="14" t="s">
        <v>199</v>
      </c>
      <c r="AX1211" s="13" t="s">
        <v>1408</v>
      </c>
      <c r="AY1211" s="13">
        <v>0</v>
      </c>
      <c r="AZ1211" s="13">
        <v>21020020</v>
      </c>
      <c r="BA1211" s="14" t="s">
        <v>200</v>
      </c>
      <c r="BB1211" s="14">
        <v>0</v>
      </c>
      <c r="BC1211" s="13">
        <v>0</v>
      </c>
      <c r="BD1211" s="13">
        <v>0</v>
      </c>
      <c r="BE1211" s="187" t="s">
        <v>1573</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spans="3:75" ht="20.100000000000001" customHeight="1">
      <c r="C1212" s="13">
        <v>65023204</v>
      </c>
      <c r="D1212" s="14" t="s">
        <v>1567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48" t="s">
        <v>1575</v>
      </c>
      <c r="AU1212" s="13" t="s">
        <v>198</v>
      </c>
      <c r="AV1212" s="13"/>
      <c r="AW1212" s="14" t="s">
        <v>199</v>
      </c>
      <c r="AX1212" s="13" t="s">
        <v>1408</v>
      </c>
      <c r="AY1212" s="13">
        <v>0</v>
      </c>
      <c r="AZ1212" s="13">
        <v>21020020</v>
      </c>
      <c r="BA1212" s="14" t="s">
        <v>200</v>
      </c>
      <c r="BB1212" s="14">
        <v>0</v>
      </c>
      <c r="BC1212" s="13">
        <v>0</v>
      </c>
      <c r="BD1212" s="13">
        <v>0</v>
      </c>
      <c r="BE1212" s="187" t="s">
        <v>1576</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spans="3:75" ht="20.100000000000001" customHeight="1">
      <c r="C1213" s="13">
        <v>65023205</v>
      </c>
      <c r="D1213" s="14" t="s">
        <v>1567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48" t="s">
        <v>1578</v>
      </c>
      <c r="AU1213" s="13" t="s">
        <v>198</v>
      </c>
      <c r="AV1213" s="13"/>
      <c r="AW1213" s="14" t="s">
        <v>199</v>
      </c>
      <c r="AX1213" s="13" t="s">
        <v>1408</v>
      </c>
      <c r="AY1213" s="13">
        <v>0</v>
      </c>
      <c r="AZ1213" s="13">
        <v>21020020</v>
      </c>
      <c r="BA1213" s="14" t="s">
        <v>200</v>
      </c>
      <c r="BB1213" s="14">
        <v>0</v>
      </c>
      <c r="BC1213" s="13">
        <v>0</v>
      </c>
      <c r="BD1213" s="13">
        <v>0</v>
      </c>
      <c r="BE1213" s="187" t="s">
        <v>1579</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65023206</v>
      </c>
      <c r="D1214" s="14" t="s">
        <v>1567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48" t="s">
        <v>1581</v>
      </c>
      <c r="AU1214" s="13" t="s">
        <v>198</v>
      </c>
      <c r="AV1214" s="13"/>
      <c r="AW1214" s="14" t="s">
        <v>199</v>
      </c>
      <c r="AX1214" s="13" t="s">
        <v>1408</v>
      </c>
      <c r="AY1214" s="13">
        <v>0</v>
      </c>
      <c r="AZ1214" s="13">
        <v>21020020</v>
      </c>
      <c r="BA1214" s="14" t="s">
        <v>200</v>
      </c>
      <c r="BB1214" s="14">
        <v>0</v>
      </c>
      <c r="BC1214" s="13">
        <v>0</v>
      </c>
      <c r="BD1214" s="13">
        <v>0</v>
      </c>
      <c r="BE1214" s="187" t="s">
        <v>1582</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19.5" customHeight="1">
      <c r="C1215" s="17">
        <v>65023301</v>
      </c>
      <c r="D1215" s="20" t="s">
        <v>1707</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92005003</v>
      </c>
      <c r="AV1215" s="19"/>
      <c r="AW1215" s="20" t="s">
        <v>199</v>
      </c>
      <c r="AX1215" s="19" t="s">
        <v>534</v>
      </c>
      <c r="AY1215" s="19">
        <v>10003002</v>
      </c>
      <c r="AZ1215" s="19">
        <v>21100060</v>
      </c>
      <c r="BA1215" s="20" t="s">
        <v>200</v>
      </c>
      <c r="BB1215" s="20">
        <v>0</v>
      </c>
      <c r="BC1215" s="28">
        <v>0</v>
      </c>
      <c r="BD1215" s="28">
        <v>0</v>
      </c>
      <c r="BE1215" s="186" t="str">
        <f>"立即对目标范围内的怪物造成"&amp;X1215*100&amp;"%攻击伤害+"&amp;Z1215&amp;"点固定伤害,并使目标产生冰封效果,使其2秒内无法进行移动"</f>
        <v>立即对目标范围内的怪物造成325%攻击伤害+1350点固定伤害,并使目标产生冰封效果,使其2秒内无法进行移动</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c r="BW1215" s="49"/>
    </row>
    <row r="1216" spans="3:75" ht="19.5" customHeight="1">
      <c r="C1216" s="17">
        <v>65023302</v>
      </c>
      <c r="D1216" s="20" t="s">
        <v>1707</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92005003</v>
      </c>
      <c r="AV1216" s="19"/>
      <c r="AW1216" s="20" t="s">
        <v>199</v>
      </c>
      <c r="AX1216" s="19" t="s">
        <v>534</v>
      </c>
      <c r="AY1216" s="19">
        <v>10003002</v>
      </c>
      <c r="AZ1216" s="19">
        <v>21100060</v>
      </c>
      <c r="BA1216" s="20" t="s">
        <v>200</v>
      </c>
      <c r="BB1216" s="20">
        <v>0</v>
      </c>
      <c r="BC1216" s="28">
        <v>0</v>
      </c>
      <c r="BD1216" s="28">
        <v>0</v>
      </c>
      <c r="BE1216" s="186" t="str">
        <f t="shared" ref="BE1216:BE1220" si="136">"立即对目标范围内的怪物造成"&amp;X1216*100&amp;"%攻击伤害+"&amp;Z1216&amp;"点固定伤害,并使目标产生冰封效果,使其2秒内无法进行移动"</f>
        <v>立即对目标范围内的怪物造成325%攻击伤害+1350点固定伤害,并使目标产生冰封效果,使其2秒内无法进行移动</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c r="BW1216" s="49"/>
    </row>
    <row r="1217" spans="3:75" ht="19.5" customHeight="1">
      <c r="C1217" s="17">
        <v>65023303</v>
      </c>
      <c r="D1217" s="20" t="s">
        <v>1707</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92005003</v>
      </c>
      <c r="AV1217" s="19"/>
      <c r="AW1217" s="20" t="s">
        <v>199</v>
      </c>
      <c r="AX1217" s="19" t="s">
        <v>534</v>
      </c>
      <c r="AY1217" s="19">
        <v>10003002</v>
      </c>
      <c r="AZ1217" s="19">
        <v>21100060</v>
      </c>
      <c r="BA1217" s="20" t="s">
        <v>200</v>
      </c>
      <c r="BB1217" s="20">
        <v>0</v>
      </c>
      <c r="BC1217" s="28">
        <v>0</v>
      </c>
      <c r="BD1217" s="28">
        <v>0</v>
      </c>
      <c r="BE1217" s="186" t="str">
        <f t="shared" si="136"/>
        <v>立即对目标范围内的怪物造成350%攻击伤害+2700点固定伤害,并使目标产生冰封效果,使其2秒内无法进行移动</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c r="BW1217" s="49"/>
    </row>
    <row r="1218" spans="3:75" ht="19.5" customHeight="1">
      <c r="C1218" s="17">
        <v>65023304</v>
      </c>
      <c r="D1218" s="20" t="s">
        <v>1707</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92005003</v>
      </c>
      <c r="AV1218" s="19"/>
      <c r="AW1218" s="20" t="s">
        <v>199</v>
      </c>
      <c r="AX1218" s="19" t="s">
        <v>534</v>
      </c>
      <c r="AY1218" s="19">
        <v>10003002</v>
      </c>
      <c r="AZ1218" s="19">
        <v>21100060</v>
      </c>
      <c r="BA1218" s="20" t="s">
        <v>200</v>
      </c>
      <c r="BB1218" s="20">
        <v>0</v>
      </c>
      <c r="BC1218" s="28">
        <v>0</v>
      </c>
      <c r="BD1218" s="28">
        <v>0</v>
      </c>
      <c r="BE1218" s="186" t="str">
        <f t="shared" si="136"/>
        <v>立即对目标范围内的怪物造成375%攻击伤害+4200点固定伤害,并使目标产生冰封效果,使其2秒内无法进行移动</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c r="BW1218" s="49"/>
    </row>
    <row r="1219" spans="3:75" ht="19.5" customHeight="1">
      <c r="C1219" s="17">
        <v>65023305</v>
      </c>
      <c r="D1219" s="20" t="s">
        <v>1707</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92005003</v>
      </c>
      <c r="AV1219" s="19"/>
      <c r="AW1219" s="20" t="s">
        <v>199</v>
      </c>
      <c r="AX1219" s="19" t="s">
        <v>534</v>
      </c>
      <c r="AY1219" s="19">
        <v>10003002</v>
      </c>
      <c r="AZ1219" s="19">
        <v>21100060</v>
      </c>
      <c r="BA1219" s="20" t="s">
        <v>200</v>
      </c>
      <c r="BB1219" s="20">
        <v>0</v>
      </c>
      <c r="BC1219" s="28">
        <v>0</v>
      </c>
      <c r="BD1219" s="28">
        <v>0</v>
      </c>
      <c r="BE1219" s="186" t="str">
        <f t="shared" si="136"/>
        <v>立即对目标范围内的怪物造成400%攻击伤害+6000点固定伤害,并使目标产生冰封效果,使其2秒内无法进行移动</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c r="BW1219" s="49"/>
    </row>
    <row r="1220" spans="3:75" ht="19.5" customHeight="1">
      <c r="C1220" s="17">
        <v>65023306</v>
      </c>
      <c r="D1220" s="20" t="s">
        <v>1707</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92005003</v>
      </c>
      <c r="AV1220" s="19"/>
      <c r="AW1220" s="20" t="s">
        <v>199</v>
      </c>
      <c r="AX1220" s="19" t="s">
        <v>534</v>
      </c>
      <c r="AY1220" s="19">
        <v>10003002</v>
      </c>
      <c r="AZ1220" s="19">
        <v>21100060</v>
      </c>
      <c r="BA1220" s="20" t="s">
        <v>200</v>
      </c>
      <c r="BB1220" s="20">
        <v>0</v>
      </c>
      <c r="BC1220" s="28">
        <v>0</v>
      </c>
      <c r="BD1220" s="28">
        <v>0</v>
      </c>
      <c r="BE1220" s="186" t="str">
        <f t="shared" si="136"/>
        <v>立即对目标范围内的怪物造成425%攻击伤害+7800点固定伤害,并使目标产生冰封效果,使其2秒内无法进行移动</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c r="BW1220" s="49"/>
    </row>
    <row r="1221" spans="3:75" ht="20.100000000000001" customHeight="1">
      <c r="C1221" s="19">
        <v>65023401</v>
      </c>
      <c r="D1221" s="20" t="s">
        <v>1616</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356" t="s">
        <v>1618</v>
      </c>
      <c r="AV1221" s="19"/>
      <c r="AW1221" s="20" t="s">
        <v>1526</v>
      </c>
      <c r="AX1221" s="19" t="s">
        <v>534</v>
      </c>
      <c r="AY1221" s="19">
        <v>10000009</v>
      </c>
      <c r="AZ1221" s="19">
        <v>21020050</v>
      </c>
      <c r="BA1221" s="18" t="s">
        <v>1528</v>
      </c>
      <c r="BB1221" s="20">
        <v>0</v>
      </c>
      <c r="BC1221" s="28">
        <v>0</v>
      </c>
      <c r="BD1221" s="28">
        <v>0</v>
      </c>
      <c r="BE1221" s="186" t="str">
        <f>"立即对目标范围内的怪物造成"&amp;X1221*100&amp;"%攻击伤害+"&amp;Z1221&amp;"点固定伤害,并附带1秒眩晕效果,对怪物将怪立即拉近至自身攻击范围并将眩晕效果将提升至2秒"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spans="3:75" ht="20.100000000000001" customHeight="1">
      <c r="C1222" s="19">
        <v>65023402</v>
      </c>
      <c r="D1222" s="20" t="s">
        <v>1616</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356" t="s">
        <v>1618</v>
      </c>
      <c r="AV1222" s="19"/>
      <c r="AW1222" s="20" t="s">
        <v>1526</v>
      </c>
      <c r="AX1222" s="19" t="s">
        <v>534</v>
      </c>
      <c r="AY1222" s="19">
        <v>10000009</v>
      </c>
      <c r="AZ1222" s="19">
        <v>21030010</v>
      </c>
      <c r="BA1222" s="18" t="s">
        <v>1528</v>
      </c>
      <c r="BB1222" s="20">
        <v>0</v>
      </c>
      <c r="BC1222" s="28">
        <v>0</v>
      </c>
      <c r="BD1222" s="28">
        <v>0</v>
      </c>
      <c r="BE1222" s="186" t="str">
        <f t="shared" ref="BE1222:BE1226" si="137">"立即对目标范围内的怪物造成"&amp;X1222*100&amp;"%攻击伤害+"&amp;Z1222&amp;"点固定伤害,并附带1秒眩晕效果,对怪物将怪立即拉近至自身攻击范围并将眩晕效果将提升至2秒"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spans="3:75" ht="20.100000000000001" customHeight="1">
      <c r="C1223" s="19">
        <v>65023403</v>
      </c>
      <c r="D1223" s="20" t="s">
        <v>1616</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356" t="s">
        <v>1618</v>
      </c>
      <c r="AV1223" s="19"/>
      <c r="AW1223" s="20" t="s">
        <v>1526</v>
      </c>
      <c r="AX1223" s="19" t="s">
        <v>534</v>
      </c>
      <c r="AY1223" s="19">
        <v>10000009</v>
      </c>
      <c r="AZ1223" s="19">
        <v>21030010</v>
      </c>
      <c r="BA1223" s="18" t="s">
        <v>1528</v>
      </c>
      <c r="BB1223" s="20">
        <v>0</v>
      </c>
      <c r="BC1223" s="28">
        <v>0</v>
      </c>
      <c r="BD1223" s="28">
        <v>0</v>
      </c>
      <c r="BE1223" s="186" t="str">
        <f t="shared" si="137"/>
        <v>立即对目标范围内的怪物造成275%攻击伤害+1800点固定伤害,并附带1秒眩晕效果,对怪物将怪立即拉近至自身攻击范围并将眩晕效果将提升至2秒</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spans="3:75" ht="20.100000000000001" customHeight="1">
      <c r="C1224" s="19">
        <v>65023404</v>
      </c>
      <c r="D1224" s="20" t="s">
        <v>1616</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356" t="s">
        <v>1618</v>
      </c>
      <c r="AV1224" s="19"/>
      <c r="AW1224" s="20" t="s">
        <v>1526</v>
      </c>
      <c r="AX1224" s="19" t="s">
        <v>534</v>
      </c>
      <c r="AY1224" s="19">
        <v>10000009</v>
      </c>
      <c r="AZ1224" s="19">
        <v>21030010</v>
      </c>
      <c r="BA1224" s="18" t="s">
        <v>1528</v>
      </c>
      <c r="BB1224" s="20">
        <v>0</v>
      </c>
      <c r="BC1224" s="28">
        <v>0</v>
      </c>
      <c r="BD1224" s="28">
        <v>0</v>
      </c>
      <c r="BE1224" s="186" t="str">
        <f t="shared" si="137"/>
        <v>立即对目标范围内的怪物造成300%攻击伤害+2800点固定伤害,并附带1秒眩晕效果,对怪物将怪立即拉近至自身攻击范围并将眩晕效果将提升至2秒</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spans="3:75" ht="20.100000000000001" customHeight="1">
      <c r="C1225" s="19">
        <v>65023405</v>
      </c>
      <c r="D1225" s="20" t="s">
        <v>1616</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356" t="s">
        <v>1618</v>
      </c>
      <c r="AV1225" s="19"/>
      <c r="AW1225" s="20" t="s">
        <v>1526</v>
      </c>
      <c r="AX1225" s="19" t="s">
        <v>534</v>
      </c>
      <c r="AY1225" s="19">
        <v>10000009</v>
      </c>
      <c r="AZ1225" s="19">
        <v>21030010</v>
      </c>
      <c r="BA1225" s="18" t="s">
        <v>1528</v>
      </c>
      <c r="BB1225" s="20">
        <v>0</v>
      </c>
      <c r="BC1225" s="28">
        <v>0</v>
      </c>
      <c r="BD1225" s="28">
        <v>0</v>
      </c>
      <c r="BE1225" s="186" t="str">
        <f t="shared" si="137"/>
        <v>立即对目标范围内的怪物造成325%攻击伤害+4000点固定伤害,并附带1秒眩晕效果,对怪物将怪立即拉近至自身攻击范围并将眩晕效果将提升至2秒</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65023406</v>
      </c>
      <c r="D1226" s="20" t="s">
        <v>1616</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356" t="s">
        <v>1618</v>
      </c>
      <c r="AV1226" s="19"/>
      <c r="AW1226" s="20" t="s">
        <v>1526</v>
      </c>
      <c r="AX1226" s="19" t="s">
        <v>534</v>
      </c>
      <c r="AY1226" s="19">
        <v>10000009</v>
      </c>
      <c r="AZ1226" s="19">
        <v>21030010</v>
      </c>
      <c r="BA1226" s="18" t="s">
        <v>1528</v>
      </c>
      <c r="BB1226" s="20">
        <v>0</v>
      </c>
      <c r="BC1226" s="28">
        <v>0</v>
      </c>
      <c r="BD1226" s="28">
        <v>0</v>
      </c>
      <c r="BE1226" s="186" t="str">
        <f t="shared" si="137"/>
        <v>立即对目标范围内的怪物造成350%攻击伤害+5200点固定伤害,并附带1秒眩晕效果,对怪物将怪立即拉近至自身攻击范围并将眩晕效果将提升至2秒</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60031111</v>
      </c>
      <c r="D1227" s="14" t="s">
        <v>2375</v>
      </c>
      <c r="E1227" s="14" t="s">
        <v>2376</v>
      </c>
      <c r="F1227" s="19">
        <v>1</v>
      </c>
      <c r="G1227" s="19">
        <v>60031111</v>
      </c>
      <c r="H1227" s="19">
        <v>0</v>
      </c>
      <c r="I1227" s="28">
        <v>0</v>
      </c>
      <c r="J1227" s="19">
        <v>60</v>
      </c>
      <c r="K1227" s="19">
        <v>0</v>
      </c>
      <c r="L1227" s="19">
        <v>0</v>
      </c>
      <c r="M1227" s="17">
        <v>0</v>
      </c>
      <c r="N1227" s="17">
        <v>0</v>
      </c>
      <c r="O1227" s="62">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2377</v>
      </c>
      <c r="AX1227" s="17" t="s">
        <v>534</v>
      </c>
      <c r="AY1227" s="19">
        <v>10000007</v>
      </c>
      <c r="AZ1227" s="19">
        <v>22001001</v>
      </c>
      <c r="BA1227" s="20" t="s">
        <v>586</v>
      </c>
      <c r="BB1227" s="28" t="s">
        <v>2378</v>
      </c>
      <c r="BC1227" s="28">
        <v>0</v>
      </c>
      <c r="BD1227" s="28">
        <v>1</v>
      </c>
      <c r="BE1227" s="46" t="s">
        <v>2379</v>
      </c>
      <c r="BF1227" s="46" t="s">
        <v>2380</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spans="3:75" ht="20.100000000000001" customHeight="1">
      <c r="C1228" s="19">
        <v>60031121</v>
      </c>
      <c r="D1228" s="14" t="s">
        <v>2381</v>
      </c>
      <c r="E1228" s="14" t="s">
        <v>2382</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2383</v>
      </c>
      <c r="BF1228" s="186" t="s">
        <v>2384</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spans="3:75" ht="20.100000000000001" customHeight="1">
      <c r="C1229" s="19">
        <v>60031131</v>
      </c>
      <c r="D1229" s="14" t="s">
        <v>2385</v>
      </c>
      <c r="E1229" s="14" t="s">
        <v>2386</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6" t="s">
        <v>2387</v>
      </c>
      <c r="AV1229" s="19"/>
      <c r="AW1229" s="14" t="s">
        <v>199</v>
      </c>
      <c r="AX1229" s="19" t="s">
        <v>1408</v>
      </c>
      <c r="AY1229" s="13" t="s">
        <v>198</v>
      </c>
      <c r="AZ1229" s="356" t="s">
        <v>2388</v>
      </c>
      <c r="BA1229" s="14" t="s">
        <v>200</v>
      </c>
      <c r="BB1229" s="13">
        <v>0</v>
      </c>
      <c r="BC1229" s="28">
        <v>0</v>
      </c>
      <c r="BD1229" s="28">
        <v>1</v>
      </c>
      <c r="BE1229" s="186" t="s">
        <v>2389</v>
      </c>
      <c r="BF1229" s="186" t="s">
        <v>2390</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spans="3:75" ht="19.5" customHeight="1">
      <c r="C1230" s="19">
        <v>60031132</v>
      </c>
      <c r="D1230" s="14" t="s">
        <v>2391</v>
      </c>
      <c r="E1230" s="14" t="s">
        <v>2392</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spans="3:75" ht="20.100000000000001" customHeight="1">
      <c r="C1231" s="19">
        <v>60031141</v>
      </c>
      <c r="D1231" s="14" t="s">
        <v>2393</v>
      </c>
      <c r="E1231" s="14" t="s">
        <v>2394</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2395</v>
      </c>
      <c r="BB1231" s="20" t="s">
        <v>371</v>
      </c>
      <c r="BC1231" s="28">
        <v>0</v>
      </c>
      <c r="BD1231" s="28">
        <v>1</v>
      </c>
      <c r="BE1231" s="186" t="s">
        <v>2396</v>
      </c>
      <c r="BF1231" s="186" t="s">
        <v>2397</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60031151</v>
      </c>
      <c r="D1232" s="14" t="s">
        <v>2398</v>
      </c>
      <c r="E1232" s="14" t="s">
        <v>2399</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2400</v>
      </c>
      <c r="BF1232" s="186" t="s">
        <v>2401</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spans="1:75" ht="20.100000000000001" customHeight="1">
      <c r="C1233" s="19">
        <v>60031161</v>
      </c>
      <c r="D1233" s="14" t="s">
        <v>2402</v>
      </c>
      <c r="E1233" s="14" t="s">
        <v>2403</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6" t="s">
        <v>2404</v>
      </c>
      <c r="AV1233" s="19"/>
      <c r="AW1233" s="20" t="s">
        <v>1536</v>
      </c>
      <c r="AX1233" s="19" t="s">
        <v>1408</v>
      </c>
      <c r="AY1233" s="19">
        <v>10002001</v>
      </c>
      <c r="AZ1233" s="19">
        <v>22001006</v>
      </c>
      <c r="BA1233" s="20" t="s">
        <v>2405</v>
      </c>
      <c r="BB1233" s="28" t="s">
        <v>2406</v>
      </c>
      <c r="BC1233" s="28">
        <v>0</v>
      </c>
      <c r="BD1233" s="28">
        <v>1</v>
      </c>
      <c r="BE1233" s="186" t="s">
        <v>2407</v>
      </c>
      <c r="BF1233" s="186" t="s">
        <v>2408</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spans="1:75" ht="19.5" customHeight="1">
      <c r="C1234" s="19">
        <v>60031162</v>
      </c>
      <c r="D1234" s="151" t="s">
        <v>2409</v>
      </c>
      <c r="E1234" s="151" t="s">
        <v>2410</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2411</v>
      </c>
      <c r="BF1234" s="170" t="s">
        <v>2412</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spans="1:75" ht="20.100000000000001" customHeight="1">
      <c r="C1235" s="178">
        <v>60031171</v>
      </c>
      <c r="D1235" s="203" t="s">
        <v>2413</v>
      </c>
      <c r="E1235" s="203" t="s">
        <v>2414</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1" t="str">
        <f>"在目标区域立即释放法术,在此范围内的目标每秒造成"&amp;X1235*100&amp;"%攻击伤害+"&amp;Z1235&amp;"点固定伤害,持续10秒"</f>
        <v>在目标区域立即释放法术,在此范围内的目标每秒造成150%攻击伤害+5000点固定伤害,持续10秒</v>
      </c>
      <c r="BF1235" s="211" t="s">
        <v>2415</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spans="1:75" ht="19.5" customHeight="1">
      <c r="C1236" s="178">
        <v>60031181</v>
      </c>
      <c r="D1236" s="202" t="s">
        <v>2416</v>
      </c>
      <c r="E1236" s="202" t="s">
        <v>2417</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2418</v>
      </c>
      <c r="BC1236" s="176">
        <v>0</v>
      </c>
      <c r="BD1236" s="176" t="s">
        <v>2419</v>
      </c>
      <c r="BE1236" s="206" t="s">
        <v>2420</v>
      </c>
      <c r="BF1236" s="206" t="s">
        <v>2421</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spans="1:75" ht="20.100000000000001" customHeight="1">
      <c r="C1237" s="178">
        <v>60031191</v>
      </c>
      <c r="D1237" s="175" t="s">
        <v>2422</v>
      </c>
      <c r="E1237" s="175" t="s">
        <v>2423</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2424</v>
      </c>
      <c r="BC1237" s="176">
        <v>0</v>
      </c>
      <c r="BD1237" s="176">
        <v>0</v>
      </c>
      <c r="BE1237" s="206" t="s">
        <v>2425</v>
      </c>
      <c r="BF1237" s="206" t="s">
        <v>2426</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pans="1:75" s="1" customFormat="1" ht="19.5" customHeight="1">
      <c r="A1238" s="216"/>
      <c r="B1238" s="216"/>
      <c r="C1238" s="178">
        <v>60031201</v>
      </c>
      <c r="D1238" s="61" t="s">
        <v>2427</v>
      </c>
      <c r="E1238" s="61" t="s">
        <v>2428</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2" t="s">
        <v>2429</v>
      </c>
      <c r="BC1238" s="68">
        <v>0</v>
      </c>
      <c r="BD1238" s="68">
        <v>0</v>
      </c>
      <c r="BE1238" s="92" t="s">
        <v>2430</v>
      </c>
      <c r="BF1238" s="92" t="s">
        <v>2431</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spans="1:75" ht="19.5" customHeight="1">
      <c r="C1239" s="178">
        <v>60031211</v>
      </c>
      <c r="D1239" s="202" t="s">
        <v>2432</v>
      </c>
      <c r="E1239" s="202" t="s">
        <v>2433</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2418</v>
      </c>
      <c r="BC1239" s="176">
        <v>0</v>
      </c>
      <c r="BD1239" s="176" t="s">
        <v>2419</v>
      </c>
      <c r="BE1239" s="206" t="s">
        <v>2420</v>
      </c>
      <c r="BF1239" s="206" t="s">
        <v>2421</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spans="1:75" ht="20.100000000000001" customHeight="1">
      <c r="C1240" s="178">
        <v>60031221</v>
      </c>
      <c r="D1240" s="14" t="s">
        <v>2434</v>
      </c>
      <c r="E1240" s="14" t="s">
        <v>2435</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2400</v>
      </c>
      <c r="BF1240" s="186" t="s">
        <v>2401</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spans="1:75" ht="19.5" customHeight="1">
      <c r="C1241" s="19">
        <v>61031111</v>
      </c>
      <c r="D1241" s="14" t="s">
        <v>2436</v>
      </c>
      <c r="E1241" s="14" t="s">
        <v>2437</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2377</v>
      </c>
      <c r="AX1241" s="17" t="s">
        <v>534</v>
      </c>
      <c r="AY1241" s="19">
        <v>10000007</v>
      </c>
      <c r="AZ1241" s="19">
        <v>22001001</v>
      </c>
      <c r="BA1241" s="20" t="s">
        <v>586</v>
      </c>
      <c r="BB1241" s="28" t="s">
        <v>2418</v>
      </c>
      <c r="BC1241" s="28">
        <v>0</v>
      </c>
      <c r="BD1241" s="28">
        <v>1</v>
      </c>
      <c r="BE1241" s="46" t="s">
        <v>2438</v>
      </c>
      <c r="BF1241" s="46" t="s">
        <v>2439</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spans="1:75" ht="20.100000000000001" customHeight="1">
      <c r="C1242" s="19">
        <v>61031121</v>
      </c>
      <c r="D1242" s="14" t="s">
        <v>2440</v>
      </c>
      <c r="E1242" s="14" t="s">
        <v>2441</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spans="1:75" ht="20.100000000000001" customHeight="1">
      <c r="C1243" s="19">
        <v>61031131</v>
      </c>
      <c r="D1243" s="14" t="s">
        <v>2442</v>
      </c>
      <c r="E1243" s="14" t="s">
        <v>2443</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6" t="s">
        <v>2387</v>
      </c>
      <c r="AV1243" s="19"/>
      <c r="AW1243" s="14" t="s">
        <v>199</v>
      </c>
      <c r="AX1243" s="19" t="s">
        <v>1408</v>
      </c>
      <c r="AY1243" s="13" t="s">
        <v>198</v>
      </c>
      <c r="AZ1243" s="356" t="s">
        <v>2388</v>
      </c>
      <c r="BA1243" s="14" t="s">
        <v>200</v>
      </c>
      <c r="BB1243" s="13">
        <v>0</v>
      </c>
      <c r="BC1243" s="28">
        <v>0</v>
      </c>
      <c r="BD1243" s="28">
        <v>1</v>
      </c>
      <c r="BE1243" s="186" t="s">
        <v>2389</v>
      </c>
      <c r="BF1243" s="186" t="s">
        <v>2390</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spans="1:75" ht="20.100000000000001" customHeight="1">
      <c r="C1244" s="19">
        <v>61031141</v>
      </c>
      <c r="D1244" s="14" t="s">
        <v>2444</v>
      </c>
      <c r="E1244" s="14" t="s">
        <v>2445</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2395</v>
      </c>
      <c r="BB1244" s="20" t="s">
        <v>371</v>
      </c>
      <c r="BC1244" s="28">
        <v>0</v>
      </c>
      <c r="BD1244" s="28">
        <v>1</v>
      </c>
      <c r="BE1244" s="186" t="s">
        <v>2396</v>
      </c>
      <c r="BF1244" s="186" t="s">
        <v>2397</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spans="1:75" ht="20.100000000000001" customHeight="1">
      <c r="C1245" s="19">
        <v>61031151</v>
      </c>
      <c r="D1245" s="14" t="s">
        <v>2446</v>
      </c>
      <c r="E1245" s="14" t="s">
        <v>2447</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2400</v>
      </c>
      <c r="BF1245" s="186" t="s">
        <v>2401</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spans="1:75" ht="20.100000000000001" customHeight="1">
      <c r="C1246" s="19">
        <v>61031161</v>
      </c>
      <c r="D1246" s="14" t="s">
        <v>2448</v>
      </c>
      <c r="E1246" s="14" t="s">
        <v>2449</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6" t="s">
        <v>2404</v>
      </c>
      <c r="AV1246" s="19"/>
      <c r="AW1246" s="20" t="s">
        <v>1536</v>
      </c>
      <c r="AX1246" s="19" t="s">
        <v>1408</v>
      </c>
      <c r="AY1246" s="19">
        <v>10002001</v>
      </c>
      <c r="AZ1246" s="19">
        <v>22001006</v>
      </c>
      <c r="BA1246" s="20" t="s">
        <v>2405</v>
      </c>
      <c r="BB1246" s="28" t="s">
        <v>2406</v>
      </c>
      <c r="BC1246" s="28">
        <v>0</v>
      </c>
      <c r="BD1246" s="28">
        <v>1</v>
      </c>
      <c r="BE1246" s="186" t="s">
        <v>2407</v>
      </c>
      <c r="BF1246" s="186" t="s">
        <v>2408</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78">
        <v>61031171</v>
      </c>
      <c r="D1247" s="203" t="s">
        <v>2450</v>
      </c>
      <c r="E1247" s="203" t="s">
        <v>2451</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6" t="s">
        <v>2404</v>
      </c>
      <c r="AV1247" s="178"/>
      <c r="AW1247" s="203" t="s">
        <v>1536</v>
      </c>
      <c r="AX1247" s="178" t="s">
        <v>1408</v>
      </c>
      <c r="AY1247" s="178">
        <v>10002001</v>
      </c>
      <c r="AZ1247" s="178">
        <v>21201090</v>
      </c>
      <c r="BA1247" s="203" t="s">
        <v>315</v>
      </c>
      <c r="BB1247" s="203" t="s">
        <v>371</v>
      </c>
      <c r="BC1247" s="176">
        <v>0</v>
      </c>
      <c r="BD1247" s="176">
        <v>0</v>
      </c>
      <c r="BE1247" s="211"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1" t="s">
        <v>2452</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spans="1:75" ht="19.5" customHeight="1">
      <c r="C1248" s="178">
        <v>61031181</v>
      </c>
      <c r="D1248" s="202" t="s">
        <v>2453</v>
      </c>
      <c r="E1248" s="202" t="s">
        <v>2454</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2377</v>
      </c>
      <c r="AX1248" s="174" t="s">
        <v>534</v>
      </c>
      <c r="AY1248" s="178">
        <v>10000007</v>
      </c>
      <c r="AZ1248" s="178">
        <v>21202090</v>
      </c>
      <c r="BA1248" s="203" t="s">
        <v>586</v>
      </c>
      <c r="BB1248" s="176" t="s">
        <v>2418</v>
      </c>
      <c r="BC1248" s="176">
        <v>0</v>
      </c>
      <c r="BD1248" s="176">
        <v>1</v>
      </c>
      <c r="BE1248" s="206" t="s">
        <v>2438</v>
      </c>
      <c r="BF1248" s="206" t="s">
        <v>2439</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spans="3:75" ht="20.100000000000001" customHeight="1">
      <c r="C1249" s="178">
        <v>61031191</v>
      </c>
      <c r="D1249" s="175" t="s">
        <v>2455</v>
      </c>
      <c r="E1249" s="175" t="s">
        <v>2456</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2457</v>
      </c>
      <c r="BC1249" s="176">
        <v>0</v>
      </c>
      <c r="BD1249" s="176">
        <v>0</v>
      </c>
      <c r="BE1249" s="206" t="s">
        <v>592</v>
      </c>
      <c r="BF1249" s="206"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spans="3:75" ht="20.100000000000001" customHeight="1">
      <c r="C1250" s="13">
        <v>62000000</v>
      </c>
      <c r="D1250" s="14" t="s">
        <v>2458</v>
      </c>
      <c r="E1250" s="14" t="s">
        <v>2459</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2460</v>
      </c>
      <c r="BF1250" s="44" t="s">
        <v>2461</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spans="3:75" ht="20.100000000000001" customHeight="1">
      <c r="C1251" s="13">
        <v>62000001</v>
      </c>
      <c r="D1251" s="236" t="s">
        <v>381</v>
      </c>
      <c r="E1251" s="236" t="s">
        <v>382</v>
      </c>
      <c r="F1251" s="237">
        <v>1</v>
      </c>
      <c r="G1251" s="13">
        <v>10001</v>
      </c>
      <c r="H1251" s="237">
        <v>0</v>
      </c>
      <c r="I1251" s="237">
        <v>0</v>
      </c>
      <c r="J1251" s="237">
        <v>1</v>
      </c>
      <c r="K1251" s="237">
        <v>0</v>
      </c>
      <c r="L1251" s="237">
        <v>0</v>
      </c>
      <c r="M1251" s="237">
        <v>0</v>
      </c>
      <c r="N1251" s="237">
        <v>0</v>
      </c>
      <c r="O1251" s="237">
        <v>2</v>
      </c>
      <c r="P1251" s="237">
        <v>3</v>
      </c>
      <c r="Q1251" s="237">
        <v>0.2</v>
      </c>
      <c r="R1251" s="237">
        <v>0</v>
      </c>
      <c r="S1251" s="237">
        <v>0</v>
      </c>
      <c r="T1251" s="237">
        <v>0</v>
      </c>
      <c r="U1251" s="237">
        <v>1</v>
      </c>
      <c r="V1251" s="237">
        <v>2</v>
      </c>
      <c r="W1251" s="237">
        <v>0</v>
      </c>
      <c r="X1251" s="237">
        <v>0</v>
      </c>
      <c r="Y1251" s="13">
        <v>0</v>
      </c>
      <c r="Z1251" s="237">
        <v>0</v>
      </c>
      <c r="AA1251" s="237">
        <v>0</v>
      </c>
      <c r="AB1251" s="237">
        <v>0</v>
      </c>
      <c r="AC1251" s="237">
        <v>0</v>
      </c>
      <c r="AD1251" s="237">
        <v>1</v>
      </c>
      <c r="AE1251" s="237">
        <v>0</v>
      </c>
      <c r="AF1251" s="237">
        <v>10</v>
      </c>
      <c r="AG1251" s="237">
        <v>0</v>
      </c>
      <c r="AH1251" s="237">
        <v>0</v>
      </c>
      <c r="AI1251" s="237">
        <v>2</v>
      </c>
      <c r="AJ1251" s="237">
        <v>0</v>
      </c>
      <c r="AK1251" s="237">
        <v>0</v>
      </c>
      <c r="AL1251" s="237">
        <v>0</v>
      </c>
      <c r="AM1251" s="237">
        <v>0</v>
      </c>
      <c r="AN1251" s="237">
        <v>0</v>
      </c>
      <c r="AO1251" s="237">
        <v>0</v>
      </c>
      <c r="AP1251" s="237">
        <v>0</v>
      </c>
      <c r="AQ1251" s="237">
        <v>1000</v>
      </c>
      <c r="AR1251" s="237">
        <v>0</v>
      </c>
      <c r="AS1251" s="237">
        <v>0</v>
      </c>
      <c r="AT1251" s="237">
        <v>92000037</v>
      </c>
      <c r="AU1251" s="237" t="s">
        <v>198</v>
      </c>
      <c r="AV1251" s="237"/>
      <c r="AW1251" s="236" t="s">
        <v>199</v>
      </c>
      <c r="AX1251" s="237" t="s">
        <v>1816</v>
      </c>
      <c r="AY1251" s="237">
        <v>0</v>
      </c>
      <c r="AZ1251" s="237">
        <v>40000003</v>
      </c>
      <c r="BA1251" s="236" t="s">
        <v>200</v>
      </c>
      <c r="BB1251" s="237" t="s">
        <v>198</v>
      </c>
      <c r="BC1251" s="237">
        <v>0</v>
      </c>
      <c r="BD1251" s="237">
        <v>0</v>
      </c>
      <c r="BE1251" s="241" t="s">
        <v>2462</v>
      </c>
      <c r="BF1251" s="241" t="s">
        <v>2463</v>
      </c>
      <c r="BG1251" s="237">
        <v>0</v>
      </c>
      <c r="BH1251" s="237">
        <v>0</v>
      </c>
      <c r="BI1251" s="237">
        <v>0</v>
      </c>
      <c r="BJ1251" s="237">
        <v>0</v>
      </c>
      <c r="BK1251" s="237">
        <v>0</v>
      </c>
      <c r="BL1251" s="237">
        <v>0</v>
      </c>
      <c r="BM1251" s="244">
        <v>0</v>
      </c>
      <c r="BN1251" s="237">
        <v>1</v>
      </c>
      <c r="BO1251" s="13">
        <v>0</v>
      </c>
      <c r="BP1251" s="13">
        <v>0</v>
      </c>
      <c r="BQ1251" s="13">
        <v>0</v>
      </c>
      <c r="BR1251" s="13">
        <v>0</v>
      </c>
      <c r="BS1251" s="13">
        <v>0</v>
      </c>
      <c r="BT1251" s="13">
        <v>0</v>
      </c>
      <c r="BU1251" s="49">
        <v>0</v>
      </c>
      <c r="BV1251" s="49"/>
      <c r="BW1251" s="49"/>
    </row>
    <row r="1252" spans="3:75" ht="20.100000000000001" customHeight="1">
      <c r="C1252" s="13">
        <v>62000002</v>
      </c>
      <c r="D1252" s="14" t="s">
        <v>2464</v>
      </c>
      <c r="E1252" s="14" t="s">
        <v>2465</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2466</v>
      </c>
      <c r="BA1252" s="14" t="s">
        <v>200</v>
      </c>
      <c r="BB1252" s="13">
        <v>0</v>
      </c>
      <c r="BC1252" s="13">
        <v>0</v>
      </c>
      <c r="BD1252" s="13">
        <v>0</v>
      </c>
      <c r="BE1252" s="44" t="s">
        <v>2467</v>
      </c>
      <c r="BF1252" s="44" t="s">
        <v>2468</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spans="3:75" ht="20.100000000000001" customHeight="1">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2469</v>
      </c>
      <c r="BF1253" s="242" t="s">
        <v>2470</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spans="3:75" ht="20.100000000000001" customHeight="1">
      <c r="C1254" s="13">
        <v>62000004</v>
      </c>
      <c r="D1254" s="14" t="s">
        <v>2471</v>
      </c>
      <c r="E1254" s="14" t="s">
        <v>2472</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48" t="s">
        <v>2473</v>
      </c>
      <c r="AU1254" s="13" t="s">
        <v>198</v>
      </c>
      <c r="AV1254" s="13"/>
      <c r="AW1254" s="14" t="s">
        <v>199</v>
      </c>
      <c r="AX1254" s="13" t="s">
        <v>2081</v>
      </c>
      <c r="AY1254" s="13">
        <v>0</v>
      </c>
      <c r="AZ1254" s="13">
        <v>0</v>
      </c>
      <c r="BA1254" s="14" t="s">
        <v>200</v>
      </c>
      <c r="BB1254" s="14" t="s">
        <v>198</v>
      </c>
      <c r="BC1254" s="13">
        <v>0</v>
      </c>
      <c r="BD1254" s="13">
        <v>0</v>
      </c>
      <c r="BE1254" s="44" t="s">
        <v>2474</v>
      </c>
      <c r="BF1254" s="44" t="s">
        <v>2475</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70">
        <v>62000005</v>
      </c>
      <c r="D1255" s="126" t="s">
        <v>2476</v>
      </c>
      <c r="E1255" s="126" t="s">
        <v>2477</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2478</v>
      </c>
      <c r="BF1255" s="242" t="s">
        <v>2479</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spans="3:75" ht="20.100000000000001" customHeight="1">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2466</v>
      </c>
      <c r="BA1256" s="14" t="s">
        <v>200</v>
      </c>
      <c r="BB1256" s="13">
        <v>0</v>
      </c>
      <c r="BC1256" s="13" t="s">
        <v>2480</v>
      </c>
      <c r="BD1256" s="13">
        <v>0</v>
      </c>
      <c r="BE1256" s="44" t="s">
        <v>2481</v>
      </c>
      <c r="BF1256" s="44" t="s">
        <v>2482</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237">
        <v>62000007</v>
      </c>
      <c r="D1257" s="236" t="s">
        <v>381</v>
      </c>
      <c r="E1257" s="236" t="s">
        <v>382</v>
      </c>
      <c r="F1257" s="237">
        <v>1</v>
      </c>
      <c r="G1257" s="237">
        <v>10041</v>
      </c>
      <c r="H1257" s="237">
        <v>0</v>
      </c>
      <c r="I1257" s="237">
        <v>0</v>
      </c>
      <c r="J1257" s="237">
        <v>1</v>
      </c>
      <c r="K1257" s="237">
        <v>0</v>
      </c>
      <c r="L1257" s="237">
        <v>0</v>
      </c>
      <c r="M1257" s="237">
        <v>0</v>
      </c>
      <c r="N1257" s="237">
        <v>0</v>
      </c>
      <c r="O1257" s="237">
        <v>2</v>
      </c>
      <c r="P1257" s="237">
        <v>1</v>
      </c>
      <c r="Q1257" s="237">
        <v>0.2</v>
      </c>
      <c r="R1257" s="237">
        <v>0</v>
      </c>
      <c r="S1257" s="237">
        <v>0</v>
      </c>
      <c r="T1257" s="237">
        <v>0</v>
      </c>
      <c r="U1257" s="237">
        <v>1</v>
      </c>
      <c r="V1257" s="237">
        <v>2</v>
      </c>
      <c r="W1257" s="237">
        <v>0</v>
      </c>
      <c r="X1257" s="237">
        <v>0</v>
      </c>
      <c r="Y1257" s="13">
        <v>0</v>
      </c>
      <c r="Z1257" s="237">
        <v>0</v>
      </c>
      <c r="AA1257" s="237">
        <v>0</v>
      </c>
      <c r="AB1257" s="237">
        <v>0</v>
      </c>
      <c r="AC1257" s="237">
        <v>0</v>
      </c>
      <c r="AD1257" s="237">
        <v>1</v>
      </c>
      <c r="AE1257" s="237">
        <v>0</v>
      </c>
      <c r="AF1257" s="237">
        <v>1</v>
      </c>
      <c r="AG1257" s="237">
        <v>0</v>
      </c>
      <c r="AH1257" s="237">
        <v>0</v>
      </c>
      <c r="AI1257" s="237">
        <v>2</v>
      </c>
      <c r="AJ1257" s="237">
        <v>0</v>
      </c>
      <c r="AK1257" s="237">
        <v>0</v>
      </c>
      <c r="AL1257" s="237">
        <v>0</v>
      </c>
      <c r="AM1257" s="237">
        <v>0</v>
      </c>
      <c r="AN1257" s="237">
        <v>0</v>
      </c>
      <c r="AO1257" s="237">
        <v>0</v>
      </c>
      <c r="AP1257" s="237">
        <v>0</v>
      </c>
      <c r="AQ1257" s="237">
        <v>1000</v>
      </c>
      <c r="AR1257" s="237">
        <v>0</v>
      </c>
      <c r="AS1257" s="237">
        <v>0</v>
      </c>
      <c r="AT1257" s="237">
        <v>92000005</v>
      </c>
      <c r="AU1257" s="237" t="s">
        <v>198</v>
      </c>
      <c r="AV1257" s="237"/>
      <c r="AW1257" s="236" t="s">
        <v>199</v>
      </c>
      <c r="AX1257" s="237" t="s">
        <v>1816</v>
      </c>
      <c r="AY1257" s="237">
        <v>0</v>
      </c>
      <c r="AZ1257" s="237">
        <v>40000003</v>
      </c>
      <c r="BA1257" s="236" t="s">
        <v>200</v>
      </c>
      <c r="BB1257" s="237" t="s">
        <v>198</v>
      </c>
      <c r="BC1257" s="237">
        <v>0</v>
      </c>
      <c r="BD1257" s="237">
        <v>0</v>
      </c>
      <c r="BE1257" s="241" t="s">
        <v>2483</v>
      </c>
      <c r="BF1257" s="241" t="s">
        <v>2484</v>
      </c>
      <c r="BG1257" s="237">
        <v>0</v>
      </c>
      <c r="BH1257" s="237">
        <v>0</v>
      </c>
      <c r="BI1257" s="237">
        <v>0</v>
      </c>
      <c r="BJ1257" s="237">
        <v>0</v>
      </c>
      <c r="BK1257" s="237">
        <v>0</v>
      </c>
      <c r="BL1257" s="237">
        <v>0</v>
      </c>
      <c r="BM1257" s="244">
        <v>0</v>
      </c>
      <c r="BN1257" s="237">
        <v>1</v>
      </c>
      <c r="BO1257" s="13">
        <v>0</v>
      </c>
      <c r="BP1257" s="13">
        <v>0</v>
      </c>
      <c r="BQ1257" s="13">
        <v>0</v>
      </c>
      <c r="BR1257" s="13">
        <v>0</v>
      </c>
      <c r="BS1257" s="13">
        <v>0</v>
      </c>
      <c r="BT1257" s="13">
        <v>0</v>
      </c>
      <c r="BU1257" s="49">
        <v>0</v>
      </c>
      <c r="BV1257" s="49"/>
      <c r="BW1257" s="49"/>
    </row>
    <row r="1258" spans="3:75" ht="20.100000000000001" customHeight="1">
      <c r="C1258" s="70">
        <v>62000008</v>
      </c>
      <c r="D1258" s="126" t="s">
        <v>2485</v>
      </c>
      <c r="E1258" s="126" t="s">
        <v>2486</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49" t="s">
        <v>2487</v>
      </c>
      <c r="AU1258" s="70" t="s">
        <v>198</v>
      </c>
      <c r="AV1258" s="70"/>
      <c r="AW1258" s="126" t="s">
        <v>199</v>
      </c>
      <c r="AX1258" s="70" t="s">
        <v>1816</v>
      </c>
      <c r="AY1258" s="70">
        <v>0</v>
      </c>
      <c r="AZ1258" s="66">
        <v>21030020</v>
      </c>
      <c r="BA1258" s="126" t="s">
        <v>200</v>
      </c>
      <c r="BB1258" s="126" t="s">
        <v>198</v>
      </c>
      <c r="BC1258" s="70">
        <v>0</v>
      </c>
      <c r="BD1258" s="70">
        <v>0</v>
      </c>
      <c r="BE1258" s="242" t="s">
        <v>2488</v>
      </c>
      <c r="BF1258" s="242" t="s">
        <v>2489</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spans="3:75" ht="20.100000000000001" customHeight="1">
      <c r="C1259" s="13">
        <v>62000009</v>
      </c>
      <c r="D1259" s="14" t="s">
        <v>2490</v>
      </c>
      <c r="E1259" s="14" t="s">
        <v>2491</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48" t="s">
        <v>2492</v>
      </c>
      <c r="AU1259" s="13" t="s">
        <v>198</v>
      </c>
      <c r="AV1259" s="13"/>
      <c r="AW1259" s="14" t="s">
        <v>199</v>
      </c>
      <c r="AX1259" s="13" t="s">
        <v>348</v>
      </c>
      <c r="AY1259" s="13">
        <v>0</v>
      </c>
      <c r="AZ1259" s="13">
        <v>22000040</v>
      </c>
      <c r="BA1259" s="14" t="s">
        <v>200</v>
      </c>
      <c r="BB1259" s="14" t="s">
        <v>198</v>
      </c>
      <c r="BC1259" s="13">
        <v>0</v>
      </c>
      <c r="BD1259" s="13">
        <v>0</v>
      </c>
      <c r="BE1259" s="44" t="s">
        <v>2493</v>
      </c>
      <c r="BF1259" s="44" t="s">
        <v>2494</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spans="3:75" ht="20.100000000000001" customHeight="1">
      <c r="C1260" s="13">
        <v>62000010</v>
      </c>
      <c r="D1260" s="14" t="s">
        <v>2495</v>
      </c>
      <c r="E1260" s="14" t="s">
        <v>2496</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2497</v>
      </c>
      <c r="BF1260" s="44" t="s">
        <v>2498</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13">
        <v>62000011</v>
      </c>
      <c r="D1261" s="14" t="s">
        <v>2499</v>
      </c>
      <c r="E1261" s="14" t="s">
        <v>2500</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2501</v>
      </c>
      <c r="BF1261" s="44" t="s">
        <v>2502</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spans="3:75" ht="20.100000000000001" customHeight="1">
      <c r="C1262" s="13">
        <v>62000012</v>
      </c>
      <c r="D1262" s="14" t="s">
        <v>2503</v>
      </c>
      <c r="E1262" s="14" t="s">
        <v>2504</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2505</v>
      </c>
      <c r="BF1262" s="44" t="s">
        <v>2506</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spans="3:75" ht="20.100000000000001" customHeight="1">
      <c r="C1263" s="13">
        <v>62000031</v>
      </c>
      <c r="D1263" s="14" t="s">
        <v>2507</v>
      </c>
      <c r="E1263" s="14" t="s">
        <v>2508</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2509</v>
      </c>
      <c r="BF1263" s="44" t="s">
        <v>2510</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spans="3:75" ht="20.100000000000001" customHeight="1">
      <c r="C1264" s="13">
        <v>62000032</v>
      </c>
      <c r="D1264" s="14" t="s">
        <v>2511</v>
      </c>
      <c r="E1264" s="14" t="s">
        <v>2512</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2513</v>
      </c>
      <c r="BF1264" s="44" t="s">
        <v>2514</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spans="3:75" ht="20.100000000000001" customHeight="1">
      <c r="C1265" s="183">
        <v>62000033</v>
      </c>
      <c r="D1265" s="238" t="s">
        <v>2515</v>
      </c>
      <c r="E1265" s="238" t="s">
        <v>2516</v>
      </c>
      <c r="F1265" s="183">
        <v>1</v>
      </c>
      <c r="G1265" s="183">
        <v>30011</v>
      </c>
      <c r="H1265" s="183">
        <v>0</v>
      </c>
      <c r="I1265" s="183">
        <v>0</v>
      </c>
      <c r="J1265" s="183">
        <v>1</v>
      </c>
      <c r="K1265" s="183">
        <v>0</v>
      </c>
      <c r="L1265" s="183">
        <v>0</v>
      </c>
      <c r="M1265" s="183">
        <v>0</v>
      </c>
      <c r="N1265" s="183">
        <v>0</v>
      </c>
      <c r="O1265" s="183">
        <v>2</v>
      </c>
      <c r="P1265" s="183">
        <v>1</v>
      </c>
      <c r="Q1265" s="183">
        <v>0.05</v>
      </c>
      <c r="R1265" s="183">
        <v>0</v>
      </c>
      <c r="S1265" s="183">
        <v>0</v>
      </c>
      <c r="T1265" s="183">
        <v>0</v>
      </c>
      <c r="U1265" s="183">
        <v>1</v>
      </c>
      <c r="V1265" s="183">
        <v>2</v>
      </c>
      <c r="W1265" s="183">
        <v>0</v>
      </c>
      <c r="X1265" s="183">
        <v>0</v>
      </c>
      <c r="Y1265" s="13">
        <v>0</v>
      </c>
      <c r="Z1265" s="183">
        <v>0</v>
      </c>
      <c r="AA1265" s="183">
        <v>0</v>
      </c>
      <c r="AB1265" s="183">
        <v>0</v>
      </c>
      <c r="AC1265" s="183">
        <v>0</v>
      </c>
      <c r="AD1265" s="183">
        <v>1</v>
      </c>
      <c r="AE1265" s="183">
        <v>0</v>
      </c>
      <c r="AF1265" s="183">
        <v>1</v>
      </c>
      <c r="AG1265" s="183">
        <v>0</v>
      </c>
      <c r="AH1265" s="183">
        <v>0</v>
      </c>
      <c r="AI1265" s="183">
        <v>7</v>
      </c>
      <c r="AJ1265" s="183">
        <v>0</v>
      </c>
      <c r="AK1265" s="183">
        <v>0</v>
      </c>
      <c r="AL1265" s="183">
        <v>0</v>
      </c>
      <c r="AM1265" s="183">
        <v>0</v>
      </c>
      <c r="AN1265" s="183">
        <v>0</v>
      </c>
      <c r="AO1265" s="183">
        <v>0</v>
      </c>
      <c r="AP1265" s="183">
        <v>0</v>
      </c>
      <c r="AQ1265" s="183">
        <v>1000</v>
      </c>
      <c r="AR1265" s="183">
        <v>0</v>
      </c>
      <c r="AS1265" s="183">
        <v>0</v>
      </c>
      <c r="AT1265" s="183">
        <v>0</v>
      </c>
      <c r="AU1265" s="183">
        <v>92000033</v>
      </c>
      <c r="AV1265" s="183"/>
      <c r="AW1265" s="238" t="s">
        <v>199</v>
      </c>
      <c r="AX1265" s="183" t="s">
        <v>1816</v>
      </c>
      <c r="AY1265" s="183">
        <v>0</v>
      </c>
      <c r="AZ1265" s="183">
        <v>40000003</v>
      </c>
      <c r="BA1265" s="238" t="s">
        <v>200</v>
      </c>
      <c r="BB1265" s="238" t="s">
        <v>198</v>
      </c>
      <c r="BC1265" s="183">
        <v>0</v>
      </c>
      <c r="BD1265" s="183">
        <v>0</v>
      </c>
      <c r="BE1265" s="243" t="s">
        <v>2517</v>
      </c>
      <c r="BF1265" s="243" t="s">
        <v>2518</v>
      </c>
      <c r="BG1265" s="183">
        <v>0</v>
      </c>
      <c r="BH1265" s="183">
        <v>0</v>
      </c>
      <c r="BI1265" s="183">
        <v>0</v>
      </c>
      <c r="BJ1265" s="183">
        <v>0</v>
      </c>
      <c r="BK1265" s="183">
        <v>0</v>
      </c>
      <c r="BL1265" s="183">
        <v>0</v>
      </c>
      <c r="BM1265" s="245">
        <v>0</v>
      </c>
      <c r="BN1265" s="183">
        <v>1</v>
      </c>
      <c r="BO1265" s="183">
        <v>0</v>
      </c>
      <c r="BP1265" s="183">
        <v>0</v>
      </c>
      <c r="BQ1265" s="183">
        <v>0</v>
      </c>
      <c r="BR1265" s="183">
        <v>0</v>
      </c>
      <c r="BS1265" s="183">
        <v>0</v>
      </c>
      <c r="BT1265" s="13">
        <v>0</v>
      </c>
      <c r="BU1265" s="49">
        <v>0</v>
      </c>
      <c r="BV1265" s="49"/>
      <c r="BW1265" s="49"/>
    </row>
    <row r="1266" spans="3:75" ht="19.5" customHeight="1">
      <c r="C1266" s="183">
        <v>62000034</v>
      </c>
      <c r="D1266" s="238" t="s">
        <v>2519</v>
      </c>
      <c r="E1266" s="238" t="s">
        <v>2520</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2521</v>
      </c>
      <c r="BF1266" s="46" t="s">
        <v>2522</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spans="3:75" ht="20.100000000000001" customHeight="1">
      <c r="C1267" s="13">
        <v>62000035</v>
      </c>
      <c r="D1267" s="14" t="s">
        <v>2523</v>
      </c>
      <c r="E1267" s="14" t="s">
        <v>2524</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2525</v>
      </c>
      <c r="BF1267" s="44" t="s">
        <v>2526</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62000036</v>
      </c>
      <c r="D1268" s="14" t="s">
        <v>2527</v>
      </c>
      <c r="E1268" s="14" t="s">
        <v>2528</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2529</v>
      </c>
      <c r="BF1268" s="44" t="s">
        <v>2530</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3">
        <v>62000037</v>
      </c>
      <c r="D1269" s="238" t="s">
        <v>2531</v>
      </c>
      <c r="E1269" s="238" t="s">
        <v>2532</v>
      </c>
      <c r="F1269" s="183">
        <v>1</v>
      </c>
      <c r="G1269" s="183">
        <v>30052</v>
      </c>
      <c r="H1269" s="183">
        <v>0</v>
      </c>
      <c r="I1269" s="183">
        <v>0</v>
      </c>
      <c r="J1269" s="183">
        <v>1</v>
      </c>
      <c r="K1269" s="183">
        <v>0</v>
      </c>
      <c r="L1269" s="183">
        <v>0</v>
      </c>
      <c r="M1269" s="183">
        <v>0</v>
      </c>
      <c r="N1269" s="183">
        <v>0</v>
      </c>
      <c r="O1269" s="183">
        <v>2</v>
      </c>
      <c r="P1269" s="183">
        <v>1</v>
      </c>
      <c r="Q1269" s="183">
        <v>0.1</v>
      </c>
      <c r="R1269" s="183">
        <v>0</v>
      </c>
      <c r="S1269" s="183">
        <v>0</v>
      </c>
      <c r="T1269" s="183">
        <v>0</v>
      </c>
      <c r="U1269" s="183">
        <v>1</v>
      </c>
      <c r="V1269" s="183">
        <v>2</v>
      </c>
      <c r="W1269" s="183">
        <v>0</v>
      </c>
      <c r="X1269" s="183">
        <v>0</v>
      </c>
      <c r="Y1269" s="13">
        <v>0</v>
      </c>
      <c r="Z1269" s="183">
        <v>0</v>
      </c>
      <c r="AA1269" s="183">
        <v>0</v>
      </c>
      <c r="AB1269" s="183">
        <v>0</v>
      </c>
      <c r="AC1269" s="183">
        <v>0</v>
      </c>
      <c r="AD1269" s="183">
        <v>1</v>
      </c>
      <c r="AE1269" s="183">
        <v>0</v>
      </c>
      <c r="AF1269" s="183">
        <v>1</v>
      </c>
      <c r="AG1269" s="183">
        <v>0</v>
      </c>
      <c r="AH1269" s="183">
        <v>0</v>
      </c>
      <c r="AI1269" s="183">
        <v>2</v>
      </c>
      <c r="AJ1269" s="183">
        <v>0</v>
      </c>
      <c r="AK1269" s="183">
        <v>0</v>
      </c>
      <c r="AL1269" s="183">
        <v>0</v>
      </c>
      <c r="AM1269" s="183">
        <v>0</v>
      </c>
      <c r="AN1269" s="183">
        <v>0</v>
      </c>
      <c r="AO1269" s="183">
        <v>0</v>
      </c>
      <c r="AP1269" s="183">
        <v>0</v>
      </c>
      <c r="AQ1269" s="183">
        <v>1000</v>
      </c>
      <c r="AR1269" s="183">
        <v>0</v>
      </c>
      <c r="AS1269" s="183">
        <v>0</v>
      </c>
      <c r="AT1269" s="183">
        <v>92000031</v>
      </c>
      <c r="AU1269" s="183" t="s">
        <v>198</v>
      </c>
      <c r="AV1269" s="183"/>
      <c r="AW1269" s="238" t="s">
        <v>199</v>
      </c>
      <c r="AX1269" s="183" t="s">
        <v>1816</v>
      </c>
      <c r="AY1269" s="183">
        <v>0</v>
      </c>
      <c r="AZ1269" s="183">
        <v>40000003</v>
      </c>
      <c r="BA1269" s="238" t="s">
        <v>200</v>
      </c>
      <c r="BB1269" s="238" t="s">
        <v>198</v>
      </c>
      <c r="BC1269" s="183">
        <v>0</v>
      </c>
      <c r="BD1269" s="183">
        <v>0</v>
      </c>
      <c r="BE1269" s="243" t="s">
        <v>2533</v>
      </c>
      <c r="BF1269" s="243" t="s">
        <v>2534</v>
      </c>
      <c r="BG1269" s="183">
        <v>0</v>
      </c>
      <c r="BH1269" s="183">
        <v>0</v>
      </c>
      <c r="BI1269" s="183">
        <v>0</v>
      </c>
      <c r="BJ1269" s="183">
        <v>0</v>
      </c>
      <c r="BK1269" s="183">
        <v>0</v>
      </c>
      <c r="BL1269" s="183">
        <v>0</v>
      </c>
      <c r="BM1269" s="245">
        <v>0</v>
      </c>
      <c r="BN1269" s="183">
        <v>1</v>
      </c>
      <c r="BO1269" s="183">
        <v>0</v>
      </c>
      <c r="BP1269" s="183">
        <v>0</v>
      </c>
      <c r="BQ1269" s="183">
        <v>0</v>
      </c>
      <c r="BR1269" s="183">
        <v>0</v>
      </c>
      <c r="BS1269" s="183">
        <v>0</v>
      </c>
      <c r="BT1269" s="13">
        <v>0</v>
      </c>
      <c r="BU1269" s="49">
        <v>0</v>
      </c>
      <c r="BV1269" s="49"/>
      <c r="BW1269" s="49"/>
    </row>
    <row r="1270" spans="3:75" ht="20.100000000000001" customHeight="1">
      <c r="C1270" s="13">
        <v>62000038</v>
      </c>
      <c r="D1270" s="14" t="s">
        <v>2535</v>
      </c>
      <c r="E1270" s="14" t="s">
        <v>2536</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48" t="s">
        <v>2537</v>
      </c>
      <c r="AV1270" s="13"/>
      <c r="AW1270" s="14" t="s">
        <v>199</v>
      </c>
      <c r="AX1270" s="13" t="s">
        <v>1816</v>
      </c>
      <c r="AY1270" s="13">
        <v>0</v>
      </c>
      <c r="AZ1270" s="13">
        <v>0</v>
      </c>
      <c r="BA1270" s="14" t="s">
        <v>200</v>
      </c>
      <c r="BB1270" s="14" t="s">
        <v>198</v>
      </c>
      <c r="BC1270" s="13">
        <v>0</v>
      </c>
      <c r="BD1270" s="13">
        <v>0</v>
      </c>
      <c r="BE1270" s="44" t="s">
        <v>2538</v>
      </c>
      <c r="BF1270" s="44" t="s">
        <v>2539</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spans="3:75" ht="20.100000000000001" customHeight="1">
      <c r="C1271" s="13">
        <v>62000039</v>
      </c>
      <c r="D1271" s="18" t="s">
        <v>2540</v>
      </c>
      <c r="E1271" s="18" t="s">
        <v>2541</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2542</v>
      </c>
      <c r="BC1271" s="28">
        <v>0</v>
      </c>
      <c r="BD1271" s="28">
        <v>1</v>
      </c>
      <c r="BE1271" s="46" t="s">
        <v>2543</v>
      </c>
      <c r="BF1271" s="46" t="s">
        <v>2544</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spans="3:75" ht="19.5" customHeight="1">
      <c r="C1272" s="183">
        <v>62000040</v>
      </c>
      <c r="D1272" s="238" t="s">
        <v>2545</v>
      </c>
      <c r="E1272" s="238" t="s">
        <v>2546</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2547</v>
      </c>
      <c r="BF1272" s="46" t="s">
        <v>2548</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spans="3:75" ht="19.5" customHeight="1">
      <c r="C1273" s="183">
        <v>62000041</v>
      </c>
      <c r="D1273" s="238" t="s">
        <v>2549</v>
      </c>
      <c r="E1273" s="238" t="s">
        <v>2550</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2547</v>
      </c>
      <c r="BF1273" s="46" t="s">
        <v>2548</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spans="3:75" ht="20.100000000000001" customHeight="1">
      <c r="C1274" s="183">
        <v>62000042</v>
      </c>
      <c r="D1274" s="18" t="s">
        <v>2551</v>
      </c>
      <c r="E1274" s="18" t="s">
        <v>2552</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2553</v>
      </c>
      <c r="BC1274" s="28">
        <v>0</v>
      </c>
      <c r="BD1274" s="28">
        <v>0</v>
      </c>
      <c r="BE1274" s="46" t="s">
        <v>2554</v>
      </c>
      <c r="BF1274" s="46" t="s">
        <v>2555</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spans="3:75" ht="20.100000000000001" customHeight="1">
      <c r="C1275" s="13">
        <v>62000061</v>
      </c>
      <c r="D1275" s="14" t="s">
        <v>2556</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2466</v>
      </c>
      <c r="BA1275" s="14" t="s">
        <v>200</v>
      </c>
      <c r="BB1275" s="13">
        <v>0</v>
      </c>
      <c r="BC1275" s="13">
        <v>0</v>
      </c>
      <c r="BD1275" s="13">
        <v>0</v>
      </c>
      <c r="BE1275" s="44" t="s">
        <v>2557</v>
      </c>
      <c r="BF1275" s="44" t="s">
        <v>2558</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spans="3:75" ht="20.100000000000001" customHeight="1">
      <c r="C1276" s="13">
        <v>62000062</v>
      </c>
      <c r="D1276" s="236" t="s">
        <v>2559</v>
      </c>
      <c r="E1276" s="236" t="s">
        <v>2560</v>
      </c>
      <c r="F1276" s="237">
        <v>1</v>
      </c>
      <c r="G1276" s="13">
        <v>40003</v>
      </c>
      <c r="H1276" s="237">
        <v>0</v>
      </c>
      <c r="I1276" s="237">
        <v>0</v>
      </c>
      <c r="J1276" s="237">
        <v>1</v>
      </c>
      <c r="K1276" s="237">
        <v>0</v>
      </c>
      <c r="L1276" s="237">
        <v>0</v>
      </c>
      <c r="M1276" s="237">
        <v>0</v>
      </c>
      <c r="N1276" s="237">
        <v>0</v>
      </c>
      <c r="O1276" s="237">
        <v>2</v>
      </c>
      <c r="P1276" s="237">
        <v>7</v>
      </c>
      <c r="Q1276" s="237">
        <v>0.2</v>
      </c>
      <c r="R1276" s="237">
        <v>0</v>
      </c>
      <c r="S1276" s="237">
        <v>0</v>
      </c>
      <c r="T1276" s="237">
        <v>0</v>
      </c>
      <c r="U1276" s="237">
        <v>1</v>
      </c>
      <c r="V1276" s="237">
        <v>2</v>
      </c>
      <c r="W1276" s="237">
        <v>0</v>
      </c>
      <c r="X1276" s="237">
        <v>0</v>
      </c>
      <c r="Y1276" s="13">
        <v>0</v>
      </c>
      <c r="Z1276" s="237">
        <v>0</v>
      </c>
      <c r="AA1276" s="237">
        <v>0</v>
      </c>
      <c r="AB1276" s="237">
        <v>0</v>
      </c>
      <c r="AC1276" s="237">
        <v>0</v>
      </c>
      <c r="AD1276" s="237">
        <v>1</v>
      </c>
      <c r="AE1276" s="237">
        <v>0</v>
      </c>
      <c r="AF1276" s="237">
        <v>3</v>
      </c>
      <c r="AG1276" s="237">
        <v>0</v>
      </c>
      <c r="AH1276" s="237">
        <v>0</v>
      </c>
      <c r="AI1276" s="237">
        <v>2</v>
      </c>
      <c r="AJ1276" s="237">
        <v>0</v>
      </c>
      <c r="AK1276" s="237">
        <v>0</v>
      </c>
      <c r="AL1276" s="237">
        <v>0</v>
      </c>
      <c r="AM1276" s="237">
        <v>0</v>
      </c>
      <c r="AN1276" s="237">
        <v>0</v>
      </c>
      <c r="AO1276" s="237">
        <v>0</v>
      </c>
      <c r="AP1276" s="237">
        <v>0</v>
      </c>
      <c r="AQ1276" s="237">
        <v>1000</v>
      </c>
      <c r="AR1276" s="237">
        <v>0</v>
      </c>
      <c r="AS1276" s="237">
        <v>0</v>
      </c>
      <c r="AT1276" s="237">
        <v>92000038</v>
      </c>
      <c r="AU1276" s="237" t="s">
        <v>198</v>
      </c>
      <c r="AV1276" s="237"/>
      <c r="AW1276" s="236" t="s">
        <v>199</v>
      </c>
      <c r="AX1276" s="237" t="s">
        <v>1816</v>
      </c>
      <c r="AY1276" s="237">
        <v>0</v>
      </c>
      <c r="AZ1276" s="237">
        <v>40000003</v>
      </c>
      <c r="BA1276" s="236" t="s">
        <v>200</v>
      </c>
      <c r="BB1276" s="237" t="s">
        <v>198</v>
      </c>
      <c r="BC1276" s="237">
        <v>0</v>
      </c>
      <c r="BD1276" s="237">
        <v>0</v>
      </c>
      <c r="BE1276" s="241" t="s">
        <v>2561</v>
      </c>
      <c r="BF1276" s="241" t="s">
        <v>2562</v>
      </c>
      <c r="BG1276" s="237">
        <v>0</v>
      </c>
      <c r="BH1276" s="237">
        <v>0</v>
      </c>
      <c r="BI1276" s="237">
        <v>0</v>
      </c>
      <c r="BJ1276" s="237">
        <v>0</v>
      </c>
      <c r="BK1276" s="237">
        <v>0</v>
      </c>
      <c r="BL1276" s="237">
        <v>0</v>
      </c>
      <c r="BM1276" s="244">
        <v>0</v>
      </c>
      <c r="BN1276" s="237">
        <v>1</v>
      </c>
      <c r="BO1276" s="13">
        <v>0</v>
      </c>
      <c r="BP1276" s="13">
        <v>0</v>
      </c>
      <c r="BQ1276" s="13">
        <v>0</v>
      </c>
      <c r="BR1276" s="13">
        <v>0</v>
      </c>
      <c r="BS1276" s="13">
        <v>0</v>
      </c>
      <c r="BT1276" s="13">
        <v>0</v>
      </c>
      <c r="BU1276" s="49">
        <v>0</v>
      </c>
      <c r="BV1276" s="49"/>
      <c r="BW1276" s="49"/>
    </row>
    <row r="1277" spans="3:75" ht="20.100000000000001" customHeight="1">
      <c r="C1277" s="13">
        <v>62000063</v>
      </c>
      <c r="D1277" s="14" t="s">
        <v>2563</v>
      </c>
      <c r="E1277" s="14" t="s">
        <v>2564</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2565</v>
      </c>
      <c r="BF1277" s="44" t="s">
        <v>2566</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spans="3:75" ht="20.25" customHeight="1">
      <c r="C1278" s="13">
        <v>62000064</v>
      </c>
      <c r="D1278" s="65" t="s">
        <v>2567</v>
      </c>
      <c r="E1278" s="65" t="s">
        <v>2568</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2569</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spans="3:75" ht="20.25" customHeight="1">
      <c r="C1279" s="13">
        <v>62000065</v>
      </c>
      <c r="D1279" s="65" t="s">
        <v>2570</v>
      </c>
      <c r="E1279" s="65" t="s">
        <v>2571</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2572</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spans="3:75" ht="20.100000000000001" customHeight="1">
      <c r="C1280" s="237">
        <v>62000066</v>
      </c>
      <c r="D1280" s="236" t="s">
        <v>2573</v>
      </c>
      <c r="E1280" s="236" t="s">
        <v>2574</v>
      </c>
      <c r="F1280" s="237">
        <v>1</v>
      </c>
      <c r="G1280" s="237">
        <v>40021</v>
      </c>
      <c r="H1280" s="237">
        <v>0</v>
      </c>
      <c r="I1280" s="237">
        <v>0</v>
      </c>
      <c r="J1280" s="237">
        <v>1</v>
      </c>
      <c r="K1280" s="237">
        <v>0</v>
      </c>
      <c r="L1280" s="237">
        <v>0</v>
      </c>
      <c r="M1280" s="237">
        <v>0</v>
      </c>
      <c r="N1280" s="237">
        <v>0</v>
      </c>
      <c r="O1280" s="237">
        <v>2</v>
      </c>
      <c r="P1280" s="237">
        <v>1</v>
      </c>
      <c r="Q1280" s="237">
        <v>1</v>
      </c>
      <c r="R1280" s="237">
        <v>0</v>
      </c>
      <c r="S1280" s="237">
        <v>0</v>
      </c>
      <c r="T1280" s="237">
        <v>0</v>
      </c>
      <c r="U1280" s="237">
        <v>1</v>
      </c>
      <c r="V1280" s="237">
        <v>2</v>
      </c>
      <c r="W1280" s="237">
        <v>0</v>
      </c>
      <c r="X1280" s="237">
        <v>0</v>
      </c>
      <c r="Y1280" s="13">
        <v>0</v>
      </c>
      <c r="Z1280" s="237">
        <v>0</v>
      </c>
      <c r="AA1280" s="237">
        <v>0</v>
      </c>
      <c r="AB1280" s="237">
        <v>0</v>
      </c>
      <c r="AC1280" s="237">
        <v>0</v>
      </c>
      <c r="AD1280" s="237">
        <v>1</v>
      </c>
      <c r="AE1280" s="237">
        <v>0</v>
      </c>
      <c r="AF1280" s="237">
        <v>1</v>
      </c>
      <c r="AG1280" s="237">
        <v>0</v>
      </c>
      <c r="AH1280" s="237">
        <v>0</v>
      </c>
      <c r="AI1280" s="237">
        <v>2</v>
      </c>
      <c r="AJ1280" s="237">
        <v>0</v>
      </c>
      <c r="AK1280" s="237">
        <v>0</v>
      </c>
      <c r="AL1280" s="237">
        <v>0</v>
      </c>
      <c r="AM1280" s="237">
        <v>0</v>
      </c>
      <c r="AN1280" s="237">
        <v>0</v>
      </c>
      <c r="AO1280" s="237">
        <v>0</v>
      </c>
      <c r="AP1280" s="237">
        <v>0</v>
      </c>
      <c r="AQ1280" s="237">
        <v>1000</v>
      </c>
      <c r="AR1280" s="237">
        <v>0</v>
      </c>
      <c r="AS1280" s="237">
        <v>0</v>
      </c>
      <c r="AT1280" s="367" t="s">
        <v>2575</v>
      </c>
      <c r="AU1280" s="237" t="s">
        <v>198</v>
      </c>
      <c r="AV1280" s="237"/>
      <c r="AW1280" s="236" t="s">
        <v>199</v>
      </c>
      <c r="AX1280" s="237" t="s">
        <v>1816</v>
      </c>
      <c r="AY1280" s="237">
        <v>0</v>
      </c>
      <c r="AZ1280" s="237">
        <v>40000003</v>
      </c>
      <c r="BA1280" s="236" t="s">
        <v>200</v>
      </c>
      <c r="BB1280" s="237" t="s">
        <v>198</v>
      </c>
      <c r="BC1280" s="237">
        <v>0</v>
      </c>
      <c r="BD1280" s="237">
        <v>0</v>
      </c>
      <c r="BE1280" s="241" t="s">
        <v>2576</v>
      </c>
      <c r="BF1280" s="241" t="s">
        <v>2577</v>
      </c>
      <c r="BG1280" s="237">
        <v>0</v>
      </c>
      <c r="BH1280" s="237">
        <v>0</v>
      </c>
      <c r="BI1280" s="237">
        <v>0</v>
      </c>
      <c r="BJ1280" s="237">
        <v>0</v>
      </c>
      <c r="BK1280" s="237">
        <v>0</v>
      </c>
      <c r="BL1280" s="237">
        <v>0</v>
      </c>
      <c r="BM1280" s="244">
        <v>0</v>
      </c>
      <c r="BN1280" s="237">
        <v>1</v>
      </c>
      <c r="BO1280" s="13">
        <v>0</v>
      </c>
      <c r="BP1280" s="13">
        <v>0</v>
      </c>
      <c r="BQ1280" s="13">
        <v>0</v>
      </c>
      <c r="BR1280" s="13">
        <v>0</v>
      </c>
      <c r="BS1280" s="13">
        <v>0</v>
      </c>
      <c r="BT1280" s="13">
        <v>0</v>
      </c>
      <c r="BU1280" s="49">
        <v>0</v>
      </c>
      <c r="BV1280" s="49"/>
      <c r="BW1280" s="49"/>
    </row>
    <row r="1281" spans="1:75" s="4" customFormat="1" ht="20.100000000000001" customHeight="1">
      <c r="A1281" s="226"/>
      <c r="B1281" s="226"/>
      <c r="C1281" s="13">
        <v>62000067</v>
      </c>
      <c r="D1281" s="51" t="s">
        <v>2338</v>
      </c>
      <c r="E1281" s="51" t="s">
        <v>2339</v>
      </c>
      <c r="F1281" s="215">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68" t="s">
        <v>2578</v>
      </c>
      <c r="AV1281" s="251"/>
      <c r="AW1281" s="20" t="s">
        <v>198</v>
      </c>
      <c r="AX1281" s="50" t="s">
        <v>545</v>
      </c>
      <c r="AY1281" s="50">
        <v>10000001</v>
      </c>
      <c r="AZ1281" s="50">
        <v>77005302</v>
      </c>
      <c r="BA1281" s="51" t="s">
        <v>200</v>
      </c>
      <c r="BB1281" s="50" t="s">
        <v>2579</v>
      </c>
      <c r="BC1281" s="50">
        <v>0</v>
      </c>
      <c r="BD1281" s="50">
        <v>0</v>
      </c>
      <c r="BE1281" s="55" t="s">
        <v>2580</v>
      </c>
      <c r="BF1281" s="55" t="s">
        <v>2581</v>
      </c>
      <c r="BG1281" s="50">
        <v>0</v>
      </c>
      <c r="BH1281" s="50">
        <v>0</v>
      </c>
      <c r="BI1281" s="50">
        <v>0</v>
      </c>
      <c r="BJ1281" s="50">
        <v>0</v>
      </c>
      <c r="BK1281" s="50">
        <v>0</v>
      </c>
      <c r="BL1281" s="50">
        <v>0</v>
      </c>
      <c r="BM1281" s="234">
        <v>0</v>
      </c>
      <c r="BN1281" s="50">
        <v>0</v>
      </c>
      <c r="BO1281" s="50">
        <v>0</v>
      </c>
      <c r="BP1281" s="50">
        <v>0</v>
      </c>
      <c r="BQ1281" s="50">
        <v>0</v>
      </c>
      <c r="BR1281" s="50">
        <v>0</v>
      </c>
      <c r="BS1281" s="50">
        <v>1</v>
      </c>
      <c r="BT1281" s="50">
        <v>0</v>
      </c>
      <c r="BU1281" s="50">
        <v>0</v>
      </c>
      <c r="BV1281" s="49"/>
      <c r="BW1281" s="49"/>
    </row>
    <row r="1282" spans="1:75" ht="20.100000000000001" customHeight="1">
      <c r="C1282" s="13">
        <v>62000068</v>
      </c>
      <c r="D1282" s="18" t="s">
        <v>2540</v>
      </c>
      <c r="E1282" s="18" t="s">
        <v>2541</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2542</v>
      </c>
      <c r="BC1282" s="28">
        <v>0</v>
      </c>
      <c r="BD1282" s="28">
        <v>1</v>
      </c>
      <c r="BE1282" s="46" t="s">
        <v>2543</v>
      </c>
      <c r="BF1282" s="46" t="s">
        <v>2544</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spans="1:75" ht="20.100000000000001" customHeight="1">
      <c r="C1283" s="13">
        <v>62000069</v>
      </c>
      <c r="D1283" s="14" t="s">
        <v>2527</v>
      </c>
      <c r="E1283" s="14" t="s">
        <v>2528</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2529</v>
      </c>
      <c r="BF1283" s="44" t="s">
        <v>2530</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pans="1:75" s="1" customFormat="1" ht="19.5" customHeight="1">
      <c r="A1284" s="216"/>
      <c r="B1284" s="216"/>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2" t="s">
        <v>2582</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spans="1:75" ht="20.25" customHeight="1">
      <c r="C1285" s="19">
        <v>62000101</v>
      </c>
      <c r="D1285" s="20" t="s">
        <v>2583</v>
      </c>
      <c r="E1285" s="20" t="s">
        <v>2584</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2585</v>
      </c>
      <c r="BF1285" s="46" t="s">
        <v>2586</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spans="1:75" ht="20.25" customHeight="1">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38">"立即对目标范围内的怪物造成"&amp;X1286*100&amp;"%攻击伤害+"&amp;Z1286&amp;"点固定伤害"&amp;",并使目标移动速度降低50%,持续3秒"</f>
        <v>立即对目标范围内的怪物造成180%攻击伤害+700点固定伤害,并使目标移动速度降低50%,持续3秒</v>
      </c>
      <c r="BF1286" s="92" t="s">
        <v>2587</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spans="1:75" ht="20.25" customHeight="1">
      <c r="C1287" s="19">
        <v>62000103</v>
      </c>
      <c r="D1287" s="20" t="s">
        <v>2588</v>
      </c>
      <c r="E1287" s="20" t="s">
        <v>2589</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2590</v>
      </c>
      <c r="BF1287" s="46" t="s">
        <v>2591</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spans="1:75" ht="20.25" customHeight="1">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2592</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spans="1:75" ht="20.25" customHeight="1">
      <c r="C1289" s="66">
        <v>62000105</v>
      </c>
      <c r="D1289" s="65" t="s">
        <v>2593</v>
      </c>
      <c r="E1289" s="65" t="s">
        <v>2594</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2595</v>
      </c>
      <c r="BF1289" s="92" t="s">
        <v>2596</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spans="1:75" ht="20.25" customHeight="1">
      <c r="C1290" s="66">
        <v>62000106</v>
      </c>
      <c r="D1290" s="65" t="s">
        <v>2597</v>
      </c>
      <c r="E1290" s="65" t="s">
        <v>2598</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2599</v>
      </c>
      <c r="BF1290" s="94" t="s">
        <v>2600</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62000107</v>
      </c>
      <c r="D1291" s="20" t="s">
        <v>2570</v>
      </c>
      <c r="E1291" s="20" t="s">
        <v>2571</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2601</v>
      </c>
      <c r="AV1291" s="19"/>
      <c r="AW1291" s="18" t="s">
        <v>199</v>
      </c>
      <c r="AX1291" s="19" t="s">
        <v>534</v>
      </c>
      <c r="AY1291" s="19">
        <v>10000009</v>
      </c>
      <c r="AZ1291" s="19">
        <v>20001030</v>
      </c>
      <c r="BA1291" s="20" t="s">
        <v>200</v>
      </c>
      <c r="BB1291" s="20">
        <v>0</v>
      </c>
      <c r="BC1291" s="28">
        <v>0</v>
      </c>
      <c r="BD1291" s="28">
        <v>0</v>
      </c>
      <c r="BE1291" s="46" t="s">
        <v>2602</v>
      </c>
      <c r="BF1291" s="46" t="s">
        <v>2603</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246">
        <v>62000108</v>
      </c>
      <c r="D1292" s="247" t="s">
        <v>2604</v>
      </c>
      <c r="E1292" s="247" t="s">
        <v>2605</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2606</v>
      </c>
      <c r="BF1292" s="253" t="s">
        <v>2607</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spans="1:75" ht="19.5" customHeight="1">
      <c r="C1293" s="19">
        <v>62000109</v>
      </c>
      <c r="D1293" s="20" t="s">
        <v>2608</v>
      </c>
      <c r="E1293" s="20" t="s">
        <v>2609</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2610</v>
      </c>
      <c r="BF1293" s="186" t="s">
        <v>2611</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spans="1:75" ht="19.5" customHeight="1">
      <c r="C1294" s="66">
        <v>63001001</v>
      </c>
      <c r="D1294" s="65" t="s">
        <v>2612</v>
      </c>
      <c r="E1294" s="65" t="s">
        <v>2613</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2614</v>
      </c>
      <c r="BB1294" s="65">
        <v>0</v>
      </c>
      <c r="BC1294" s="68">
        <v>0</v>
      </c>
      <c r="BD1294" s="68">
        <v>0</v>
      </c>
      <c r="BE1294" s="207" t="s">
        <v>2615</v>
      </c>
      <c r="BF1294" s="207" t="s">
        <v>2616</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spans="1:75" ht="20.100000000000001" customHeight="1">
      <c r="C1295" s="17">
        <v>63001002</v>
      </c>
      <c r="D1295" s="18" t="s">
        <v>2617</v>
      </c>
      <c r="E1295" s="18" t="s">
        <v>2618</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2619</v>
      </c>
      <c r="BC1295" s="28">
        <v>0</v>
      </c>
      <c r="BD1295" s="28">
        <v>0</v>
      </c>
      <c r="BE1295" s="46" t="s">
        <v>2620</v>
      </c>
      <c r="BF1295" s="46" t="s">
        <v>2621</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spans="1:75" ht="20.100000000000001" customHeight="1">
      <c r="C1296" s="17">
        <v>63001003</v>
      </c>
      <c r="D1296" s="18" t="s">
        <v>2622</v>
      </c>
      <c r="E1296" s="18" t="s">
        <v>2623</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2624</v>
      </c>
      <c r="BF1296" s="46" t="s">
        <v>2625</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spans="3:75" ht="19.5" customHeight="1">
      <c r="C1297" s="17">
        <v>63001004</v>
      </c>
      <c r="D1297" s="238" t="s">
        <v>2626</v>
      </c>
      <c r="E1297" s="238" t="s">
        <v>2627</v>
      </c>
      <c r="F1297" s="183">
        <v>1</v>
      </c>
      <c r="G1297" s="183">
        <v>63001004</v>
      </c>
      <c r="H1297" s="183">
        <v>0</v>
      </c>
      <c r="I1297" s="183">
        <v>0</v>
      </c>
      <c r="J1297" s="19">
        <v>1</v>
      </c>
      <c r="K1297" s="19">
        <v>0</v>
      </c>
      <c r="L1297" s="17">
        <v>0</v>
      </c>
      <c r="M1297" s="183">
        <v>0</v>
      </c>
      <c r="N1297" s="183">
        <v>0</v>
      </c>
      <c r="O1297" s="183">
        <v>2</v>
      </c>
      <c r="P1297" s="183">
        <v>17</v>
      </c>
      <c r="Q1297" s="183">
        <v>0.2</v>
      </c>
      <c r="R1297" s="183">
        <v>0</v>
      </c>
      <c r="S1297" s="13">
        <v>0</v>
      </c>
      <c r="T1297" s="183">
        <v>0</v>
      </c>
      <c r="U1297" s="183">
        <v>1</v>
      </c>
      <c r="V1297" s="183">
        <v>2</v>
      </c>
      <c r="W1297" s="183">
        <v>0</v>
      </c>
      <c r="X1297" s="183">
        <v>0</v>
      </c>
      <c r="Y1297" s="13">
        <v>0</v>
      </c>
      <c r="Z1297" s="183">
        <v>0</v>
      </c>
      <c r="AA1297" s="183">
        <v>0</v>
      </c>
      <c r="AB1297" s="183">
        <v>0</v>
      </c>
      <c r="AC1297" s="183">
        <v>0</v>
      </c>
      <c r="AD1297" s="17">
        <v>1</v>
      </c>
      <c r="AE1297" s="183">
        <v>0</v>
      </c>
      <c r="AF1297" s="183">
        <v>15</v>
      </c>
      <c r="AG1297" s="183">
        <v>2</v>
      </c>
      <c r="AH1297" s="183" t="s">
        <v>213</v>
      </c>
      <c r="AI1297" s="183">
        <v>2</v>
      </c>
      <c r="AJ1297" s="183">
        <v>3</v>
      </c>
      <c r="AK1297" s="13">
        <v>0</v>
      </c>
      <c r="AL1297" s="183">
        <v>1.5</v>
      </c>
      <c r="AM1297" s="183">
        <v>0</v>
      </c>
      <c r="AN1297" s="183">
        <v>0</v>
      </c>
      <c r="AO1297" s="183">
        <v>0</v>
      </c>
      <c r="AP1297" s="183">
        <v>0</v>
      </c>
      <c r="AQ1297" s="183">
        <v>3000</v>
      </c>
      <c r="AR1297" s="183">
        <v>0.5</v>
      </c>
      <c r="AS1297" s="183">
        <v>0</v>
      </c>
      <c r="AT1297" s="183">
        <v>0</v>
      </c>
      <c r="AU1297" s="183">
        <v>0</v>
      </c>
      <c r="AV1297" s="183"/>
      <c r="AW1297" s="238" t="s">
        <v>198</v>
      </c>
      <c r="AX1297" s="183">
        <v>0</v>
      </c>
      <c r="AY1297" s="183">
        <v>0</v>
      </c>
      <c r="AZ1297" s="183">
        <v>0</v>
      </c>
      <c r="BA1297" s="238" t="s">
        <v>200</v>
      </c>
      <c r="BB1297" s="238">
        <v>0</v>
      </c>
      <c r="BC1297" s="183">
        <v>0</v>
      </c>
      <c r="BD1297" s="183">
        <v>0</v>
      </c>
      <c r="BE1297" s="254" t="str">
        <f>"普通攻击和释放技能都有20%概率向目标施放元素法球技能"</f>
        <v>普通攻击和释放技能都有20%概率向目标施放元素法球技能</v>
      </c>
      <c r="BF1297" s="254" t="s">
        <v>2628</v>
      </c>
      <c r="BG1297" s="183">
        <v>0</v>
      </c>
      <c r="BH1297" s="17">
        <v>0</v>
      </c>
      <c r="BI1297" s="183">
        <v>0</v>
      </c>
      <c r="BJ1297" s="183">
        <v>0</v>
      </c>
      <c r="BK1297" s="183">
        <v>0</v>
      </c>
      <c r="BL1297" s="183">
        <v>0</v>
      </c>
      <c r="BM1297" s="369" t="s">
        <v>2629</v>
      </c>
      <c r="BN1297" s="13">
        <v>0</v>
      </c>
      <c r="BO1297" s="13">
        <v>0</v>
      </c>
      <c r="BP1297" s="13">
        <v>0</v>
      </c>
      <c r="BQ1297" s="13">
        <v>0</v>
      </c>
      <c r="BR1297" s="13">
        <v>0</v>
      </c>
      <c r="BS1297" s="13">
        <v>0</v>
      </c>
      <c r="BT1297" s="13">
        <v>0</v>
      </c>
      <c r="BU1297" s="49">
        <v>0</v>
      </c>
      <c r="BV1297" s="49"/>
      <c r="BW1297" s="49"/>
    </row>
    <row r="1298" spans="3:75" ht="20.100000000000001" customHeight="1">
      <c r="C1298" s="31">
        <v>63001005</v>
      </c>
      <c r="D1298" s="39" t="s">
        <v>2630</v>
      </c>
      <c r="E1298" s="39" t="s">
        <v>2631</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2632</v>
      </c>
      <c r="BC1298" s="31">
        <v>0</v>
      </c>
      <c r="BD1298" s="31">
        <v>0</v>
      </c>
      <c r="BE1298" s="219" t="s">
        <v>2633</v>
      </c>
      <c r="BF1298" s="219" t="s">
        <v>2634</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spans="3:75" ht="20.100000000000001" customHeight="1">
      <c r="C1299" s="17">
        <v>63002001</v>
      </c>
      <c r="D1299" s="18" t="s">
        <v>2635</v>
      </c>
      <c r="E1299" s="18" t="s">
        <v>2636</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2614</v>
      </c>
      <c r="BB1299" s="17">
        <v>0</v>
      </c>
      <c r="BC1299" s="28">
        <v>0</v>
      </c>
      <c r="BD1299" s="28">
        <v>0</v>
      </c>
      <c r="BE1299" s="46" t="s">
        <v>2637</v>
      </c>
      <c r="BF1299" s="46" t="s">
        <v>2638</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spans="3:75" ht="20.100000000000001" customHeight="1">
      <c r="C1300" s="17">
        <v>63002002</v>
      </c>
      <c r="D1300" s="18" t="s">
        <v>2622</v>
      </c>
      <c r="E1300" s="18" t="s">
        <v>2623</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2624</v>
      </c>
      <c r="BF1300" s="46" t="s">
        <v>2625</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20.100000000000001" customHeight="1">
      <c r="C1301" s="17">
        <v>63002003</v>
      </c>
      <c r="D1301" s="18" t="s">
        <v>2639</v>
      </c>
      <c r="E1301" s="18" t="s">
        <v>2640</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2641</v>
      </c>
      <c r="BC1301" s="28"/>
      <c r="BD1301" s="28">
        <v>0</v>
      </c>
      <c r="BE1301" s="46" t="s">
        <v>2642</v>
      </c>
      <c r="BF1301" s="46" t="s">
        <v>2643</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spans="3:75" ht="19.5" customHeight="1">
      <c r="C1302" s="183">
        <v>63002004</v>
      </c>
      <c r="D1302" s="238" t="s">
        <v>2644</v>
      </c>
      <c r="E1302" s="238" t="s">
        <v>2645</v>
      </c>
      <c r="F1302" s="17">
        <v>1</v>
      </c>
      <c r="G1302" s="237">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48" t="s">
        <v>2646</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2647</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spans="3:75" ht="20.100000000000001" customHeight="1">
      <c r="C1303" s="17">
        <v>63002005</v>
      </c>
      <c r="D1303" s="18" t="s">
        <v>2648</v>
      </c>
      <c r="E1303" s="18" t="s">
        <v>2649</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2650</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spans="3:75" ht="20.100000000000001" customHeight="1">
      <c r="C1304" s="17">
        <v>63003001</v>
      </c>
      <c r="D1304" s="18" t="s">
        <v>2651</v>
      </c>
      <c r="E1304" s="18" t="s">
        <v>2652</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2614</v>
      </c>
      <c r="BB1304" s="17">
        <v>0</v>
      </c>
      <c r="BC1304" s="28">
        <v>0</v>
      </c>
      <c r="BD1304" s="28">
        <v>0</v>
      </c>
      <c r="BE1304" s="46" t="s">
        <v>2653</v>
      </c>
      <c r="BF1304" s="46" t="s">
        <v>2654</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spans="3:75" ht="20.100000000000001" customHeight="1">
      <c r="C1305" s="17">
        <v>63003002</v>
      </c>
      <c r="D1305" s="18" t="s">
        <v>2655</v>
      </c>
      <c r="E1305" s="18" t="s">
        <v>2656</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2657</v>
      </c>
      <c r="BF1305" s="46" t="s">
        <v>2658</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20.100000000000001" customHeight="1">
      <c r="C1306" s="17">
        <v>63003003</v>
      </c>
      <c r="D1306" s="18" t="s">
        <v>2659</v>
      </c>
      <c r="E1306" s="18" t="s">
        <v>2640</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2660</v>
      </c>
      <c r="BC1306" s="28"/>
      <c r="BD1306" s="28">
        <v>0</v>
      </c>
      <c r="BE1306" s="46" t="s">
        <v>2661</v>
      </c>
      <c r="BF1306" s="46" t="s">
        <v>2662</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63003004</v>
      </c>
      <c r="D1307" s="238" t="s">
        <v>2663</v>
      </c>
      <c r="E1307" s="238" t="s">
        <v>2664</v>
      </c>
      <c r="F1307" s="183">
        <v>1</v>
      </c>
      <c r="G1307" s="183">
        <v>63001004</v>
      </c>
      <c r="H1307" s="183">
        <v>0</v>
      </c>
      <c r="I1307" s="183">
        <v>0</v>
      </c>
      <c r="J1307" s="19">
        <v>1</v>
      </c>
      <c r="K1307" s="19">
        <v>0</v>
      </c>
      <c r="L1307" s="17">
        <v>0</v>
      </c>
      <c r="M1307" s="183">
        <v>0</v>
      </c>
      <c r="N1307" s="183">
        <v>0</v>
      </c>
      <c r="O1307" s="183">
        <v>2</v>
      </c>
      <c r="P1307" s="183">
        <v>5</v>
      </c>
      <c r="Q1307" s="183">
        <v>0.15</v>
      </c>
      <c r="R1307" s="183">
        <v>0</v>
      </c>
      <c r="S1307" s="13">
        <v>0</v>
      </c>
      <c r="T1307" s="183">
        <v>0</v>
      </c>
      <c r="U1307" s="183">
        <v>1</v>
      </c>
      <c r="V1307" s="183">
        <v>2</v>
      </c>
      <c r="W1307" s="183">
        <v>0</v>
      </c>
      <c r="X1307" s="183">
        <v>0</v>
      </c>
      <c r="Y1307" s="13">
        <v>0</v>
      </c>
      <c r="Z1307" s="183">
        <v>0</v>
      </c>
      <c r="AA1307" s="183">
        <v>0</v>
      </c>
      <c r="AB1307" s="183">
        <v>0</v>
      </c>
      <c r="AC1307" s="183">
        <v>0</v>
      </c>
      <c r="AD1307" s="17">
        <v>1</v>
      </c>
      <c r="AE1307" s="183">
        <v>0</v>
      </c>
      <c r="AF1307" s="183">
        <v>6</v>
      </c>
      <c r="AG1307" s="183">
        <v>1</v>
      </c>
      <c r="AH1307" s="183">
        <v>1</v>
      </c>
      <c r="AI1307" s="183">
        <v>2</v>
      </c>
      <c r="AJ1307" s="183">
        <v>0</v>
      </c>
      <c r="AK1307" s="13">
        <v>0</v>
      </c>
      <c r="AL1307" s="183">
        <v>2</v>
      </c>
      <c r="AM1307" s="183">
        <v>0</v>
      </c>
      <c r="AN1307" s="183">
        <v>0</v>
      </c>
      <c r="AO1307" s="183">
        <v>0</v>
      </c>
      <c r="AP1307" s="17">
        <v>0</v>
      </c>
      <c r="AQ1307" s="183">
        <v>10000</v>
      </c>
      <c r="AR1307" s="183">
        <v>0.5</v>
      </c>
      <c r="AS1307" s="183">
        <v>0</v>
      </c>
      <c r="AT1307" s="183">
        <v>0</v>
      </c>
      <c r="AU1307" s="183" t="s">
        <v>198</v>
      </c>
      <c r="AV1307" s="183"/>
      <c r="AW1307" s="238" t="s">
        <v>199</v>
      </c>
      <c r="AX1307" s="183">
        <v>0</v>
      </c>
      <c r="AY1307" s="183">
        <v>0</v>
      </c>
      <c r="AZ1307" s="183">
        <v>0</v>
      </c>
      <c r="BA1307" s="238" t="s">
        <v>200</v>
      </c>
      <c r="BB1307" s="238" t="s">
        <v>198</v>
      </c>
      <c r="BC1307" s="183">
        <v>0</v>
      </c>
      <c r="BD1307" s="183">
        <v>0</v>
      </c>
      <c r="BE1307" s="254" t="s">
        <v>2665</v>
      </c>
      <c r="BF1307" s="254" t="s">
        <v>2666</v>
      </c>
      <c r="BG1307" s="183">
        <v>0</v>
      </c>
      <c r="BH1307" s="17">
        <v>0</v>
      </c>
      <c r="BI1307" s="183">
        <v>0</v>
      </c>
      <c r="BJ1307" s="183">
        <v>0</v>
      </c>
      <c r="BK1307" s="183">
        <v>0</v>
      </c>
      <c r="BL1307" s="183">
        <v>0</v>
      </c>
      <c r="BM1307" s="370" t="s">
        <v>2667</v>
      </c>
      <c r="BN1307" s="13">
        <v>1</v>
      </c>
      <c r="BO1307" s="13">
        <v>0</v>
      </c>
      <c r="BP1307" s="13">
        <v>0</v>
      </c>
      <c r="BQ1307" s="13">
        <v>0</v>
      </c>
      <c r="BR1307" s="13">
        <v>0</v>
      </c>
      <c r="BS1307" s="13">
        <v>0</v>
      </c>
      <c r="BT1307" s="13">
        <v>0</v>
      </c>
      <c r="BU1307" s="49">
        <v>0</v>
      </c>
      <c r="BV1307" s="49"/>
      <c r="BW1307" s="49"/>
    </row>
    <row r="1308" spans="3:75" ht="20.100000000000001" customHeight="1">
      <c r="C1308" s="17">
        <v>63003005</v>
      </c>
      <c r="D1308" s="18" t="s">
        <v>2668</v>
      </c>
      <c r="E1308" s="18" t="s">
        <v>2669</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2670</v>
      </c>
      <c r="BF1308" s="46" t="s">
        <v>2671</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spans="3:75" ht="20.100000000000001" customHeight="1">
      <c r="C1309" s="17">
        <v>63101001</v>
      </c>
      <c r="D1309" s="18" t="s">
        <v>2672</v>
      </c>
      <c r="E1309" s="18" t="s">
        <v>2673</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2614</v>
      </c>
      <c r="BB1309" s="17">
        <v>0</v>
      </c>
      <c r="BC1309" s="28">
        <v>0</v>
      </c>
      <c r="BD1309" s="28">
        <v>0</v>
      </c>
      <c r="BE1309" s="46" t="s">
        <v>2674</v>
      </c>
      <c r="BF1309" s="46" t="s">
        <v>2675</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spans="3:75" ht="20.100000000000001" customHeight="1">
      <c r="C1310" s="17">
        <v>63101002</v>
      </c>
      <c r="D1310" s="18" t="s">
        <v>2676</v>
      </c>
      <c r="E1310" s="18" t="s">
        <v>2677</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2678</v>
      </c>
      <c r="BC1310" s="28"/>
      <c r="BD1310" s="28">
        <v>0</v>
      </c>
      <c r="BE1310" s="46" t="s">
        <v>2679</v>
      </c>
      <c r="BF1310" s="46" t="s">
        <v>2680</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63101003</v>
      </c>
      <c r="D1311" s="18" t="s">
        <v>2681</v>
      </c>
      <c r="E1311" s="18" t="s">
        <v>2682</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2683</v>
      </c>
      <c r="BF1311" s="46" t="s">
        <v>2684</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spans="3:75" ht="20.100000000000001" customHeight="1">
      <c r="C1312" s="17">
        <v>63101004</v>
      </c>
      <c r="D1312" s="238" t="s">
        <v>2685</v>
      </c>
      <c r="E1312" s="238" t="s">
        <v>2686</v>
      </c>
      <c r="F1312" s="183">
        <v>1</v>
      </c>
      <c r="G1312" s="183">
        <v>63001004</v>
      </c>
      <c r="H1312" s="183">
        <v>0</v>
      </c>
      <c r="I1312" s="183">
        <v>0</v>
      </c>
      <c r="J1312" s="19">
        <v>1</v>
      </c>
      <c r="K1312" s="19">
        <v>0</v>
      </c>
      <c r="L1312" s="17">
        <v>0</v>
      </c>
      <c r="M1312" s="183">
        <v>0</v>
      </c>
      <c r="N1312" s="183">
        <v>0</v>
      </c>
      <c r="O1312" s="183">
        <v>2</v>
      </c>
      <c r="P1312" s="183">
        <v>17</v>
      </c>
      <c r="Q1312" s="183">
        <v>0.15</v>
      </c>
      <c r="R1312" s="183">
        <v>0</v>
      </c>
      <c r="S1312" s="13">
        <v>0</v>
      </c>
      <c r="T1312" s="183">
        <v>0</v>
      </c>
      <c r="U1312" s="183">
        <v>1</v>
      </c>
      <c r="V1312" s="183">
        <v>2</v>
      </c>
      <c r="W1312" s="183">
        <v>0</v>
      </c>
      <c r="X1312" s="183">
        <v>0</v>
      </c>
      <c r="Y1312" s="13">
        <v>0</v>
      </c>
      <c r="Z1312" s="183">
        <v>0</v>
      </c>
      <c r="AA1312" s="183">
        <v>0</v>
      </c>
      <c r="AB1312" s="183">
        <v>0</v>
      </c>
      <c r="AC1312" s="183">
        <v>0</v>
      </c>
      <c r="AD1312" s="17">
        <v>1</v>
      </c>
      <c r="AE1312" s="183">
        <v>0</v>
      </c>
      <c r="AF1312" s="183">
        <v>15</v>
      </c>
      <c r="AG1312" s="183">
        <v>1</v>
      </c>
      <c r="AH1312" s="183">
        <v>1</v>
      </c>
      <c r="AI1312" s="183">
        <v>2</v>
      </c>
      <c r="AJ1312" s="183">
        <v>0</v>
      </c>
      <c r="AK1312" s="13">
        <v>0</v>
      </c>
      <c r="AL1312" s="183">
        <v>2</v>
      </c>
      <c r="AM1312" s="183">
        <v>0</v>
      </c>
      <c r="AN1312" s="183">
        <v>0</v>
      </c>
      <c r="AO1312" s="183">
        <v>0</v>
      </c>
      <c r="AP1312" s="17">
        <v>0</v>
      </c>
      <c r="AQ1312" s="183">
        <v>10000</v>
      </c>
      <c r="AR1312" s="183">
        <v>0.5</v>
      </c>
      <c r="AS1312" s="183">
        <v>0</v>
      </c>
      <c r="AT1312" s="183">
        <v>0</v>
      </c>
      <c r="AU1312" s="183" t="s">
        <v>198</v>
      </c>
      <c r="AV1312" s="183"/>
      <c r="AW1312" s="238"/>
      <c r="AX1312" s="183">
        <v>0</v>
      </c>
      <c r="AY1312" s="183">
        <v>0</v>
      </c>
      <c r="AZ1312" s="183">
        <v>0</v>
      </c>
      <c r="BA1312" s="238" t="s">
        <v>200</v>
      </c>
      <c r="BB1312" s="238" t="s">
        <v>198</v>
      </c>
      <c r="BC1312" s="183">
        <v>0</v>
      </c>
      <c r="BD1312" s="183">
        <v>0</v>
      </c>
      <c r="BE1312" s="254" t="s">
        <v>2687</v>
      </c>
      <c r="BF1312" s="254" t="s">
        <v>2688</v>
      </c>
      <c r="BG1312" s="183">
        <v>0</v>
      </c>
      <c r="BH1312" s="17">
        <v>0</v>
      </c>
      <c r="BI1312" s="183">
        <v>0</v>
      </c>
      <c r="BJ1312" s="183">
        <v>0</v>
      </c>
      <c r="BK1312" s="183">
        <v>0</v>
      </c>
      <c r="BL1312" s="183">
        <v>0</v>
      </c>
      <c r="BM1312" s="370" t="s">
        <v>2689</v>
      </c>
      <c r="BN1312" s="13">
        <v>0</v>
      </c>
      <c r="BO1312" s="13">
        <v>0</v>
      </c>
      <c r="BP1312" s="13">
        <v>0</v>
      </c>
      <c r="BQ1312" s="13">
        <v>0</v>
      </c>
      <c r="BR1312" s="13">
        <v>0</v>
      </c>
      <c r="BS1312" s="13">
        <v>0</v>
      </c>
      <c r="BT1312" s="13">
        <v>0</v>
      </c>
      <c r="BU1312" s="49">
        <v>0</v>
      </c>
      <c r="BV1312" s="49"/>
      <c r="BW1312" s="49"/>
    </row>
    <row r="1313" spans="3:75" ht="20.100000000000001" customHeight="1">
      <c r="C1313" s="17">
        <v>63102001</v>
      </c>
      <c r="D1313" s="18" t="s">
        <v>2690</v>
      </c>
      <c r="E1313" s="18" t="s">
        <v>2691</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2614</v>
      </c>
      <c r="BB1313" s="17">
        <v>0</v>
      </c>
      <c r="BC1313" s="28">
        <v>0</v>
      </c>
      <c r="BD1313" s="28">
        <v>0</v>
      </c>
      <c r="BE1313" s="46" t="s">
        <v>2692</v>
      </c>
      <c r="BF1313" s="46" t="s">
        <v>2693</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63102002</v>
      </c>
      <c r="D1314" s="18" t="s">
        <v>2681</v>
      </c>
      <c r="E1314" s="18" t="s">
        <v>2682</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2683</v>
      </c>
      <c r="BF1314" s="46" t="s">
        <v>2684</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63102003</v>
      </c>
      <c r="D1315" s="18" t="s">
        <v>2694</v>
      </c>
      <c r="E1315" s="18" t="s">
        <v>2695</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2696</v>
      </c>
      <c r="BC1315" s="28"/>
      <c r="BD1315" s="28">
        <v>0</v>
      </c>
      <c r="BE1315" s="46" t="s">
        <v>2697</v>
      </c>
      <c r="BF1315" s="46" t="s">
        <v>2698</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63102004</v>
      </c>
      <c r="D1316" s="238" t="s">
        <v>2699</v>
      </c>
      <c r="E1316" s="238" t="s">
        <v>2700</v>
      </c>
      <c r="F1316" s="183">
        <v>1</v>
      </c>
      <c r="G1316" s="183">
        <v>63001004</v>
      </c>
      <c r="H1316" s="183">
        <v>0</v>
      </c>
      <c r="I1316" s="183">
        <v>0</v>
      </c>
      <c r="J1316" s="19">
        <v>1</v>
      </c>
      <c r="K1316" s="19">
        <v>0</v>
      </c>
      <c r="L1316" s="17">
        <v>0</v>
      </c>
      <c r="M1316" s="183">
        <v>0</v>
      </c>
      <c r="N1316" s="183">
        <v>0</v>
      </c>
      <c r="O1316" s="183">
        <v>2</v>
      </c>
      <c r="P1316" s="183">
        <v>4</v>
      </c>
      <c r="Q1316" s="183">
        <v>0.35</v>
      </c>
      <c r="R1316" s="183">
        <v>0</v>
      </c>
      <c r="S1316" s="13">
        <v>0</v>
      </c>
      <c r="T1316" s="183">
        <v>0</v>
      </c>
      <c r="U1316" s="183">
        <v>1</v>
      </c>
      <c r="V1316" s="183">
        <v>2</v>
      </c>
      <c r="W1316" s="183">
        <v>0</v>
      </c>
      <c r="X1316" s="183">
        <v>0</v>
      </c>
      <c r="Y1316" s="13">
        <v>0</v>
      </c>
      <c r="Z1316" s="183">
        <v>0</v>
      </c>
      <c r="AA1316" s="183">
        <v>0</v>
      </c>
      <c r="AB1316" s="183">
        <v>0</v>
      </c>
      <c r="AC1316" s="183">
        <v>0</v>
      </c>
      <c r="AD1316" s="17">
        <v>1</v>
      </c>
      <c r="AE1316" s="183">
        <v>0</v>
      </c>
      <c r="AF1316" s="183">
        <v>3</v>
      </c>
      <c r="AG1316" s="183">
        <v>1</v>
      </c>
      <c r="AH1316" s="183">
        <v>1</v>
      </c>
      <c r="AI1316" s="183">
        <v>2</v>
      </c>
      <c r="AJ1316" s="183">
        <v>0</v>
      </c>
      <c r="AK1316" s="13">
        <v>0</v>
      </c>
      <c r="AL1316" s="183">
        <v>2</v>
      </c>
      <c r="AM1316" s="183">
        <v>0</v>
      </c>
      <c r="AN1316" s="183">
        <v>0</v>
      </c>
      <c r="AO1316" s="183">
        <v>0</v>
      </c>
      <c r="AP1316" s="17">
        <v>0</v>
      </c>
      <c r="AQ1316" s="183">
        <v>1000</v>
      </c>
      <c r="AR1316" s="183">
        <v>0.5</v>
      </c>
      <c r="AS1316" s="183">
        <v>0</v>
      </c>
      <c r="AT1316" s="183">
        <v>0</v>
      </c>
      <c r="AU1316" s="183" t="s">
        <v>198</v>
      </c>
      <c r="AV1316" s="183"/>
      <c r="AW1316" s="238" t="s">
        <v>199</v>
      </c>
      <c r="AX1316" s="183">
        <v>0</v>
      </c>
      <c r="AY1316" s="183">
        <v>0</v>
      </c>
      <c r="AZ1316" s="183">
        <v>0</v>
      </c>
      <c r="BA1316" s="238" t="s">
        <v>200</v>
      </c>
      <c r="BB1316" s="238" t="s">
        <v>198</v>
      </c>
      <c r="BC1316" s="183">
        <v>0</v>
      </c>
      <c r="BD1316" s="183">
        <v>0</v>
      </c>
      <c r="BE1316" s="254" t="s">
        <v>2701</v>
      </c>
      <c r="BF1316" s="254" t="s">
        <v>2702</v>
      </c>
      <c r="BG1316" s="183">
        <v>0</v>
      </c>
      <c r="BH1316" s="17">
        <v>0</v>
      </c>
      <c r="BI1316" s="183">
        <v>0</v>
      </c>
      <c r="BJ1316" s="183">
        <v>0</v>
      </c>
      <c r="BK1316" s="183">
        <v>0</v>
      </c>
      <c r="BL1316" s="183">
        <v>0</v>
      </c>
      <c r="BM1316" s="370" t="s">
        <v>2703</v>
      </c>
      <c r="BN1316" s="13">
        <v>0</v>
      </c>
      <c r="BO1316" s="13">
        <v>0</v>
      </c>
      <c r="BP1316" s="13">
        <v>0</v>
      </c>
      <c r="BQ1316" s="13">
        <v>0</v>
      </c>
      <c r="BR1316" s="13">
        <v>0</v>
      </c>
      <c r="BS1316" s="13">
        <v>0</v>
      </c>
      <c r="BT1316" s="13">
        <v>0</v>
      </c>
      <c r="BU1316" s="49">
        <v>0</v>
      </c>
      <c r="BV1316" s="49"/>
      <c r="BW1316" s="49"/>
    </row>
    <row r="1317" spans="3:75" ht="20.100000000000001" customHeight="1">
      <c r="C1317" s="17">
        <v>63103001</v>
      </c>
      <c r="D1317" s="18" t="s">
        <v>2704</v>
      </c>
      <c r="E1317" s="18" t="s">
        <v>2705</v>
      </c>
      <c r="F1317" s="183">
        <v>1</v>
      </c>
      <c r="G1317" s="183">
        <v>63001004</v>
      </c>
      <c r="H1317" s="183">
        <v>0</v>
      </c>
      <c r="I1317" s="183">
        <v>0</v>
      </c>
      <c r="J1317" s="183">
        <v>1</v>
      </c>
      <c r="K1317" s="183">
        <v>0</v>
      </c>
      <c r="L1317" s="183">
        <v>0</v>
      </c>
      <c r="M1317" s="183">
        <v>0</v>
      </c>
      <c r="N1317" s="183">
        <v>0</v>
      </c>
      <c r="O1317" s="183">
        <v>2</v>
      </c>
      <c r="P1317" s="183">
        <v>10</v>
      </c>
      <c r="Q1317" s="183">
        <v>1</v>
      </c>
      <c r="R1317" s="183">
        <v>0</v>
      </c>
      <c r="S1317" s="183">
        <v>0</v>
      </c>
      <c r="T1317" s="183">
        <v>0</v>
      </c>
      <c r="U1317" s="183">
        <v>1</v>
      </c>
      <c r="V1317" s="183">
        <v>2</v>
      </c>
      <c r="W1317" s="183">
        <v>0</v>
      </c>
      <c r="X1317" s="183">
        <v>0</v>
      </c>
      <c r="Y1317" s="13">
        <v>0</v>
      </c>
      <c r="Z1317" s="183">
        <v>0</v>
      </c>
      <c r="AA1317" s="183">
        <v>0</v>
      </c>
      <c r="AB1317" s="183">
        <v>0</v>
      </c>
      <c r="AC1317" s="183">
        <v>0</v>
      </c>
      <c r="AD1317" s="17">
        <v>1</v>
      </c>
      <c r="AE1317" s="183">
        <v>0</v>
      </c>
      <c r="AF1317" s="183">
        <v>30</v>
      </c>
      <c r="AG1317" s="183">
        <v>0</v>
      </c>
      <c r="AH1317" s="183">
        <v>0</v>
      </c>
      <c r="AI1317" s="183">
        <v>7</v>
      </c>
      <c r="AJ1317" s="183">
        <v>0</v>
      </c>
      <c r="AK1317" s="183">
        <v>0</v>
      </c>
      <c r="AL1317" s="183">
        <v>3</v>
      </c>
      <c r="AM1317" s="183">
        <v>0</v>
      </c>
      <c r="AN1317" s="183">
        <v>0</v>
      </c>
      <c r="AO1317" s="183">
        <v>0</v>
      </c>
      <c r="AP1317" s="183">
        <v>0</v>
      </c>
      <c r="AQ1317" s="183">
        <v>2000</v>
      </c>
      <c r="AR1317" s="183">
        <v>0</v>
      </c>
      <c r="AS1317" s="183">
        <v>0</v>
      </c>
      <c r="AT1317" s="183">
        <v>0</v>
      </c>
      <c r="AU1317" s="183">
        <v>90513001</v>
      </c>
      <c r="AV1317" s="183"/>
      <c r="AW1317" s="238" t="s">
        <v>198</v>
      </c>
      <c r="AX1317" s="183">
        <v>0</v>
      </c>
      <c r="AY1317" s="183">
        <v>0</v>
      </c>
      <c r="AZ1317" s="183">
        <v>0</v>
      </c>
      <c r="BA1317" s="238" t="s">
        <v>200</v>
      </c>
      <c r="BB1317" s="238">
        <v>0</v>
      </c>
      <c r="BC1317" s="183">
        <v>0</v>
      </c>
      <c r="BD1317" s="183">
        <v>0</v>
      </c>
      <c r="BE1317" s="46" t="s">
        <v>2706</v>
      </c>
      <c r="BF1317" s="46" t="s">
        <v>2707</v>
      </c>
      <c r="BG1317" s="183">
        <v>0</v>
      </c>
      <c r="BH1317" s="183">
        <v>0</v>
      </c>
      <c r="BI1317" s="183">
        <v>0</v>
      </c>
      <c r="BJ1317" s="183">
        <v>0</v>
      </c>
      <c r="BK1317" s="183">
        <v>0</v>
      </c>
      <c r="BL1317" s="183">
        <v>0</v>
      </c>
      <c r="BM1317" s="245">
        <v>0</v>
      </c>
      <c r="BN1317" s="183">
        <v>0</v>
      </c>
      <c r="BO1317" s="13">
        <v>0</v>
      </c>
      <c r="BP1317" s="13">
        <v>0</v>
      </c>
      <c r="BQ1317" s="13">
        <v>0</v>
      </c>
      <c r="BR1317" s="13">
        <v>0</v>
      </c>
      <c r="BS1317" s="13">
        <v>0</v>
      </c>
      <c r="BT1317" s="13">
        <v>0</v>
      </c>
      <c r="BU1317" s="49">
        <v>0</v>
      </c>
      <c r="BV1317" s="49"/>
      <c r="BW1317" s="49"/>
    </row>
    <row r="1318" spans="3:75" ht="20.100000000000001" customHeight="1">
      <c r="C1318" s="17">
        <v>63103002</v>
      </c>
      <c r="D1318" s="18" t="s">
        <v>2655</v>
      </c>
      <c r="E1318" s="18" t="s">
        <v>2656</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2657</v>
      </c>
      <c r="BF1318" s="46" t="s">
        <v>2658</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63103003</v>
      </c>
      <c r="D1319" s="18" t="s">
        <v>2708</v>
      </c>
      <c r="E1319" s="18" t="s">
        <v>2709</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2710</v>
      </c>
      <c r="BC1319" s="28">
        <v>0</v>
      </c>
      <c r="BD1319" s="28">
        <v>0</v>
      </c>
      <c r="BE1319" s="46" t="s">
        <v>2711</v>
      </c>
      <c r="BF1319" s="46" t="s">
        <v>2712</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63103004</v>
      </c>
      <c r="D1320" s="238" t="s">
        <v>2713</v>
      </c>
      <c r="E1320" s="238" t="s">
        <v>2714</v>
      </c>
      <c r="F1320" s="183">
        <v>1</v>
      </c>
      <c r="G1320" s="183">
        <v>63001004</v>
      </c>
      <c r="H1320" s="183">
        <v>0</v>
      </c>
      <c r="I1320" s="183">
        <v>0</v>
      </c>
      <c r="J1320" s="19">
        <v>1</v>
      </c>
      <c r="K1320" s="19">
        <v>0</v>
      </c>
      <c r="L1320" s="17">
        <v>0</v>
      </c>
      <c r="M1320" s="183">
        <v>0</v>
      </c>
      <c r="N1320" s="183">
        <v>0</v>
      </c>
      <c r="O1320" s="183">
        <v>2</v>
      </c>
      <c r="P1320" s="183">
        <v>10</v>
      </c>
      <c r="Q1320" s="183">
        <v>0.1</v>
      </c>
      <c r="R1320" s="183">
        <v>0</v>
      </c>
      <c r="S1320" s="13">
        <v>0</v>
      </c>
      <c r="T1320" s="183">
        <v>0</v>
      </c>
      <c r="U1320" s="183">
        <v>1</v>
      </c>
      <c r="V1320" s="183">
        <v>2</v>
      </c>
      <c r="W1320" s="183">
        <v>0</v>
      </c>
      <c r="X1320" s="183">
        <v>0</v>
      </c>
      <c r="Y1320" s="13">
        <v>0</v>
      </c>
      <c r="Z1320" s="183">
        <v>0</v>
      </c>
      <c r="AA1320" s="183">
        <v>0</v>
      </c>
      <c r="AB1320" s="183">
        <v>0</v>
      </c>
      <c r="AC1320" s="183">
        <v>0</v>
      </c>
      <c r="AD1320" s="17">
        <v>1</v>
      </c>
      <c r="AE1320" s="183">
        <v>0</v>
      </c>
      <c r="AF1320" s="183">
        <v>15</v>
      </c>
      <c r="AG1320" s="183">
        <v>1</v>
      </c>
      <c r="AH1320" s="183">
        <v>1</v>
      </c>
      <c r="AI1320" s="183">
        <v>2</v>
      </c>
      <c r="AJ1320" s="183">
        <v>0</v>
      </c>
      <c r="AK1320" s="13">
        <v>0</v>
      </c>
      <c r="AL1320" s="183">
        <v>2</v>
      </c>
      <c r="AM1320" s="183">
        <v>0</v>
      </c>
      <c r="AN1320" s="183">
        <v>0</v>
      </c>
      <c r="AO1320" s="183">
        <v>0</v>
      </c>
      <c r="AP1320" s="17">
        <v>0</v>
      </c>
      <c r="AQ1320" s="183">
        <v>10000</v>
      </c>
      <c r="AR1320" s="183">
        <v>0</v>
      </c>
      <c r="AS1320" s="183">
        <v>0</v>
      </c>
      <c r="AT1320" s="183">
        <v>0</v>
      </c>
      <c r="AU1320" s="183" t="s">
        <v>198</v>
      </c>
      <c r="AV1320" s="183"/>
      <c r="AW1320" s="238" t="s">
        <v>199</v>
      </c>
      <c r="AX1320" s="183">
        <v>0</v>
      </c>
      <c r="AY1320" s="183">
        <v>0</v>
      </c>
      <c r="AZ1320" s="183">
        <v>0</v>
      </c>
      <c r="BA1320" s="238" t="s">
        <v>200</v>
      </c>
      <c r="BB1320" s="238" t="s">
        <v>198</v>
      </c>
      <c r="BC1320" s="183">
        <v>0</v>
      </c>
      <c r="BD1320" s="183">
        <v>0</v>
      </c>
      <c r="BE1320" s="254" t="s">
        <v>2715</v>
      </c>
      <c r="BF1320" s="254" t="s">
        <v>2716</v>
      </c>
      <c r="BG1320" s="183">
        <v>0</v>
      </c>
      <c r="BH1320" s="17">
        <v>0</v>
      </c>
      <c r="BI1320" s="183">
        <v>0</v>
      </c>
      <c r="BJ1320" s="183">
        <v>0</v>
      </c>
      <c r="BK1320" s="183">
        <v>0</v>
      </c>
      <c r="BL1320" s="183">
        <v>0</v>
      </c>
      <c r="BM1320" s="370" t="s">
        <v>2717</v>
      </c>
      <c r="BN1320" s="13">
        <v>1</v>
      </c>
      <c r="BO1320" s="13">
        <v>0</v>
      </c>
      <c r="BP1320" s="13">
        <v>0</v>
      </c>
      <c r="BQ1320" s="13">
        <v>0</v>
      </c>
      <c r="BR1320" s="13">
        <v>0</v>
      </c>
      <c r="BS1320" s="13">
        <v>0</v>
      </c>
      <c r="BT1320" s="13">
        <v>0</v>
      </c>
      <c r="BU1320" s="49">
        <v>0</v>
      </c>
      <c r="BV1320" s="49"/>
      <c r="BW1320" s="49"/>
    </row>
    <row r="1321" spans="3:75" ht="20.100000000000001" customHeight="1">
      <c r="C1321" s="31">
        <v>63103098</v>
      </c>
      <c r="D1321" s="39" t="s">
        <v>2718</v>
      </c>
      <c r="E1321" s="39" t="s">
        <v>2719</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2" t="s">
        <v>2720</v>
      </c>
      <c r="BF1321" s="182" t="s">
        <v>2721</v>
      </c>
      <c r="BG1321" s="31">
        <v>0</v>
      </c>
      <c r="BH1321" s="31">
        <v>0</v>
      </c>
      <c r="BI1321" s="31">
        <v>0</v>
      </c>
      <c r="BJ1321" s="31">
        <v>0</v>
      </c>
      <c r="BK1321" s="31">
        <v>0</v>
      </c>
      <c r="BL1321" s="31">
        <v>0</v>
      </c>
      <c r="BM1321" s="371" t="s">
        <v>2722</v>
      </c>
      <c r="BN1321" s="31">
        <v>1</v>
      </c>
      <c r="BO1321" s="31">
        <v>0</v>
      </c>
      <c r="BP1321" s="31">
        <v>0</v>
      </c>
      <c r="BQ1321" s="31">
        <v>0</v>
      </c>
      <c r="BR1321" s="31">
        <v>0</v>
      </c>
      <c r="BS1321" s="31">
        <v>0</v>
      </c>
      <c r="BT1321" s="13">
        <v>0</v>
      </c>
      <c r="BU1321" s="49">
        <v>0</v>
      </c>
      <c r="BV1321" s="49"/>
      <c r="BW1321" s="49"/>
    </row>
    <row r="1322" spans="3:75" ht="20.100000000000001" customHeight="1">
      <c r="C1322" s="31">
        <v>63103099</v>
      </c>
      <c r="D1322" s="39" t="s">
        <v>2723</v>
      </c>
      <c r="E1322" s="39" t="s">
        <v>2724</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2725</v>
      </c>
      <c r="BB1322" s="31">
        <v>0</v>
      </c>
      <c r="BC1322" s="31">
        <v>0</v>
      </c>
      <c r="BD1322" s="31">
        <v>0</v>
      </c>
      <c r="BE1322" s="219" t="s">
        <v>2726</v>
      </c>
      <c r="BF1322" s="219" t="s">
        <v>2727</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spans="3:75" ht="20.100000000000001" customHeight="1">
      <c r="C1323" s="62">
        <v>63200101</v>
      </c>
      <c r="D1323" s="61" t="s">
        <v>2728</v>
      </c>
      <c r="E1323" s="61" t="s">
        <v>2729</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2730</v>
      </c>
      <c r="BF1323" s="92" t="s">
        <v>2731</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spans="3:75" ht="20.100000000000001" customHeight="1">
      <c r="C1324" s="62">
        <v>63200102</v>
      </c>
      <c r="D1324" s="126" t="s">
        <v>2732</v>
      </c>
      <c r="E1324" s="126" t="s">
        <v>2733</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49" t="s">
        <v>2734</v>
      </c>
      <c r="AU1324" s="70" t="s">
        <v>198</v>
      </c>
      <c r="AV1324" s="70"/>
      <c r="AW1324" s="126" t="s">
        <v>199</v>
      </c>
      <c r="AX1324" s="70" t="s">
        <v>1816</v>
      </c>
      <c r="AY1324" s="70">
        <v>0</v>
      </c>
      <c r="AZ1324" s="70">
        <v>40000003</v>
      </c>
      <c r="BA1324" s="126" t="s">
        <v>200</v>
      </c>
      <c r="BB1324" s="126" t="s">
        <v>198</v>
      </c>
      <c r="BC1324" s="70">
        <v>0</v>
      </c>
      <c r="BD1324" s="70">
        <v>1</v>
      </c>
      <c r="BE1324" s="242" t="s">
        <v>2735</v>
      </c>
      <c r="BF1324" s="242" t="s">
        <v>2736</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spans="3:75" ht="20.100000000000001" customHeight="1">
      <c r="C1325" s="62">
        <v>63200103</v>
      </c>
      <c r="D1325" s="61" t="s">
        <v>2737</v>
      </c>
      <c r="E1325" s="61" t="s">
        <v>2738</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2739</v>
      </c>
      <c r="BC1325" s="68"/>
      <c r="BD1325" s="68">
        <v>1</v>
      </c>
      <c r="BE1325" s="92" t="s">
        <v>2740</v>
      </c>
      <c r="BF1325" s="92" t="s">
        <v>2741</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spans="3:75" ht="20.100000000000001" customHeight="1">
      <c r="C1326" s="62">
        <v>63200104</v>
      </c>
      <c r="D1326" s="236" t="s">
        <v>2732</v>
      </c>
      <c r="E1326" s="236" t="s">
        <v>2733</v>
      </c>
      <c r="F1326" s="237">
        <v>1</v>
      </c>
      <c r="G1326" s="237">
        <v>63001004</v>
      </c>
      <c r="H1326" s="237">
        <v>0</v>
      </c>
      <c r="I1326" s="237">
        <v>0</v>
      </c>
      <c r="J1326" s="237">
        <v>1</v>
      </c>
      <c r="K1326" s="237">
        <v>0</v>
      </c>
      <c r="L1326" s="237">
        <v>0</v>
      </c>
      <c r="M1326" s="237">
        <v>0</v>
      </c>
      <c r="N1326" s="237">
        <v>0</v>
      </c>
      <c r="O1326" s="237">
        <v>2</v>
      </c>
      <c r="P1326" s="237">
        <v>10</v>
      </c>
      <c r="Q1326" s="237">
        <v>0.1</v>
      </c>
      <c r="R1326" s="237">
        <v>0</v>
      </c>
      <c r="S1326" s="237">
        <v>0</v>
      </c>
      <c r="T1326" s="237">
        <v>0</v>
      </c>
      <c r="U1326" s="237">
        <v>1</v>
      </c>
      <c r="V1326" s="237">
        <v>2</v>
      </c>
      <c r="W1326" s="237">
        <v>0</v>
      </c>
      <c r="X1326" s="237">
        <v>0</v>
      </c>
      <c r="Y1326" s="13">
        <v>0</v>
      </c>
      <c r="Z1326" s="237">
        <v>0</v>
      </c>
      <c r="AA1326" s="237">
        <v>0</v>
      </c>
      <c r="AB1326" s="237">
        <v>0</v>
      </c>
      <c r="AC1326" s="237">
        <v>0</v>
      </c>
      <c r="AD1326" s="62">
        <v>0</v>
      </c>
      <c r="AE1326" s="237">
        <v>0</v>
      </c>
      <c r="AF1326" s="237">
        <v>5</v>
      </c>
      <c r="AG1326" s="237">
        <v>0</v>
      </c>
      <c r="AH1326" s="237">
        <v>0</v>
      </c>
      <c r="AI1326" s="237">
        <v>7</v>
      </c>
      <c r="AJ1326" s="237">
        <v>0</v>
      </c>
      <c r="AK1326" s="237">
        <v>0</v>
      </c>
      <c r="AL1326" s="237">
        <v>3</v>
      </c>
      <c r="AM1326" s="237">
        <v>0</v>
      </c>
      <c r="AN1326" s="237">
        <v>0</v>
      </c>
      <c r="AO1326" s="237">
        <v>0</v>
      </c>
      <c r="AP1326" s="237">
        <v>0</v>
      </c>
      <c r="AQ1326" s="237">
        <v>3000</v>
      </c>
      <c r="AR1326" s="237">
        <v>0.5</v>
      </c>
      <c r="AS1326" s="237">
        <v>0</v>
      </c>
      <c r="AT1326" s="237">
        <v>90503112</v>
      </c>
      <c r="AU1326" s="237">
        <v>0</v>
      </c>
      <c r="AV1326" s="237"/>
      <c r="AW1326" s="236" t="s">
        <v>198</v>
      </c>
      <c r="AX1326" s="237">
        <v>0</v>
      </c>
      <c r="AY1326" s="237">
        <v>0</v>
      </c>
      <c r="AZ1326" s="237">
        <v>0</v>
      </c>
      <c r="BA1326" s="236" t="s">
        <v>200</v>
      </c>
      <c r="BB1326" s="236">
        <v>0</v>
      </c>
      <c r="BC1326" s="237">
        <v>0</v>
      </c>
      <c r="BD1326" s="237">
        <v>1</v>
      </c>
      <c r="BE1326" s="255" t="s">
        <v>2742</v>
      </c>
      <c r="BF1326" s="255" t="s">
        <v>2743</v>
      </c>
      <c r="BG1326" s="237">
        <v>0</v>
      </c>
      <c r="BH1326" s="237">
        <v>0</v>
      </c>
      <c r="BI1326" s="237">
        <v>0</v>
      </c>
      <c r="BJ1326" s="237">
        <v>0</v>
      </c>
      <c r="BK1326" s="237">
        <v>0</v>
      </c>
      <c r="BL1326" s="237">
        <v>0</v>
      </c>
      <c r="BM1326" s="244">
        <v>0</v>
      </c>
      <c r="BN1326" s="237">
        <v>0</v>
      </c>
      <c r="BO1326" s="70">
        <v>0</v>
      </c>
      <c r="BP1326" s="70">
        <v>0</v>
      </c>
      <c r="BQ1326" s="70">
        <v>0</v>
      </c>
      <c r="BR1326" s="70">
        <v>0</v>
      </c>
      <c r="BS1326" s="70">
        <v>0</v>
      </c>
      <c r="BT1326" s="13">
        <v>0</v>
      </c>
      <c r="BU1326" s="49">
        <v>0</v>
      </c>
      <c r="BV1326" s="49"/>
      <c r="BW1326" s="49"/>
    </row>
    <row r="1327" spans="3:75" ht="20.100000000000001" customHeight="1">
      <c r="C1327" s="62">
        <v>63200201</v>
      </c>
      <c r="D1327" s="61" t="s">
        <v>2744</v>
      </c>
      <c r="E1327" s="61" t="s">
        <v>2745</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2746</v>
      </c>
      <c r="BF1327" s="92" t="s">
        <v>2747</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63200202</v>
      </c>
      <c r="D1328" s="61" t="s">
        <v>2748</v>
      </c>
      <c r="E1328" s="61" t="s">
        <v>2749</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2750</v>
      </c>
      <c r="BC1328" s="68"/>
      <c r="BD1328" s="68">
        <v>1</v>
      </c>
      <c r="BE1328" s="92" t="s">
        <v>2751</v>
      </c>
      <c r="BF1328" s="92" t="s">
        <v>2752</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spans="3:75" ht="20.100000000000001" customHeight="1">
      <c r="C1329" s="62">
        <v>63200203</v>
      </c>
      <c r="D1329" s="61" t="s">
        <v>2753</v>
      </c>
      <c r="E1329" s="61" t="s">
        <v>2754</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2755</v>
      </c>
      <c r="BC1329" s="68"/>
      <c r="BD1329" s="68">
        <v>1</v>
      </c>
      <c r="BE1329" s="92" t="s">
        <v>2756</v>
      </c>
      <c r="BF1329" s="92" t="s">
        <v>2757</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7" t="s">
        <v>2758</v>
      </c>
      <c r="BF1330" s="207" t="s">
        <v>2759</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spans="3:75" ht="20.100000000000001" customHeight="1">
      <c r="C1331" s="174">
        <v>63200205</v>
      </c>
      <c r="D1331" s="238" t="s">
        <v>2663</v>
      </c>
      <c r="E1331" s="238" t="s">
        <v>2664</v>
      </c>
      <c r="F1331" s="183">
        <v>1</v>
      </c>
      <c r="G1331" s="183">
        <v>63001004</v>
      </c>
      <c r="H1331" s="183">
        <v>0</v>
      </c>
      <c r="I1331" s="183">
        <v>0</v>
      </c>
      <c r="J1331" s="19">
        <v>1</v>
      </c>
      <c r="K1331" s="19">
        <v>0</v>
      </c>
      <c r="L1331" s="17">
        <v>0</v>
      </c>
      <c r="M1331" s="183">
        <v>0</v>
      </c>
      <c r="N1331" s="183">
        <v>0</v>
      </c>
      <c r="O1331" s="183">
        <v>2</v>
      </c>
      <c r="P1331" s="183">
        <v>5</v>
      </c>
      <c r="Q1331" s="183">
        <v>0.3</v>
      </c>
      <c r="R1331" s="183">
        <v>0</v>
      </c>
      <c r="S1331" s="13">
        <v>0</v>
      </c>
      <c r="T1331" s="183">
        <v>0</v>
      </c>
      <c r="U1331" s="183">
        <v>1</v>
      </c>
      <c r="V1331" s="183">
        <v>2</v>
      </c>
      <c r="W1331" s="183">
        <v>0</v>
      </c>
      <c r="X1331" s="183">
        <v>0</v>
      </c>
      <c r="Y1331" s="13">
        <v>0</v>
      </c>
      <c r="Z1331" s="183">
        <v>0</v>
      </c>
      <c r="AA1331" s="183">
        <v>0</v>
      </c>
      <c r="AB1331" s="183">
        <v>0</v>
      </c>
      <c r="AC1331" s="183">
        <v>0</v>
      </c>
      <c r="AD1331" s="17">
        <v>0</v>
      </c>
      <c r="AE1331" s="183">
        <v>0</v>
      </c>
      <c r="AF1331" s="183">
        <v>0</v>
      </c>
      <c r="AG1331" s="183">
        <v>0</v>
      </c>
      <c r="AH1331" s="183">
        <v>0</v>
      </c>
      <c r="AI1331" s="183">
        <v>0</v>
      </c>
      <c r="AJ1331" s="183">
        <v>0</v>
      </c>
      <c r="AK1331" s="13">
        <v>0</v>
      </c>
      <c r="AL1331" s="183">
        <v>0</v>
      </c>
      <c r="AM1331" s="183">
        <v>0</v>
      </c>
      <c r="AN1331" s="183">
        <v>0</v>
      </c>
      <c r="AO1331" s="183">
        <v>0</v>
      </c>
      <c r="AP1331" s="17">
        <v>0</v>
      </c>
      <c r="AQ1331" s="183">
        <v>1000</v>
      </c>
      <c r="AR1331" s="183">
        <v>0</v>
      </c>
      <c r="AS1331" s="183">
        <v>0</v>
      </c>
      <c r="AT1331" s="183">
        <v>90503121</v>
      </c>
      <c r="AU1331" s="183" t="s">
        <v>198</v>
      </c>
      <c r="AV1331" s="183"/>
      <c r="AW1331" s="238" t="s">
        <v>198</v>
      </c>
      <c r="AX1331" s="174" t="s">
        <v>1816</v>
      </c>
      <c r="AY1331" s="183">
        <v>0</v>
      </c>
      <c r="AZ1331" s="183">
        <v>0</v>
      </c>
      <c r="BA1331" s="238" t="s">
        <v>200</v>
      </c>
      <c r="BB1331" s="238" t="s">
        <v>198</v>
      </c>
      <c r="BC1331" s="183">
        <v>0</v>
      </c>
      <c r="BD1331" s="183">
        <v>1</v>
      </c>
      <c r="BE1331" s="254" t="s">
        <v>2760</v>
      </c>
      <c r="BF1331" s="254" t="s">
        <v>2761</v>
      </c>
      <c r="BG1331" s="183">
        <v>0</v>
      </c>
      <c r="BH1331" s="17">
        <v>0</v>
      </c>
      <c r="BI1331" s="183">
        <v>0</v>
      </c>
      <c r="BJ1331" s="183">
        <v>0</v>
      </c>
      <c r="BK1331" s="183">
        <v>0</v>
      </c>
      <c r="BL1331" s="183">
        <v>0</v>
      </c>
      <c r="BM1331" s="16">
        <v>0</v>
      </c>
      <c r="BN1331" s="13">
        <v>1</v>
      </c>
      <c r="BO1331" s="13">
        <v>0</v>
      </c>
      <c r="BP1331" s="13">
        <v>0</v>
      </c>
      <c r="BQ1331" s="13">
        <v>0</v>
      </c>
      <c r="BR1331" s="13">
        <v>0</v>
      </c>
      <c r="BS1331" s="13">
        <v>0</v>
      </c>
      <c r="BT1331" s="13">
        <v>0</v>
      </c>
      <c r="BU1331" s="49">
        <v>0</v>
      </c>
      <c r="BV1331" s="49"/>
      <c r="BW1331" s="49"/>
    </row>
    <row r="1332" spans="3:75" ht="20.100000000000001" customHeight="1">
      <c r="C1332" s="174">
        <v>63201001</v>
      </c>
      <c r="D1332" s="175" t="s">
        <v>2762</v>
      </c>
      <c r="E1332" s="175" t="s">
        <v>2763</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2614</v>
      </c>
      <c r="BB1332" s="174">
        <v>0</v>
      </c>
      <c r="BC1332" s="176">
        <v>0</v>
      </c>
      <c r="BD1332" s="176">
        <v>0</v>
      </c>
      <c r="BE1332" s="206" t="s">
        <v>2764</v>
      </c>
      <c r="BF1332" s="206" t="s">
        <v>2765</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spans="3:75" ht="20.100000000000001" customHeight="1">
      <c r="C1333" s="174">
        <v>63201002</v>
      </c>
      <c r="D1333" s="175" t="s">
        <v>2681</v>
      </c>
      <c r="E1333" s="175" t="s">
        <v>2682</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6" t="s">
        <v>2683</v>
      </c>
      <c r="BF1333" s="206" t="s">
        <v>2684</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spans="3:75" ht="20.100000000000001" customHeight="1">
      <c r="C1334" s="174">
        <v>63201003</v>
      </c>
      <c r="D1334" s="175" t="s">
        <v>2766</v>
      </c>
      <c r="E1334" s="175" t="s">
        <v>2767</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2768</v>
      </c>
      <c r="BC1334" s="176"/>
      <c r="BD1334" s="176"/>
      <c r="BE1334" s="206" t="s">
        <v>2769</v>
      </c>
      <c r="BF1334" s="206" t="s">
        <v>2770</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spans="3:75" ht="20.100000000000001" customHeight="1">
      <c r="C1335" s="174">
        <v>63201004</v>
      </c>
      <c r="D1335" s="209" t="s">
        <v>2771</v>
      </c>
      <c r="E1335" s="209" t="s">
        <v>2772</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2" t="s">
        <v>2773</v>
      </c>
      <c r="BC1335" s="68">
        <v>0</v>
      </c>
      <c r="BD1335" s="68">
        <v>0</v>
      </c>
      <c r="BE1335" s="213" t="s">
        <v>2774</v>
      </c>
      <c r="BF1335" s="213" t="s">
        <v>2775</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spans="3:75" ht="20.100000000000001" customHeight="1">
      <c r="C1336" s="174">
        <v>63201005</v>
      </c>
      <c r="D1336" s="209" t="s">
        <v>2771</v>
      </c>
      <c r="E1336" s="209" t="s">
        <v>2772</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09"/>
      <c r="AX1336" s="204">
        <v>0</v>
      </c>
      <c r="AY1336" s="204">
        <v>0</v>
      </c>
      <c r="AZ1336" s="204">
        <v>0</v>
      </c>
      <c r="BA1336" s="209" t="s">
        <v>200</v>
      </c>
      <c r="BB1336" s="209" t="s">
        <v>198</v>
      </c>
      <c r="BC1336" s="204">
        <v>0</v>
      </c>
      <c r="BD1336" s="204">
        <v>0</v>
      </c>
      <c r="BE1336" s="213" t="s">
        <v>2776</v>
      </c>
      <c r="BF1336" s="213" t="s">
        <v>2777</v>
      </c>
      <c r="BG1336" s="204">
        <v>0</v>
      </c>
      <c r="BH1336" s="174">
        <v>0</v>
      </c>
      <c r="BI1336" s="204">
        <v>0</v>
      </c>
      <c r="BJ1336" s="204">
        <v>0</v>
      </c>
      <c r="BK1336" s="204">
        <v>0</v>
      </c>
      <c r="BL1336" s="204">
        <v>0</v>
      </c>
      <c r="BM1336" s="373" t="s">
        <v>2778</v>
      </c>
      <c r="BN1336" s="177">
        <v>0</v>
      </c>
      <c r="BO1336" s="177">
        <v>0</v>
      </c>
      <c r="BP1336" s="177">
        <v>0</v>
      </c>
      <c r="BQ1336" s="177">
        <v>0</v>
      </c>
      <c r="BR1336" s="177">
        <v>0</v>
      </c>
      <c r="BS1336" s="177">
        <v>0</v>
      </c>
      <c r="BT1336" s="13">
        <v>0</v>
      </c>
      <c r="BU1336" s="49">
        <v>0</v>
      </c>
      <c r="BV1336" s="49"/>
      <c r="BW1336" s="49"/>
    </row>
    <row r="1337" spans="3:75" ht="20.100000000000001" customHeight="1">
      <c r="C1337" s="174">
        <v>63202001</v>
      </c>
      <c r="D1337" s="175" t="s">
        <v>2779</v>
      </c>
      <c r="E1337" s="175" t="s">
        <v>2780</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2614</v>
      </c>
      <c r="BB1337" s="174">
        <v>0</v>
      </c>
      <c r="BC1337" s="176">
        <v>0</v>
      </c>
      <c r="BD1337" s="176">
        <v>0</v>
      </c>
      <c r="BE1337" s="206" t="s">
        <v>2781</v>
      </c>
      <c r="BF1337" s="206" t="s">
        <v>2782</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spans="3:75" ht="20.100000000000001" customHeight="1">
      <c r="C1338" s="174">
        <v>63202002</v>
      </c>
      <c r="D1338" s="175" t="s">
        <v>2622</v>
      </c>
      <c r="E1338" s="175" t="s">
        <v>2623</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6" t="s">
        <v>2624</v>
      </c>
      <c r="BF1338" s="206" t="s">
        <v>2625</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63202003</v>
      </c>
      <c r="D1339" s="175" t="s">
        <v>2766</v>
      </c>
      <c r="E1339" s="175" t="s">
        <v>2767</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2783</v>
      </c>
      <c r="BC1339" s="176"/>
      <c r="BD1339" s="176"/>
      <c r="BE1339" s="206" t="s">
        <v>2784</v>
      </c>
      <c r="BF1339" s="206" t="s">
        <v>2785</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spans="3:75" ht="20.100000000000001" customHeight="1">
      <c r="C1340" s="174">
        <v>63202004</v>
      </c>
      <c r="D1340" s="209" t="s">
        <v>2786</v>
      </c>
      <c r="E1340" s="209" t="s">
        <v>2787</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09" t="s">
        <v>198</v>
      </c>
      <c r="AX1340" s="204">
        <v>0</v>
      </c>
      <c r="AY1340" s="204">
        <v>0</v>
      </c>
      <c r="AZ1340" s="204">
        <v>0</v>
      </c>
      <c r="BA1340" s="209" t="s">
        <v>200</v>
      </c>
      <c r="BB1340" s="209">
        <v>0</v>
      </c>
      <c r="BC1340" s="204">
        <v>0</v>
      </c>
      <c r="BD1340" s="204">
        <v>0</v>
      </c>
      <c r="BE1340" s="205" t="s">
        <v>2788</v>
      </c>
      <c r="BF1340" s="205" t="s">
        <v>2789</v>
      </c>
      <c r="BG1340" s="204">
        <v>0</v>
      </c>
      <c r="BH1340" s="204">
        <v>0</v>
      </c>
      <c r="BI1340" s="204">
        <v>0</v>
      </c>
      <c r="BJ1340" s="204">
        <v>0</v>
      </c>
      <c r="BK1340" s="204">
        <v>0</v>
      </c>
      <c r="BL1340" s="204">
        <v>0</v>
      </c>
      <c r="BM1340" s="214">
        <v>0</v>
      </c>
      <c r="BN1340" s="204">
        <v>0</v>
      </c>
      <c r="BO1340" s="177">
        <v>0</v>
      </c>
      <c r="BP1340" s="177">
        <v>0</v>
      </c>
      <c r="BQ1340" s="177">
        <v>0</v>
      </c>
      <c r="BR1340" s="177">
        <v>0</v>
      </c>
      <c r="BS1340" s="177">
        <v>0</v>
      </c>
      <c r="BT1340" s="13">
        <v>0</v>
      </c>
      <c r="BU1340" s="49">
        <v>0</v>
      </c>
      <c r="BV1340" s="49"/>
      <c r="BW1340" s="49"/>
    </row>
    <row r="1341" spans="3:75" ht="20.100000000000001" customHeight="1">
      <c r="C1341" s="174">
        <v>63202005</v>
      </c>
      <c r="D1341" s="209" t="s">
        <v>2786</v>
      </c>
      <c r="E1341" s="209" t="s">
        <v>2787</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4" t="s">
        <v>2790</v>
      </c>
      <c r="AU1341" s="204">
        <v>90000015</v>
      </c>
      <c r="AV1341" s="204"/>
      <c r="AW1341" s="209" t="s">
        <v>198</v>
      </c>
      <c r="AX1341" s="204">
        <v>0</v>
      </c>
      <c r="AY1341" s="204">
        <v>0</v>
      </c>
      <c r="AZ1341" s="204">
        <v>0</v>
      </c>
      <c r="BA1341" s="209" t="s">
        <v>200</v>
      </c>
      <c r="BB1341" s="209">
        <v>0</v>
      </c>
      <c r="BC1341" s="204">
        <v>0</v>
      </c>
      <c r="BD1341" s="204">
        <v>1</v>
      </c>
      <c r="BE1341" s="213" t="s">
        <v>2791</v>
      </c>
      <c r="BF1341" s="213" t="s">
        <v>2792</v>
      </c>
      <c r="BG1341" s="204">
        <v>0</v>
      </c>
      <c r="BH1341" s="204">
        <v>0</v>
      </c>
      <c r="BI1341" s="204">
        <v>0</v>
      </c>
      <c r="BJ1341" s="204">
        <v>0</v>
      </c>
      <c r="BK1341" s="204">
        <v>0</v>
      </c>
      <c r="BL1341" s="204">
        <v>0</v>
      </c>
      <c r="BM1341" s="214">
        <v>0</v>
      </c>
      <c r="BN1341" s="204">
        <v>0</v>
      </c>
      <c r="BO1341" s="177">
        <v>0</v>
      </c>
      <c r="BP1341" s="177">
        <v>0</v>
      </c>
      <c r="BQ1341" s="177">
        <v>0</v>
      </c>
      <c r="BR1341" s="177">
        <v>0</v>
      </c>
      <c r="BS1341" s="177">
        <v>0</v>
      </c>
      <c r="BT1341" s="13">
        <v>0</v>
      </c>
      <c r="BU1341" s="49">
        <v>0</v>
      </c>
      <c r="BV1341" s="49"/>
      <c r="BW1341" s="49"/>
    </row>
    <row r="1342" spans="3:75" ht="20.100000000000001" customHeight="1">
      <c r="C1342" s="174">
        <v>63203001</v>
      </c>
      <c r="D1342" s="175" t="s">
        <v>2793</v>
      </c>
      <c r="E1342" s="175" t="s">
        <v>2794</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2614</v>
      </c>
      <c r="BB1342" s="174">
        <v>0</v>
      </c>
      <c r="BC1342" s="176">
        <v>0</v>
      </c>
      <c r="BD1342" s="176">
        <v>0</v>
      </c>
      <c r="BE1342" s="206" t="s">
        <v>2795</v>
      </c>
      <c r="BF1342" s="206" t="s">
        <v>2796</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spans="3:75" ht="20.100000000000001" customHeight="1">
      <c r="C1343" s="174">
        <v>63203002</v>
      </c>
      <c r="D1343" s="175" t="s">
        <v>2655</v>
      </c>
      <c r="E1343" s="175" t="s">
        <v>2656</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6" t="s">
        <v>2657</v>
      </c>
      <c r="BF1343" s="206" t="s">
        <v>2658</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63203003</v>
      </c>
      <c r="D1344" s="175" t="s">
        <v>2766</v>
      </c>
      <c r="E1344" s="175" t="s">
        <v>2767</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2768</v>
      </c>
      <c r="BC1344" s="176"/>
      <c r="BD1344" s="176"/>
      <c r="BE1344" s="206" t="s">
        <v>2769</v>
      </c>
      <c r="BF1344" s="206" t="s">
        <v>2770</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spans="1:75" ht="20.100000000000001" customHeight="1">
      <c r="C1345" s="174">
        <v>63203004</v>
      </c>
      <c r="D1345" s="209" t="s">
        <v>2797</v>
      </c>
      <c r="E1345" s="209" t="s">
        <v>2798</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2799</v>
      </c>
      <c r="BC1345" s="28"/>
      <c r="BD1345" s="28"/>
      <c r="BE1345" s="46" t="s">
        <v>2800</v>
      </c>
      <c r="BF1345" s="46" t="s">
        <v>2801</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pans="1:75" s="1" customFormat="1" ht="20.100000000000001" customHeight="1">
      <c r="A1346" s="216"/>
      <c r="B1346" s="216"/>
      <c r="C1346" s="66">
        <v>63301001</v>
      </c>
      <c r="D1346" s="61" t="s">
        <v>2802</v>
      </c>
      <c r="E1346" s="149" t="s">
        <v>2803</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2" t="s">
        <v>2804</v>
      </c>
      <c r="BC1346" s="68">
        <v>0</v>
      </c>
      <c r="BD1346" s="68">
        <v>0</v>
      </c>
      <c r="BE1346" s="92" t="s">
        <v>2805</v>
      </c>
      <c r="BF1346" s="92" t="s">
        <v>2806</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pans="1:75" s="1" customFormat="1" ht="20.100000000000001" customHeight="1">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1" t="s">
        <v>2244</v>
      </c>
      <c r="AV1347" s="81"/>
      <c r="AW1347" s="61" t="s">
        <v>199</v>
      </c>
      <c r="AX1347" s="62" t="s">
        <v>215</v>
      </c>
      <c r="AY1347" s="66">
        <v>10000011</v>
      </c>
      <c r="AZ1347" s="66">
        <v>77005105</v>
      </c>
      <c r="BA1347" s="61" t="s">
        <v>216</v>
      </c>
      <c r="BB1347" s="62">
        <v>0</v>
      </c>
      <c r="BC1347" s="68">
        <v>0</v>
      </c>
      <c r="BD1347" s="68">
        <v>0</v>
      </c>
      <c r="BE1347" s="92" t="s">
        <v>2807</v>
      </c>
      <c r="BF1347" s="92" t="s">
        <v>2808</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spans="1:75" ht="20.100000000000001" customHeight="1">
      <c r="C1348" s="66">
        <v>63301003</v>
      </c>
      <c r="D1348" s="18" t="s">
        <v>2676</v>
      </c>
      <c r="E1348" s="18" t="s">
        <v>2677</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2678</v>
      </c>
      <c r="BC1348" s="28"/>
      <c r="BD1348" s="28">
        <v>0</v>
      </c>
      <c r="BE1348" s="46" t="s">
        <v>2679</v>
      </c>
      <c r="BF1348" s="46" t="s">
        <v>2680</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spans="1:75" ht="20.100000000000001" customHeight="1">
      <c r="C1349" s="66">
        <v>63301004</v>
      </c>
      <c r="D1349" s="175" t="s">
        <v>2622</v>
      </c>
      <c r="E1349" s="175" t="s">
        <v>2623</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6" t="s">
        <v>2624</v>
      </c>
      <c r="BF1349" s="206" t="s">
        <v>2625</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spans="1:75" ht="20.100000000000001" customHeight="1">
      <c r="C1350" s="66">
        <v>63301005</v>
      </c>
      <c r="D1350" s="175" t="s">
        <v>2809</v>
      </c>
      <c r="E1350" s="175" t="s">
        <v>2810</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2614</v>
      </c>
      <c r="BB1350" s="174">
        <v>0</v>
      </c>
      <c r="BC1350" s="176">
        <v>0</v>
      </c>
      <c r="BD1350" s="176">
        <v>0</v>
      </c>
      <c r="BE1350" s="259" t="s">
        <v>2811</v>
      </c>
      <c r="BF1350" s="260" t="s">
        <v>2812</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pans="1:75" s="1" customFormat="1" ht="19.5" customHeight="1">
      <c r="A1351" s="216"/>
      <c r="B1351" s="216"/>
      <c r="C1351" s="66">
        <v>63302001</v>
      </c>
      <c r="D1351" s="61" t="s">
        <v>2813</v>
      </c>
      <c r="E1351" s="61" t="s">
        <v>2814</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1" t="s">
        <v>2270</v>
      </c>
      <c r="AV1351" s="81"/>
      <c r="AW1351" s="65" t="s">
        <v>198</v>
      </c>
      <c r="AX1351" s="62" t="s">
        <v>534</v>
      </c>
      <c r="AY1351" s="66">
        <v>0</v>
      </c>
      <c r="AZ1351" s="66">
        <v>0</v>
      </c>
      <c r="BA1351" s="61" t="s">
        <v>200</v>
      </c>
      <c r="BB1351" s="62">
        <v>0</v>
      </c>
      <c r="BC1351" s="68">
        <v>0</v>
      </c>
      <c r="BD1351" s="68">
        <v>0</v>
      </c>
      <c r="BE1351" s="92" t="s">
        <v>2815</v>
      </c>
      <c r="BF1351" s="92" t="s">
        <v>2816</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63302002</v>
      </c>
      <c r="D1352" s="18" t="s">
        <v>2694</v>
      </c>
      <c r="E1352" s="18" t="s">
        <v>2695</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2696</v>
      </c>
      <c r="BC1352" s="28"/>
      <c r="BD1352" s="28">
        <v>0</v>
      </c>
      <c r="BE1352" s="46" t="s">
        <v>2697</v>
      </c>
      <c r="BF1352" s="46" t="s">
        <v>2698</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63302003</v>
      </c>
      <c r="D1353" s="175" t="s">
        <v>2681</v>
      </c>
      <c r="E1353" s="175" t="s">
        <v>2682</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6" t="s">
        <v>2683</v>
      </c>
      <c r="BF1353" s="206" t="s">
        <v>2684</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63302004</v>
      </c>
      <c r="D1354" s="175" t="s">
        <v>2817</v>
      </c>
      <c r="E1354" s="175" t="s">
        <v>2818</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2614</v>
      </c>
      <c r="BB1354" s="174">
        <v>0</v>
      </c>
      <c r="BC1354" s="176">
        <v>0</v>
      </c>
      <c r="BD1354" s="176">
        <v>0</v>
      </c>
      <c r="BE1354" s="206" t="s">
        <v>2819</v>
      </c>
      <c r="BF1354" s="206" t="s">
        <v>2820</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20.100000000000001" customHeight="1">
      <c r="A1355" s="216"/>
      <c r="B1355" s="216"/>
      <c r="C1355" s="66">
        <v>63303001</v>
      </c>
      <c r="D1355" s="61" t="s">
        <v>2821</v>
      </c>
      <c r="E1355" s="149" t="s">
        <v>2822</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2" t="s">
        <v>2823</v>
      </c>
      <c r="BC1355" s="68">
        <v>0</v>
      </c>
      <c r="BD1355" s="68">
        <v>0</v>
      </c>
      <c r="BE1355" s="92" t="s">
        <v>2824</v>
      </c>
      <c r="BF1355" s="92" t="s">
        <v>2825</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63303002</v>
      </c>
      <c r="D1356" s="18" t="s">
        <v>2708</v>
      </c>
      <c r="E1356" s="18" t="s">
        <v>2709</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2710</v>
      </c>
      <c r="BC1356" s="28">
        <v>0</v>
      </c>
      <c r="BD1356" s="28">
        <v>0</v>
      </c>
      <c r="BE1356" s="46" t="s">
        <v>2711</v>
      </c>
      <c r="BF1356" s="46" t="s">
        <v>2712</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63303003</v>
      </c>
      <c r="D1357" s="175" t="s">
        <v>2655</v>
      </c>
      <c r="E1357" s="175" t="s">
        <v>2656</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6" t="s">
        <v>2657</v>
      </c>
      <c r="BF1357" s="206" t="s">
        <v>2658</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63303004</v>
      </c>
      <c r="D1358" s="175" t="s">
        <v>2826</v>
      </c>
      <c r="E1358" s="175" t="s">
        <v>2827</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2614</v>
      </c>
      <c r="BB1358" s="174">
        <v>0</v>
      </c>
      <c r="BC1358" s="176">
        <v>0</v>
      </c>
      <c r="BD1358" s="176">
        <v>0</v>
      </c>
      <c r="BE1358" s="206" t="s">
        <v>2795</v>
      </c>
      <c r="BF1358" s="206" t="s">
        <v>2796</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6"/>
      <c r="B1359" s="216"/>
      <c r="C1359" s="66">
        <v>63304001</v>
      </c>
      <c r="D1359" s="61" t="s">
        <v>2828</v>
      </c>
      <c r="E1359" s="149" t="s">
        <v>2829</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2830</v>
      </c>
      <c r="BF1359" s="92" t="s">
        <v>2831</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s="1" customFormat="1" ht="20.100000000000001" customHeight="1">
      <c r="A1360" s="216"/>
      <c r="B1360" s="216"/>
      <c r="C1360" s="66">
        <v>63304002</v>
      </c>
      <c r="D1360" s="61" t="s">
        <v>2832</v>
      </c>
      <c r="E1360" s="149" t="s">
        <v>2833</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2834</v>
      </c>
      <c r="BF1360" s="92" t="s">
        <v>2835</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pans="1:75" s="1" customFormat="1" ht="19.5" customHeight="1">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1" t="s">
        <v>2836</v>
      </c>
      <c r="AV1361" s="81"/>
      <c r="AW1361" s="65" t="s">
        <v>198</v>
      </c>
      <c r="AX1361" s="62" t="s">
        <v>534</v>
      </c>
      <c r="AY1361" s="66">
        <v>0</v>
      </c>
      <c r="AZ1361" s="66">
        <v>77005401</v>
      </c>
      <c r="BA1361" s="61" t="s">
        <v>200</v>
      </c>
      <c r="BB1361" s="62">
        <v>0</v>
      </c>
      <c r="BC1361" s="68">
        <v>0</v>
      </c>
      <c r="BD1361" s="68">
        <v>0</v>
      </c>
      <c r="BE1361" s="92" t="s">
        <v>2837</v>
      </c>
      <c r="BF1361" s="92" t="s">
        <v>2838</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pans="1:75" s="1" customFormat="1" ht="19.5" customHeight="1">
      <c r="C1362" s="66">
        <v>63304004</v>
      </c>
      <c r="D1362" s="61" t="s">
        <v>2839</v>
      </c>
      <c r="E1362" s="61" t="s">
        <v>2840</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2841</v>
      </c>
      <c r="BF1362" s="92" t="s">
        <v>2842</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pans="1:75" s="1" customFormat="1" ht="19.5" customHeight="1">
      <c r="C1363" s="66">
        <v>63304005</v>
      </c>
      <c r="D1363" s="61" t="s">
        <v>2843</v>
      </c>
      <c r="E1363" s="61" t="s">
        <v>2844</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2845</v>
      </c>
      <c r="BF1363" s="92" t="s">
        <v>2846</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6"/>
      <c r="B1364" s="216"/>
      <c r="C1364" s="66">
        <v>63304006</v>
      </c>
      <c r="D1364" s="61" t="s">
        <v>2847</v>
      </c>
      <c r="E1364" s="149" t="s">
        <v>2848</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49" t="s">
        <v>2849</v>
      </c>
      <c r="AU1364" s="62">
        <v>0</v>
      </c>
      <c r="AV1364" s="62"/>
      <c r="AW1364" s="61" t="s">
        <v>198</v>
      </c>
      <c r="AX1364" s="62" t="s">
        <v>545</v>
      </c>
      <c r="AY1364" s="66">
        <v>0</v>
      </c>
      <c r="AZ1364" s="66">
        <v>0</v>
      </c>
      <c r="BA1364" s="61" t="s">
        <v>200</v>
      </c>
      <c r="BB1364" s="62">
        <v>0</v>
      </c>
      <c r="BC1364" s="68">
        <v>0</v>
      </c>
      <c r="BD1364" s="68">
        <v>0</v>
      </c>
      <c r="BE1364" s="92" t="s">
        <v>2834</v>
      </c>
      <c r="BF1364" s="92" t="s">
        <v>2835</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ht="20.100000000000001" customHeight="1">
      <c r="C1365" s="17">
        <v>63401001</v>
      </c>
      <c r="D1365" s="18" t="s">
        <v>2672</v>
      </c>
      <c r="E1365" s="18" t="s">
        <v>2673</v>
      </c>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17">
        <v>90511003</v>
      </c>
      <c r="AV1365" s="17"/>
      <c r="AW1365" s="18" t="s">
        <v>198</v>
      </c>
      <c r="AX1365" s="17">
        <v>0</v>
      </c>
      <c r="AY1365" s="19">
        <v>0</v>
      </c>
      <c r="AZ1365" s="19">
        <v>0</v>
      </c>
      <c r="BA1365" s="18" t="s">
        <v>2614</v>
      </c>
      <c r="BB1365" s="17">
        <v>0</v>
      </c>
      <c r="BC1365" s="28">
        <v>0</v>
      </c>
      <c r="BD1365" s="28">
        <v>0</v>
      </c>
      <c r="BE1365" s="46" t="s">
        <v>2674</v>
      </c>
      <c r="BF1365" s="46" t="s">
        <v>2675</v>
      </c>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spans="1:75" ht="20.100000000000001" customHeight="1">
      <c r="C1366" s="17">
        <v>63401002</v>
      </c>
      <c r="D1366" s="18" t="s">
        <v>2659</v>
      </c>
      <c r="E1366" s="18" t="s">
        <v>2640</v>
      </c>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2660</v>
      </c>
      <c r="BC1366" s="28"/>
      <c r="BD1366" s="28">
        <v>0</v>
      </c>
      <c r="BE1366" s="46" t="s">
        <v>2661</v>
      </c>
      <c r="BF1366" s="46" t="s">
        <v>2662</v>
      </c>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spans="1:75" ht="20.100000000000001" customHeight="1">
      <c r="C1367" s="17">
        <v>63401003</v>
      </c>
      <c r="D1367" s="18" t="s">
        <v>2655</v>
      </c>
      <c r="E1367" s="18" t="s">
        <v>2656</v>
      </c>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2657</v>
      </c>
      <c r="BF1367" s="46" t="s">
        <v>2658</v>
      </c>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spans="1:75" ht="20.100000000000001" customHeight="1">
      <c r="C1368" s="17">
        <v>63401004</v>
      </c>
      <c r="D1368" s="238" t="s">
        <v>5355</v>
      </c>
      <c r="E1368" s="238" t="s">
        <v>2686</v>
      </c>
      <c r="F1368" s="183">
        <v>1</v>
      </c>
      <c r="G1368" s="183">
        <v>63001004</v>
      </c>
      <c r="H1368" s="183">
        <v>0</v>
      </c>
      <c r="I1368" s="183">
        <v>0</v>
      </c>
      <c r="J1368" s="19">
        <v>1</v>
      </c>
      <c r="K1368" s="19">
        <v>0</v>
      </c>
      <c r="L1368" s="17">
        <v>0</v>
      </c>
      <c r="M1368" s="183">
        <v>0</v>
      </c>
      <c r="N1368" s="183">
        <v>0</v>
      </c>
      <c r="O1368" s="183">
        <v>2</v>
      </c>
      <c r="P1368" s="183">
        <v>17</v>
      </c>
      <c r="Q1368" s="183">
        <v>0.15</v>
      </c>
      <c r="R1368" s="183">
        <v>0</v>
      </c>
      <c r="S1368" s="13">
        <v>0</v>
      </c>
      <c r="T1368" s="183">
        <v>0</v>
      </c>
      <c r="U1368" s="183">
        <v>1</v>
      </c>
      <c r="V1368" s="183">
        <v>2</v>
      </c>
      <c r="W1368" s="183">
        <v>0</v>
      </c>
      <c r="X1368" s="183">
        <v>0</v>
      </c>
      <c r="Y1368" s="13">
        <v>0</v>
      </c>
      <c r="Z1368" s="183">
        <v>0</v>
      </c>
      <c r="AA1368" s="183">
        <v>0</v>
      </c>
      <c r="AB1368" s="183">
        <v>0</v>
      </c>
      <c r="AC1368" s="183">
        <v>0</v>
      </c>
      <c r="AD1368" s="17">
        <v>1</v>
      </c>
      <c r="AE1368" s="183">
        <v>0</v>
      </c>
      <c r="AF1368" s="183">
        <v>15</v>
      </c>
      <c r="AG1368" s="183">
        <v>1</v>
      </c>
      <c r="AH1368" s="183">
        <v>1</v>
      </c>
      <c r="AI1368" s="183">
        <v>2</v>
      </c>
      <c r="AJ1368" s="183">
        <v>0</v>
      </c>
      <c r="AK1368" s="13">
        <v>0</v>
      </c>
      <c r="AL1368" s="183">
        <v>2</v>
      </c>
      <c r="AM1368" s="183">
        <v>0</v>
      </c>
      <c r="AN1368" s="183">
        <v>0</v>
      </c>
      <c r="AO1368" s="183">
        <v>0</v>
      </c>
      <c r="AP1368" s="17">
        <v>0</v>
      </c>
      <c r="AQ1368" s="183">
        <v>10000</v>
      </c>
      <c r="AR1368" s="183">
        <v>0.5</v>
      </c>
      <c r="AS1368" s="183">
        <v>0</v>
      </c>
      <c r="AT1368" s="183">
        <v>0</v>
      </c>
      <c r="AU1368" s="183" t="s">
        <v>198</v>
      </c>
      <c r="AV1368" s="183"/>
      <c r="AW1368" s="238"/>
      <c r="AX1368" s="183">
        <v>0</v>
      </c>
      <c r="AY1368" s="183">
        <v>0</v>
      </c>
      <c r="AZ1368" s="183">
        <v>0</v>
      </c>
      <c r="BA1368" s="238" t="s">
        <v>200</v>
      </c>
      <c r="BB1368" s="238" t="s">
        <v>198</v>
      </c>
      <c r="BC1368" s="183">
        <v>0</v>
      </c>
      <c r="BD1368" s="183">
        <v>0</v>
      </c>
      <c r="BE1368" s="254" t="s">
        <v>2687</v>
      </c>
      <c r="BF1368" s="254" t="s">
        <v>2688</v>
      </c>
      <c r="BG1368" s="183">
        <v>0</v>
      </c>
      <c r="BH1368" s="17">
        <v>0</v>
      </c>
      <c r="BI1368" s="183">
        <v>0</v>
      </c>
      <c r="BJ1368" s="183">
        <v>0</v>
      </c>
      <c r="BK1368" s="183">
        <v>0</v>
      </c>
      <c r="BL1368" s="183">
        <v>0</v>
      </c>
      <c r="BM1368" s="370" t="s">
        <v>2689</v>
      </c>
      <c r="BN1368" s="13">
        <v>0</v>
      </c>
      <c r="BO1368" s="13">
        <v>0</v>
      </c>
      <c r="BP1368" s="13">
        <v>0</v>
      </c>
      <c r="BQ1368" s="13">
        <v>0</v>
      </c>
      <c r="BR1368" s="13">
        <v>0</v>
      </c>
      <c r="BS1368" s="13">
        <v>0</v>
      </c>
      <c r="BT1368" s="13">
        <v>0</v>
      </c>
      <c r="BU1368" s="49">
        <v>0</v>
      </c>
      <c r="BV1368" s="49"/>
      <c r="BW1368" s="49"/>
    </row>
    <row r="1369" spans="1:75" ht="20.100000000000001" customHeight="1">
      <c r="C1369" s="17">
        <v>63402001</v>
      </c>
      <c r="D1369" s="18" t="s">
        <v>2690</v>
      </c>
      <c r="E1369" s="18" t="s">
        <v>2691</v>
      </c>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2614</v>
      </c>
      <c r="BB1369" s="17">
        <v>0</v>
      </c>
      <c r="BC1369" s="28">
        <v>0</v>
      </c>
      <c r="BD1369" s="28">
        <v>0</v>
      </c>
      <c r="BE1369" s="46" t="s">
        <v>2692</v>
      </c>
      <c r="BF1369" s="46" t="s">
        <v>2693</v>
      </c>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63402002</v>
      </c>
      <c r="D1370" s="175" t="s">
        <v>2622</v>
      </c>
      <c r="E1370" s="175" t="s">
        <v>2623</v>
      </c>
      <c r="F1370" s="174">
        <v>1</v>
      </c>
      <c r="G1370" s="174">
        <v>63002002</v>
      </c>
      <c r="H1370" s="174">
        <v>0</v>
      </c>
      <c r="I1370" s="176">
        <v>0</v>
      </c>
      <c r="J1370" s="178">
        <v>1</v>
      </c>
      <c r="K1370" s="178">
        <v>0</v>
      </c>
      <c r="L1370" s="174">
        <v>0</v>
      </c>
      <c r="M1370" s="174">
        <v>0</v>
      </c>
      <c r="N1370" s="174">
        <v>0</v>
      </c>
      <c r="O1370" s="174">
        <v>2</v>
      </c>
      <c r="P1370" s="174">
        <v>0</v>
      </c>
      <c r="Q1370" s="174">
        <v>0</v>
      </c>
      <c r="R1370" s="174">
        <v>0</v>
      </c>
      <c r="S1370" s="177">
        <v>0</v>
      </c>
      <c r="T1370" s="174">
        <v>0</v>
      </c>
      <c r="U1370" s="174">
        <v>1</v>
      </c>
      <c r="V1370" s="174">
        <v>0</v>
      </c>
      <c r="W1370" s="174">
        <v>0</v>
      </c>
      <c r="X1370" s="178">
        <v>0</v>
      </c>
      <c r="Y1370" s="13">
        <v>0</v>
      </c>
      <c r="Z1370" s="178">
        <v>0</v>
      </c>
      <c r="AA1370" s="174">
        <v>0</v>
      </c>
      <c r="AB1370" s="174">
        <v>0</v>
      </c>
      <c r="AC1370" s="174">
        <v>0</v>
      </c>
      <c r="AD1370" s="174">
        <v>1</v>
      </c>
      <c r="AE1370" s="174">
        <v>0</v>
      </c>
      <c r="AF1370" s="174">
        <v>0</v>
      </c>
      <c r="AG1370" s="174">
        <v>0</v>
      </c>
      <c r="AH1370" s="174" t="s">
        <v>198</v>
      </c>
      <c r="AI1370" s="177">
        <v>0</v>
      </c>
      <c r="AJ1370" s="177">
        <v>0</v>
      </c>
      <c r="AK1370" s="177">
        <v>0</v>
      </c>
      <c r="AL1370" s="177">
        <v>0</v>
      </c>
      <c r="AM1370" s="174">
        <v>0</v>
      </c>
      <c r="AN1370" s="174">
        <v>0</v>
      </c>
      <c r="AO1370" s="174">
        <v>0</v>
      </c>
      <c r="AP1370" s="174">
        <v>0</v>
      </c>
      <c r="AQ1370" s="174">
        <v>0</v>
      </c>
      <c r="AR1370" s="174">
        <v>0</v>
      </c>
      <c r="AS1370" s="174">
        <v>0</v>
      </c>
      <c r="AT1370" s="177">
        <v>0</v>
      </c>
      <c r="AU1370" s="174" t="s">
        <v>198</v>
      </c>
      <c r="AV1370" s="174"/>
      <c r="AW1370" s="175" t="s">
        <v>198</v>
      </c>
      <c r="AX1370" s="174">
        <v>0</v>
      </c>
      <c r="AY1370" s="178">
        <v>0</v>
      </c>
      <c r="AZ1370" s="178">
        <v>0</v>
      </c>
      <c r="BA1370" s="175" t="s">
        <v>198</v>
      </c>
      <c r="BB1370" s="174">
        <v>0</v>
      </c>
      <c r="BC1370" s="176"/>
      <c r="BD1370" s="176"/>
      <c r="BE1370" s="206" t="s">
        <v>2624</v>
      </c>
      <c r="BF1370" s="206" t="s">
        <v>2625</v>
      </c>
      <c r="BG1370" s="174">
        <v>0</v>
      </c>
      <c r="BH1370" s="174">
        <v>0</v>
      </c>
      <c r="BI1370" s="174">
        <v>0</v>
      </c>
      <c r="BJ1370" s="174">
        <v>0</v>
      </c>
      <c r="BK1370" s="174">
        <v>0</v>
      </c>
      <c r="BL1370" s="174">
        <v>0</v>
      </c>
      <c r="BM1370" s="180">
        <v>0</v>
      </c>
      <c r="BN1370" s="177">
        <v>0</v>
      </c>
      <c r="BO1370" s="177">
        <v>0</v>
      </c>
      <c r="BP1370" s="177">
        <v>0</v>
      </c>
      <c r="BQ1370" s="177">
        <v>0</v>
      </c>
      <c r="BR1370" s="177">
        <v>0</v>
      </c>
      <c r="BS1370" s="177">
        <v>0</v>
      </c>
      <c r="BT1370" s="13">
        <v>0</v>
      </c>
      <c r="BU1370" s="49">
        <v>0</v>
      </c>
      <c r="BV1370" s="49"/>
      <c r="BW1370" s="49"/>
    </row>
    <row r="1371" spans="1:75" ht="20.100000000000001" customHeight="1">
      <c r="C1371" s="17">
        <v>63402003</v>
      </c>
      <c r="D1371" s="18" t="s">
        <v>2659</v>
      </c>
      <c r="E1371" s="18" t="s">
        <v>2640</v>
      </c>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2660</v>
      </c>
      <c r="BC1371" s="28"/>
      <c r="BD1371" s="28">
        <v>0</v>
      </c>
      <c r="BE1371" s="46" t="s">
        <v>2661</v>
      </c>
      <c r="BF1371" s="46" t="s">
        <v>2662</v>
      </c>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17">
        <v>63402004</v>
      </c>
      <c r="D1372" s="238" t="s">
        <v>5356</v>
      </c>
      <c r="E1372" s="238" t="s">
        <v>2700</v>
      </c>
      <c r="F1372" s="183">
        <v>1</v>
      </c>
      <c r="G1372" s="183">
        <v>63001004</v>
      </c>
      <c r="H1372" s="183">
        <v>0</v>
      </c>
      <c r="I1372" s="183">
        <v>0</v>
      </c>
      <c r="J1372" s="19">
        <v>1</v>
      </c>
      <c r="K1372" s="19">
        <v>0</v>
      </c>
      <c r="L1372" s="17">
        <v>0</v>
      </c>
      <c r="M1372" s="183">
        <v>0</v>
      </c>
      <c r="N1372" s="183">
        <v>0</v>
      </c>
      <c r="O1372" s="183">
        <v>2</v>
      </c>
      <c r="P1372" s="183">
        <v>4</v>
      </c>
      <c r="Q1372" s="183">
        <v>0.35</v>
      </c>
      <c r="R1372" s="183">
        <v>0</v>
      </c>
      <c r="S1372" s="13">
        <v>0</v>
      </c>
      <c r="T1372" s="183">
        <v>0</v>
      </c>
      <c r="U1372" s="183">
        <v>1</v>
      </c>
      <c r="V1372" s="183">
        <v>2</v>
      </c>
      <c r="W1372" s="183">
        <v>0</v>
      </c>
      <c r="X1372" s="183">
        <v>0</v>
      </c>
      <c r="Y1372" s="13">
        <v>0</v>
      </c>
      <c r="Z1372" s="183">
        <v>0</v>
      </c>
      <c r="AA1372" s="183">
        <v>0</v>
      </c>
      <c r="AB1372" s="183">
        <v>0</v>
      </c>
      <c r="AC1372" s="183">
        <v>0</v>
      </c>
      <c r="AD1372" s="17">
        <v>1</v>
      </c>
      <c r="AE1372" s="183">
        <v>0</v>
      </c>
      <c r="AF1372" s="183">
        <v>3</v>
      </c>
      <c r="AG1372" s="183">
        <v>1</v>
      </c>
      <c r="AH1372" s="183">
        <v>1</v>
      </c>
      <c r="AI1372" s="183">
        <v>2</v>
      </c>
      <c r="AJ1372" s="183">
        <v>0</v>
      </c>
      <c r="AK1372" s="13">
        <v>0</v>
      </c>
      <c r="AL1372" s="183">
        <v>2</v>
      </c>
      <c r="AM1372" s="183">
        <v>0</v>
      </c>
      <c r="AN1372" s="183">
        <v>0</v>
      </c>
      <c r="AO1372" s="183">
        <v>0</v>
      </c>
      <c r="AP1372" s="17">
        <v>0</v>
      </c>
      <c r="AQ1372" s="183">
        <v>1000</v>
      </c>
      <c r="AR1372" s="183">
        <v>0.5</v>
      </c>
      <c r="AS1372" s="183">
        <v>0</v>
      </c>
      <c r="AT1372" s="183">
        <v>0</v>
      </c>
      <c r="AU1372" s="183" t="s">
        <v>198</v>
      </c>
      <c r="AV1372" s="183"/>
      <c r="AW1372" s="238" t="s">
        <v>199</v>
      </c>
      <c r="AX1372" s="183">
        <v>0</v>
      </c>
      <c r="AY1372" s="183">
        <v>0</v>
      </c>
      <c r="AZ1372" s="183">
        <v>0</v>
      </c>
      <c r="BA1372" s="238" t="s">
        <v>200</v>
      </c>
      <c r="BB1372" s="238" t="s">
        <v>198</v>
      </c>
      <c r="BC1372" s="183">
        <v>0</v>
      </c>
      <c r="BD1372" s="183">
        <v>0</v>
      </c>
      <c r="BE1372" s="254" t="s">
        <v>2701</v>
      </c>
      <c r="BF1372" s="254" t="s">
        <v>2702</v>
      </c>
      <c r="BG1372" s="183">
        <v>0</v>
      </c>
      <c r="BH1372" s="17">
        <v>0</v>
      </c>
      <c r="BI1372" s="183">
        <v>0</v>
      </c>
      <c r="BJ1372" s="183">
        <v>0</v>
      </c>
      <c r="BK1372" s="183">
        <v>0</v>
      </c>
      <c r="BL1372" s="183">
        <v>0</v>
      </c>
      <c r="BM1372" s="370" t="s">
        <v>2703</v>
      </c>
      <c r="BN1372" s="13">
        <v>0</v>
      </c>
      <c r="BO1372" s="13">
        <v>0</v>
      </c>
      <c r="BP1372" s="13">
        <v>0</v>
      </c>
      <c r="BQ1372" s="13">
        <v>0</v>
      </c>
      <c r="BR1372" s="13">
        <v>0</v>
      </c>
      <c r="BS1372" s="13">
        <v>0</v>
      </c>
      <c r="BT1372" s="13">
        <v>0</v>
      </c>
      <c r="BU1372" s="49">
        <v>0</v>
      </c>
      <c r="BV1372" s="49"/>
      <c r="BW1372" s="49"/>
    </row>
    <row r="1373" spans="1:75" ht="20.100000000000001" customHeight="1">
      <c r="C1373" s="17">
        <v>63403001</v>
      </c>
      <c r="D1373" s="18" t="s">
        <v>2704</v>
      </c>
      <c r="E1373" s="18" t="s">
        <v>2705</v>
      </c>
      <c r="F1373" s="183">
        <v>1</v>
      </c>
      <c r="G1373" s="183">
        <v>63001004</v>
      </c>
      <c r="H1373" s="183">
        <v>0</v>
      </c>
      <c r="I1373" s="183">
        <v>0</v>
      </c>
      <c r="J1373" s="183">
        <v>1</v>
      </c>
      <c r="K1373" s="183">
        <v>0</v>
      </c>
      <c r="L1373" s="183">
        <v>0</v>
      </c>
      <c r="M1373" s="183">
        <v>0</v>
      </c>
      <c r="N1373" s="183">
        <v>0</v>
      </c>
      <c r="O1373" s="183">
        <v>2</v>
      </c>
      <c r="P1373" s="183">
        <v>10</v>
      </c>
      <c r="Q1373" s="183">
        <v>1</v>
      </c>
      <c r="R1373" s="183">
        <v>0</v>
      </c>
      <c r="S1373" s="183">
        <v>0</v>
      </c>
      <c r="T1373" s="183">
        <v>0</v>
      </c>
      <c r="U1373" s="183">
        <v>1</v>
      </c>
      <c r="V1373" s="183">
        <v>2</v>
      </c>
      <c r="W1373" s="183">
        <v>0</v>
      </c>
      <c r="X1373" s="183">
        <v>0</v>
      </c>
      <c r="Y1373" s="13">
        <v>0</v>
      </c>
      <c r="Z1373" s="183">
        <v>0</v>
      </c>
      <c r="AA1373" s="183">
        <v>0</v>
      </c>
      <c r="AB1373" s="183">
        <v>0</v>
      </c>
      <c r="AC1373" s="183">
        <v>0</v>
      </c>
      <c r="AD1373" s="17">
        <v>1</v>
      </c>
      <c r="AE1373" s="183">
        <v>0</v>
      </c>
      <c r="AF1373" s="183">
        <v>30</v>
      </c>
      <c r="AG1373" s="183">
        <v>0</v>
      </c>
      <c r="AH1373" s="183">
        <v>0</v>
      </c>
      <c r="AI1373" s="183">
        <v>7</v>
      </c>
      <c r="AJ1373" s="183">
        <v>0</v>
      </c>
      <c r="AK1373" s="183">
        <v>0</v>
      </c>
      <c r="AL1373" s="183">
        <v>3</v>
      </c>
      <c r="AM1373" s="183">
        <v>0</v>
      </c>
      <c r="AN1373" s="183">
        <v>0</v>
      </c>
      <c r="AO1373" s="183">
        <v>0</v>
      </c>
      <c r="AP1373" s="183">
        <v>0</v>
      </c>
      <c r="AQ1373" s="183">
        <v>2000</v>
      </c>
      <c r="AR1373" s="183">
        <v>0</v>
      </c>
      <c r="AS1373" s="183">
        <v>0</v>
      </c>
      <c r="AT1373" s="183">
        <v>0</v>
      </c>
      <c r="AU1373" s="183">
        <v>90513001</v>
      </c>
      <c r="AV1373" s="183"/>
      <c r="AW1373" s="238" t="s">
        <v>198</v>
      </c>
      <c r="AX1373" s="183">
        <v>0</v>
      </c>
      <c r="AY1373" s="183">
        <v>0</v>
      </c>
      <c r="AZ1373" s="183">
        <v>0</v>
      </c>
      <c r="BA1373" s="238" t="s">
        <v>200</v>
      </c>
      <c r="BB1373" s="238">
        <v>0</v>
      </c>
      <c r="BC1373" s="183">
        <v>0</v>
      </c>
      <c r="BD1373" s="183">
        <v>0</v>
      </c>
      <c r="BE1373" s="46" t="s">
        <v>2706</v>
      </c>
      <c r="BF1373" s="46" t="s">
        <v>2707</v>
      </c>
      <c r="BG1373" s="183">
        <v>0</v>
      </c>
      <c r="BH1373" s="183">
        <v>0</v>
      </c>
      <c r="BI1373" s="183">
        <v>0</v>
      </c>
      <c r="BJ1373" s="183">
        <v>0</v>
      </c>
      <c r="BK1373" s="183">
        <v>0</v>
      </c>
      <c r="BL1373" s="183">
        <v>0</v>
      </c>
      <c r="BM1373" s="245">
        <v>0</v>
      </c>
      <c r="BN1373" s="183">
        <v>0</v>
      </c>
      <c r="BO1373" s="13">
        <v>0</v>
      </c>
      <c r="BP1373" s="13">
        <v>0</v>
      </c>
      <c r="BQ1373" s="13">
        <v>0</v>
      </c>
      <c r="BR1373" s="13">
        <v>0</v>
      </c>
      <c r="BS1373" s="13">
        <v>0</v>
      </c>
      <c r="BT1373" s="13">
        <v>0</v>
      </c>
      <c r="BU1373" s="49">
        <v>0</v>
      </c>
      <c r="BV1373" s="49"/>
      <c r="BW1373" s="49"/>
    </row>
    <row r="1374" spans="1:75" ht="20.100000000000001" customHeight="1">
      <c r="C1374" s="17">
        <v>63403002</v>
      </c>
      <c r="D1374" s="18" t="s">
        <v>2655</v>
      </c>
      <c r="E1374" s="18" t="s">
        <v>2656</v>
      </c>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2657</v>
      </c>
      <c r="BF1374" s="46" t="s">
        <v>2658</v>
      </c>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63403003</v>
      </c>
      <c r="D1375" s="18" t="s">
        <v>2659</v>
      </c>
      <c r="E1375" s="18" t="s">
        <v>2640</v>
      </c>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2660</v>
      </c>
      <c r="BC1375" s="28"/>
      <c r="BD1375" s="28">
        <v>0</v>
      </c>
      <c r="BE1375" s="46" t="s">
        <v>2661</v>
      </c>
      <c r="BF1375" s="46" t="s">
        <v>2662</v>
      </c>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63403004</v>
      </c>
      <c r="D1376" s="238" t="s">
        <v>5357</v>
      </c>
      <c r="E1376" s="238" t="s">
        <v>2714</v>
      </c>
      <c r="F1376" s="183">
        <v>1</v>
      </c>
      <c r="G1376" s="183">
        <v>63001004</v>
      </c>
      <c r="H1376" s="183">
        <v>0</v>
      </c>
      <c r="I1376" s="183">
        <v>0</v>
      </c>
      <c r="J1376" s="19">
        <v>1</v>
      </c>
      <c r="K1376" s="19">
        <v>0</v>
      </c>
      <c r="L1376" s="17">
        <v>0</v>
      </c>
      <c r="M1376" s="183">
        <v>0</v>
      </c>
      <c r="N1376" s="183">
        <v>0</v>
      </c>
      <c r="O1376" s="183">
        <v>2</v>
      </c>
      <c r="P1376" s="183">
        <v>10</v>
      </c>
      <c r="Q1376" s="183">
        <v>0.1</v>
      </c>
      <c r="R1376" s="183">
        <v>0</v>
      </c>
      <c r="S1376" s="13">
        <v>0</v>
      </c>
      <c r="T1376" s="183">
        <v>0</v>
      </c>
      <c r="U1376" s="183">
        <v>1</v>
      </c>
      <c r="V1376" s="183">
        <v>2</v>
      </c>
      <c r="W1376" s="183">
        <v>0</v>
      </c>
      <c r="X1376" s="183">
        <v>0</v>
      </c>
      <c r="Y1376" s="13">
        <v>0</v>
      </c>
      <c r="Z1376" s="183">
        <v>0</v>
      </c>
      <c r="AA1376" s="183">
        <v>0</v>
      </c>
      <c r="AB1376" s="183">
        <v>0</v>
      </c>
      <c r="AC1376" s="183">
        <v>0</v>
      </c>
      <c r="AD1376" s="17">
        <v>1</v>
      </c>
      <c r="AE1376" s="183">
        <v>0</v>
      </c>
      <c r="AF1376" s="183">
        <v>15</v>
      </c>
      <c r="AG1376" s="183">
        <v>1</v>
      </c>
      <c r="AH1376" s="183">
        <v>1</v>
      </c>
      <c r="AI1376" s="183">
        <v>2</v>
      </c>
      <c r="AJ1376" s="183">
        <v>0</v>
      </c>
      <c r="AK1376" s="13">
        <v>0</v>
      </c>
      <c r="AL1376" s="183">
        <v>2</v>
      </c>
      <c r="AM1376" s="183">
        <v>0</v>
      </c>
      <c r="AN1376" s="183">
        <v>0</v>
      </c>
      <c r="AO1376" s="183">
        <v>0</v>
      </c>
      <c r="AP1376" s="17">
        <v>0</v>
      </c>
      <c r="AQ1376" s="183">
        <v>10000</v>
      </c>
      <c r="AR1376" s="183">
        <v>0</v>
      </c>
      <c r="AS1376" s="183">
        <v>0</v>
      </c>
      <c r="AT1376" s="183">
        <v>0</v>
      </c>
      <c r="AU1376" s="183" t="s">
        <v>198</v>
      </c>
      <c r="AV1376" s="183"/>
      <c r="AW1376" s="238" t="s">
        <v>199</v>
      </c>
      <c r="AX1376" s="183">
        <v>0</v>
      </c>
      <c r="AY1376" s="183">
        <v>0</v>
      </c>
      <c r="AZ1376" s="183">
        <v>0</v>
      </c>
      <c r="BA1376" s="238" t="s">
        <v>200</v>
      </c>
      <c r="BB1376" s="238" t="s">
        <v>198</v>
      </c>
      <c r="BC1376" s="183">
        <v>0</v>
      </c>
      <c r="BD1376" s="183">
        <v>0</v>
      </c>
      <c r="BE1376" s="254" t="s">
        <v>2715</v>
      </c>
      <c r="BF1376" s="254" t="s">
        <v>2716</v>
      </c>
      <c r="BG1376" s="183">
        <v>0</v>
      </c>
      <c r="BH1376" s="17">
        <v>0</v>
      </c>
      <c r="BI1376" s="183">
        <v>0</v>
      </c>
      <c r="BJ1376" s="183">
        <v>0</v>
      </c>
      <c r="BK1376" s="183">
        <v>0</v>
      </c>
      <c r="BL1376" s="183">
        <v>0</v>
      </c>
      <c r="BM1376" s="370" t="s">
        <v>2717</v>
      </c>
      <c r="BN1376" s="13">
        <v>1</v>
      </c>
      <c r="BO1376" s="13">
        <v>0</v>
      </c>
      <c r="BP1376" s="13">
        <v>0</v>
      </c>
      <c r="BQ1376" s="13">
        <v>0</v>
      </c>
      <c r="BR1376" s="13">
        <v>0</v>
      </c>
      <c r="BS1376" s="13">
        <v>0</v>
      </c>
      <c r="BT1376" s="13">
        <v>0</v>
      </c>
      <c r="BU1376" s="49">
        <v>0</v>
      </c>
      <c r="BV1376" s="49"/>
      <c r="BW1376" s="49"/>
    </row>
    <row r="1377" spans="3:75" ht="20.100000000000001" customHeight="1">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t="s">
        <v>198</v>
      </c>
      <c r="AV1377" s="19"/>
      <c r="AW1377" s="20" t="s">
        <v>199</v>
      </c>
      <c r="AX1377" s="19" t="s">
        <v>1816</v>
      </c>
      <c r="AY1377" s="19">
        <v>0</v>
      </c>
      <c r="AZ1377" s="19">
        <v>40000003</v>
      </c>
      <c r="BA1377" s="20" t="s">
        <v>200</v>
      </c>
      <c r="BB1377" s="20" t="s">
        <v>198</v>
      </c>
      <c r="BC1377" s="28">
        <v>0</v>
      </c>
      <c r="BD1377" s="28">
        <v>0</v>
      </c>
      <c r="BE1377" s="89" t="s">
        <v>2850</v>
      </c>
      <c r="BF1377" s="89" t="s">
        <v>2851</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spans="3:75" ht="20.100000000000001" customHeight="1">
      <c r="C1378" s="19">
        <v>64000002</v>
      </c>
      <c r="D1378" s="20" t="s">
        <v>2464</v>
      </c>
      <c r="E1378" s="20" t="s">
        <v>2465</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t="s">
        <v>198</v>
      </c>
      <c r="AV1378" s="19"/>
      <c r="AW1378" s="20" t="s">
        <v>199</v>
      </c>
      <c r="AX1378" s="19" t="s">
        <v>1816</v>
      </c>
      <c r="AY1378" s="19">
        <v>0</v>
      </c>
      <c r="AZ1378" s="19">
        <v>0</v>
      </c>
      <c r="BA1378" s="20" t="s">
        <v>200</v>
      </c>
      <c r="BB1378" s="20" t="s">
        <v>198</v>
      </c>
      <c r="BC1378" s="28">
        <v>0</v>
      </c>
      <c r="BD1378" s="28">
        <v>0</v>
      </c>
      <c r="BE1378" s="89" t="s">
        <v>2852</v>
      </c>
      <c r="BF1378" s="89" t="s">
        <v>2853</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9">
        <v>64000003</v>
      </c>
      <c r="D1379" s="20" t="s">
        <v>2854</v>
      </c>
      <c r="E1379" s="20" t="s">
        <v>2855</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t="s">
        <v>198</v>
      </c>
      <c r="AV1379" s="19"/>
      <c r="AW1379" s="20" t="s">
        <v>199</v>
      </c>
      <c r="AX1379" s="19" t="s">
        <v>1816</v>
      </c>
      <c r="AY1379" s="19">
        <v>0</v>
      </c>
      <c r="AZ1379" s="19">
        <v>0</v>
      </c>
      <c r="BA1379" s="20" t="s">
        <v>200</v>
      </c>
      <c r="BB1379" s="20" t="s">
        <v>198</v>
      </c>
      <c r="BC1379" s="28">
        <v>0</v>
      </c>
      <c r="BD1379" s="28">
        <v>0</v>
      </c>
      <c r="BE1379" s="89" t="s">
        <v>2856</v>
      </c>
      <c r="BF1379" s="89" t="s">
        <v>2857</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9">
        <v>64000004</v>
      </c>
      <c r="D1380" s="20" t="s">
        <v>2858</v>
      </c>
      <c r="E1380" s="20" t="s">
        <v>2859</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t="s">
        <v>198</v>
      </c>
      <c r="AV1380" s="19"/>
      <c r="AW1380" s="20" t="s">
        <v>199</v>
      </c>
      <c r="AX1380" s="19" t="s">
        <v>1816</v>
      </c>
      <c r="AY1380" s="19">
        <v>0</v>
      </c>
      <c r="AZ1380" s="19">
        <v>0</v>
      </c>
      <c r="BA1380" s="20" t="s">
        <v>200</v>
      </c>
      <c r="BB1380" s="20" t="s">
        <v>198</v>
      </c>
      <c r="BC1380" s="28">
        <v>0</v>
      </c>
      <c r="BD1380" s="28">
        <v>0</v>
      </c>
      <c r="BE1380" s="89" t="s">
        <v>2860</v>
      </c>
      <c r="BF1380" s="89" t="s">
        <v>2861</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spans="3:75" ht="20.100000000000001" customHeight="1">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t="s">
        <v>198</v>
      </c>
      <c r="AV1381" s="19"/>
      <c r="AW1381" s="20" t="s">
        <v>199</v>
      </c>
      <c r="AX1381" s="19" t="s">
        <v>1816</v>
      </c>
      <c r="AY1381" s="19">
        <v>0</v>
      </c>
      <c r="AZ1381" s="19">
        <v>0</v>
      </c>
      <c r="BA1381" s="20" t="s">
        <v>200</v>
      </c>
      <c r="BB1381" s="20" t="s">
        <v>198</v>
      </c>
      <c r="BC1381" s="28">
        <v>0</v>
      </c>
      <c r="BD1381" s="28">
        <v>0</v>
      </c>
      <c r="BE1381" s="89" t="s">
        <v>2862</v>
      </c>
      <c r="BF1381" s="89" t="s">
        <v>2863</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64000006</v>
      </c>
      <c r="D1382" s="20" t="s">
        <v>2864</v>
      </c>
      <c r="E1382" s="20" t="s">
        <v>2865</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t="s">
        <v>198</v>
      </c>
      <c r="AV1382" s="19"/>
      <c r="AW1382" s="20" t="s">
        <v>199</v>
      </c>
      <c r="AX1382" s="19" t="s">
        <v>1816</v>
      </c>
      <c r="AY1382" s="19">
        <v>0</v>
      </c>
      <c r="AZ1382" s="19">
        <v>0</v>
      </c>
      <c r="BA1382" s="20" t="s">
        <v>200</v>
      </c>
      <c r="BB1382" s="20" t="s">
        <v>198</v>
      </c>
      <c r="BC1382" s="28">
        <v>0</v>
      </c>
      <c r="BD1382" s="28">
        <v>0</v>
      </c>
      <c r="BE1382" s="89" t="s">
        <v>2866</v>
      </c>
      <c r="BF1382" s="89" t="s">
        <v>2867</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64000007</v>
      </c>
      <c r="D1383" s="20" t="s">
        <v>2868</v>
      </c>
      <c r="E1383" s="20" t="s">
        <v>2869</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t="s">
        <v>198</v>
      </c>
      <c r="AV1383" s="19"/>
      <c r="AW1383" s="20" t="s">
        <v>199</v>
      </c>
      <c r="AX1383" s="19" t="s">
        <v>1816</v>
      </c>
      <c r="AY1383" s="19">
        <v>0</v>
      </c>
      <c r="AZ1383" s="19">
        <v>0</v>
      </c>
      <c r="BA1383" s="20" t="s">
        <v>200</v>
      </c>
      <c r="BB1383" s="20" t="s">
        <v>198</v>
      </c>
      <c r="BC1383" s="28">
        <v>0</v>
      </c>
      <c r="BD1383" s="28">
        <v>0</v>
      </c>
      <c r="BE1383" s="89" t="s">
        <v>2870</v>
      </c>
      <c r="BF1383" s="89" t="s">
        <v>2871</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2872</v>
      </c>
      <c r="BF1384" s="89" t="s">
        <v>2873</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64100001</v>
      </c>
      <c r="D1385" s="20" t="s">
        <v>2874</v>
      </c>
      <c r="E1385" s="20" t="s">
        <v>2875</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2876</v>
      </c>
      <c r="BF1385" s="44" t="s">
        <v>2877</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64100002</v>
      </c>
      <c r="D1386" s="20" t="s">
        <v>2878</v>
      </c>
      <c r="E1386" s="20" t="s">
        <v>2879</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2876</v>
      </c>
      <c r="BF1386" s="44" t="s">
        <v>2877</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64100003</v>
      </c>
      <c r="D1387" s="18" t="s">
        <v>2880</v>
      </c>
      <c r="E1387" s="18" t="s">
        <v>2881</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2882</v>
      </c>
      <c r="BC1387" s="28">
        <v>0</v>
      </c>
      <c r="BD1387" s="28">
        <v>0</v>
      </c>
      <c r="BE1387" s="46" t="s">
        <v>2883</v>
      </c>
      <c r="BF1387" s="46" t="s">
        <v>2884</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64100004</v>
      </c>
      <c r="D1388" s="20" t="s">
        <v>2885</v>
      </c>
      <c r="E1388" s="20" t="s">
        <v>2886</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2876</v>
      </c>
      <c r="BF1388" s="44" t="s">
        <v>2877</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spans="3:75" ht="20.25" customHeight="1">
      <c r="C1389" s="19">
        <v>64100005</v>
      </c>
      <c r="D1389" s="20" t="s">
        <v>2583</v>
      </c>
      <c r="E1389" s="20" t="s">
        <v>2584</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7">
        <v>90610051</v>
      </c>
      <c r="AV1389" s="258"/>
      <c r="AW1389" s="18" t="s">
        <v>242</v>
      </c>
      <c r="AX1389" s="19" t="s">
        <v>1674</v>
      </c>
      <c r="AY1389" s="19">
        <v>10000011</v>
      </c>
      <c r="AZ1389" s="19">
        <v>20001010</v>
      </c>
      <c r="BA1389" s="20" t="s">
        <v>250</v>
      </c>
      <c r="BB1389" s="20" t="s">
        <v>198</v>
      </c>
      <c r="BC1389" s="28">
        <v>0</v>
      </c>
      <c r="BD1389" s="28">
        <v>0</v>
      </c>
      <c r="BE1389" s="46" t="s">
        <v>2887</v>
      </c>
      <c r="BF1389" s="46" t="s">
        <v>2888</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2889</v>
      </c>
      <c r="BF1390" s="89" t="s">
        <v>2890</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64100007</v>
      </c>
      <c r="D1391" s="18" t="s">
        <v>2880</v>
      </c>
      <c r="E1391" s="18" t="s">
        <v>2881</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2891</v>
      </c>
      <c r="BC1391" s="28">
        <v>0</v>
      </c>
      <c r="BD1391" s="28">
        <v>0</v>
      </c>
      <c r="BE1391" s="46" t="s">
        <v>2883</v>
      </c>
      <c r="BF1391" s="46" t="s">
        <v>2884</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25" customHeight="1">
      <c r="C1392" s="19">
        <v>641000071</v>
      </c>
      <c r="D1392" s="20" t="s">
        <v>2583</v>
      </c>
      <c r="E1392" s="20" t="s">
        <v>2584</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7">
        <v>0</v>
      </c>
      <c r="AV1392" s="258"/>
      <c r="AW1392" s="18" t="s">
        <v>242</v>
      </c>
      <c r="AX1392" s="19" t="s">
        <v>1674</v>
      </c>
      <c r="AY1392" s="19">
        <v>10000011</v>
      </c>
      <c r="AZ1392" s="19">
        <v>70204001</v>
      </c>
      <c r="BA1392" s="20" t="s">
        <v>250</v>
      </c>
      <c r="BB1392" s="20" t="s">
        <v>198</v>
      </c>
      <c r="BC1392" s="28">
        <v>0</v>
      </c>
      <c r="BD1392" s="28">
        <v>0</v>
      </c>
      <c r="BE1392" s="46" t="s">
        <v>2887</v>
      </c>
      <c r="BF1392" s="46" t="s">
        <v>2888</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spans="3:75" ht="20.100000000000001" customHeight="1">
      <c r="C1393" s="19">
        <v>64100008</v>
      </c>
      <c r="D1393" s="18" t="s">
        <v>2892</v>
      </c>
      <c r="E1393" s="18" t="s">
        <v>2893</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59" t="s">
        <v>2894</v>
      </c>
      <c r="BC1393" s="28">
        <v>0</v>
      </c>
      <c r="BD1393" s="28">
        <v>0</v>
      </c>
      <c r="BE1393" s="46" t="s">
        <v>2895</v>
      </c>
      <c r="BF1393" s="46" t="s">
        <v>2896</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spans="3:75" ht="19.5" customHeight="1">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39">"立即对指定前方区域释放冲击波,冲击波对触碰的怪物造成"&amp;X1394*100&amp;"%攻击伤害+"&amp;Z1394&amp;"点固定伤害"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19.5" customHeight="1">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0">"立即对目标范围内的怪物造成"&amp;X1395*100&amp;"%攻击伤害+"&amp;Z1395&amp;"点固定伤害"</f>
        <v>立即对目标范围内的怪物造成250%攻击伤害+1000点固定伤害</v>
      </c>
      <c r="BF1395" s="186" t="s">
        <v>2897</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spans="3:75" ht="20.100000000000001" customHeight="1">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spans="3:75" ht="20.100000000000001" customHeight="1">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spans="3:75" ht="20.100000000000001" customHeight="1">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2898</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spans="3:75" ht="20.100000000000001" customHeight="1">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2899</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spans="3:75" ht="20.100000000000001" customHeight="1">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2900</v>
      </c>
      <c r="AY1400" s="31">
        <v>0</v>
      </c>
      <c r="AZ1400" s="31">
        <v>40000003</v>
      </c>
      <c r="BA1400" s="39" t="s">
        <v>200</v>
      </c>
      <c r="BB1400" s="39" t="s">
        <v>198</v>
      </c>
      <c r="BC1400" s="31">
        <v>0</v>
      </c>
      <c r="BD1400" s="31">
        <v>0</v>
      </c>
      <c r="BE1400" s="219"/>
      <c r="BF1400" s="219"/>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spans="3:75" ht="20.100000000000001" customHeight="1">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2900</v>
      </c>
      <c r="AY1401" s="31">
        <v>0</v>
      </c>
      <c r="AZ1401" s="31">
        <v>40000003</v>
      </c>
      <c r="BA1401" s="39" t="s">
        <v>200</v>
      </c>
      <c r="BB1401" s="39" t="s">
        <v>198</v>
      </c>
      <c r="BC1401" s="31">
        <v>0</v>
      </c>
      <c r="BD1401" s="31">
        <v>0</v>
      </c>
      <c r="BE1401" s="219"/>
      <c r="BF1401" s="219"/>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spans="3:75" ht="20.100000000000001" customHeight="1">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2900</v>
      </c>
      <c r="AY1402" s="31">
        <v>0</v>
      </c>
      <c r="AZ1402" s="31">
        <v>40000003</v>
      </c>
      <c r="BA1402" s="39" t="s">
        <v>200</v>
      </c>
      <c r="BB1402" s="39" t="s">
        <v>198</v>
      </c>
      <c r="BC1402" s="31">
        <v>0</v>
      </c>
      <c r="BD1402" s="31">
        <v>0</v>
      </c>
      <c r="BE1402" s="219"/>
      <c r="BF1402" s="219"/>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spans="3:75" ht="20.100000000000001" customHeight="1">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2900</v>
      </c>
      <c r="AY1403" s="31">
        <v>0</v>
      </c>
      <c r="AZ1403" s="31">
        <v>40000003</v>
      </c>
      <c r="BA1403" s="39" t="s">
        <v>200</v>
      </c>
      <c r="BB1403" s="39" t="s">
        <v>198</v>
      </c>
      <c r="BC1403" s="31">
        <v>0</v>
      </c>
      <c r="BD1403" s="31">
        <v>0</v>
      </c>
      <c r="BE1403" s="219"/>
      <c r="BF1403" s="219"/>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spans="3:75" ht="20.100000000000001" customHeight="1">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2900</v>
      </c>
      <c r="AY1404" s="31">
        <v>0</v>
      </c>
      <c r="AZ1404" s="31">
        <v>40000003</v>
      </c>
      <c r="BA1404" s="39" t="s">
        <v>200</v>
      </c>
      <c r="BB1404" s="39" t="s">
        <v>198</v>
      </c>
      <c r="BC1404" s="31">
        <v>0</v>
      </c>
      <c r="BD1404" s="31">
        <v>0</v>
      </c>
      <c r="BE1404" s="219"/>
      <c r="BF1404" s="219"/>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19">
        <v>65001001</v>
      </c>
      <c r="D1405" s="20" t="s">
        <v>2901</v>
      </c>
      <c r="E1405" s="20" t="s">
        <v>2902</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48" t="s">
        <v>2903</v>
      </c>
      <c r="AU1405" s="19" t="s">
        <v>198</v>
      </c>
      <c r="AV1405" s="19"/>
      <c r="AW1405" s="20" t="s">
        <v>199</v>
      </c>
      <c r="AX1405" s="19" t="s">
        <v>2900</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spans="3:75" ht="20.100000000000001" customHeight="1">
      <c r="C1406" s="19">
        <v>65001002</v>
      </c>
      <c r="D1406" s="20" t="s">
        <v>2904</v>
      </c>
      <c r="E1406" s="20" t="s">
        <v>2905</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2900</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spans="3:75" ht="20.100000000000001" customHeight="1">
      <c r="C1407" s="19">
        <v>65001003</v>
      </c>
      <c r="D1407" s="20" t="s">
        <v>2906</v>
      </c>
      <c r="E1407" s="20" t="s">
        <v>2907</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2908</v>
      </c>
      <c r="AU1407" s="19" t="s">
        <v>198</v>
      </c>
      <c r="AV1407" s="19"/>
      <c r="AW1407" s="20" t="s">
        <v>199</v>
      </c>
      <c r="AX1407" s="19" t="s">
        <v>2900</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spans="3:75" ht="20.100000000000001" customHeight="1">
      <c r="C1408" s="19">
        <v>65001004</v>
      </c>
      <c r="D1408" s="20" t="s">
        <v>2909</v>
      </c>
      <c r="E1408" s="20" t="s">
        <v>2910</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2900</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spans="3:75" ht="20.100000000000001" customHeight="1">
      <c r="C1409" s="19">
        <v>65001005</v>
      </c>
      <c r="D1409" s="20" t="s">
        <v>2911</v>
      </c>
      <c r="E1409" s="20" t="s">
        <v>2905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2900</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65001006</v>
      </c>
      <c r="D1410" s="20" t="s">
        <v>2912</v>
      </c>
      <c r="E1410" s="20" t="s">
        <v>2913</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2914</v>
      </c>
      <c r="AU1410" s="19" t="s">
        <v>198</v>
      </c>
      <c r="AV1410" s="19"/>
      <c r="AW1410" s="20" t="s">
        <v>199</v>
      </c>
      <c r="AX1410" s="19" t="s">
        <v>2900</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65001101</v>
      </c>
      <c r="D1411" s="20" t="s">
        <v>2915</v>
      </c>
      <c r="E1411" s="20" t="s">
        <v>2916</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2900</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65001102</v>
      </c>
      <c r="D1412" s="20" t="s">
        <v>2917</v>
      </c>
      <c r="E1412" s="20" t="s">
        <v>2918</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2900</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65001103</v>
      </c>
      <c r="D1413" s="20" t="s">
        <v>2919</v>
      </c>
      <c r="E1413" s="20" t="s">
        <v>2920</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2900</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65001104</v>
      </c>
      <c r="D1414" s="20" t="s">
        <v>2921</v>
      </c>
      <c r="E1414" s="20" t="s">
        <v>2922</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2900</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65001105</v>
      </c>
      <c r="D1415" s="20" t="s">
        <v>2923</v>
      </c>
      <c r="E1415" s="20" t="s">
        <v>2924</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2900</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65002001</v>
      </c>
      <c r="D1416" s="20" t="s">
        <v>2925</v>
      </c>
      <c r="E1416" s="20" t="s">
        <v>2926</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48" t="s">
        <v>2927</v>
      </c>
      <c r="AU1416" s="19" t="s">
        <v>198</v>
      </c>
      <c r="AV1416" s="19"/>
      <c r="AW1416" s="20" t="s">
        <v>199</v>
      </c>
      <c r="AX1416" s="19" t="s">
        <v>2900</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65002002</v>
      </c>
      <c r="D1417" s="20" t="s">
        <v>2928</v>
      </c>
      <c r="E1417" s="20" t="s">
        <v>2929</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2900</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65002003</v>
      </c>
      <c r="D1418" s="20" t="s">
        <v>2930</v>
      </c>
      <c r="E1418" s="20" t="s">
        <v>2931</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2932</v>
      </c>
      <c r="AU1418" s="19" t="s">
        <v>198</v>
      </c>
      <c r="AV1418" s="19"/>
      <c r="AW1418" s="20" t="s">
        <v>199</v>
      </c>
      <c r="AX1418" s="19" t="s">
        <v>2900</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65002004</v>
      </c>
      <c r="D1419" s="20" t="s">
        <v>2933</v>
      </c>
      <c r="E1419" s="20" t="s">
        <v>2934</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2900</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65002005</v>
      </c>
      <c r="D1420" s="20" t="s">
        <v>2935</v>
      </c>
      <c r="E1420" s="20" t="s">
        <v>2936</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2900</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65002006</v>
      </c>
      <c r="D1421" s="20" t="s">
        <v>2937</v>
      </c>
      <c r="E1421" s="20" t="s">
        <v>2938</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2939</v>
      </c>
      <c r="AU1421" s="19" t="s">
        <v>198</v>
      </c>
      <c r="AV1421" s="19"/>
      <c r="AW1421" s="20" t="s">
        <v>199</v>
      </c>
      <c r="AX1421" s="19" t="s">
        <v>2900</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65002101</v>
      </c>
      <c r="D1422" s="20" t="s">
        <v>2940</v>
      </c>
      <c r="E1422" s="20" t="s">
        <v>2941</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2900</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65002102</v>
      </c>
      <c r="D1423" s="20" t="s">
        <v>2942</v>
      </c>
      <c r="E1423" s="20" t="s">
        <v>2943</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2900</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65002103</v>
      </c>
      <c r="D1424" s="20" t="s">
        <v>2944</v>
      </c>
      <c r="E1424" s="20" t="s">
        <v>2945</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2900</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65002104</v>
      </c>
      <c r="D1425" s="20" t="s">
        <v>2946</v>
      </c>
      <c r="E1425" s="20" t="s">
        <v>2947</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2900</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65002105</v>
      </c>
      <c r="D1426" s="20" t="s">
        <v>2948</v>
      </c>
      <c r="E1426" s="20" t="s">
        <v>2949</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2900</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65003001</v>
      </c>
      <c r="D1427" s="20" t="s">
        <v>2950</v>
      </c>
      <c r="E1427" s="20" t="s">
        <v>2951</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48" t="s">
        <v>2952</v>
      </c>
      <c r="AU1427" s="19" t="s">
        <v>198</v>
      </c>
      <c r="AV1427" s="19"/>
      <c r="AW1427" s="20" t="s">
        <v>199</v>
      </c>
      <c r="AX1427" s="19" t="s">
        <v>2900</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65003002</v>
      </c>
      <c r="D1428" s="20" t="s">
        <v>2953</v>
      </c>
      <c r="E1428" s="20" t="s">
        <v>2954</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2900</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65003003</v>
      </c>
      <c r="D1429" s="20" t="s">
        <v>2955</v>
      </c>
      <c r="E1429" s="20" t="s">
        <v>2956</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2957</v>
      </c>
      <c r="AU1429" s="19" t="s">
        <v>198</v>
      </c>
      <c r="AV1429" s="19"/>
      <c r="AW1429" s="20" t="s">
        <v>199</v>
      </c>
      <c r="AX1429" s="19" t="s">
        <v>2900</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65003004</v>
      </c>
      <c r="D1430" s="20" t="s">
        <v>2958</v>
      </c>
      <c r="E1430" s="20" t="s">
        <v>2959</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2900</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65003005</v>
      </c>
      <c r="D1431" s="20" t="s">
        <v>2960</v>
      </c>
      <c r="E1431" s="20" t="s">
        <v>2961</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2900</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65003006</v>
      </c>
      <c r="D1432" s="20" t="s">
        <v>2962</v>
      </c>
      <c r="E1432" s="20" t="s">
        <v>2963</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2964</v>
      </c>
      <c r="AU1432" s="19" t="s">
        <v>198</v>
      </c>
      <c r="AV1432" s="19"/>
      <c r="AW1432" s="20" t="s">
        <v>199</v>
      </c>
      <c r="AX1432" s="19" t="s">
        <v>2900</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65003101</v>
      </c>
      <c r="D1433" s="20" t="s">
        <v>2965</v>
      </c>
      <c r="E1433" s="20" t="s">
        <v>2966</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2900</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65003102</v>
      </c>
      <c r="D1434" s="20" t="s">
        <v>2967</v>
      </c>
      <c r="E1434" s="20" t="s">
        <v>2968</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2900</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65003103</v>
      </c>
      <c r="D1435" s="20" t="s">
        <v>2969</v>
      </c>
      <c r="E1435" s="20" t="s">
        <v>2970</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2900</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65003104</v>
      </c>
      <c r="D1436" s="20" t="s">
        <v>2971</v>
      </c>
      <c r="E1436" s="20" t="s">
        <v>2972</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2900</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65003105</v>
      </c>
      <c r="D1437" s="20" t="s">
        <v>2973</v>
      </c>
      <c r="E1437" s="20" t="s">
        <v>2974</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2900</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65004001</v>
      </c>
      <c r="D1438" s="20" t="s">
        <v>2975</v>
      </c>
      <c r="E1438" s="20" t="s">
        <v>2976</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48" t="s">
        <v>2977</v>
      </c>
      <c r="AU1438" s="19" t="s">
        <v>198</v>
      </c>
      <c r="AV1438" s="19"/>
      <c r="AW1438" s="20" t="s">
        <v>199</v>
      </c>
      <c r="AX1438" s="19" t="s">
        <v>2900</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65004002</v>
      </c>
      <c r="D1439" s="20" t="s">
        <v>2978</v>
      </c>
      <c r="E1439" s="20" t="s">
        <v>2979</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2900</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65004003</v>
      </c>
      <c r="D1440" s="20" t="s">
        <v>2980</v>
      </c>
      <c r="E1440" s="20" t="s">
        <v>2981</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2982</v>
      </c>
      <c r="AU1440" s="19" t="s">
        <v>198</v>
      </c>
      <c r="AV1440" s="19"/>
      <c r="AW1440" s="20" t="s">
        <v>199</v>
      </c>
      <c r="AX1440" s="19" t="s">
        <v>2900</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65004004</v>
      </c>
      <c r="D1441" s="20" t="s">
        <v>2983</v>
      </c>
      <c r="E1441" s="20" t="s">
        <v>2984</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2900</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65004005</v>
      </c>
      <c r="D1442" s="20" t="s">
        <v>2985</v>
      </c>
      <c r="E1442" s="20" t="s">
        <v>2986</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2900</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65004006</v>
      </c>
      <c r="D1443" s="20" t="s">
        <v>2987</v>
      </c>
      <c r="E1443" s="20" t="s">
        <v>2988</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2989</v>
      </c>
      <c r="AU1443" s="19" t="s">
        <v>198</v>
      </c>
      <c r="AV1443" s="19"/>
      <c r="AW1443" s="20" t="s">
        <v>199</v>
      </c>
      <c r="AX1443" s="19" t="s">
        <v>2900</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65004101</v>
      </c>
      <c r="D1444" s="20" t="s">
        <v>2990</v>
      </c>
      <c r="E1444" s="20" t="s">
        <v>2991</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2900</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65004102</v>
      </c>
      <c r="D1445" s="20" t="s">
        <v>2992</v>
      </c>
      <c r="E1445" s="20" t="s">
        <v>2993</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2900</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65004103</v>
      </c>
      <c r="D1446" s="20" t="s">
        <v>2994</v>
      </c>
      <c r="E1446" s="20" t="s">
        <v>2970</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2900</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65004104</v>
      </c>
      <c r="D1447" s="20" t="s">
        <v>2995</v>
      </c>
      <c r="E1447" s="20" t="s">
        <v>2996</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2900</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65004105</v>
      </c>
      <c r="D1448" s="20" t="s">
        <v>2997</v>
      </c>
      <c r="E1448" s="20" t="s">
        <v>2998</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2900</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65005001</v>
      </c>
      <c r="D1449" s="20" t="s">
        <v>2999</v>
      </c>
      <c r="E1449" s="20" t="s">
        <v>3000</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48" t="s">
        <v>3001</v>
      </c>
      <c r="AU1449" s="19" t="s">
        <v>198</v>
      </c>
      <c r="AV1449" s="19"/>
      <c r="AW1449" s="20" t="s">
        <v>199</v>
      </c>
      <c r="AX1449" s="19" t="s">
        <v>2900</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65005002</v>
      </c>
      <c r="D1450" s="20" t="s">
        <v>3002</v>
      </c>
      <c r="E1450" s="20" t="s">
        <v>3003</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2900</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65005003</v>
      </c>
      <c r="D1451" s="20" t="s">
        <v>3004</v>
      </c>
      <c r="E1451" s="20" t="s">
        <v>3005</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3006</v>
      </c>
      <c r="AU1451" s="19" t="s">
        <v>198</v>
      </c>
      <c r="AV1451" s="19"/>
      <c r="AW1451" s="20" t="s">
        <v>199</v>
      </c>
      <c r="AX1451" s="19" t="s">
        <v>2900</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65005004</v>
      </c>
      <c r="D1452" s="20" t="s">
        <v>3007</v>
      </c>
      <c r="E1452" s="20" t="s">
        <v>3008</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2900</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65005005</v>
      </c>
      <c r="D1453" s="20" t="s">
        <v>3009</v>
      </c>
      <c r="E1453" s="20" t="s">
        <v>3010</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2900</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65005006</v>
      </c>
      <c r="D1454" s="20" t="s">
        <v>3011</v>
      </c>
      <c r="E1454" s="20" t="s">
        <v>3012</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3013</v>
      </c>
      <c r="AU1454" s="19" t="s">
        <v>198</v>
      </c>
      <c r="AV1454" s="19"/>
      <c r="AW1454" s="20" t="s">
        <v>199</v>
      </c>
      <c r="AX1454" s="19" t="s">
        <v>2900</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65005101</v>
      </c>
      <c r="D1455" s="20" t="s">
        <v>3014</v>
      </c>
      <c r="E1455" s="20" t="s">
        <v>3015</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2900</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65005102</v>
      </c>
      <c r="D1456" s="20" t="s">
        <v>3016</v>
      </c>
      <c r="E1456" s="20" t="s">
        <v>3017</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2900</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65005103</v>
      </c>
      <c r="D1457" s="20" t="s">
        <v>3018</v>
      </c>
      <c r="E1457" s="20" t="s">
        <v>3019</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2900</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65005104</v>
      </c>
      <c r="D1458" s="20" t="s">
        <v>3020</v>
      </c>
      <c r="E1458" s="20" t="s">
        <v>3021</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2900</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65005105</v>
      </c>
      <c r="D1459" s="20" t="s">
        <v>3022</v>
      </c>
      <c r="E1459" s="20" t="s">
        <v>3023</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2900</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65006001</v>
      </c>
      <c r="D1460" s="20" t="s">
        <v>3024</v>
      </c>
      <c r="E1460" s="20" t="s">
        <v>3025</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48" t="s">
        <v>3026</v>
      </c>
      <c r="AU1460" s="19" t="s">
        <v>198</v>
      </c>
      <c r="AV1460" s="19"/>
      <c r="AW1460" s="20" t="s">
        <v>199</v>
      </c>
      <c r="AX1460" s="19" t="s">
        <v>2900</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65006002</v>
      </c>
      <c r="D1461" s="20" t="s">
        <v>3027</v>
      </c>
      <c r="E1461" s="20" t="s">
        <v>3028</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2900</v>
      </c>
      <c r="AY1461" s="19">
        <v>0</v>
      </c>
      <c r="AZ1461" s="19">
        <v>40000003</v>
      </c>
      <c r="BA1461" s="20" t="s">
        <v>200</v>
      </c>
      <c r="BB1461" s="20" t="s">
        <v>198</v>
      </c>
      <c r="BC1461" s="28">
        <v>0</v>
      </c>
      <c r="BD1461" s="28">
        <v>0</v>
      </c>
      <c r="BE1461" s="89" t="s">
        <v>3029</v>
      </c>
      <c r="BF1461" s="89" t="s">
        <v>3030</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19.5" customHeight="1">
      <c r="C1462" s="19">
        <v>65006003</v>
      </c>
      <c r="D1462" s="18" t="s">
        <v>3031</v>
      </c>
      <c r="E1462" s="18" t="s">
        <v>3032</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3033</v>
      </c>
      <c r="BF1462" s="46" t="s">
        <v>3034</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spans="3:75" ht="19.5" customHeight="1">
      <c r="C1463" s="19">
        <v>65006004</v>
      </c>
      <c r="D1463" s="18" t="s">
        <v>3035</v>
      </c>
      <c r="E1463" s="18" t="s">
        <v>3036</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3037</v>
      </c>
      <c r="BF1463" s="46" t="s">
        <v>3038</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3039</v>
      </c>
      <c r="AU1464" s="19" t="s">
        <v>198</v>
      </c>
      <c r="AV1464" s="19"/>
      <c r="AW1464" s="20" t="s">
        <v>199</v>
      </c>
      <c r="AX1464" s="19" t="s">
        <v>2900</v>
      </c>
      <c r="AY1464" s="19">
        <v>0</v>
      </c>
      <c r="AZ1464" s="19">
        <v>66001001</v>
      </c>
      <c r="BA1464" s="20" t="s">
        <v>200</v>
      </c>
      <c r="BB1464" s="20" t="s">
        <v>198</v>
      </c>
      <c r="BC1464" s="28">
        <v>0</v>
      </c>
      <c r="BD1464" s="28">
        <v>0</v>
      </c>
      <c r="BE1464" s="89" t="s">
        <v>3040</v>
      </c>
      <c r="BF1464" s="89" t="s">
        <v>3041</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66001002</v>
      </c>
      <c r="D1465" s="20" t="s">
        <v>3042</v>
      </c>
      <c r="E1465" s="20" t="s">
        <v>3043</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3044</v>
      </c>
      <c r="BF1465" s="89" t="s">
        <v>3045</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spans="3:75" ht="20.100000000000001" customHeight="1">
      <c r="C1466" s="19">
        <v>66001003</v>
      </c>
      <c r="D1466" s="20" t="s">
        <v>3046</v>
      </c>
      <c r="E1466" s="20" t="s">
        <v>3047</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2900</v>
      </c>
      <c r="AY1466" s="19">
        <v>0</v>
      </c>
      <c r="AZ1466" s="19">
        <v>66001003</v>
      </c>
      <c r="BA1466" s="20" t="s">
        <v>200</v>
      </c>
      <c r="BB1466" s="20" t="s">
        <v>198</v>
      </c>
      <c r="BC1466" s="28">
        <v>0</v>
      </c>
      <c r="BD1466" s="28">
        <v>0</v>
      </c>
      <c r="BE1466" s="89" t="s">
        <v>3048</v>
      </c>
      <c r="BF1466" s="89" t="s">
        <v>3049</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spans="3:75" ht="20.100000000000001" customHeight="1">
      <c r="C1467" s="19">
        <v>66001004</v>
      </c>
      <c r="D1467" s="20" t="s">
        <v>3050</v>
      </c>
      <c r="E1467" s="20" t="s">
        <v>3051</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2900</v>
      </c>
      <c r="AY1467" s="19">
        <v>0</v>
      </c>
      <c r="AZ1467" s="19">
        <v>66001004</v>
      </c>
      <c r="BA1467" s="20" t="s">
        <v>200</v>
      </c>
      <c r="BB1467" s="20" t="s">
        <v>198</v>
      </c>
      <c r="BC1467" s="28">
        <v>0</v>
      </c>
      <c r="BD1467" s="28">
        <v>0</v>
      </c>
      <c r="BE1467" s="89" t="s">
        <v>3052</v>
      </c>
      <c r="BF1467" s="89" t="s">
        <v>3053</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3">
        <v>66001005</v>
      </c>
      <c r="D1468" s="14" t="s">
        <v>3054</v>
      </c>
      <c r="E1468" s="14" t="s">
        <v>3055</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2900</v>
      </c>
      <c r="AY1468" s="13" t="s">
        <v>198</v>
      </c>
      <c r="AZ1468" s="13">
        <v>66001005</v>
      </c>
      <c r="BA1468" s="14" t="s">
        <v>200</v>
      </c>
      <c r="BB1468" s="13">
        <v>0</v>
      </c>
      <c r="BC1468" s="13">
        <v>0</v>
      </c>
      <c r="BD1468" s="13">
        <v>0</v>
      </c>
      <c r="BE1468" s="44" t="s">
        <v>3056</v>
      </c>
      <c r="BF1468" s="44" t="s">
        <v>3057</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66001006</v>
      </c>
      <c r="D1469" s="20" t="s">
        <v>3058</v>
      </c>
      <c r="E1469" s="20" t="s">
        <v>3059</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2900</v>
      </c>
      <c r="AY1469" s="19">
        <v>0</v>
      </c>
      <c r="AZ1469" s="19">
        <v>66001006</v>
      </c>
      <c r="BA1469" s="20" t="s">
        <v>200</v>
      </c>
      <c r="BB1469" s="20" t="s">
        <v>198</v>
      </c>
      <c r="BC1469" s="28">
        <v>0</v>
      </c>
      <c r="BD1469" s="28">
        <v>0</v>
      </c>
      <c r="BE1469" s="89" t="s">
        <v>3060</v>
      </c>
      <c r="BF1469" s="89" t="s">
        <v>3061</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spans="3:75" ht="20.100000000000001" customHeight="1">
      <c r="C1470" s="19">
        <v>66001007</v>
      </c>
      <c r="D1470" s="14" t="s">
        <v>3062</v>
      </c>
      <c r="E1470" s="14" t="s">
        <v>3063</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3064</v>
      </c>
      <c r="BF1470" s="44" t="s">
        <v>3065</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spans="3:75" ht="19.5" customHeight="1">
      <c r="C1471" s="19">
        <v>66001008</v>
      </c>
      <c r="D1471" s="20" t="s">
        <v>3066</v>
      </c>
      <c r="E1471" s="20" t="s">
        <v>3067</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3068</v>
      </c>
      <c r="BF1471" s="89" t="s">
        <v>3069</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spans="3:75" ht="19.5" customHeight="1">
      <c r="C1472" s="19">
        <v>66001009</v>
      </c>
      <c r="D1472" s="20" t="s">
        <v>3070</v>
      </c>
      <c r="E1472" s="20" t="s">
        <v>3071</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3072</v>
      </c>
      <c r="BF1472" s="89" t="s">
        <v>3073</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spans="3:75" ht="20.100000000000001" customHeight="1">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2900</v>
      </c>
      <c r="AY1473" s="19">
        <v>0</v>
      </c>
      <c r="AZ1473" s="19">
        <v>66001010</v>
      </c>
      <c r="BA1473" s="20" t="s">
        <v>200</v>
      </c>
      <c r="BB1473" s="20" t="s">
        <v>198</v>
      </c>
      <c r="BC1473" s="28">
        <v>0</v>
      </c>
      <c r="BD1473" s="28">
        <v>0</v>
      </c>
      <c r="BE1473" s="89" t="s">
        <v>3074</v>
      </c>
      <c r="BF1473" s="89" t="s">
        <v>3075</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66001011</v>
      </c>
      <c r="D1474" s="18" t="s">
        <v>3076</v>
      </c>
      <c r="E1474" s="18" t="s">
        <v>3077</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3078</v>
      </c>
      <c r="BF1474" s="46" t="s">
        <v>3079</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spans="3:75" ht="19.5" customHeight="1">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3080</v>
      </c>
      <c r="BF1475" s="94" t="s">
        <v>3081</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spans="3:75" ht="20.100000000000001" customHeight="1">
      <c r="C1476" s="66">
        <v>66001013</v>
      </c>
      <c r="D1476" s="65" t="s">
        <v>3082</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7" t="s">
        <v>3083</v>
      </c>
      <c r="BF1476" s="207" t="s">
        <v>3084</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spans="3:75" ht="20.100000000000001" customHeight="1">
      <c r="C1477" s="66">
        <v>66001014</v>
      </c>
      <c r="D1477" s="65" t="s">
        <v>3085</v>
      </c>
      <c r="E1477" s="65" t="s">
        <v>3086</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7" t="s">
        <v>3087</v>
      </c>
      <c r="BF1477" s="207" t="s">
        <v>3088</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spans="3:75" ht="20.100000000000001" customHeight="1">
      <c r="C1478" s="66">
        <v>66001015</v>
      </c>
      <c r="D1478" s="65" t="s">
        <v>3089</v>
      </c>
      <c r="E1478" s="65" t="s">
        <v>3090</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7" t="s">
        <v>3091</v>
      </c>
      <c r="BF1478" s="207" t="s">
        <v>3092</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spans="3:75" ht="20.100000000000001" customHeight="1">
      <c r="C1479" s="66">
        <v>66001016</v>
      </c>
      <c r="D1479" s="65" t="s">
        <v>3093</v>
      </c>
      <c r="E1479" s="65" t="s">
        <v>3094</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3095</v>
      </c>
      <c r="BF1479" s="94" t="s">
        <v>3096</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66001017</v>
      </c>
      <c r="D1480" s="61" t="s">
        <v>3097</v>
      </c>
      <c r="E1480" s="61" t="s">
        <v>3098</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2" t="s">
        <v>3099</v>
      </c>
      <c r="BC1480" s="68">
        <v>0</v>
      </c>
      <c r="BD1480" s="68">
        <v>0</v>
      </c>
      <c r="BE1480" s="92" t="s">
        <v>3100</v>
      </c>
      <c r="BF1480" s="92" t="s">
        <v>3101</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66001018</v>
      </c>
      <c r="D1481" s="65" t="s">
        <v>3102</v>
      </c>
      <c r="E1481" s="65" t="s">
        <v>3103</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7" t="s">
        <v>3104</v>
      </c>
      <c r="BF1481" s="207" t="s">
        <v>3105</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spans="3:75" ht="20.100000000000001" customHeight="1">
      <c r="C1482" s="66">
        <v>66001019</v>
      </c>
      <c r="D1482" s="61" t="s">
        <v>3106</v>
      </c>
      <c r="E1482" s="61" t="s">
        <v>3107</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2614</v>
      </c>
      <c r="BB1482" s="62">
        <v>0</v>
      </c>
      <c r="BC1482" s="68">
        <v>0</v>
      </c>
      <c r="BD1482" s="68">
        <v>0</v>
      </c>
      <c r="BE1482" s="92" t="s">
        <v>3108</v>
      </c>
      <c r="BF1482" s="92" t="s">
        <v>3109</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spans="3:75" ht="19.5" customHeight="1">
      <c r="C1483" s="19">
        <v>66001020</v>
      </c>
      <c r="D1483" s="20" t="s">
        <v>3110</v>
      </c>
      <c r="E1483" s="20" t="s">
        <v>3111</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spans="3:75" ht="20.100000000000001" customHeight="1">
      <c r="C1484" s="19">
        <v>68000001</v>
      </c>
      <c r="D1484" s="20" t="s">
        <v>431</v>
      </c>
      <c r="E1484" s="20" t="s">
        <v>3112</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3113</v>
      </c>
      <c r="BC1484" s="28">
        <v>0</v>
      </c>
      <c r="BD1484" s="28">
        <v>0</v>
      </c>
      <c r="BE1484" s="89" t="s">
        <v>3114</v>
      </c>
      <c r="BF1484" s="89" t="s">
        <v>3115</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spans="3:75" ht="20.100000000000001" customHeight="1">
      <c r="C1485" s="19">
        <v>68000002</v>
      </c>
      <c r="D1485" s="20" t="s">
        <v>3116</v>
      </c>
      <c r="E1485" s="20" t="s">
        <v>3117</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3118</v>
      </c>
      <c r="BF1485" s="89" t="s">
        <v>3119</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spans="3:75" ht="20.100000000000001" customHeight="1">
      <c r="C1486" s="19">
        <v>68000003</v>
      </c>
      <c r="D1486" s="20" t="s">
        <v>3120</v>
      </c>
      <c r="E1486" s="20" t="s">
        <v>3121</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3122</v>
      </c>
      <c r="BF1486" s="89" t="s">
        <v>3123</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spans="3:75" ht="20.100000000000001" customHeight="1">
      <c r="C1487" s="19">
        <v>68000004</v>
      </c>
      <c r="D1487" s="20" t="s">
        <v>3124</v>
      </c>
      <c r="E1487" s="20" t="s">
        <v>3125</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59" t="s">
        <v>3126</v>
      </c>
      <c r="BC1487" s="28">
        <v>0</v>
      </c>
      <c r="BD1487" s="28">
        <v>0</v>
      </c>
      <c r="BE1487" s="46" t="s">
        <v>3127</v>
      </c>
      <c r="BF1487" s="46" t="s">
        <v>3128</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68000005</v>
      </c>
      <c r="D1488" s="20" t="s">
        <v>3129</v>
      </c>
      <c r="E1488" s="20" t="s">
        <v>3130</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3131</v>
      </c>
      <c r="BF1488" s="89" t="s">
        <v>3132</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spans="3:75" ht="20.100000000000001" customHeight="1">
      <c r="C1489" s="19">
        <v>68000006</v>
      </c>
      <c r="D1489" s="20" t="s">
        <v>3133</v>
      </c>
      <c r="E1489" s="20" t="s">
        <v>3134</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3135</v>
      </c>
      <c r="BF1489" s="89" t="s">
        <v>3136</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spans="3:75" ht="20.100000000000001" customHeight="1">
      <c r="C1490" s="19">
        <v>68000007</v>
      </c>
      <c r="D1490" s="20" t="s">
        <v>413</v>
      </c>
      <c r="E1490" s="20" t="s">
        <v>3137</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3138</v>
      </c>
      <c r="BF1490" s="89" t="s">
        <v>3139</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68000008</v>
      </c>
      <c r="D1491" s="20" t="s">
        <v>3140</v>
      </c>
      <c r="E1491" s="20" t="s">
        <v>2865</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3141</v>
      </c>
      <c r="BC1491" s="28">
        <v>0</v>
      </c>
      <c r="BD1491" s="28">
        <v>0</v>
      </c>
      <c r="BE1491" s="89" t="s">
        <v>3142</v>
      </c>
      <c r="BF1491" s="89" t="s">
        <v>3143</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68000009</v>
      </c>
      <c r="D1492" s="20" t="s">
        <v>3144</v>
      </c>
      <c r="E1492" s="20" t="s">
        <v>3145</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3146</v>
      </c>
      <c r="BF1492" s="89" t="s">
        <v>3147</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spans="3:75" ht="20.100000000000001" customHeight="1">
      <c r="C1493" s="19">
        <v>68000010</v>
      </c>
      <c r="D1493" s="20" t="s">
        <v>3148</v>
      </c>
      <c r="E1493" s="20" t="s">
        <v>3149</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3150</v>
      </c>
      <c r="BC1493" s="28">
        <v>0</v>
      </c>
      <c r="BD1493" s="28">
        <v>0</v>
      </c>
      <c r="BE1493" s="89" t="s">
        <v>3151</v>
      </c>
      <c r="BF1493" s="89" t="s">
        <v>3152</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68000011</v>
      </c>
      <c r="D1494" s="20" t="s">
        <v>3153</v>
      </c>
      <c r="E1494" s="20" t="s">
        <v>3154</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3155</v>
      </c>
      <c r="BF1494" s="89" t="s">
        <v>3156</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68000012</v>
      </c>
      <c r="D1495" s="20" t="s">
        <v>3157</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3158</v>
      </c>
      <c r="BC1495" s="28">
        <v>0</v>
      </c>
      <c r="BD1495" s="28">
        <v>0</v>
      </c>
      <c r="BE1495" s="89" t="s">
        <v>3159</v>
      </c>
      <c r="BF1495" s="89" t="s">
        <v>3160</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68000013</v>
      </c>
      <c r="D1496" s="20" t="s">
        <v>3161</v>
      </c>
      <c r="E1496" s="20" t="s">
        <v>3162</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3163</v>
      </c>
      <c r="BC1496" s="28">
        <v>0</v>
      </c>
      <c r="BD1496" s="28">
        <v>0</v>
      </c>
      <c r="BE1496" s="89" t="s">
        <v>3164</v>
      </c>
      <c r="BF1496" s="89" t="s">
        <v>3165</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68000014</v>
      </c>
      <c r="D1497" s="20" t="s">
        <v>3166</v>
      </c>
      <c r="E1497" s="20" t="s">
        <v>3167</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3168</v>
      </c>
      <c r="BC1497" s="28">
        <v>0</v>
      </c>
      <c r="BD1497" s="28">
        <v>0</v>
      </c>
      <c r="BE1497" s="89" t="s">
        <v>3169</v>
      </c>
      <c r="BF1497" s="89" t="s">
        <v>3170</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68000015</v>
      </c>
      <c r="D1498" s="20" t="s">
        <v>3171</v>
      </c>
      <c r="E1498" s="20" t="s">
        <v>3172</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3173</v>
      </c>
      <c r="BC1498" s="28">
        <v>0</v>
      </c>
      <c r="BD1498" s="28">
        <v>0</v>
      </c>
      <c r="BE1498" s="89" t="s">
        <v>3174</v>
      </c>
      <c r="BF1498" s="89" t="s">
        <v>3175</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68000016</v>
      </c>
      <c r="D1499" s="20" t="s">
        <v>3176</v>
      </c>
      <c r="E1499" s="20" t="s">
        <v>3177</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3178</v>
      </c>
      <c r="BC1499" s="28">
        <v>0</v>
      </c>
      <c r="BD1499" s="28">
        <v>0</v>
      </c>
      <c r="BE1499" s="89" t="s">
        <v>3179</v>
      </c>
      <c r="BF1499" s="89" t="s">
        <v>3180</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68000017</v>
      </c>
      <c r="D1500" s="20" t="s">
        <v>3181</v>
      </c>
      <c r="E1500" s="20" t="s">
        <v>3182</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3183</v>
      </c>
      <c r="BC1500" s="28">
        <v>0</v>
      </c>
      <c r="BD1500" s="28">
        <v>0</v>
      </c>
      <c r="BE1500" s="89" t="s">
        <v>3184</v>
      </c>
      <c r="BF1500" s="89" t="s">
        <v>3185</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68000018</v>
      </c>
      <c r="D1501" s="20" t="s">
        <v>3186</v>
      </c>
      <c r="E1501" s="20" t="s">
        <v>3187</v>
      </c>
      <c r="F1501" s="19">
        <v>1</v>
      </c>
      <c r="G1501" s="19">
        <v>68000004</v>
      </c>
      <c r="H1501" s="17">
        <v>0</v>
      </c>
      <c r="I1501" s="28">
        <v>0</v>
      </c>
      <c r="J1501" s="19">
        <v>1</v>
      </c>
      <c r="K1501" s="19">
        <v>0</v>
      </c>
      <c r="L1501" s="19">
        <v>0</v>
      </c>
      <c r="M1501" s="17">
        <v>0</v>
      </c>
      <c r="N1501" s="17">
        <v>0</v>
      </c>
      <c r="O1501" s="17">
        <v>2</v>
      </c>
      <c r="P1501" s="17">
        <v>1</v>
      </c>
      <c r="Q1501" s="17">
        <v>7.4999999999999997E-2</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3188</v>
      </c>
      <c r="BC1501" s="28">
        <v>0</v>
      </c>
      <c r="BD1501" s="28">
        <v>0</v>
      </c>
      <c r="BE1501" s="46" t="s">
        <v>3189</v>
      </c>
      <c r="BF1501" s="46" t="s">
        <v>3190</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68000101</v>
      </c>
      <c r="D1502" s="20" t="s">
        <v>3191</v>
      </c>
      <c r="E1502" s="20" t="s">
        <v>3192</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3193</v>
      </c>
      <c r="BC1502" s="28">
        <v>0</v>
      </c>
      <c r="BD1502" s="28">
        <v>0</v>
      </c>
      <c r="BE1502" s="89" t="s">
        <v>3194</v>
      </c>
      <c r="BF1502" s="89" t="s">
        <v>3195</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68000102</v>
      </c>
      <c r="D1503" s="20" t="s">
        <v>3196</v>
      </c>
      <c r="E1503" s="20" t="s">
        <v>3197</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3198</v>
      </c>
      <c r="BF1503" s="89" t="s">
        <v>3199</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68000103</v>
      </c>
      <c r="D1504" s="20" t="s">
        <v>3200</v>
      </c>
      <c r="E1504" s="20" t="s">
        <v>3201</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3202</v>
      </c>
      <c r="BF1504" s="89" t="s">
        <v>3203</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68000104</v>
      </c>
      <c r="D1505" s="20" t="s">
        <v>3204</v>
      </c>
      <c r="E1505" s="20" t="s">
        <v>3205</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3206</v>
      </c>
      <c r="BF1505" s="89" t="s">
        <v>3207</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68000105</v>
      </c>
      <c r="D1506" s="20" t="s">
        <v>3208</v>
      </c>
      <c r="E1506" s="20" t="s">
        <v>3209</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3210</v>
      </c>
      <c r="BF1506" s="89" t="s">
        <v>3211</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68000106</v>
      </c>
      <c r="D1507" s="20" t="s">
        <v>3212</v>
      </c>
      <c r="E1507" s="20" t="s">
        <v>3213</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3214</v>
      </c>
      <c r="BF1507" s="89" t="s">
        <v>3215</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68000107</v>
      </c>
      <c r="D1508" s="20" t="s">
        <v>3216</v>
      </c>
      <c r="E1508" s="20" t="s">
        <v>3217</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3218</v>
      </c>
      <c r="BF1508" s="89" t="s">
        <v>3219</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68000108</v>
      </c>
      <c r="D1509" s="20" t="s">
        <v>3220</v>
      </c>
      <c r="E1509" s="20" t="s">
        <v>3221</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3222</v>
      </c>
      <c r="BF1509" s="89" t="s">
        <v>3223</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68000109</v>
      </c>
      <c r="D1510" s="20" t="s">
        <v>3224</v>
      </c>
      <c r="E1510" s="20" t="s">
        <v>3225</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3226</v>
      </c>
      <c r="BC1510" s="28">
        <v>0</v>
      </c>
      <c r="BD1510" s="28">
        <v>0</v>
      </c>
      <c r="BE1510" s="89" t="s">
        <v>3227</v>
      </c>
      <c r="BF1510" s="89" t="s">
        <v>3228</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68000110</v>
      </c>
      <c r="D1511" s="20" t="s">
        <v>3229</v>
      </c>
      <c r="E1511" s="20" t="s">
        <v>3230</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5" t="s">
        <v>3231</v>
      </c>
      <c r="AU1511" s="19" t="s">
        <v>198</v>
      </c>
      <c r="AV1511" s="19"/>
      <c r="AW1511" s="20" t="s">
        <v>199</v>
      </c>
      <c r="AX1511" s="19">
        <v>0</v>
      </c>
      <c r="AY1511" s="19">
        <v>0</v>
      </c>
      <c r="AZ1511" s="19">
        <v>0</v>
      </c>
      <c r="BA1511" s="20" t="s">
        <v>200</v>
      </c>
      <c r="BB1511" s="20" t="s">
        <v>198</v>
      </c>
      <c r="BC1511" s="28">
        <v>0</v>
      </c>
      <c r="BD1511" s="28">
        <v>0</v>
      </c>
      <c r="BE1511" s="89" t="s">
        <v>3232</v>
      </c>
      <c r="BF1511" s="89" t="s">
        <v>3233</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spans="3:75" ht="20.100000000000001" customHeight="1">
      <c r="C1512" s="19">
        <v>68000111</v>
      </c>
      <c r="D1512" s="20" t="s">
        <v>3234</v>
      </c>
      <c r="E1512" s="20" t="s">
        <v>3235</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5" t="s">
        <v>3231</v>
      </c>
      <c r="AU1512" s="19" t="s">
        <v>198</v>
      </c>
      <c r="AV1512" s="19"/>
      <c r="AW1512" s="20" t="s">
        <v>199</v>
      </c>
      <c r="AX1512" s="19">
        <v>0</v>
      </c>
      <c r="AY1512" s="19">
        <v>0</v>
      </c>
      <c r="AZ1512" s="19">
        <v>0</v>
      </c>
      <c r="BA1512" s="20" t="s">
        <v>200</v>
      </c>
      <c r="BB1512" s="20" t="s">
        <v>198</v>
      </c>
      <c r="BC1512" s="28">
        <v>0</v>
      </c>
      <c r="BD1512" s="28">
        <v>0</v>
      </c>
      <c r="BE1512" s="89" t="s">
        <v>3236</v>
      </c>
      <c r="BF1512" s="89" t="s">
        <v>3237</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spans="3:75" ht="20.100000000000001" customHeight="1">
      <c r="C1513" s="19">
        <v>68000112</v>
      </c>
      <c r="D1513" s="20" t="s">
        <v>3238</v>
      </c>
      <c r="E1513" s="20" t="s">
        <v>3239</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5" t="s">
        <v>3231</v>
      </c>
      <c r="AU1513" s="19" t="s">
        <v>198</v>
      </c>
      <c r="AV1513" s="19"/>
      <c r="AW1513" s="20" t="s">
        <v>199</v>
      </c>
      <c r="AX1513" s="19">
        <v>0</v>
      </c>
      <c r="AY1513" s="19">
        <v>0</v>
      </c>
      <c r="AZ1513" s="19">
        <v>0</v>
      </c>
      <c r="BA1513" s="20" t="s">
        <v>200</v>
      </c>
      <c r="BB1513" s="20" t="s">
        <v>198</v>
      </c>
      <c r="BC1513" s="28">
        <v>0</v>
      </c>
      <c r="BD1513" s="28">
        <v>0</v>
      </c>
      <c r="BE1513" s="89" t="s">
        <v>3240</v>
      </c>
      <c r="BF1513" s="89" t="s">
        <v>3241</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spans="3:75" ht="20.100000000000001" customHeight="1">
      <c r="C1514" s="19">
        <v>68000113</v>
      </c>
      <c r="D1514" s="20" t="s">
        <v>2847</v>
      </c>
      <c r="E1514" s="20" t="s">
        <v>3242</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3243</v>
      </c>
      <c r="BF1514" s="89" t="s">
        <v>3244</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69000001</v>
      </c>
      <c r="D1515" s="96" t="s">
        <v>3245</v>
      </c>
      <c r="E1515" s="96" t="s">
        <v>3246</v>
      </c>
      <c r="F1515" s="16">
        <v>1</v>
      </c>
      <c r="G1515" s="19">
        <v>60090002</v>
      </c>
      <c r="H1515" s="16">
        <v>0</v>
      </c>
      <c r="I1515" s="27">
        <v>0</v>
      </c>
      <c r="J1515" s="16">
        <v>1</v>
      </c>
      <c r="K1515" s="16">
        <v>0</v>
      </c>
      <c r="L1515" s="27">
        <v>0</v>
      </c>
      <c r="M1515" s="27">
        <v>0</v>
      </c>
      <c r="N1515" s="16" t="s">
        <v>3247</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69" t="s">
        <v>3248</v>
      </c>
      <c r="BF1515" s="269" t="s">
        <v>3249</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spans="3:75" ht="20.100000000000001" customHeight="1">
      <c r="C1516" s="19">
        <v>69000002</v>
      </c>
      <c r="D1516" s="20" t="s">
        <v>3250</v>
      </c>
      <c r="E1516" s="20" t="s">
        <v>3251</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4">
        <v>69000021</v>
      </c>
      <c r="AU1516" s="19" t="s">
        <v>198</v>
      </c>
      <c r="AV1516" s="19"/>
      <c r="AW1516" s="20" t="s">
        <v>199</v>
      </c>
      <c r="AX1516" s="19">
        <v>0</v>
      </c>
      <c r="AY1516" s="19">
        <v>0</v>
      </c>
      <c r="AZ1516" s="19">
        <v>0</v>
      </c>
      <c r="BA1516" s="20" t="s">
        <v>200</v>
      </c>
      <c r="BB1516" s="20" t="s">
        <v>198</v>
      </c>
      <c r="BC1516" s="28">
        <v>0</v>
      </c>
      <c r="BD1516" s="28">
        <v>1</v>
      </c>
      <c r="BE1516" s="89" t="s">
        <v>3252</v>
      </c>
      <c r="BF1516" s="89" t="s">
        <v>3253</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69000003</v>
      </c>
      <c r="D1517" s="96" t="s">
        <v>3254</v>
      </c>
      <c r="E1517" s="96" t="s">
        <v>3255</v>
      </c>
      <c r="F1517" s="16">
        <v>1</v>
      </c>
      <c r="G1517" s="19">
        <v>60090002</v>
      </c>
      <c r="H1517" s="16">
        <v>0</v>
      </c>
      <c r="I1517" s="27">
        <v>0</v>
      </c>
      <c r="J1517" s="16">
        <v>1</v>
      </c>
      <c r="K1517" s="16">
        <v>0</v>
      </c>
      <c r="L1517" s="27">
        <v>0</v>
      </c>
      <c r="M1517" s="27">
        <v>0</v>
      </c>
      <c r="N1517" s="16" t="s">
        <v>3256</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69" t="s">
        <v>3248</v>
      </c>
      <c r="BF1517" s="269" t="s">
        <v>3249</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spans="3:75" ht="20.100000000000001" customHeight="1">
      <c r="C1518" s="19">
        <v>69000004</v>
      </c>
      <c r="D1518" s="20" t="s">
        <v>3257</v>
      </c>
      <c r="E1518" s="20" t="s">
        <v>3258</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4">
        <v>69000041</v>
      </c>
      <c r="AU1518" s="19" t="s">
        <v>198</v>
      </c>
      <c r="AV1518" s="19"/>
      <c r="AW1518" s="20" t="s">
        <v>199</v>
      </c>
      <c r="AX1518" s="19">
        <v>0</v>
      </c>
      <c r="AY1518" s="19">
        <v>0</v>
      </c>
      <c r="AZ1518" s="19">
        <v>0</v>
      </c>
      <c r="BA1518" s="20" t="s">
        <v>200</v>
      </c>
      <c r="BB1518" s="20" t="s">
        <v>198</v>
      </c>
      <c r="BC1518" s="28">
        <v>0</v>
      </c>
      <c r="BD1518" s="28">
        <v>1</v>
      </c>
      <c r="BE1518" s="44" t="s">
        <v>3259</v>
      </c>
      <c r="BF1518" s="44" t="s">
        <v>3260</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spans="3:75" ht="20.100000000000001" customHeight="1">
      <c r="C1519" s="19">
        <v>69000005</v>
      </c>
      <c r="D1519" s="96" t="s">
        <v>3261</v>
      </c>
      <c r="E1519" s="96" t="s">
        <v>3262</v>
      </c>
      <c r="F1519" s="16">
        <v>1</v>
      </c>
      <c r="G1519" s="19">
        <v>60090002</v>
      </c>
      <c r="H1519" s="16">
        <v>0</v>
      </c>
      <c r="I1519" s="27">
        <v>0</v>
      </c>
      <c r="J1519" s="16">
        <v>1</v>
      </c>
      <c r="K1519" s="16">
        <v>0</v>
      </c>
      <c r="L1519" s="27">
        <v>0</v>
      </c>
      <c r="M1519" s="27">
        <v>0</v>
      </c>
      <c r="N1519" s="16" t="s">
        <v>3263</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69" t="s">
        <v>3248</v>
      </c>
      <c r="BF1519" s="269" t="s">
        <v>3249</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69000006</v>
      </c>
      <c r="D1520" s="14" t="s">
        <v>3264</v>
      </c>
      <c r="E1520" s="14" t="s">
        <v>3265</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3266</v>
      </c>
      <c r="BF1520" s="44" t="s">
        <v>3267</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69000007</v>
      </c>
      <c r="D1521" s="14" t="s">
        <v>3268</v>
      </c>
      <c r="E1521" s="14" t="s">
        <v>3269</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4">
        <v>69000071</v>
      </c>
      <c r="AU1521" s="19" t="s">
        <v>198</v>
      </c>
      <c r="AV1521" s="19"/>
      <c r="AW1521" s="20" t="s">
        <v>199</v>
      </c>
      <c r="AX1521" s="19">
        <v>0</v>
      </c>
      <c r="AY1521" s="19">
        <v>0</v>
      </c>
      <c r="AZ1521" s="19">
        <v>0</v>
      </c>
      <c r="BA1521" s="20" t="s">
        <v>200</v>
      </c>
      <c r="BB1521" s="20" t="s">
        <v>198</v>
      </c>
      <c r="BC1521" s="28">
        <v>0</v>
      </c>
      <c r="BD1521" s="28">
        <v>1</v>
      </c>
      <c r="BE1521" s="44" t="s">
        <v>3270</v>
      </c>
      <c r="BF1521" s="44" t="s">
        <v>3271</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spans="3:75" ht="20.100000000000001" customHeight="1">
      <c r="C1522" s="19">
        <v>69000008</v>
      </c>
      <c r="D1522" s="96" t="s">
        <v>3272</v>
      </c>
      <c r="E1522" s="96" t="s">
        <v>3273</v>
      </c>
      <c r="F1522" s="16">
        <v>1</v>
      </c>
      <c r="G1522" s="19">
        <v>60090002</v>
      </c>
      <c r="H1522" s="16">
        <v>0</v>
      </c>
      <c r="I1522" s="27">
        <v>0</v>
      </c>
      <c r="J1522" s="16">
        <v>1</v>
      </c>
      <c r="K1522" s="16">
        <v>0</v>
      </c>
      <c r="L1522" s="27">
        <v>0</v>
      </c>
      <c r="M1522" s="27">
        <v>0</v>
      </c>
      <c r="N1522" s="16" t="s">
        <v>3274</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69" t="s">
        <v>3248</v>
      </c>
      <c r="BF1522" s="269" t="s">
        <v>3249</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spans="3:75" ht="20.100000000000001" customHeight="1">
      <c r="C1523" s="19">
        <v>69000009</v>
      </c>
      <c r="D1523" s="96" t="s">
        <v>3275</v>
      </c>
      <c r="E1523" s="96" t="s">
        <v>3276</v>
      </c>
      <c r="F1523" s="16">
        <v>1</v>
      </c>
      <c r="G1523" s="19">
        <v>60090002</v>
      </c>
      <c r="H1523" s="16">
        <v>0</v>
      </c>
      <c r="I1523" s="27">
        <v>0</v>
      </c>
      <c r="J1523" s="16">
        <v>1</v>
      </c>
      <c r="K1523" s="16">
        <v>0</v>
      </c>
      <c r="L1523" s="27">
        <v>0</v>
      </c>
      <c r="M1523" s="27">
        <v>0</v>
      </c>
      <c r="N1523" s="16" t="s">
        <v>3274</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69" t="s">
        <v>3248</v>
      </c>
      <c r="BF1523" s="269" t="s">
        <v>3249</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69000010</v>
      </c>
      <c r="D1524" s="20" t="s">
        <v>3277</v>
      </c>
      <c r="E1524" s="20" t="s">
        <v>3278</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4">
        <v>69000101</v>
      </c>
      <c r="AU1524" s="19" t="s">
        <v>198</v>
      </c>
      <c r="AV1524" s="19"/>
      <c r="AW1524" s="20" t="s">
        <v>199</v>
      </c>
      <c r="AX1524" s="19">
        <v>0</v>
      </c>
      <c r="AY1524" s="19">
        <v>0</v>
      </c>
      <c r="AZ1524" s="19">
        <v>0</v>
      </c>
      <c r="BA1524" s="20" t="s">
        <v>200</v>
      </c>
      <c r="BB1524" s="20" t="s">
        <v>198</v>
      </c>
      <c r="BC1524" s="28">
        <v>0</v>
      </c>
      <c r="BD1524" s="28">
        <v>1</v>
      </c>
      <c r="BE1524" s="89" t="s">
        <v>3252</v>
      </c>
      <c r="BF1524" s="89" t="s">
        <v>3253</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69000011</v>
      </c>
      <c r="D1525" s="14" t="s">
        <v>3279</v>
      </c>
      <c r="E1525" s="14" t="s">
        <v>3280</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4">
        <v>69000111</v>
      </c>
      <c r="AU1525" s="19" t="s">
        <v>198</v>
      </c>
      <c r="AV1525" s="19"/>
      <c r="AW1525" s="20" t="s">
        <v>199</v>
      </c>
      <c r="AX1525" s="19">
        <v>0</v>
      </c>
      <c r="AY1525" s="19">
        <v>0</v>
      </c>
      <c r="AZ1525" s="19">
        <v>0</v>
      </c>
      <c r="BA1525" s="20" t="s">
        <v>200</v>
      </c>
      <c r="BB1525" s="20" t="s">
        <v>198</v>
      </c>
      <c r="BC1525" s="28">
        <v>0</v>
      </c>
      <c r="BD1525" s="28">
        <v>1</v>
      </c>
      <c r="BE1525" s="44" t="s">
        <v>3270</v>
      </c>
      <c r="BF1525" s="44" t="s">
        <v>3271</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69000012</v>
      </c>
      <c r="D1526" s="14" t="s">
        <v>3281</v>
      </c>
      <c r="E1526" s="14" t="s">
        <v>3282</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4">
        <v>0</v>
      </c>
      <c r="AU1526" s="13">
        <v>69000121</v>
      </c>
      <c r="AV1526" s="13"/>
      <c r="AW1526" s="14" t="s">
        <v>256</v>
      </c>
      <c r="AX1526" s="13" t="s">
        <v>1674</v>
      </c>
      <c r="AY1526" s="13" t="s">
        <v>198</v>
      </c>
      <c r="AZ1526" s="13" t="s">
        <v>1908</v>
      </c>
      <c r="BA1526" s="14" t="s">
        <v>200</v>
      </c>
      <c r="BB1526" s="13">
        <v>0</v>
      </c>
      <c r="BC1526" s="28">
        <v>0</v>
      </c>
      <c r="BD1526" s="28">
        <v>1</v>
      </c>
      <c r="BE1526" s="44" t="s">
        <v>3283</v>
      </c>
      <c r="BF1526" s="44" t="s">
        <v>3284</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spans="3:75" ht="20.100000000000001" customHeight="1">
      <c r="C1527" s="19">
        <v>69000013</v>
      </c>
      <c r="D1527" s="261" t="s">
        <v>3285</v>
      </c>
      <c r="E1527" s="261" t="s">
        <v>3286</v>
      </c>
      <c r="F1527" s="16">
        <v>1</v>
      </c>
      <c r="G1527" s="19">
        <v>60090002</v>
      </c>
      <c r="H1527" s="16">
        <v>0</v>
      </c>
      <c r="I1527" s="27">
        <v>0</v>
      </c>
      <c r="J1527" s="16">
        <v>1</v>
      </c>
      <c r="K1527" s="16">
        <v>0</v>
      </c>
      <c r="L1527" s="27">
        <v>0</v>
      </c>
      <c r="M1527" s="27">
        <v>0</v>
      </c>
      <c r="N1527" s="16" t="s">
        <v>3287</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69" t="s">
        <v>3248</v>
      </c>
      <c r="BF1527" s="269" t="s">
        <v>3249</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69000014</v>
      </c>
      <c r="D1528" s="261" t="s">
        <v>3288</v>
      </c>
      <c r="E1528" s="261" t="s">
        <v>3289</v>
      </c>
      <c r="F1528" s="16">
        <v>1</v>
      </c>
      <c r="G1528" s="19">
        <v>60090002</v>
      </c>
      <c r="H1528" s="16">
        <v>0</v>
      </c>
      <c r="I1528" s="27">
        <v>0</v>
      </c>
      <c r="J1528" s="16">
        <v>1</v>
      </c>
      <c r="K1528" s="16">
        <v>0</v>
      </c>
      <c r="L1528" s="27">
        <v>0</v>
      </c>
      <c r="M1528" s="27">
        <v>0</v>
      </c>
      <c r="N1528" s="16" t="s">
        <v>3290</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69" t="s">
        <v>3248</v>
      </c>
      <c r="BF1528" s="269" t="s">
        <v>3249</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spans="3:75" ht="20.100000000000001" customHeight="1">
      <c r="C1529" s="19">
        <v>69000015</v>
      </c>
      <c r="D1529" s="261" t="s">
        <v>3291</v>
      </c>
      <c r="E1529" s="261" t="s">
        <v>3292</v>
      </c>
      <c r="F1529" s="16">
        <v>1</v>
      </c>
      <c r="G1529" s="19">
        <v>60090002</v>
      </c>
      <c r="H1529" s="16">
        <v>0</v>
      </c>
      <c r="I1529" s="27">
        <v>0</v>
      </c>
      <c r="J1529" s="16">
        <v>1</v>
      </c>
      <c r="K1529" s="16">
        <v>0</v>
      </c>
      <c r="L1529" s="27">
        <v>0</v>
      </c>
      <c r="M1529" s="27">
        <v>0</v>
      </c>
      <c r="N1529" s="16" t="s">
        <v>3293</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69" t="s">
        <v>3248</v>
      </c>
      <c r="BF1529" s="269" t="s">
        <v>3249</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spans="3:75" ht="20.100000000000001" customHeight="1">
      <c r="C1530" s="19">
        <v>69000016</v>
      </c>
      <c r="D1530" s="261" t="s">
        <v>3294</v>
      </c>
      <c r="E1530" s="261" t="s">
        <v>3295</v>
      </c>
      <c r="F1530" s="16">
        <v>1</v>
      </c>
      <c r="G1530" s="19">
        <v>60090002</v>
      </c>
      <c r="H1530" s="16">
        <v>0</v>
      </c>
      <c r="I1530" s="27">
        <v>0</v>
      </c>
      <c r="J1530" s="16">
        <v>1</v>
      </c>
      <c r="K1530" s="16">
        <v>0</v>
      </c>
      <c r="L1530" s="27">
        <v>0</v>
      </c>
      <c r="M1530" s="27">
        <v>0</v>
      </c>
      <c r="N1530" s="16" t="s">
        <v>3296</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69" t="s">
        <v>3248</v>
      </c>
      <c r="BF1530" s="269" t="s">
        <v>3249</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spans="3:75" ht="20.100000000000001" customHeight="1">
      <c r="C1531" s="19">
        <v>69000017</v>
      </c>
      <c r="D1531" s="261" t="s">
        <v>3297</v>
      </c>
      <c r="E1531" s="261" t="s">
        <v>3298</v>
      </c>
      <c r="F1531" s="16">
        <v>1</v>
      </c>
      <c r="G1531" s="19">
        <v>60090002</v>
      </c>
      <c r="H1531" s="16">
        <v>0</v>
      </c>
      <c r="I1531" s="27">
        <v>0</v>
      </c>
      <c r="J1531" s="16">
        <v>1</v>
      </c>
      <c r="K1531" s="16">
        <v>0</v>
      </c>
      <c r="L1531" s="27">
        <v>0</v>
      </c>
      <c r="M1531" s="27">
        <v>0</v>
      </c>
      <c r="N1531" s="16" t="s">
        <v>3299</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69" t="s">
        <v>3248</v>
      </c>
      <c r="BF1531" s="269" t="s">
        <v>3249</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66">
        <v>69000018</v>
      </c>
      <c r="D1532" s="262" t="s">
        <v>3300</v>
      </c>
      <c r="E1532" s="262" t="s">
        <v>3301</v>
      </c>
      <c r="F1532" s="95">
        <v>1</v>
      </c>
      <c r="G1532" s="66">
        <v>60090002</v>
      </c>
      <c r="H1532" s="95">
        <v>0</v>
      </c>
      <c r="I1532" s="127">
        <v>0</v>
      </c>
      <c r="J1532" s="95">
        <v>1</v>
      </c>
      <c r="K1532" s="95">
        <v>0</v>
      </c>
      <c r="L1532" s="127">
        <v>0</v>
      </c>
      <c r="M1532" s="127">
        <v>0</v>
      </c>
      <c r="N1532" s="95" t="s">
        <v>3302</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5">
        <v>0</v>
      </c>
      <c r="AV1532" s="265"/>
      <c r="AW1532" s="95">
        <v>0</v>
      </c>
      <c r="AX1532" s="127">
        <v>0</v>
      </c>
      <c r="AY1532" s="127">
        <v>0</v>
      </c>
      <c r="AZ1532" s="127">
        <v>0</v>
      </c>
      <c r="BA1532" s="65" t="s">
        <v>200</v>
      </c>
      <c r="BB1532" s="267">
        <v>0</v>
      </c>
      <c r="BC1532" s="68">
        <v>0</v>
      </c>
      <c r="BD1532" s="68">
        <v>1</v>
      </c>
      <c r="BE1532" s="270" t="s">
        <v>3248</v>
      </c>
      <c r="BF1532" s="270" t="s">
        <v>3249</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spans="3:75" ht="20.100000000000001" customHeight="1">
      <c r="C1533" s="19">
        <v>69011001</v>
      </c>
      <c r="D1533" s="263" t="s">
        <v>3303</v>
      </c>
      <c r="E1533" s="263" t="s">
        <v>3304</v>
      </c>
      <c r="F1533" s="76">
        <v>1</v>
      </c>
      <c r="G1533" s="76">
        <v>60090002</v>
      </c>
      <c r="H1533" s="74">
        <v>0</v>
      </c>
      <c r="I1533" s="74">
        <v>0</v>
      </c>
      <c r="J1533" s="76">
        <v>1</v>
      </c>
      <c r="K1533" s="76">
        <v>0</v>
      </c>
      <c r="L1533" s="74">
        <v>0</v>
      </c>
      <c r="M1533" s="74">
        <v>0</v>
      </c>
      <c r="N1533" s="74" t="s">
        <v>3305</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6">
        <v>0</v>
      </c>
      <c r="AU1533" s="74">
        <v>0</v>
      </c>
      <c r="AV1533" s="74"/>
      <c r="AW1533" s="263">
        <v>0</v>
      </c>
      <c r="AX1533" s="74">
        <v>0</v>
      </c>
      <c r="AY1533" s="74">
        <v>0</v>
      </c>
      <c r="AZ1533" s="74">
        <v>0</v>
      </c>
      <c r="BA1533" s="14" t="s">
        <v>200</v>
      </c>
      <c r="BB1533" s="74">
        <v>0</v>
      </c>
      <c r="BC1533" s="268">
        <v>0</v>
      </c>
      <c r="BD1533" s="28">
        <v>1</v>
      </c>
      <c r="BE1533" s="263" t="s">
        <v>3303</v>
      </c>
      <c r="BF1533" s="263" t="s">
        <v>3304</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69011002</v>
      </c>
      <c r="D1534" s="263" t="s">
        <v>3306</v>
      </c>
      <c r="E1534" s="263" t="s">
        <v>3307</v>
      </c>
      <c r="F1534" s="76">
        <v>1</v>
      </c>
      <c r="G1534" s="76">
        <v>60090002</v>
      </c>
      <c r="H1534" s="74">
        <v>0</v>
      </c>
      <c r="I1534" s="74">
        <v>0</v>
      </c>
      <c r="J1534" s="76">
        <v>1</v>
      </c>
      <c r="K1534" s="76">
        <v>0</v>
      </c>
      <c r="L1534" s="74">
        <v>0</v>
      </c>
      <c r="M1534" s="74">
        <v>0</v>
      </c>
      <c r="N1534" s="74" t="s">
        <v>3274</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6">
        <v>0</v>
      </c>
      <c r="AU1534" s="74">
        <v>0</v>
      </c>
      <c r="AV1534" s="74"/>
      <c r="AW1534" s="263">
        <v>0</v>
      </c>
      <c r="AX1534" s="74">
        <v>0</v>
      </c>
      <c r="AY1534" s="74">
        <v>0</v>
      </c>
      <c r="AZ1534" s="74">
        <v>0</v>
      </c>
      <c r="BA1534" s="14" t="s">
        <v>200</v>
      </c>
      <c r="BB1534" s="74">
        <v>0</v>
      </c>
      <c r="BC1534" s="268">
        <v>0</v>
      </c>
      <c r="BD1534" s="28">
        <v>1</v>
      </c>
      <c r="BE1534" s="263" t="s">
        <v>3306</v>
      </c>
      <c r="BF1534" s="263" t="s">
        <v>3307</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69011003</v>
      </c>
      <c r="D1535" s="263" t="s">
        <v>3308</v>
      </c>
      <c r="E1535" s="263" t="s">
        <v>3309</v>
      </c>
      <c r="F1535" s="76">
        <v>1</v>
      </c>
      <c r="G1535" s="76">
        <v>60090002</v>
      </c>
      <c r="H1535" s="74">
        <v>0</v>
      </c>
      <c r="I1535" s="74">
        <v>0</v>
      </c>
      <c r="J1535" s="76">
        <v>1</v>
      </c>
      <c r="K1535" s="76">
        <v>0</v>
      </c>
      <c r="L1535" s="74">
        <v>0</v>
      </c>
      <c r="M1535" s="74">
        <v>0</v>
      </c>
      <c r="N1535" s="74" t="s">
        <v>3310</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6">
        <v>0</v>
      </c>
      <c r="AU1535" s="74">
        <v>0</v>
      </c>
      <c r="AV1535" s="74"/>
      <c r="AW1535" s="263">
        <v>0</v>
      </c>
      <c r="AX1535" s="74">
        <v>0</v>
      </c>
      <c r="AY1535" s="74">
        <v>0</v>
      </c>
      <c r="AZ1535" s="74">
        <v>0</v>
      </c>
      <c r="BA1535" s="14" t="s">
        <v>200</v>
      </c>
      <c r="BB1535" s="74">
        <v>0</v>
      </c>
      <c r="BC1535" s="268">
        <v>0</v>
      </c>
      <c r="BD1535" s="28">
        <v>1</v>
      </c>
      <c r="BE1535" s="263" t="s">
        <v>3308</v>
      </c>
      <c r="BF1535" s="263" t="s">
        <v>3309</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19">
        <v>69011004</v>
      </c>
      <c r="D1536" s="263" t="s">
        <v>3311</v>
      </c>
      <c r="E1536" s="263" t="s">
        <v>3312</v>
      </c>
      <c r="F1536" s="76">
        <v>1</v>
      </c>
      <c r="G1536" s="76">
        <v>60090002</v>
      </c>
      <c r="H1536" s="74">
        <v>0</v>
      </c>
      <c r="I1536" s="74">
        <v>0</v>
      </c>
      <c r="J1536" s="76">
        <v>1</v>
      </c>
      <c r="K1536" s="76">
        <v>0</v>
      </c>
      <c r="L1536" s="74">
        <v>0</v>
      </c>
      <c r="M1536" s="74">
        <v>0</v>
      </c>
      <c r="N1536" s="74" t="s">
        <v>3313</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6">
        <v>0</v>
      </c>
      <c r="AU1536" s="74">
        <v>0</v>
      </c>
      <c r="AV1536" s="74"/>
      <c r="AW1536" s="263">
        <v>0</v>
      </c>
      <c r="AX1536" s="74">
        <v>0</v>
      </c>
      <c r="AY1536" s="74">
        <v>0</v>
      </c>
      <c r="AZ1536" s="74">
        <v>0</v>
      </c>
      <c r="BA1536" s="14" t="s">
        <v>200</v>
      </c>
      <c r="BB1536" s="74">
        <v>0</v>
      </c>
      <c r="BC1536" s="268">
        <v>0</v>
      </c>
      <c r="BD1536" s="28">
        <v>1</v>
      </c>
      <c r="BE1536" s="263" t="s">
        <v>3311</v>
      </c>
      <c r="BF1536" s="263" t="s">
        <v>3312</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spans="3:75" ht="20.100000000000001" customHeight="1">
      <c r="C1537" s="19">
        <v>69011005</v>
      </c>
      <c r="D1537" s="263" t="s">
        <v>3314</v>
      </c>
      <c r="E1537" s="263" t="s">
        <v>3315</v>
      </c>
      <c r="F1537" s="76">
        <v>1</v>
      </c>
      <c r="G1537" s="76">
        <v>60090002</v>
      </c>
      <c r="H1537" s="74">
        <v>0</v>
      </c>
      <c r="I1537" s="74">
        <v>0</v>
      </c>
      <c r="J1537" s="76">
        <v>1</v>
      </c>
      <c r="K1537" s="76">
        <v>0</v>
      </c>
      <c r="L1537" s="74">
        <v>0</v>
      </c>
      <c r="M1537" s="74">
        <v>0</v>
      </c>
      <c r="N1537" s="74" t="s">
        <v>3247</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6">
        <v>0</v>
      </c>
      <c r="AU1537" s="74">
        <v>0</v>
      </c>
      <c r="AV1537" s="74"/>
      <c r="AW1537" s="263">
        <v>0</v>
      </c>
      <c r="AX1537" s="74">
        <v>0</v>
      </c>
      <c r="AY1537" s="74">
        <v>0</v>
      </c>
      <c r="AZ1537" s="74">
        <v>0</v>
      </c>
      <c r="BA1537" s="14" t="s">
        <v>200</v>
      </c>
      <c r="BB1537" s="74">
        <v>0</v>
      </c>
      <c r="BC1537" s="268">
        <v>0</v>
      </c>
      <c r="BD1537" s="28">
        <v>1</v>
      </c>
      <c r="BE1537" s="263" t="s">
        <v>3314</v>
      </c>
      <c r="BF1537" s="263" t="s">
        <v>3315</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69011006</v>
      </c>
      <c r="D1538" s="263" t="s">
        <v>3316</v>
      </c>
      <c r="E1538" s="263" t="s">
        <v>3317</v>
      </c>
      <c r="F1538" s="76">
        <v>1</v>
      </c>
      <c r="G1538" s="76">
        <v>60090002</v>
      </c>
      <c r="H1538" s="74">
        <v>0</v>
      </c>
      <c r="I1538" s="74">
        <v>0</v>
      </c>
      <c r="J1538" s="76">
        <v>1</v>
      </c>
      <c r="K1538" s="76">
        <v>0</v>
      </c>
      <c r="L1538" s="74">
        <v>0</v>
      </c>
      <c r="M1538" s="74">
        <v>0</v>
      </c>
      <c r="N1538" s="74" t="s">
        <v>3287</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6">
        <v>0</v>
      </c>
      <c r="AU1538" s="74">
        <v>0</v>
      </c>
      <c r="AV1538" s="74"/>
      <c r="AW1538" s="263">
        <v>0</v>
      </c>
      <c r="AX1538" s="74">
        <v>0</v>
      </c>
      <c r="AY1538" s="74">
        <v>0</v>
      </c>
      <c r="AZ1538" s="74">
        <v>0</v>
      </c>
      <c r="BA1538" s="14" t="s">
        <v>200</v>
      </c>
      <c r="BB1538" s="74">
        <v>0</v>
      </c>
      <c r="BC1538" s="268">
        <v>0</v>
      </c>
      <c r="BD1538" s="28">
        <v>1</v>
      </c>
      <c r="BE1538" s="263" t="s">
        <v>3316</v>
      </c>
      <c r="BF1538" s="263" t="s">
        <v>3317</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69011101</v>
      </c>
      <c r="D1539" s="263" t="s">
        <v>3318</v>
      </c>
      <c r="E1539" s="263" t="s">
        <v>3319</v>
      </c>
      <c r="F1539" s="76">
        <v>1</v>
      </c>
      <c r="G1539" s="76">
        <v>60090002</v>
      </c>
      <c r="H1539" s="74">
        <v>0</v>
      </c>
      <c r="I1539" s="74">
        <v>0</v>
      </c>
      <c r="J1539" s="76">
        <v>1</v>
      </c>
      <c r="K1539" s="76">
        <v>0</v>
      </c>
      <c r="L1539" s="74">
        <v>0</v>
      </c>
      <c r="M1539" s="74">
        <v>0</v>
      </c>
      <c r="N1539" s="74" t="s">
        <v>3320</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6">
        <v>0</v>
      </c>
      <c r="AU1539" s="74">
        <v>0</v>
      </c>
      <c r="AV1539" s="74"/>
      <c r="AW1539" s="263">
        <v>0</v>
      </c>
      <c r="AX1539" s="74">
        <v>0</v>
      </c>
      <c r="AY1539" s="74">
        <v>0</v>
      </c>
      <c r="AZ1539" s="74">
        <v>0</v>
      </c>
      <c r="BA1539" s="14" t="s">
        <v>200</v>
      </c>
      <c r="BB1539" s="74">
        <v>0</v>
      </c>
      <c r="BC1539" s="268">
        <v>0</v>
      </c>
      <c r="BD1539" s="28">
        <v>1</v>
      </c>
      <c r="BE1539" s="263" t="s">
        <v>3318</v>
      </c>
      <c r="BF1539" s="263" t="s">
        <v>3319</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69011102</v>
      </c>
      <c r="D1540" s="263" t="s">
        <v>3321</v>
      </c>
      <c r="E1540" s="263" t="s">
        <v>3322</v>
      </c>
      <c r="F1540" s="76">
        <v>1</v>
      </c>
      <c r="G1540" s="76">
        <v>60090002</v>
      </c>
      <c r="H1540" s="74">
        <v>0</v>
      </c>
      <c r="I1540" s="74">
        <v>0</v>
      </c>
      <c r="J1540" s="76">
        <v>1</v>
      </c>
      <c r="K1540" s="76">
        <v>0</v>
      </c>
      <c r="L1540" s="74">
        <v>0</v>
      </c>
      <c r="M1540" s="74">
        <v>0</v>
      </c>
      <c r="N1540" s="74" t="s">
        <v>3323</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6">
        <v>0</v>
      </c>
      <c r="AU1540" s="74">
        <v>0</v>
      </c>
      <c r="AV1540" s="74"/>
      <c r="AW1540" s="263">
        <v>0</v>
      </c>
      <c r="AX1540" s="74">
        <v>0</v>
      </c>
      <c r="AY1540" s="74">
        <v>0</v>
      </c>
      <c r="AZ1540" s="74">
        <v>0</v>
      </c>
      <c r="BA1540" s="14" t="s">
        <v>200</v>
      </c>
      <c r="BB1540" s="74">
        <v>0</v>
      </c>
      <c r="BC1540" s="268">
        <v>0</v>
      </c>
      <c r="BD1540" s="28">
        <v>1</v>
      </c>
      <c r="BE1540" s="263" t="s">
        <v>3321</v>
      </c>
      <c r="BF1540" s="263" t="s">
        <v>3322</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69011103</v>
      </c>
      <c r="D1541" s="263" t="s">
        <v>3324</v>
      </c>
      <c r="E1541" s="263" t="s">
        <v>3325</v>
      </c>
      <c r="F1541" s="76">
        <v>1</v>
      </c>
      <c r="G1541" s="76">
        <v>60090002</v>
      </c>
      <c r="H1541" s="74">
        <v>0</v>
      </c>
      <c r="I1541" s="74">
        <v>0</v>
      </c>
      <c r="J1541" s="76">
        <v>1</v>
      </c>
      <c r="K1541" s="76">
        <v>0</v>
      </c>
      <c r="L1541" s="74">
        <v>0</v>
      </c>
      <c r="M1541" s="74">
        <v>0</v>
      </c>
      <c r="N1541" s="74" t="s">
        <v>3326</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6">
        <v>0</v>
      </c>
      <c r="AU1541" s="74">
        <v>0</v>
      </c>
      <c r="AV1541" s="74"/>
      <c r="AW1541" s="263">
        <v>0</v>
      </c>
      <c r="AX1541" s="74">
        <v>0</v>
      </c>
      <c r="AY1541" s="74">
        <v>0</v>
      </c>
      <c r="AZ1541" s="74">
        <v>0</v>
      </c>
      <c r="BA1541" s="14" t="s">
        <v>200</v>
      </c>
      <c r="BB1541" s="74">
        <v>0</v>
      </c>
      <c r="BC1541" s="268">
        <v>0</v>
      </c>
      <c r="BD1541" s="28">
        <v>1</v>
      </c>
      <c r="BE1541" s="263" t="s">
        <v>3324</v>
      </c>
      <c r="BF1541" s="263" t="s">
        <v>3325</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69011104</v>
      </c>
      <c r="D1542" s="263" t="s">
        <v>3327</v>
      </c>
      <c r="E1542" s="263" t="s">
        <v>3328</v>
      </c>
      <c r="F1542" s="76">
        <v>1</v>
      </c>
      <c r="G1542" s="76">
        <v>60090002</v>
      </c>
      <c r="H1542" s="74">
        <v>0</v>
      </c>
      <c r="I1542" s="74">
        <v>0</v>
      </c>
      <c r="J1542" s="76">
        <v>1</v>
      </c>
      <c r="K1542" s="76">
        <v>0</v>
      </c>
      <c r="L1542" s="74">
        <v>0</v>
      </c>
      <c r="M1542" s="74">
        <v>0</v>
      </c>
      <c r="N1542" s="74" t="s">
        <v>3329</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6">
        <v>0</v>
      </c>
      <c r="AU1542" s="74">
        <v>0</v>
      </c>
      <c r="AV1542" s="74"/>
      <c r="AW1542" s="263">
        <v>0</v>
      </c>
      <c r="AX1542" s="74">
        <v>0</v>
      </c>
      <c r="AY1542" s="74">
        <v>0</v>
      </c>
      <c r="AZ1542" s="74">
        <v>0</v>
      </c>
      <c r="BA1542" s="14" t="s">
        <v>200</v>
      </c>
      <c r="BB1542" s="74">
        <v>0</v>
      </c>
      <c r="BC1542" s="268">
        <v>0</v>
      </c>
      <c r="BD1542" s="28">
        <v>1</v>
      </c>
      <c r="BE1542" s="263" t="s">
        <v>3327</v>
      </c>
      <c r="BF1542" s="263" t="s">
        <v>3328</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69011201</v>
      </c>
      <c r="D1543" s="263" t="s">
        <v>3330</v>
      </c>
      <c r="E1543" s="263" t="s">
        <v>3331</v>
      </c>
      <c r="F1543" s="76">
        <v>1</v>
      </c>
      <c r="G1543" s="76">
        <v>60090002</v>
      </c>
      <c r="H1543" s="74">
        <v>0</v>
      </c>
      <c r="I1543" s="74">
        <v>0</v>
      </c>
      <c r="J1543" s="76">
        <v>1</v>
      </c>
      <c r="K1543" s="76">
        <v>0</v>
      </c>
      <c r="L1543" s="74">
        <v>0</v>
      </c>
      <c r="M1543" s="74">
        <v>0</v>
      </c>
      <c r="N1543" s="74" t="s">
        <v>3332</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6">
        <v>0</v>
      </c>
      <c r="AU1543" s="74">
        <v>0</v>
      </c>
      <c r="AV1543" s="74"/>
      <c r="AW1543" s="263">
        <v>0</v>
      </c>
      <c r="AX1543" s="74">
        <v>0</v>
      </c>
      <c r="AY1543" s="74">
        <v>0</v>
      </c>
      <c r="AZ1543" s="74">
        <v>0</v>
      </c>
      <c r="BA1543" s="14" t="s">
        <v>200</v>
      </c>
      <c r="BB1543" s="74">
        <v>0</v>
      </c>
      <c r="BC1543" s="268">
        <v>0</v>
      </c>
      <c r="BD1543" s="28">
        <v>1</v>
      </c>
      <c r="BE1543" s="263" t="s">
        <v>3330</v>
      </c>
      <c r="BF1543" s="263" t="s">
        <v>3331</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69011202</v>
      </c>
      <c r="D1544" s="263" t="s">
        <v>3333</v>
      </c>
      <c r="E1544" s="263" t="s">
        <v>3334</v>
      </c>
      <c r="F1544" s="76">
        <v>1</v>
      </c>
      <c r="G1544" s="76">
        <v>60090002</v>
      </c>
      <c r="H1544" s="74">
        <v>0</v>
      </c>
      <c r="I1544" s="74">
        <v>0</v>
      </c>
      <c r="J1544" s="76">
        <v>1</v>
      </c>
      <c r="K1544" s="76">
        <v>0</v>
      </c>
      <c r="L1544" s="74">
        <v>0</v>
      </c>
      <c r="M1544" s="74">
        <v>0</v>
      </c>
      <c r="N1544" s="74" t="s">
        <v>3335</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6">
        <v>0</v>
      </c>
      <c r="AU1544" s="74">
        <v>0</v>
      </c>
      <c r="AV1544" s="74"/>
      <c r="AW1544" s="263">
        <v>0</v>
      </c>
      <c r="AX1544" s="74">
        <v>0</v>
      </c>
      <c r="AY1544" s="74">
        <v>0</v>
      </c>
      <c r="AZ1544" s="74">
        <v>0</v>
      </c>
      <c r="BA1544" s="14" t="s">
        <v>200</v>
      </c>
      <c r="BB1544" s="74">
        <v>0</v>
      </c>
      <c r="BC1544" s="268">
        <v>0</v>
      </c>
      <c r="BD1544" s="28">
        <v>1</v>
      </c>
      <c r="BE1544" s="263" t="s">
        <v>3333</v>
      </c>
      <c r="BF1544" s="263" t="s">
        <v>3334</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69011203</v>
      </c>
      <c r="D1545" s="263" t="s">
        <v>3336</v>
      </c>
      <c r="E1545" s="263" t="s">
        <v>3337</v>
      </c>
      <c r="F1545" s="76">
        <v>1</v>
      </c>
      <c r="G1545" s="76">
        <v>60090002</v>
      </c>
      <c r="H1545" s="74">
        <v>0</v>
      </c>
      <c r="I1545" s="74">
        <v>0</v>
      </c>
      <c r="J1545" s="76">
        <v>1</v>
      </c>
      <c r="K1545" s="76">
        <v>0</v>
      </c>
      <c r="L1545" s="74">
        <v>0</v>
      </c>
      <c r="M1545" s="74">
        <v>0</v>
      </c>
      <c r="N1545" s="74" t="s">
        <v>3338</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6">
        <v>0</v>
      </c>
      <c r="AU1545" s="74">
        <v>0</v>
      </c>
      <c r="AV1545" s="74"/>
      <c r="AW1545" s="263">
        <v>0</v>
      </c>
      <c r="AX1545" s="74">
        <v>0</v>
      </c>
      <c r="AY1545" s="74">
        <v>0</v>
      </c>
      <c r="AZ1545" s="74">
        <v>0</v>
      </c>
      <c r="BA1545" s="14" t="s">
        <v>200</v>
      </c>
      <c r="BB1545" s="74">
        <v>0</v>
      </c>
      <c r="BC1545" s="268">
        <v>0</v>
      </c>
      <c r="BD1545" s="28">
        <v>1</v>
      </c>
      <c r="BE1545" s="263" t="s">
        <v>3336</v>
      </c>
      <c r="BF1545" s="263" t="s">
        <v>3337</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69011204</v>
      </c>
      <c r="D1546" s="263" t="s">
        <v>3339</v>
      </c>
      <c r="E1546" s="263" t="s">
        <v>3340</v>
      </c>
      <c r="F1546" s="76">
        <v>1</v>
      </c>
      <c r="G1546" s="76">
        <v>60090002</v>
      </c>
      <c r="H1546" s="74">
        <v>0</v>
      </c>
      <c r="I1546" s="74">
        <v>0</v>
      </c>
      <c r="J1546" s="76">
        <v>1</v>
      </c>
      <c r="K1546" s="76">
        <v>0</v>
      </c>
      <c r="L1546" s="74">
        <v>0</v>
      </c>
      <c r="M1546" s="74">
        <v>0</v>
      </c>
      <c r="N1546" s="74" t="s">
        <v>3341</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6">
        <v>0</v>
      </c>
      <c r="AU1546" s="74">
        <v>0</v>
      </c>
      <c r="AV1546" s="74"/>
      <c r="AW1546" s="263">
        <v>0</v>
      </c>
      <c r="AX1546" s="74">
        <v>0</v>
      </c>
      <c r="AY1546" s="74">
        <v>0</v>
      </c>
      <c r="AZ1546" s="74">
        <v>0</v>
      </c>
      <c r="BA1546" s="14" t="s">
        <v>200</v>
      </c>
      <c r="BB1546" s="74">
        <v>0</v>
      </c>
      <c r="BC1546" s="268">
        <v>0</v>
      </c>
      <c r="BD1546" s="28">
        <v>1</v>
      </c>
      <c r="BE1546" s="263" t="s">
        <v>3339</v>
      </c>
      <c r="BF1546" s="263" t="s">
        <v>3340</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69011301</v>
      </c>
      <c r="D1547" s="263" t="s">
        <v>3342</v>
      </c>
      <c r="E1547" s="263" t="s">
        <v>3343</v>
      </c>
      <c r="F1547" s="76">
        <v>1</v>
      </c>
      <c r="G1547" s="76">
        <v>60090002</v>
      </c>
      <c r="H1547" s="74">
        <v>0</v>
      </c>
      <c r="I1547" s="74">
        <v>0</v>
      </c>
      <c r="J1547" s="76">
        <v>1</v>
      </c>
      <c r="K1547" s="76">
        <v>0</v>
      </c>
      <c r="L1547" s="74">
        <v>0</v>
      </c>
      <c r="M1547" s="74">
        <v>0</v>
      </c>
      <c r="N1547" s="74" t="s">
        <v>3344</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6">
        <v>0</v>
      </c>
      <c r="AU1547" s="74">
        <v>0</v>
      </c>
      <c r="AV1547" s="74"/>
      <c r="AW1547" s="263">
        <v>0</v>
      </c>
      <c r="AX1547" s="74">
        <v>0</v>
      </c>
      <c r="AY1547" s="74">
        <v>0</v>
      </c>
      <c r="AZ1547" s="74">
        <v>0</v>
      </c>
      <c r="BA1547" s="14" t="s">
        <v>200</v>
      </c>
      <c r="BB1547" s="74">
        <v>0</v>
      </c>
      <c r="BC1547" s="268">
        <v>0</v>
      </c>
      <c r="BD1547" s="28">
        <v>1</v>
      </c>
      <c r="BE1547" s="263" t="s">
        <v>3342</v>
      </c>
      <c r="BF1547" s="263" t="s">
        <v>3343</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69011302</v>
      </c>
      <c r="D1548" s="263" t="s">
        <v>3345</v>
      </c>
      <c r="E1548" s="263" t="s">
        <v>3346</v>
      </c>
      <c r="F1548" s="76">
        <v>1</v>
      </c>
      <c r="G1548" s="76">
        <v>60090002</v>
      </c>
      <c r="H1548" s="74">
        <v>0</v>
      </c>
      <c r="I1548" s="74">
        <v>0</v>
      </c>
      <c r="J1548" s="76">
        <v>1</v>
      </c>
      <c r="K1548" s="76">
        <v>0</v>
      </c>
      <c r="L1548" s="74">
        <v>0</v>
      </c>
      <c r="M1548" s="74">
        <v>0</v>
      </c>
      <c r="N1548" s="74" t="s">
        <v>3347</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6">
        <v>0</v>
      </c>
      <c r="AU1548" s="74">
        <v>0</v>
      </c>
      <c r="AV1548" s="74"/>
      <c r="AW1548" s="263">
        <v>0</v>
      </c>
      <c r="AX1548" s="74">
        <v>0</v>
      </c>
      <c r="AY1548" s="74">
        <v>0</v>
      </c>
      <c r="AZ1548" s="74">
        <v>0</v>
      </c>
      <c r="BA1548" s="14" t="s">
        <v>200</v>
      </c>
      <c r="BB1548" s="74">
        <v>0</v>
      </c>
      <c r="BC1548" s="268">
        <v>0</v>
      </c>
      <c r="BD1548" s="28">
        <v>1</v>
      </c>
      <c r="BE1548" s="263" t="s">
        <v>3345</v>
      </c>
      <c r="BF1548" s="263" t="s">
        <v>3346</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69011303</v>
      </c>
      <c r="D1549" s="263" t="s">
        <v>3348</v>
      </c>
      <c r="E1549" s="263" t="s">
        <v>3349</v>
      </c>
      <c r="F1549" s="76">
        <v>1</v>
      </c>
      <c r="G1549" s="76">
        <v>60090002</v>
      </c>
      <c r="H1549" s="74">
        <v>0</v>
      </c>
      <c r="I1549" s="74">
        <v>0</v>
      </c>
      <c r="J1549" s="76">
        <v>1</v>
      </c>
      <c r="K1549" s="76">
        <v>0</v>
      </c>
      <c r="L1549" s="74">
        <v>0</v>
      </c>
      <c r="M1549" s="74">
        <v>0</v>
      </c>
      <c r="N1549" s="74" t="s">
        <v>3350</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6">
        <v>0</v>
      </c>
      <c r="AU1549" s="74">
        <v>0</v>
      </c>
      <c r="AV1549" s="74"/>
      <c r="AW1549" s="263">
        <v>0</v>
      </c>
      <c r="AX1549" s="74">
        <v>0</v>
      </c>
      <c r="AY1549" s="74">
        <v>0</v>
      </c>
      <c r="AZ1549" s="74">
        <v>0</v>
      </c>
      <c r="BA1549" s="14" t="s">
        <v>200</v>
      </c>
      <c r="BB1549" s="74">
        <v>0</v>
      </c>
      <c r="BC1549" s="268">
        <v>0</v>
      </c>
      <c r="BD1549" s="28">
        <v>1</v>
      </c>
      <c r="BE1549" s="263" t="s">
        <v>3348</v>
      </c>
      <c r="BF1549" s="263" t="s">
        <v>3349</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69011304</v>
      </c>
      <c r="D1550" s="263" t="s">
        <v>3351</v>
      </c>
      <c r="E1550" s="263" t="s">
        <v>3352</v>
      </c>
      <c r="F1550" s="76">
        <v>1</v>
      </c>
      <c r="G1550" s="76">
        <v>60090002</v>
      </c>
      <c r="H1550" s="74">
        <v>0</v>
      </c>
      <c r="I1550" s="74">
        <v>0</v>
      </c>
      <c r="J1550" s="76">
        <v>1</v>
      </c>
      <c r="K1550" s="76">
        <v>0</v>
      </c>
      <c r="L1550" s="74">
        <v>0</v>
      </c>
      <c r="M1550" s="74">
        <v>0</v>
      </c>
      <c r="N1550" s="74" t="s">
        <v>3353</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6">
        <v>0</v>
      </c>
      <c r="AU1550" s="74">
        <v>0</v>
      </c>
      <c r="AV1550" s="74"/>
      <c r="AW1550" s="263">
        <v>0</v>
      </c>
      <c r="AX1550" s="74">
        <v>0</v>
      </c>
      <c r="AY1550" s="74">
        <v>0</v>
      </c>
      <c r="AZ1550" s="74">
        <v>0</v>
      </c>
      <c r="BA1550" s="14" t="s">
        <v>200</v>
      </c>
      <c r="BB1550" s="74">
        <v>0</v>
      </c>
      <c r="BC1550" s="268">
        <v>0</v>
      </c>
      <c r="BD1550" s="28">
        <v>1</v>
      </c>
      <c r="BE1550" s="263" t="s">
        <v>3351</v>
      </c>
      <c r="BF1550" s="263" t="s">
        <v>3352</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69012001</v>
      </c>
      <c r="D1551" s="263" t="s">
        <v>3354</v>
      </c>
      <c r="E1551" s="263" t="s">
        <v>3355</v>
      </c>
      <c r="F1551" s="76">
        <v>1</v>
      </c>
      <c r="G1551" s="76">
        <v>60090002</v>
      </c>
      <c r="H1551" s="74">
        <v>0</v>
      </c>
      <c r="I1551" s="74">
        <v>0</v>
      </c>
      <c r="J1551" s="76">
        <v>1</v>
      </c>
      <c r="K1551" s="76">
        <v>0</v>
      </c>
      <c r="L1551" s="74">
        <v>0</v>
      </c>
      <c r="M1551" s="74">
        <v>0</v>
      </c>
      <c r="N1551" s="74" t="s">
        <v>3302</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6">
        <v>0</v>
      </c>
      <c r="AU1551" s="74">
        <v>0</v>
      </c>
      <c r="AV1551" s="74"/>
      <c r="AW1551" s="263">
        <v>0</v>
      </c>
      <c r="AX1551" s="74">
        <v>0</v>
      </c>
      <c r="AY1551" s="74">
        <v>0</v>
      </c>
      <c r="AZ1551" s="74">
        <v>0</v>
      </c>
      <c r="BA1551" s="14" t="s">
        <v>200</v>
      </c>
      <c r="BB1551" s="74">
        <v>0</v>
      </c>
      <c r="BC1551" s="268">
        <v>0</v>
      </c>
      <c r="BD1551" s="28">
        <v>1</v>
      </c>
      <c r="BE1551" s="263" t="s">
        <v>3354</v>
      </c>
      <c r="BF1551" s="263" t="s">
        <v>3355</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69012002</v>
      </c>
      <c r="D1552" s="263" t="s">
        <v>3356</v>
      </c>
      <c r="E1552" s="263" t="s">
        <v>3357</v>
      </c>
      <c r="F1552" s="76">
        <v>1</v>
      </c>
      <c r="G1552" s="76">
        <v>60090002</v>
      </c>
      <c r="H1552" s="74">
        <v>0</v>
      </c>
      <c r="I1552" s="74">
        <v>0</v>
      </c>
      <c r="J1552" s="76">
        <v>1</v>
      </c>
      <c r="K1552" s="76">
        <v>0</v>
      </c>
      <c r="L1552" s="74">
        <v>0</v>
      </c>
      <c r="M1552" s="74">
        <v>0</v>
      </c>
      <c r="N1552" s="74" t="s">
        <v>3263</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6">
        <v>0</v>
      </c>
      <c r="AU1552" s="74">
        <v>0</v>
      </c>
      <c r="AV1552" s="74"/>
      <c r="AW1552" s="263">
        <v>0</v>
      </c>
      <c r="AX1552" s="74">
        <v>0</v>
      </c>
      <c r="AY1552" s="74">
        <v>0</v>
      </c>
      <c r="AZ1552" s="74">
        <v>0</v>
      </c>
      <c r="BA1552" s="14" t="s">
        <v>200</v>
      </c>
      <c r="BB1552" s="74">
        <v>0</v>
      </c>
      <c r="BC1552" s="268">
        <v>0</v>
      </c>
      <c r="BD1552" s="28">
        <v>1</v>
      </c>
      <c r="BE1552" s="263" t="s">
        <v>3356</v>
      </c>
      <c r="BF1552" s="263" t="s">
        <v>3357</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69012003</v>
      </c>
      <c r="D1553" s="263" t="s">
        <v>3358</v>
      </c>
      <c r="E1553" s="263" t="s">
        <v>3359</v>
      </c>
      <c r="F1553" s="76">
        <v>1</v>
      </c>
      <c r="G1553" s="76">
        <v>60090002</v>
      </c>
      <c r="H1553" s="74">
        <v>0</v>
      </c>
      <c r="I1553" s="74">
        <v>0</v>
      </c>
      <c r="J1553" s="76">
        <v>1</v>
      </c>
      <c r="K1553" s="76">
        <v>0</v>
      </c>
      <c r="L1553" s="74">
        <v>0</v>
      </c>
      <c r="M1553" s="74">
        <v>0</v>
      </c>
      <c r="N1553" s="74" t="s">
        <v>3360</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6">
        <v>0</v>
      </c>
      <c r="AU1553" s="74">
        <v>0</v>
      </c>
      <c r="AV1553" s="74"/>
      <c r="AW1553" s="263">
        <v>0</v>
      </c>
      <c r="AX1553" s="74">
        <v>0</v>
      </c>
      <c r="AY1553" s="74">
        <v>0</v>
      </c>
      <c r="AZ1553" s="74">
        <v>0</v>
      </c>
      <c r="BA1553" s="14" t="s">
        <v>200</v>
      </c>
      <c r="BB1553" s="74">
        <v>0</v>
      </c>
      <c r="BC1553" s="268">
        <v>0</v>
      </c>
      <c r="BD1553" s="28">
        <v>1</v>
      </c>
      <c r="BE1553" s="263" t="s">
        <v>3358</v>
      </c>
      <c r="BF1553" s="263" t="s">
        <v>3359</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69012004</v>
      </c>
      <c r="D1554" s="263" t="s">
        <v>3361</v>
      </c>
      <c r="E1554" s="263" t="s">
        <v>3362</v>
      </c>
      <c r="F1554" s="76">
        <v>1</v>
      </c>
      <c r="G1554" s="76">
        <v>60090002</v>
      </c>
      <c r="H1554" s="74">
        <v>0</v>
      </c>
      <c r="I1554" s="74">
        <v>0</v>
      </c>
      <c r="J1554" s="76">
        <v>1</v>
      </c>
      <c r="K1554" s="76">
        <v>0</v>
      </c>
      <c r="L1554" s="74">
        <v>0</v>
      </c>
      <c r="M1554" s="74">
        <v>0</v>
      </c>
      <c r="N1554" s="74" t="s">
        <v>3363</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6">
        <v>0</v>
      </c>
      <c r="AU1554" s="74">
        <v>0</v>
      </c>
      <c r="AV1554" s="74"/>
      <c r="AW1554" s="263">
        <v>0</v>
      </c>
      <c r="AX1554" s="74">
        <v>0</v>
      </c>
      <c r="AY1554" s="74">
        <v>0</v>
      </c>
      <c r="AZ1554" s="74">
        <v>0</v>
      </c>
      <c r="BA1554" s="14" t="s">
        <v>200</v>
      </c>
      <c r="BB1554" s="74">
        <v>0</v>
      </c>
      <c r="BC1554" s="268">
        <v>0</v>
      </c>
      <c r="BD1554" s="28">
        <v>1</v>
      </c>
      <c r="BE1554" s="263" t="s">
        <v>3361</v>
      </c>
      <c r="BF1554" s="263" t="s">
        <v>3362</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69012005</v>
      </c>
      <c r="D1555" s="263" t="s">
        <v>3364</v>
      </c>
      <c r="E1555" s="263" t="s">
        <v>3365</v>
      </c>
      <c r="F1555" s="76">
        <v>1</v>
      </c>
      <c r="G1555" s="76">
        <v>60090002</v>
      </c>
      <c r="H1555" s="74">
        <v>0</v>
      </c>
      <c r="I1555" s="74">
        <v>0</v>
      </c>
      <c r="J1555" s="76">
        <v>1</v>
      </c>
      <c r="K1555" s="76">
        <v>0</v>
      </c>
      <c r="L1555" s="74">
        <v>0</v>
      </c>
      <c r="M1555" s="74">
        <v>0</v>
      </c>
      <c r="N1555" s="74" t="s">
        <v>3256</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6">
        <v>0</v>
      </c>
      <c r="AU1555" s="74">
        <v>0</v>
      </c>
      <c r="AV1555" s="74"/>
      <c r="AW1555" s="263">
        <v>0</v>
      </c>
      <c r="AX1555" s="74">
        <v>0</v>
      </c>
      <c r="AY1555" s="74">
        <v>0</v>
      </c>
      <c r="AZ1555" s="74">
        <v>0</v>
      </c>
      <c r="BA1555" s="14" t="s">
        <v>200</v>
      </c>
      <c r="BB1555" s="74">
        <v>0</v>
      </c>
      <c r="BC1555" s="268">
        <v>0</v>
      </c>
      <c r="BD1555" s="28">
        <v>1</v>
      </c>
      <c r="BE1555" s="263" t="s">
        <v>3364</v>
      </c>
      <c r="BF1555" s="263" t="s">
        <v>3365</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69012006</v>
      </c>
      <c r="D1556" s="263" t="s">
        <v>3366</v>
      </c>
      <c r="E1556" s="263" t="s">
        <v>3367</v>
      </c>
      <c r="F1556" s="76">
        <v>1</v>
      </c>
      <c r="G1556" s="76">
        <v>60090002</v>
      </c>
      <c r="H1556" s="74">
        <v>0</v>
      </c>
      <c r="I1556" s="74">
        <v>0</v>
      </c>
      <c r="J1556" s="76">
        <v>1</v>
      </c>
      <c r="K1556" s="76">
        <v>0</v>
      </c>
      <c r="L1556" s="74">
        <v>0</v>
      </c>
      <c r="M1556" s="74">
        <v>0</v>
      </c>
      <c r="N1556" s="74" t="s">
        <v>3368</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6">
        <v>0</v>
      </c>
      <c r="AU1556" s="74">
        <v>0</v>
      </c>
      <c r="AV1556" s="74"/>
      <c r="AW1556" s="263">
        <v>0</v>
      </c>
      <c r="AX1556" s="74">
        <v>0</v>
      </c>
      <c r="AY1556" s="74">
        <v>0</v>
      </c>
      <c r="AZ1556" s="74">
        <v>0</v>
      </c>
      <c r="BA1556" s="14" t="s">
        <v>200</v>
      </c>
      <c r="BB1556" s="74">
        <v>0</v>
      </c>
      <c r="BC1556" s="268">
        <v>0</v>
      </c>
      <c r="BD1556" s="28">
        <v>1</v>
      </c>
      <c r="BE1556" s="263" t="s">
        <v>3366</v>
      </c>
      <c r="BF1556" s="263" t="s">
        <v>3367</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69012101</v>
      </c>
      <c r="D1557" s="263" t="s">
        <v>3369</v>
      </c>
      <c r="E1557" s="263" t="s">
        <v>3370</v>
      </c>
      <c r="F1557" s="76">
        <v>1</v>
      </c>
      <c r="G1557" s="76">
        <v>60090002</v>
      </c>
      <c r="H1557" s="74">
        <v>0</v>
      </c>
      <c r="I1557" s="74">
        <v>0</v>
      </c>
      <c r="J1557" s="76">
        <v>1</v>
      </c>
      <c r="K1557" s="76">
        <v>0</v>
      </c>
      <c r="L1557" s="74">
        <v>0</v>
      </c>
      <c r="M1557" s="74">
        <v>0</v>
      </c>
      <c r="N1557" s="74" t="s">
        <v>3371</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6">
        <v>0</v>
      </c>
      <c r="AU1557" s="74">
        <v>0</v>
      </c>
      <c r="AV1557" s="74"/>
      <c r="AW1557" s="263">
        <v>0</v>
      </c>
      <c r="AX1557" s="74">
        <v>0</v>
      </c>
      <c r="AY1557" s="74">
        <v>0</v>
      </c>
      <c r="AZ1557" s="74">
        <v>0</v>
      </c>
      <c r="BA1557" s="14" t="s">
        <v>200</v>
      </c>
      <c r="BB1557" s="74">
        <v>0</v>
      </c>
      <c r="BC1557" s="268">
        <v>0</v>
      </c>
      <c r="BD1557" s="28">
        <v>1</v>
      </c>
      <c r="BE1557" s="263" t="s">
        <v>3369</v>
      </c>
      <c r="BF1557" s="263" t="s">
        <v>3370</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69012102</v>
      </c>
      <c r="D1558" s="263" t="s">
        <v>3372</v>
      </c>
      <c r="E1558" s="263" t="s">
        <v>3373</v>
      </c>
      <c r="F1558" s="76">
        <v>1</v>
      </c>
      <c r="G1558" s="76">
        <v>60090002</v>
      </c>
      <c r="H1558" s="74">
        <v>0</v>
      </c>
      <c r="I1558" s="74">
        <v>0</v>
      </c>
      <c r="J1558" s="76">
        <v>1</v>
      </c>
      <c r="K1558" s="76">
        <v>0</v>
      </c>
      <c r="L1558" s="74">
        <v>0</v>
      </c>
      <c r="M1558" s="74">
        <v>0</v>
      </c>
      <c r="N1558" s="74" t="s">
        <v>3374</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6">
        <v>0</v>
      </c>
      <c r="AU1558" s="74">
        <v>0</v>
      </c>
      <c r="AV1558" s="74"/>
      <c r="AW1558" s="263">
        <v>0</v>
      </c>
      <c r="AX1558" s="74">
        <v>0</v>
      </c>
      <c r="AY1558" s="74">
        <v>0</v>
      </c>
      <c r="AZ1558" s="74">
        <v>0</v>
      </c>
      <c r="BA1558" s="14" t="s">
        <v>200</v>
      </c>
      <c r="BB1558" s="74">
        <v>0</v>
      </c>
      <c r="BC1558" s="268">
        <v>0</v>
      </c>
      <c r="BD1558" s="28">
        <v>1</v>
      </c>
      <c r="BE1558" s="263" t="s">
        <v>3372</v>
      </c>
      <c r="BF1558" s="263" t="s">
        <v>3373</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69012103</v>
      </c>
      <c r="D1559" s="263" t="s">
        <v>3375</v>
      </c>
      <c r="E1559" s="263" t="s">
        <v>3376</v>
      </c>
      <c r="F1559" s="76">
        <v>1</v>
      </c>
      <c r="G1559" s="76">
        <v>60090002</v>
      </c>
      <c r="H1559" s="74">
        <v>0</v>
      </c>
      <c r="I1559" s="74">
        <v>0</v>
      </c>
      <c r="J1559" s="76">
        <v>1</v>
      </c>
      <c r="K1559" s="76">
        <v>0</v>
      </c>
      <c r="L1559" s="74">
        <v>0</v>
      </c>
      <c r="M1559" s="74">
        <v>0</v>
      </c>
      <c r="N1559" s="74" t="s">
        <v>3377</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6">
        <v>0</v>
      </c>
      <c r="AU1559" s="74">
        <v>0</v>
      </c>
      <c r="AV1559" s="74"/>
      <c r="AW1559" s="263">
        <v>0</v>
      </c>
      <c r="AX1559" s="74">
        <v>0</v>
      </c>
      <c r="AY1559" s="74">
        <v>0</v>
      </c>
      <c r="AZ1559" s="74">
        <v>0</v>
      </c>
      <c r="BA1559" s="14" t="s">
        <v>200</v>
      </c>
      <c r="BB1559" s="74">
        <v>0</v>
      </c>
      <c r="BC1559" s="268">
        <v>0</v>
      </c>
      <c r="BD1559" s="28">
        <v>1</v>
      </c>
      <c r="BE1559" s="263" t="s">
        <v>3375</v>
      </c>
      <c r="BF1559" s="263" t="s">
        <v>3376</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69012104</v>
      </c>
      <c r="D1560" s="263" t="s">
        <v>3378</v>
      </c>
      <c r="E1560" s="263" t="s">
        <v>3379</v>
      </c>
      <c r="F1560" s="76">
        <v>1</v>
      </c>
      <c r="G1560" s="76">
        <v>60090002</v>
      </c>
      <c r="H1560" s="74">
        <v>0</v>
      </c>
      <c r="I1560" s="74">
        <v>0</v>
      </c>
      <c r="J1560" s="76">
        <v>1</v>
      </c>
      <c r="K1560" s="76">
        <v>0</v>
      </c>
      <c r="L1560" s="74">
        <v>0</v>
      </c>
      <c r="M1560" s="74">
        <v>0</v>
      </c>
      <c r="N1560" s="74" t="s">
        <v>3380</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6">
        <v>0</v>
      </c>
      <c r="AU1560" s="74">
        <v>0</v>
      </c>
      <c r="AV1560" s="74"/>
      <c r="AW1560" s="263">
        <v>0</v>
      </c>
      <c r="AX1560" s="74">
        <v>0</v>
      </c>
      <c r="AY1560" s="74">
        <v>0</v>
      </c>
      <c r="AZ1560" s="74">
        <v>0</v>
      </c>
      <c r="BA1560" s="14" t="s">
        <v>200</v>
      </c>
      <c r="BB1560" s="74">
        <v>0</v>
      </c>
      <c r="BC1560" s="268">
        <v>0</v>
      </c>
      <c r="BD1560" s="28">
        <v>1</v>
      </c>
      <c r="BE1560" s="263" t="s">
        <v>3378</v>
      </c>
      <c r="BF1560" s="263" t="s">
        <v>3379</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69012201</v>
      </c>
      <c r="D1561" s="263" t="s">
        <v>3381</v>
      </c>
      <c r="E1561" s="263" t="s">
        <v>3382</v>
      </c>
      <c r="F1561" s="76">
        <v>1</v>
      </c>
      <c r="G1561" s="76">
        <v>60090002</v>
      </c>
      <c r="H1561" s="74">
        <v>0</v>
      </c>
      <c r="I1561" s="74">
        <v>0</v>
      </c>
      <c r="J1561" s="76">
        <v>1</v>
      </c>
      <c r="K1561" s="76">
        <v>0</v>
      </c>
      <c r="L1561" s="74">
        <v>0</v>
      </c>
      <c r="M1561" s="74">
        <v>0</v>
      </c>
      <c r="N1561" s="74" t="s">
        <v>3383</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6">
        <v>0</v>
      </c>
      <c r="AU1561" s="74">
        <v>0</v>
      </c>
      <c r="AV1561" s="74"/>
      <c r="AW1561" s="263">
        <v>0</v>
      </c>
      <c r="AX1561" s="74">
        <v>0</v>
      </c>
      <c r="AY1561" s="74">
        <v>0</v>
      </c>
      <c r="AZ1561" s="74">
        <v>0</v>
      </c>
      <c r="BA1561" s="14" t="s">
        <v>200</v>
      </c>
      <c r="BB1561" s="74">
        <v>0</v>
      </c>
      <c r="BC1561" s="268">
        <v>0</v>
      </c>
      <c r="BD1561" s="28">
        <v>1</v>
      </c>
      <c r="BE1561" s="263" t="s">
        <v>3381</v>
      </c>
      <c r="BF1561" s="263" t="s">
        <v>3382</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69012202</v>
      </c>
      <c r="D1562" s="263" t="s">
        <v>3384</v>
      </c>
      <c r="E1562" s="263" t="s">
        <v>3385</v>
      </c>
      <c r="F1562" s="76">
        <v>1</v>
      </c>
      <c r="G1562" s="76">
        <v>60090002</v>
      </c>
      <c r="H1562" s="74">
        <v>0</v>
      </c>
      <c r="I1562" s="74">
        <v>0</v>
      </c>
      <c r="J1562" s="76">
        <v>1</v>
      </c>
      <c r="K1562" s="76">
        <v>0</v>
      </c>
      <c r="L1562" s="74">
        <v>0</v>
      </c>
      <c r="M1562" s="74">
        <v>0</v>
      </c>
      <c r="N1562" s="74" t="s">
        <v>3386</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6">
        <v>0</v>
      </c>
      <c r="AU1562" s="74">
        <v>0</v>
      </c>
      <c r="AV1562" s="74"/>
      <c r="AW1562" s="263">
        <v>0</v>
      </c>
      <c r="AX1562" s="74">
        <v>0</v>
      </c>
      <c r="AY1562" s="74">
        <v>0</v>
      </c>
      <c r="AZ1562" s="74">
        <v>0</v>
      </c>
      <c r="BA1562" s="14" t="s">
        <v>200</v>
      </c>
      <c r="BB1562" s="74">
        <v>0</v>
      </c>
      <c r="BC1562" s="268">
        <v>0</v>
      </c>
      <c r="BD1562" s="28">
        <v>1</v>
      </c>
      <c r="BE1562" s="263" t="s">
        <v>3384</v>
      </c>
      <c r="BF1562" s="263" t="s">
        <v>3385</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69012203</v>
      </c>
      <c r="D1563" s="263" t="s">
        <v>3387</v>
      </c>
      <c r="E1563" s="263" t="s">
        <v>3388</v>
      </c>
      <c r="F1563" s="76">
        <v>1</v>
      </c>
      <c r="G1563" s="76">
        <v>60090002</v>
      </c>
      <c r="H1563" s="74">
        <v>0</v>
      </c>
      <c r="I1563" s="74">
        <v>0</v>
      </c>
      <c r="J1563" s="76">
        <v>1</v>
      </c>
      <c r="K1563" s="76">
        <v>0</v>
      </c>
      <c r="L1563" s="74">
        <v>0</v>
      </c>
      <c r="M1563" s="74">
        <v>0</v>
      </c>
      <c r="N1563" s="74" t="s">
        <v>3389</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6">
        <v>0</v>
      </c>
      <c r="AU1563" s="74">
        <v>0</v>
      </c>
      <c r="AV1563" s="74"/>
      <c r="AW1563" s="263">
        <v>0</v>
      </c>
      <c r="AX1563" s="74">
        <v>0</v>
      </c>
      <c r="AY1563" s="74">
        <v>0</v>
      </c>
      <c r="AZ1563" s="74">
        <v>0</v>
      </c>
      <c r="BA1563" s="14" t="s">
        <v>200</v>
      </c>
      <c r="BB1563" s="74">
        <v>0</v>
      </c>
      <c r="BC1563" s="268">
        <v>0</v>
      </c>
      <c r="BD1563" s="28">
        <v>1</v>
      </c>
      <c r="BE1563" s="263" t="s">
        <v>3387</v>
      </c>
      <c r="BF1563" s="263" t="s">
        <v>3388</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69012204</v>
      </c>
      <c r="D1564" s="263" t="s">
        <v>3390</v>
      </c>
      <c r="E1564" s="263" t="s">
        <v>3391</v>
      </c>
      <c r="F1564" s="76">
        <v>1</v>
      </c>
      <c r="G1564" s="76">
        <v>60090002</v>
      </c>
      <c r="H1564" s="74">
        <v>0</v>
      </c>
      <c r="I1564" s="74">
        <v>0</v>
      </c>
      <c r="J1564" s="76">
        <v>1</v>
      </c>
      <c r="K1564" s="76">
        <v>0</v>
      </c>
      <c r="L1564" s="74">
        <v>0</v>
      </c>
      <c r="M1564" s="74">
        <v>0</v>
      </c>
      <c r="N1564" s="74" t="s">
        <v>3392</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6">
        <v>0</v>
      </c>
      <c r="AU1564" s="74">
        <v>0</v>
      </c>
      <c r="AV1564" s="74"/>
      <c r="AW1564" s="263">
        <v>0</v>
      </c>
      <c r="AX1564" s="74">
        <v>0</v>
      </c>
      <c r="AY1564" s="74">
        <v>0</v>
      </c>
      <c r="AZ1564" s="74">
        <v>0</v>
      </c>
      <c r="BA1564" s="14" t="s">
        <v>200</v>
      </c>
      <c r="BB1564" s="74">
        <v>0</v>
      </c>
      <c r="BC1564" s="268">
        <v>0</v>
      </c>
      <c r="BD1564" s="28">
        <v>1</v>
      </c>
      <c r="BE1564" s="263" t="s">
        <v>3390</v>
      </c>
      <c r="BF1564" s="263" t="s">
        <v>3391</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69012301</v>
      </c>
      <c r="D1565" s="263" t="s">
        <v>3393</v>
      </c>
      <c r="E1565" s="263" t="s">
        <v>3394</v>
      </c>
      <c r="F1565" s="76">
        <v>1</v>
      </c>
      <c r="G1565" s="76">
        <v>60090002</v>
      </c>
      <c r="H1565" s="74">
        <v>0</v>
      </c>
      <c r="I1565" s="74">
        <v>0</v>
      </c>
      <c r="J1565" s="76">
        <v>1</v>
      </c>
      <c r="K1565" s="76">
        <v>0</v>
      </c>
      <c r="L1565" s="74">
        <v>0</v>
      </c>
      <c r="M1565" s="74">
        <v>0</v>
      </c>
      <c r="N1565" s="74" t="s">
        <v>3395</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6">
        <v>0</v>
      </c>
      <c r="AU1565" s="74">
        <v>0</v>
      </c>
      <c r="AV1565" s="74"/>
      <c r="AW1565" s="263">
        <v>0</v>
      </c>
      <c r="AX1565" s="74">
        <v>0</v>
      </c>
      <c r="AY1565" s="74">
        <v>0</v>
      </c>
      <c r="AZ1565" s="74">
        <v>0</v>
      </c>
      <c r="BA1565" s="14" t="s">
        <v>200</v>
      </c>
      <c r="BB1565" s="74">
        <v>0</v>
      </c>
      <c r="BC1565" s="268">
        <v>0</v>
      </c>
      <c r="BD1565" s="28">
        <v>1</v>
      </c>
      <c r="BE1565" s="263" t="s">
        <v>3393</v>
      </c>
      <c r="BF1565" s="263" t="s">
        <v>3394</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69012302</v>
      </c>
      <c r="D1566" s="263" t="s">
        <v>3396</v>
      </c>
      <c r="E1566" s="263" t="s">
        <v>3397</v>
      </c>
      <c r="F1566" s="76">
        <v>1</v>
      </c>
      <c r="G1566" s="76">
        <v>60090002</v>
      </c>
      <c r="H1566" s="74">
        <v>0</v>
      </c>
      <c r="I1566" s="74">
        <v>0</v>
      </c>
      <c r="J1566" s="76">
        <v>1</v>
      </c>
      <c r="K1566" s="76">
        <v>0</v>
      </c>
      <c r="L1566" s="74">
        <v>0</v>
      </c>
      <c r="M1566" s="74">
        <v>0</v>
      </c>
      <c r="N1566" s="74" t="s">
        <v>3398</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6">
        <v>0</v>
      </c>
      <c r="AU1566" s="74">
        <v>0</v>
      </c>
      <c r="AV1566" s="74"/>
      <c r="AW1566" s="263">
        <v>0</v>
      </c>
      <c r="AX1566" s="74">
        <v>0</v>
      </c>
      <c r="AY1566" s="74">
        <v>0</v>
      </c>
      <c r="AZ1566" s="74">
        <v>0</v>
      </c>
      <c r="BA1566" s="14" t="s">
        <v>200</v>
      </c>
      <c r="BB1566" s="74">
        <v>0</v>
      </c>
      <c r="BC1566" s="268">
        <v>0</v>
      </c>
      <c r="BD1566" s="28">
        <v>1</v>
      </c>
      <c r="BE1566" s="263" t="s">
        <v>3396</v>
      </c>
      <c r="BF1566" s="263" t="s">
        <v>3397</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69012303</v>
      </c>
      <c r="D1567" s="263" t="s">
        <v>3399</v>
      </c>
      <c r="E1567" s="263" t="s">
        <v>3400</v>
      </c>
      <c r="F1567" s="76">
        <v>1</v>
      </c>
      <c r="G1567" s="76">
        <v>60090002</v>
      </c>
      <c r="H1567" s="74">
        <v>0</v>
      </c>
      <c r="I1567" s="74">
        <v>0</v>
      </c>
      <c r="J1567" s="76">
        <v>1</v>
      </c>
      <c r="K1567" s="76">
        <v>0</v>
      </c>
      <c r="L1567" s="74">
        <v>0</v>
      </c>
      <c r="M1567" s="74">
        <v>0</v>
      </c>
      <c r="N1567" s="74" t="s">
        <v>3401</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6">
        <v>0</v>
      </c>
      <c r="AU1567" s="74">
        <v>0</v>
      </c>
      <c r="AV1567" s="74"/>
      <c r="AW1567" s="263">
        <v>0</v>
      </c>
      <c r="AX1567" s="74">
        <v>0</v>
      </c>
      <c r="AY1567" s="74">
        <v>0</v>
      </c>
      <c r="AZ1567" s="74">
        <v>0</v>
      </c>
      <c r="BA1567" s="14" t="s">
        <v>200</v>
      </c>
      <c r="BB1567" s="74">
        <v>0</v>
      </c>
      <c r="BC1567" s="268">
        <v>0</v>
      </c>
      <c r="BD1567" s="28">
        <v>1</v>
      </c>
      <c r="BE1567" s="263" t="s">
        <v>3399</v>
      </c>
      <c r="BF1567" s="263" t="s">
        <v>3400</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69012304</v>
      </c>
      <c r="D1568" s="263" t="s">
        <v>3402</v>
      </c>
      <c r="E1568" s="263" t="s">
        <v>3403</v>
      </c>
      <c r="F1568" s="76">
        <v>1</v>
      </c>
      <c r="G1568" s="76">
        <v>60090002</v>
      </c>
      <c r="H1568" s="74">
        <v>0</v>
      </c>
      <c r="I1568" s="74">
        <v>0</v>
      </c>
      <c r="J1568" s="76">
        <v>1</v>
      </c>
      <c r="K1568" s="76">
        <v>0</v>
      </c>
      <c r="L1568" s="74">
        <v>0</v>
      </c>
      <c r="M1568" s="74">
        <v>0</v>
      </c>
      <c r="N1568" s="74" t="s">
        <v>3404</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6">
        <v>0</v>
      </c>
      <c r="AU1568" s="74">
        <v>0</v>
      </c>
      <c r="AV1568" s="74"/>
      <c r="AW1568" s="263">
        <v>0</v>
      </c>
      <c r="AX1568" s="74">
        <v>0</v>
      </c>
      <c r="AY1568" s="74">
        <v>0</v>
      </c>
      <c r="AZ1568" s="74">
        <v>0</v>
      </c>
      <c r="BA1568" s="14" t="s">
        <v>200</v>
      </c>
      <c r="BB1568" s="74">
        <v>0</v>
      </c>
      <c r="BC1568" s="268">
        <v>0</v>
      </c>
      <c r="BD1568" s="28">
        <v>1</v>
      </c>
      <c r="BE1568" s="263" t="s">
        <v>3402</v>
      </c>
      <c r="BF1568" s="263" t="s">
        <v>3403</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66">
        <v>69013001</v>
      </c>
      <c r="D1569" s="271" t="s">
        <v>3405</v>
      </c>
      <c r="E1569" s="271" t="s">
        <v>3406</v>
      </c>
      <c r="F1569" s="272">
        <v>1</v>
      </c>
      <c r="G1569" s="272">
        <v>60090002</v>
      </c>
      <c r="H1569" s="273">
        <v>0</v>
      </c>
      <c r="I1569" s="273">
        <v>0</v>
      </c>
      <c r="J1569" s="272">
        <v>1</v>
      </c>
      <c r="K1569" s="272">
        <v>0</v>
      </c>
      <c r="L1569" s="273">
        <v>0</v>
      </c>
      <c r="M1569" s="273">
        <v>0</v>
      </c>
      <c r="N1569" s="273" t="s">
        <v>3407</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6">
        <v>0</v>
      </c>
      <c r="AU1569" s="74">
        <v>0</v>
      </c>
      <c r="AV1569" s="74"/>
      <c r="AW1569" s="263">
        <v>0</v>
      </c>
      <c r="AX1569" s="74">
        <v>0</v>
      </c>
      <c r="AY1569" s="74">
        <v>0</v>
      </c>
      <c r="AZ1569" s="74">
        <v>0</v>
      </c>
      <c r="BA1569" s="14" t="s">
        <v>200</v>
      </c>
      <c r="BB1569" s="74">
        <v>0</v>
      </c>
      <c r="BC1569" s="268">
        <v>0</v>
      </c>
      <c r="BD1569" s="28">
        <v>1</v>
      </c>
      <c r="BE1569" s="263" t="s">
        <v>3405</v>
      </c>
      <c r="BF1569" s="263" t="s">
        <v>3406</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66">
        <v>69013002</v>
      </c>
      <c r="D1570" s="271" t="s">
        <v>3408</v>
      </c>
      <c r="E1570" s="271" t="s">
        <v>3409</v>
      </c>
      <c r="F1570" s="272">
        <v>1</v>
      </c>
      <c r="G1570" s="272">
        <v>60090002</v>
      </c>
      <c r="H1570" s="273">
        <v>0</v>
      </c>
      <c r="I1570" s="273">
        <v>0</v>
      </c>
      <c r="J1570" s="272">
        <v>1</v>
      </c>
      <c r="K1570" s="272">
        <v>0</v>
      </c>
      <c r="L1570" s="273">
        <v>0</v>
      </c>
      <c r="M1570" s="273">
        <v>0</v>
      </c>
      <c r="N1570" s="273" t="s">
        <v>3293</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6">
        <v>0</v>
      </c>
      <c r="AU1570" s="74">
        <v>0</v>
      </c>
      <c r="AV1570" s="74"/>
      <c r="AW1570" s="263">
        <v>0</v>
      </c>
      <c r="AX1570" s="74">
        <v>0</v>
      </c>
      <c r="AY1570" s="74">
        <v>0</v>
      </c>
      <c r="AZ1570" s="74">
        <v>0</v>
      </c>
      <c r="BA1570" s="14" t="s">
        <v>200</v>
      </c>
      <c r="BB1570" s="74">
        <v>0</v>
      </c>
      <c r="BC1570" s="268">
        <v>0</v>
      </c>
      <c r="BD1570" s="28">
        <v>1</v>
      </c>
      <c r="BE1570" s="263" t="s">
        <v>3408</v>
      </c>
      <c r="BF1570" s="263" t="s">
        <v>3409</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66">
        <v>69013003</v>
      </c>
      <c r="D1571" s="271" t="s">
        <v>3410</v>
      </c>
      <c r="E1571" s="271" t="s">
        <v>3411</v>
      </c>
      <c r="F1571" s="272">
        <v>1</v>
      </c>
      <c r="G1571" s="272">
        <v>60090002</v>
      </c>
      <c r="H1571" s="273">
        <v>0</v>
      </c>
      <c r="I1571" s="273">
        <v>0</v>
      </c>
      <c r="J1571" s="272">
        <v>1</v>
      </c>
      <c r="K1571" s="272">
        <v>0</v>
      </c>
      <c r="L1571" s="273">
        <v>0</v>
      </c>
      <c r="M1571" s="273">
        <v>0</v>
      </c>
      <c r="N1571" s="273" t="s">
        <v>3290</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6">
        <v>0</v>
      </c>
      <c r="AU1571" s="74">
        <v>0</v>
      </c>
      <c r="AV1571" s="74"/>
      <c r="AW1571" s="263">
        <v>0</v>
      </c>
      <c r="AX1571" s="74">
        <v>0</v>
      </c>
      <c r="AY1571" s="74">
        <v>0</v>
      </c>
      <c r="AZ1571" s="74">
        <v>0</v>
      </c>
      <c r="BA1571" s="14" t="s">
        <v>200</v>
      </c>
      <c r="BB1571" s="74">
        <v>0</v>
      </c>
      <c r="BC1571" s="268">
        <v>0</v>
      </c>
      <c r="BD1571" s="28">
        <v>1</v>
      </c>
      <c r="BE1571" s="263" t="s">
        <v>3410</v>
      </c>
      <c r="BF1571" s="263" t="s">
        <v>3411</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66">
        <v>69013004</v>
      </c>
      <c r="D1572" s="271" t="s">
        <v>3412</v>
      </c>
      <c r="E1572" s="271" t="s">
        <v>3413</v>
      </c>
      <c r="F1572" s="272">
        <v>1</v>
      </c>
      <c r="G1572" s="272">
        <v>60090002</v>
      </c>
      <c r="H1572" s="273">
        <v>0</v>
      </c>
      <c r="I1572" s="273">
        <v>0</v>
      </c>
      <c r="J1572" s="272">
        <v>1</v>
      </c>
      <c r="K1572" s="272">
        <v>0</v>
      </c>
      <c r="L1572" s="273">
        <v>0</v>
      </c>
      <c r="M1572" s="273">
        <v>0</v>
      </c>
      <c r="N1572" s="273" t="s">
        <v>3296</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6">
        <v>0</v>
      </c>
      <c r="AU1572" s="74">
        <v>0</v>
      </c>
      <c r="AV1572" s="74"/>
      <c r="AW1572" s="263">
        <v>0</v>
      </c>
      <c r="AX1572" s="74">
        <v>0</v>
      </c>
      <c r="AY1572" s="74">
        <v>0</v>
      </c>
      <c r="AZ1572" s="74">
        <v>0</v>
      </c>
      <c r="BA1572" s="14" t="s">
        <v>200</v>
      </c>
      <c r="BB1572" s="74">
        <v>0</v>
      </c>
      <c r="BC1572" s="268">
        <v>0</v>
      </c>
      <c r="BD1572" s="28">
        <v>1</v>
      </c>
      <c r="BE1572" s="263" t="s">
        <v>3412</v>
      </c>
      <c r="BF1572" s="263" t="s">
        <v>3413</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69013005</v>
      </c>
      <c r="D1573" s="271" t="s">
        <v>3414</v>
      </c>
      <c r="E1573" s="271" t="s">
        <v>3415</v>
      </c>
      <c r="F1573" s="272">
        <v>1</v>
      </c>
      <c r="G1573" s="272">
        <v>60090002</v>
      </c>
      <c r="H1573" s="273">
        <v>0</v>
      </c>
      <c r="I1573" s="273">
        <v>0</v>
      </c>
      <c r="J1573" s="272">
        <v>1</v>
      </c>
      <c r="K1573" s="272">
        <v>0</v>
      </c>
      <c r="L1573" s="273">
        <v>0</v>
      </c>
      <c r="M1573" s="273">
        <v>0</v>
      </c>
      <c r="N1573" s="273" t="s">
        <v>3416</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6">
        <v>0</v>
      </c>
      <c r="AU1573" s="74">
        <v>0</v>
      </c>
      <c r="AV1573" s="74"/>
      <c r="AW1573" s="263">
        <v>0</v>
      </c>
      <c r="AX1573" s="74">
        <v>0</v>
      </c>
      <c r="AY1573" s="74">
        <v>0</v>
      </c>
      <c r="AZ1573" s="74">
        <v>0</v>
      </c>
      <c r="BA1573" s="14" t="s">
        <v>200</v>
      </c>
      <c r="BB1573" s="74">
        <v>0</v>
      </c>
      <c r="BC1573" s="268">
        <v>0</v>
      </c>
      <c r="BD1573" s="28">
        <v>1</v>
      </c>
      <c r="BE1573" s="263" t="s">
        <v>3414</v>
      </c>
      <c r="BF1573" s="263" t="s">
        <v>3415</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69013006</v>
      </c>
      <c r="D1574" s="271" t="s">
        <v>3417</v>
      </c>
      <c r="E1574" s="271" t="s">
        <v>3418</v>
      </c>
      <c r="F1574" s="272">
        <v>1</v>
      </c>
      <c r="G1574" s="272">
        <v>60090002</v>
      </c>
      <c r="H1574" s="273">
        <v>0</v>
      </c>
      <c r="I1574" s="273">
        <v>0</v>
      </c>
      <c r="J1574" s="272">
        <v>1</v>
      </c>
      <c r="K1574" s="272">
        <v>0</v>
      </c>
      <c r="L1574" s="273">
        <v>0</v>
      </c>
      <c r="M1574" s="273">
        <v>0</v>
      </c>
      <c r="N1574" s="273" t="s">
        <v>3299</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6">
        <v>0</v>
      </c>
      <c r="AU1574" s="74">
        <v>0</v>
      </c>
      <c r="AV1574" s="74"/>
      <c r="AW1574" s="263">
        <v>0</v>
      </c>
      <c r="AX1574" s="74">
        <v>0</v>
      </c>
      <c r="AY1574" s="74">
        <v>0</v>
      </c>
      <c r="AZ1574" s="74">
        <v>0</v>
      </c>
      <c r="BA1574" s="14" t="s">
        <v>200</v>
      </c>
      <c r="BB1574" s="74">
        <v>0</v>
      </c>
      <c r="BC1574" s="268">
        <v>0</v>
      </c>
      <c r="BD1574" s="28">
        <v>1</v>
      </c>
      <c r="BE1574" s="263" t="s">
        <v>3417</v>
      </c>
      <c r="BF1574" s="263" t="s">
        <v>3418</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69013101</v>
      </c>
      <c r="D1575" s="271" t="s">
        <v>3419</v>
      </c>
      <c r="E1575" s="271" t="s">
        <v>3420</v>
      </c>
      <c r="F1575" s="272">
        <v>1</v>
      </c>
      <c r="G1575" s="272">
        <v>60090002</v>
      </c>
      <c r="H1575" s="273">
        <v>0</v>
      </c>
      <c r="I1575" s="273">
        <v>0</v>
      </c>
      <c r="J1575" s="272">
        <v>1</v>
      </c>
      <c r="K1575" s="272">
        <v>0</v>
      </c>
      <c r="L1575" s="273">
        <v>0</v>
      </c>
      <c r="M1575" s="273">
        <v>0</v>
      </c>
      <c r="N1575" s="273" t="s">
        <v>3421</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6">
        <v>0</v>
      </c>
      <c r="AU1575" s="74">
        <v>0</v>
      </c>
      <c r="AV1575" s="74"/>
      <c r="AW1575" s="263">
        <v>0</v>
      </c>
      <c r="AX1575" s="74">
        <v>0</v>
      </c>
      <c r="AY1575" s="74">
        <v>0</v>
      </c>
      <c r="AZ1575" s="74">
        <v>0</v>
      </c>
      <c r="BA1575" s="14" t="s">
        <v>200</v>
      </c>
      <c r="BB1575" s="74">
        <v>0</v>
      </c>
      <c r="BC1575" s="268">
        <v>0</v>
      </c>
      <c r="BD1575" s="28">
        <v>1</v>
      </c>
      <c r="BE1575" s="263" t="s">
        <v>3419</v>
      </c>
      <c r="BF1575" s="263" t="s">
        <v>3420</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69013102</v>
      </c>
      <c r="D1576" s="271" t="s">
        <v>3422</v>
      </c>
      <c r="E1576" s="271" t="s">
        <v>3423</v>
      </c>
      <c r="F1576" s="272">
        <v>1</v>
      </c>
      <c r="G1576" s="272">
        <v>60090002</v>
      </c>
      <c r="H1576" s="273">
        <v>0</v>
      </c>
      <c r="I1576" s="273">
        <v>0</v>
      </c>
      <c r="J1576" s="272">
        <v>1</v>
      </c>
      <c r="K1576" s="272">
        <v>0</v>
      </c>
      <c r="L1576" s="273">
        <v>0</v>
      </c>
      <c r="M1576" s="273">
        <v>0</v>
      </c>
      <c r="N1576" s="273" t="s">
        <v>3424</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6">
        <v>0</v>
      </c>
      <c r="AU1576" s="74">
        <v>0</v>
      </c>
      <c r="AV1576" s="74"/>
      <c r="AW1576" s="263">
        <v>0</v>
      </c>
      <c r="AX1576" s="74">
        <v>0</v>
      </c>
      <c r="AY1576" s="74">
        <v>0</v>
      </c>
      <c r="AZ1576" s="74">
        <v>0</v>
      </c>
      <c r="BA1576" s="14" t="s">
        <v>200</v>
      </c>
      <c r="BB1576" s="74">
        <v>0</v>
      </c>
      <c r="BC1576" s="268">
        <v>0</v>
      </c>
      <c r="BD1576" s="28">
        <v>1</v>
      </c>
      <c r="BE1576" s="263" t="s">
        <v>3422</v>
      </c>
      <c r="BF1576" s="263" t="s">
        <v>3423</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69013103</v>
      </c>
      <c r="D1577" s="271" t="s">
        <v>3425</v>
      </c>
      <c r="E1577" s="271" t="s">
        <v>3426</v>
      </c>
      <c r="F1577" s="272">
        <v>1</v>
      </c>
      <c r="G1577" s="272">
        <v>60090002</v>
      </c>
      <c r="H1577" s="273">
        <v>0</v>
      </c>
      <c r="I1577" s="273">
        <v>0</v>
      </c>
      <c r="J1577" s="272">
        <v>1</v>
      </c>
      <c r="K1577" s="272">
        <v>0</v>
      </c>
      <c r="L1577" s="273">
        <v>0</v>
      </c>
      <c r="M1577" s="273">
        <v>0</v>
      </c>
      <c r="N1577" s="273" t="s">
        <v>3427</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6">
        <v>0</v>
      </c>
      <c r="AU1577" s="74">
        <v>0</v>
      </c>
      <c r="AV1577" s="74"/>
      <c r="AW1577" s="263">
        <v>0</v>
      </c>
      <c r="AX1577" s="74">
        <v>0</v>
      </c>
      <c r="AY1577" s="74">
        <v>0</v>
      </c>
      <c r="AZ1577" s="74">
        <v>0</v>
      </c>
      <c r="BA1577" s="14" t="s">
        <v>200</v>
      </c>
      <c r="BB1577" s="74">
        <v>0</v>
      </c>
      <c r="BC1577" s="268">
        <v>0</v>
      </c>
      <c r="BD1577" s="28">
        <v>1</v>
      </c>
      <c r="BE1577" s="263" t="s">
        <v>3425</v>
      </c>
      <c r="BF1577" s="263" t="s">
        <v>3426</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69013104</v>
      </c>
      <c r="D1578" s="271" t="s">
        <v>3428</v>
      </c>
      <c r="E1578" s="271" t="s">
        <v>3429</v>
      </c>
      <c r="F1578" s="272">
        <v>1</v>
      </c>
      <c r="G1578" s="272">
        <v>60090002</v>
      </c>
      <c r="H1578" s="273">
        <v>0</v>
      </c>
      <c r="I1578" s="273">
        <v>0</v>
      </c>
      <c r="J1578" s="272">
        <v>1</v>
      </c>
      <c r="K1578" s="272">
        <v>0</v>
      </c>
      <c r="L1578" s="273">
        <v>0</v>
      </c>
      <c r="M1578" s="273">
        <v>0</v>
      </c>
      <c r="N1578" s="273" t="s">
        <v>3430</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6">
        <v>0</v>
      </c>
      <c r="AU1578" s="74">
        <v>0</v>
      </c>
      <c r="AV1578" s="74"/>
      <c r="AW1578" s="263">
        <v>0</v>
      </c>
      <c r="AX1578" s="74">
        <v>0</v>
      </c>
      <c r="AY1578" s="74">
        <v>0</v>
      </c>
      <c r="AZ1578" s="74">
        <v>0</v>
      </c>
      <c r="BA1578" s="14" t="s">
        <v>200</v>
      </c>
      <c r="BB1578" s="74">
        <v>0</v>
      </c>
      <c r="BC1578" s="268">
        <v>0</v>
      </c>
      <c r="BD1578" s="28">
        <v>1</v>
      </c>
      <c r="BE1578" s="263" t="s">
        <v>3428</v>
      </c>
      <c r="BF1578" s="263" t="s">
        <v>3429</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69013201</v>
      </c>
      <c r="D1579" s="271" t="s">
        <v>3431</v>
      </c>
      <c r="E1579" s="271" t="s">
        <v>3432</v>
      </c>
      <c r="F1579" s="272">
        <v>1</v>
      </c>
      <c r="G1579" s="272">
        <v>60090002</v>
      </c>
      <c r="H1579" s="273">
        <v>0</v>
      </c>
      <c r="I1579" s="273">
        <v>0</v>
      </c>
      <c r="J1579" s="272">
        <v>1</v>
      </c>
      <c r="K1579" s="272">
        <v>0</v>
      </c>
      <c r="L1579" s="273">
        <v>0</v>
      </c>
      <c r="M1579" s="273">
        <v>0</v>
      </c>
      <c r="N1579" s="273" t="s">
        <v>3433</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6">
        <v>0</v>
      </c>
      <c r="AU1579" s="74">
        <v>0</v>
      </c>
      <c r="AV1579" s="74"/>
      <c r="AW1579" s="263">
        <v>0</v>
      </c>
      <c r="AX1579" s="74">
        <v>0</v>
      </c>
      <c r="AY1579" s="74">
        <v>0</v>
      </c>
      <c r="AZ1579" s="74">
        <v>0</v>
      </c>
      <c r="BA1579" s="14" t="s">
        <v>200</v>
      </c>
      <c r="BB1579" s="74">
        <v>0</v>
      </c>
      <c r="BC1579" s="268">
        <v>0</v>
      </c>
      <c r="BD1579" s="28">
        <v>1</v>
      </c>
      <c r="BE1579" s="263" t="s">
        <v>3431</v>
      </c>
      <c r="BF1579" s="263" t="s">
        <v>3432</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69013202</v>
      </c>
      <c r="D1580" s="271" t="s">
        <v>3434</v>
      </c>
      <c r="E1580" s="271" t="s">
        <v>3435</v>
      </c>
      <c r="F1580" s="272">
        <v>1</v>
      </c>
      <c r="G1580" s="272">
        <v>60090002</v>
      </c>
      <c r="H1580" s="273">
        <v>0</v>
      </c>
      <c r="I1580" s="273">
        <v>0</v>
      </c>
      <c r="J1580" s="272">
        <v>1</v>
      </c>
      <c r="K1580" s="272">
        <v>0</v>
      </c>
      <c r="L1580" s="273">
        <v>0</v>
      </c>
      <c r="M1580" s="273">
        <v>0</v>
      </c>
      <c r="N1580" s="273" t="s">
        <v>3436</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6">
        <v>0</v>
      </c>
      <c r="AU1580" s="74">
        <v>0</v>
      </c>
      <c r="AV1580" s="74"/>
      <c r="AW1580" s="263">
        <v>0</v>
      </c>
      <c r="AX1580" s="74">
        <v>0</v>
      </c>
      <c r="AY1580" s="74">
        <v>0</v>
      </c>
      <c r="AZ1580" s="74">
        <v>0</v>
      </c>
      <c r="BA1580" s="14" t="s">
        <v>200</v>
      </c>
      <c r="BB1580" s="74">
        <v>0</v>
      </c>
      <c r="BC1580" s="268">
        <v>0</v>
      </c>
      <c r="BD1580" s="28">
        <v>1</v>
      </c>
      <c r="BE1580" s="263" t="s">
        <v>3434</v>
      </c>
      <c r="BF1580" s="263" t="s">
        <v>3435</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69013203</v>
      </c>
      <c r="D1581" s="271" t="s">
        <v>3437</v>
      </c>
      <c r="E1581" s="271" t="s">
        <v>3438</v>
      </c>
      <c r="F1581" s="272">
        <v>1</v>
      </c>
      <c r="G1581" s="272">
        <v>60090002</v>
      </c>
      <c r="H1581" s="273">
        <v>0</v>
      </c>
      <c r="I1581" s="273">
        <v>0</v>
      </c>
      <c r="J1581" s="272">
        <v>1</v>
      </c>
      <c r="K1581" s="272">
        <v>0</v>
      </c>
      <c r="L1581" s="273">
        <v>0</v>
      </c>
      <c r="M1581" s="273">
        <v>0</v>
      </c>
      <c r="N1581" s="273" t="s">
        <v>3439</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6">
        <v>0</v>
      </c>
      <c r="AU1581" s="74">
        <v>0</v>
      </c>
      <c r="AV1581" s="74"/>
      <c r="AW1581" s="263">
        <v>0</v>
      </c>
      <c r="AX1581" s="74">
        <v>0</v>
      </c>
      <c r="AY1581" s="74">
        <v>0</v>
      </c>
      <c r="AZ1581" s="74">
        <v>0</v>
      </c>
      <c r="BA1581" s="14" t="s">
        <v>200</v>
      </c>
      <c r="BB1581" s="74">
        <v>0</v>
      </c>
      <c r="BC1581" s="268">
        <v>0</v>
      </c>
      <c r="BD1581" s="28">
        <v>1</v>
      </c>
      <c r="BE1581" s="263" t="s">
        <v>3437</v>
      </c>
      <c r="BF1581" s="263" t="s">
        <v>3438</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69013204</v>
      </c>
      <c r="D1582" s="271" t="s">
        <v>3440</v>
      </c>
      <c r="E1582" s="271" t="s">
        <v>3441</v>
      </c>
      <c r="F1582" s="272">
        <v>1</v>
      </c>
      <c r="G1582" s="272">
        <v>60090002</v>
      </c>
      <c r="H1582" s="273">
        <v>0</v>
      </c>
      <c r="I1582" s="273">
        <v>0</v>
      </c>
      <c r="J1582" s="272">
        <v>1</v>
      </c>
      <c r="K1582" s="272">
        <v>0</v>
      </c>
      <c r="L1582" s="273">
        <v>0</v>
      </c>
      <c r="M1582" s="273">
        <v>0</v>
      </c>
      <c r="N1582" s="273" t="s">
        <v>3442</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6">
        <v>0</v>
      </c>
      <c r="AU1582" s="74">
        <v>0</v>
      </c>
      <c r="AV1582" s="74"/>
      <c r="AW1582" s="263">
        <v>0</v>
      </c>
      <c r="AX1582" s="74">
        <v>0</v>
      </c>
      <c r="AY1582" s="74">
        <v>0</v>
      </c>
      <c r="AZ1582" s="74">
        <v>0</v>
      </c>
      <c r="BA1582" s="14" t="s">
        <v>200</v>
      </c>
      <c r="BB1582" s="74">
        <v>0</v>
      </c>
      <c r="BC1582" s="268">
        <v>0</v>
      </c>
      <c r="BD1582" s="28">
        <v>1</v>
      </c>
      <c r="BE1582" s="263" t="s">
        <v>3440</v>
      </c>
      <c r="BF1582" s="263" t="s">
        <v>3441</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69013301</v>
      </c>
      <c r="D1583" s="271" t="s">
        <v>3443</v>
      </c>
      <c r="E1583" s="271" t="s">
        <v>3444</v>
      </c>
      <c r="F1583" s="272">
        <v>1</v>
      </c>
      <c r="G1583" s="272">
        <v>60090002</v>
      </c>
      <c r="H1583" s="273">
        <v>0</v>
      </c>
      <c r="I1583" s="273">
        <v>0</v>
      </c>
      <c r="J1583" s="272">
        <v>1</v>
      </c>
      <c r="K1583" s="272">
        <v>0</v>
      </c>
      <c r="L1583" s="273">
        <v>0</v>
      </c>
      <c r="M1583" s="273">
        <v>0</v>
      </c>
      <c r="N1583" s="273" t="s">
        <v>3445</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6">
        <v>0</v>
      </c>
      <c r="AU1583" s="74">
        <v>0</v>
      </c>
      <c r="AV1583" s="74"/>
      <c r="AW1583" s="263">
        <v>0</v>
      </c>
      <c r="AX1583" s="74">
        <v>0</v>
      </c>
      <c r="AY1583" s="74">
        <v>0</v>
      </c>
      <c r="AZ1583" s="74">
        <v>0</v>
      </c>
      <c r="BA1583" s="14" t="s">
        <v>200</v>
      </c>
      <c r="BB1583" s="74">
        <v>0</v>
      </c>
      <c r="BC1583" s="268">
        <v>0</v>
      </c>
      <c r="BD1583" s="28">
        <v>1</v>
      </c>
      <c r="BE1583" s="263" t="s">
        <v>3443</v>
      </c>
      <c r="BF1583" s="263" t="s">
        <v>3444</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69013302</v>
      </c>
      <c r="D1584" s="271" t="s">
        <v>3446</v>
      </c>
      <c r="E1584" s="271" t="s">
        <v>3447</v>
      </c>
      <c r="F1584" s="272">
        <v>1</v>
      </c>
      <c r="G1584" s="272">
        <v>60090002</v>
      </c>
      <c r="H1584" s="273">
        <v>0</v>
      </c>
      <c r="I1584" s="273">
        <v>0</v>
      </c>
      <c r="J1584" s="272">
        <v>1</v>
      </c>
      <c r="K1584" s="272">
        <v>0</v>
      </c>
      <c r="L1584" s="273">
        <v>0</v>
      </c>
      <c r="M1584" s="273">
        <v>0</v>
      </c>
      <c r="N1584" s="273" t="s">
        <v>3448</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6">
        <v>0</v>
      </c>
      <c r="AU1584" s="74">
        <v>0</v>
      </c>
      <c r="AV1584" s="74"/>
      <c r="AW1584" s="263">
        <v>0</v>
      </c>
      <c r="AX1584" s="74">
        <v>0</v>
      </c>
      <c r="AY1584" s="74">
        <v>0</v>
      </c>
      <c r="AZ1584" s="74">
        <v>0</v>
      </c>
      <c r="BA1584" s="14" t="s">
        <v>200</v>
      </c>
      <c r="BB1584" s="74">
        <v>0</v>
      </c>
      <c r="BC1584" s="268">
        <v>0</v>
      </c>
      <c r="BD1584" s="28">
        <v>1</v>
      </c>
      <c r="BE1584" s="263" t="s">
        <v>3446</v>
      </c>
      <c r="BF1584" s="263" t="s">
        <v>3447</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69013303</v>
      </c>
      <c r="D1585" s="271" t="s">
        <v>3449</v>
      </c>
      <c r="E1585" s="271" t="s">
        <v>3450</v>
      </c>
      <c r="F1585" s="272">
        <v>1</v>
      </c>
      <c r="G1585" s="272">
        <v>60090002</v>
      </c>
      <c r="H1585" s="273">
        <v>0</v>
      </c>
      <c r="I1585" s="273">
        <v>0</v>
      </c>
      <c r="J1585" s="272">
        <v>1</v>
      </c>
      <c r="K1585" s="272">
        <v>0</v>
      </c>
      <c r="L1585" s="273">
        <v>0</v>
      </c>
      <c r="M1585" s="273">
        <v>0</v>
      </c>
      <c r="N1585" s="273" t="s">
        <v>3451</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6">
        <v>0</v>
      </c>
      <c r="AU1585" s="74">
        <v>0</v>
      </c>
      <c r="AV1585" s="74"/>
      <c r="AW1585" s="263">
        <v>0</v>
      </c>
      <c r="AX1585" s="74">
        <v>0</v>
      </c>
      <c r="AY1585" s="74">
        <v>0</v>
      </c>
      <c r="AZ1585" s="74">
        <v>0</v>
      </c>
      <c r="BA1585" s="14" t="s">
        <v>200</v>
      </c>
      <c r="BB1585" s="74">
        <v>0</v>
      </c>
      <c r="BC1585" s="268">
        <v>0</v>
      </c>
      <c r="BD1585" s="28">
        <v>1</v>
      </c>
      <c r="BE1585" s="263" t="s">
        <v>3449</v>
      </c>
      <c r="BF1585" s="263" t="s">
        <v>3450</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69013304</v>
      </c>
      <c r="D1586" s="271" t="s">
        <v>3452</v>
      </c>
      <c r="E1586" s="271" t="s">
        <v>3453</v>
      </c>
      <c r="F1586" s="272">
        <v>1</v>
      </c>
      <c r="G1586" s="272">
        <v>60090002</v>
      </c>
      <c r="H1586" s="273">
        <v>0</v>
      </c>
      <c r="I1586" s="273">
        <v>0</v>
      </c>
      <c r="J1586" s="272">
        <v>1</v>
      </c>
      <c r="K1586" s="272">
        <v>0</v>
      </c>
      <c r="L1586" s="273">
        <v>0</v>
      </c>
      <c r="M1586" s="273">
        <v>0</v>
      </c>
      <c r="N1586" s="273" t="s">
        <v>3454</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6">
        <v>0</v>
      </c>
      <c r="AU1586" s="74">
        <v>0</v>
      </c>
      <c r="AV1586" s="74"/>
      <c r="AW1586" s="263">
        <v>0</v>
      </c>
      <c r="AX1586" s="74">
        <v>0</v>
      </c>
      <c r="AY1586" s="74">
        <v>0</v>
      </c>
      <c r="AZ1586" s="74">
        <v>0</v>
      </c>
      <c r="BA1586" s="14" t="s">
        <v>200</v>
      </c>
      <c r="BB1586" s="74">
        <v>0</v>
      </c>
      <c r="BC1586" s="268">
        <v>0</v>
      </c>
      <c r="BD1586" s="28">
        <v>1</v>
      </c>
      <c r="BE1586" s="263" t="s">
        <v>3452</v>
      </c>
      <c r="BF1586" s="263" t="s">
        <v>3453</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19">
        <v>69021001</v>
      </c>
      <c r="D1587" s="20" t="s">
        <v>3455</v>
      </c>
      <c r="E1587" s="20" t="s">
        <v>3456</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3457</v>
      </c>
      <c r="BC1587" s="28">
        <v>0</v>
      </c>
      <c r="BD1587" s="28">
        <v>1</v>
      </c>
      <c r="BE1587" s="20" t="s">
        <v>3458</v>
      </c>
      <c r="BF1587" s="20" t="s">
        <v>3459</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19">
        <v>69021002</v>
      </c>
      <c r="D1588" s="20" t="s">
        <v>3460</v>
      </c>
      <c r="E1588" s="20" t="s">
        <v>3461</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3462</v>
      </c>
      <c r="BC1588" s="28">
        <v>0</v>
      </c>
      <c r="BD1588" s="28">
        <v>1</v>
      </c>
      <c r="BE1588" s="20" t="s">
        <v>3463</v>
      </c>
      <c r="BF1588" s="20" t="s">
        <v>3464</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19">
        <v>69021003</v>
      </c>
      <c r="D1589" s="20" t="s">
        <v>3465</v>
      </c>
      <c r="E1589" s="20" t="s">
        <v>3466</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3467</v>
      </c>
      <c r="BC1589" s="28">
        <v>0</v>
      </c>
      <c r="BD1589" s="28">
        <v>1</v>
      </c>
      <c r="BE1589" s="20" t="s">
        <v>3468</v>
      </c>
      <c r="BF1589" s="20" t="s">
        <v>3469</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19">
        <v>69021004</v>
      </c>
      <c r="D1590" s="20" t="s">
        <v>3470</v>
      </c>
      <c r="E1590" s="20" t="s">
        <v>3471</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3472</v>
      </c>
      <c r="BC1590" s="28">
        <v>0</v>
      </c>
      <c r="BD1590" s="28">
        <v>1</v>
      </c>
      <c r="BE1590" s="20" t="s">
        <v>3473</v>
      </c>
      <c r="BF1590" s="20" t="s">
        <v>3474</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69021005</v>
      </c>
      <c r="D1591" s="20" t="s">
        <v>3475</v>
      </c>
      <c r="E1591" s="20" t="s">
        <v>3476</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3477</v>
      </c>
      <c r="BC1591" s="28">
        <v>0</v>
      </c>
      <c r="BD1591" s="28">
        <v>1</v>
      </c>
      <c r="BE1591" s="20" t="s">
        <v>3478</v>
      </c>
      <c r="BF1591" s="20" t="s">
        <v>3479</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69021006</v>
      </c>
      <c r="D1592" s="20" t="s">
        <v>3480</v>
      </c>
      <c r="E1592" s="20" t="s">
        <v>3481</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3482</v>
      </c>
      <c r="BC1592" s="28">
        <v>0</v>
      </c>
      <c r="BD1592" s="28">
        <v>1</v>
      </c>
      <c r="BE1592" s="20" t="s">
        <v>3483</v>
      </c>
      <c r="BF1592" s="20" t="s">
        <v>3484</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69021007</v>
      </c>
      <c r="D1593" s="20" t="s">
        <v>3485</v>
      </c>
      <c r="E1593" s="20" t="s">
        <v>3486</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3487</v>
      </c>
      <c r="BC1593" s="28">
        <v>0</v>
      </c>
      <c r="BD1593" s="28">
        <v>1</v>
      </c>
      <c r="BE1593" s="20" t="s">
        <v>3488</v>
      </c>
      <c r="BF1593" s="20" t="s">
        <v>3489</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69021008</v>
      </c>
      <c r="D1594" s="20" t="s">
        <v>3490</v>
      </c>
      <c r="E1594" s="20" t="s">
        <v>3491</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3492</v>
      </c>
      <c r="BC1594" s="28">
        <v>0</v>
      </c>
      <c r="BD1594" s="28">
        <v>1</v>
      </c>
      <c r="BE1594" s="20" t="s">
        <v>3493</v>
      </c>
      <c r="BF1594" s="20" t="s">
        <v>3494</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69021009</v>
      </c>
      <c r="D1595" s="20" t="s">
        <v>3495</v>
      </c>
      <c r="E1595" s="20" t="s">
        <v>3496</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3173</v>
      </c>
      <c r="BC1595" s="28">
        <v>0</v>
      </c>
      <c r="BD1595" s="28">
        <v>1</v>
      </c>
      <c r="BE1595" s="20" t="s">
        <v>3497</v>
      </c>
      <c r="BF1595" s="20" t="s">
        <v>3498</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69021010</v>
      </c>
      <c r="D1596" s="20" t="s">
        <v>3499</v>
      </c>
      <c r="E1596" s="20" t="s">
        <v>3500</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3501</v>
      </c>
      <c r="BC1596" s="28">
        <v>0</v>
      </c>
      <c r="BD1596" s="28">
        <v>1</v>
      </c>
      <c r="BE1596" s="20" t="s">
        <v>3502</v>
      </c>
      <c r="BF1596" s="20" t="s">
        <v>3503</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69021011</v>
      </c>
      <c r="D1597" s="20" t="s">
        <v>3504</v>
      </c>
      <c r="E1597" s="20" t="s">
        <v>3505</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3506</v>
      </c>
      <c r="BC1597" s="28">
        <v>0</v>
      </c>
      <c r="BD1597" s="28">
        <v>1</v>
      </c>
      <c r="BE1597" s="20" t="s">
        <v>3507</v>
      </c>
      <c r="BF1597" s="20" t="s">
        <v>3508</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69021012</v>
      </c>
      <c r="D1598" s="20" t="s">
        <v>3504</v>
      </c>
      <c r="E1598" s="20" t="s">
        <v>3505</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2641</v>
      </c>
      <c r="BC1598" s="28">
        <v>0</v>
      </c>
      <c r="BD1598" s="28">
        <v>1</v>
      </c>
      <c r="BE1598" s="20" t="s">
        <v>3509</v>
      </c>
      <c r="BF1598" s="20" t="s">
        <v>3510</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69021013</v>
      </c>
      <c r="D1599" s="20" t="s">
        <v>3504</v>
      </c>
      <c r="E1599" s="20" t="s">
        <v>3505</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2696</v>
      </c>
      <c r="BC1599" s="28">
        <v>0</v>
      </c>
      <c r="BD1599" s="28">
        <v>1</v>
      </c>
      <c r="BE1599" s="20" t="s">
        <v>3511</v>
      </c>
      <c r="BF1599" s="20" t="s">
        <v>3512</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69021014</v>
      </c>
      <c r="D1600" s="20" t="s">
        <v>3504</v>
      </c>
      <c r="E1600" s="20" t="s">
        <v>3505</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2678</v>
      </c>
      <c r="BC1600" s="28">
        <v>0</v>
      </c>
      <c r="BD1600" s="28">
        <v>1</v>
      </c>
      <c r="BE1600" s="20" t="s">
        <v>3513</v>
      </c>
      <c r="BF1600" s="20" t="s">
        <v>3514</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4">
        <v>69000021</v>
      </c>
      <c r="AU1601" s="19" t="s">
        <v>198</v>
      </c>
      <c r="AV1601" s="19"/>
      <c r="AW1601" s="20" t="s">
        <v>199</v>
      </c>
      <c r="AX1601" s="19">
        <v>0</v>
      </c>
      <c r="AY1601" s="19">
        <v>0</v>
      </c>
      <c r="AZ1601" s="19">
        <v>0</v>
      </c>
      <c r="BA1601" s="20" t="s">
        <v>200</v>
      </c>
      <c r="BB1601" s="20" t="s">
        <v>198</v>
      </c>
      <c r="BC1601" s="28">
        <v>0</v>
      </c>
      <c r="BD1601" s="28">
        <v>1</v>
      </c>
      <c r="BE1601" s="89" t="s">
        <v>3515</v>
      </c>
      <c r="BF1601" s="89" t="s">
        <v>3516</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69031002</v>
      </c>
      <c r="D1602" s="20" t="s">
        <v>3517</v>
      </c>
      <c r="E1602" s="20" t="s">
        <v>3518</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3519</v>
      </c>
      <c r="BC1602" s="28">
        <v>0</v>
      </c>
      <c r="BD1602" s="28">
        <v>1</v>
      </c>
      <c r="BE1602" s="20" t="s">
        <v>3520</v>
      </c>
      <c r="BF1602" s="20" t="s">
        <v>3521</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69031003</v>
      </c>
      <c r="D1603" s="20" t="s">
        <v>3522</v>
      </c>
      <c r="E1603" s="20" t="s">
        <v>3523</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3524</v>
      </c>
      <c r="BC1603" s="28">
        <v>0</v>
      </c>
      <c r="BD1603" s="28">
        <v>1</v>
      </c>
      <c r="BE1603" s="20" t="s">
        <v>3525</v>
      </c>
      <c r="BF1603" s="20" t="s">
        <v>3526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69031004</v>
      </c>
      <c r="D1604" s="20" t="s">
        <v>3527</v>
      </c>
      <c r="E1604" s="20" t="s">
        <v>3528</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4">
        <v>69000071</v>
      </c>
      <c r="AU1604" s="19" t="s">
        <v>198</v>
      </c>
      <c r="AV1604" s="19"/>
      <c r="AW1604" s="20" t="s">
        <v>199</v>
      </c>
      <c r="AX1604" s="19">
        <v>0</v>
      </c>
      <c r="AY1604" s="19">
        <v>0</v>
      </c>
      <c r="AZ1604" s="19">
        <v>0</v>
      </c>
      <c r="BA1604" s="20" t="s">
        <v>200</v>
      </c>
      <c r="BB1604" s="20" t="s">
        <v>198</v>
      </c>
      <c r="BC1604" s="28">
        <v>0</v>
      </c>
      <c r="BD1604" s="28">
        <v>1</v>
      </c>
      <c r="BE1604" s="44" t="s">
        <v>3529</v>
      </c>
      <c r="BF1604" s="44" t="s">
        <v>3530</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spans="3:75" ht="20.100000000000001" customHeight="1">
      <c r="C1605" s="19">
        <v>69031005</v>
      </c>
      <c r="D1605" s="20" t="s">
        <v>2527</v>
      </c>
      <c r="E1605" s="20" t="s">
        <v>2528</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3531</v>
      </c>
      <c r="BC1605" s="28">
        <v>0</v>
      </c>
      <c r="BD1605" s="28">
        <v>1</v>
      </c>
      <c r="BE1605" s="20" t="s">
        <v>3532</v>
      </c>
      <c r="BF1605" s="20" t="s">
        <v>3533</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spans="3:75" ht="20.100000000000001" customHeight="1">
      <c r="C1606" s="19">
        <v>69031006</v>
      </c>
      <c r="D1606" s="20" t="s">
        <v>3534</v>
      </c>
      <c r="E1606" s="20" t="s">
        <v>3535</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3536</v>
      </c>
      <c r="BC1606" s="28">
        <v>0</v>
      </c>
      <c r="BD1606" s="28">
        <v>1</v>
      </c>
      <c r="BE1606" s="20" t="s">
        <v>3537</v>
      </c>
      <c r="BF1606" s="20" t="s">
        <v>3538</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spans="3:75" ht="20.100000000000001" customHeight="1">
      <c r="C1607" s="19">
        <v>69031007</v>
      </c>
      <c r="D1607" s="20" t="s">
        <v>3539</v>
      </c>
      <c r="E1607" s="20" t="s">
        <v>3540</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4">
        <v>10001001</v>
      </c>
      <c r="AU1607" s="19" t="s">
        <v>198</v>
      </c>
      <c r="AV1607" s="19"/>
      <c r="AW1607" s="20" t="s">
        <v>199</v>
      </c>
      <c r="AX1607" s="19">
        <v>0</v>
      </c>
      <c r="AY1607" s="19">
        <v>0</v>
      </c>
      <c r="AZ1607" s="19">
        <v>0</v>
      </c>
      <c r="BA1607" s="20" t="s">
        <v>200</v>
      </c>
      <c r="BB1607" s="20" t="s">
        <v>198</v>
      </c>
      <c r="BC1607" s="28">
        <v>0</v>
      </c>
      <c r="BD1607" s="28">
        <v>1</v>
      </c>
      <c r="BE1607" s="89" t="s">
        <v>3541</v>
      </c>
      <c r="BF1607" s="89" t="s">
        <v>3542</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spans="3:75" ht="20.100000000000001" customHeight="1">
      <c r="C1608" s="19">
        <v>69031008</v>
      </c>
      <c r="D1608" s="20" t="s">
        <v>3543</v>
      </c>
      <c r="E1608" s="20" t="s">
        <v>3544</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3545</v>
      </c>
      <c r="BC1608" s="28">
        <v>0</v>
      </c>
      <c r="BD1608" s="28">
        <v>1</v>
      </c>
      <c r="BE1608" s="20" t="s">
        <v>3546</v>
      </c>
      <c r="BF1608" s="20" t="s">
        <v>3547</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69031009</v>
      </c>
      <c r="D1609" s="20" t="s">
        <v>3527</v>
      </c>
      <c r="E1609" s="20" t="s">
        <v>3528</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3548</v>
      </c>
      <c r="BC1609" s="28">
        <v>0</v>
      </c>
      <c r="BD1609" s="28">
        <v>1</v>
      </c>
      <c r="BE1609" s="20" t="s">
        <v>3549</v>
      </c>
      <c r="BF1609" s="20" t="s">
        <v>3550</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69031010</v>
      </c>
      <c r="D1610" s="20" t="s">
        <v>3551</v>
      </c>
      <c r="E1610" s="20" t="s">
        <v>3552</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4">
        <v>69000022</v>
      </c>
      <c r="AU1610" s="19" t="s">
        <v>198</v>
      </c>
      <c r="AV1610" s="19"/>
      <c r="AW1610" s="20" t="s">
        <v>199</v>
      </c>
      <c r="AX1610" s="19">
        <v>0</v>
      </c>
      <c r="AY1610" s="19">
        <v>0</v>
      </c>
      <c r="AZ1610" s="19">
        <v>0</v>
      </c>
      <c r="BA1610" s="20" t="s">
        <v>200</v>
      </c>
      <c r="BB1610" s="20" t="s">
        <v>198</v>
      </c>
      <c r="BC1610" s="28">
        <v>0</v>
      </c>
      <c r="BD1610" s="28">
        <v>1</v>
      </c>
      <c r="BE1610" s="20" t="s">
        <v>3553</v>
      </c>
      <c r="BF1610" s="20" t="s">
        <v>3554</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69032001</v>
      </c>
      <c r="D1611" s="20" t="s">
        <v>3555</v>
      </c>
      <c r="E1611" s="20" t="s">
        <v>3556</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3557</v>
      </c>
      <c r="BC1611" s="28">
        <v>0</v>
      </c>
      <c r="BD1611" s="28">
        <v>1</v>
      </c>
      <c r="BE1611" s="281" t="s">
        <v>3558</v>
      </c>
      <c r="BF1611" s="281" t="s">
        <v>3559</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69032002</v>
      </c>
      <c r="D1612" s="20" t="s">
        <v>3560</v>
      </c>
      <c r="E1612" s="20" t="s">
        <v>3561</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3562</v>
      </c>
      <c r="BC1612" s="28">
        <v>0</v>
      </c>
      <c r="BD1612" s="28">
        <v>1</v>
      </c>
      <c r="BE1612" s="281" t="s">
        <v>3563</v>
      </c>
      <c r="BF1612" s="281" t="s">
        <v>3564</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69032003</v>
      </c>
      <c r="D1613" s="20" t="s">
        <v>3565</v>
      </c>
      <c r="E1613" s="20" t="s">
        <v>3566</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3567</v>
      </c>
      <c r="BC1613" s="28">
        <v>0</v>
      </c>
      <c r="BD1613" s="28">
        <v>1</v>
      </c>
      <c r="BE1613" s="281" t="s">
        <v>3568</v>
      </c>
      <c r="BF1613" s="281" t="s">
        <v>3569</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69032004</v>
      </c>
      <c r="D1614" s="20" t="s">
        <v>3570</v>
      </c>
      <c r="E1614" s="20" t="s">
        <v>3571</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4">
        <v>69000101</v>
      </c>
      <c r="AU1614" s="19" t="s">
        <v>198</v>
      </c>
      <c r="AV1614" s="19"/>
      <c r="AW1614" s="20" t="s">
        <v>199</v>
      </c>
      <c r="AX1614" s="19">
        <v>0</v>
      </c>
      <c r="AY1614" s="19">
        <v>0</v>
      </c>
      <c r="AZ1614" s="19">
        <v>0</v>
      </c>
      <c r="BA1614" s="20" t="s">
        <v>200</v>
      </c>
      <c r="BB1614" s="20" t="s">
        <v>198</v>
      </c>
      <c r="BC1614" s="28">
        <v>0</v>
      </c>
      <c r="BD1614" s="28">
        <v>1</v>
      </c>
      <c r="BE1614" s="89" t="s">
        <v>3572</v>
      </c>
      <c r="BF1614" s="89" t="s">
        <v>3573</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69032005</v>
      </c>
      <c r="D1615" s="14" t="s">
        <v>3574</v>
      </c>
      <c r="E1615" s="14" t="s">
        <v>3575</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4">
        <v>0</v>
      </c>
      <c r="AU1615" s="13">
        <v>69000121</v>
      </c>
      <c r="AV1615" s="13"/>
      <c r="AW1615" s="14" t="s">
        <v>256</v>
      </c>
      <c r="AX1615" s="13" t="s">
        <v>1674</v>
      </c>
      <c r="AY1615" s="13" t="s">
        <v>198</v>
      </c>
      <c r="AZ1615" s="13" t="s">
        <v>1908</v>
      </c>
      <c r="BA1615" s="14" t="s">
        <v>200</v>
      </c>
      <c r="BB1615" s="13">
        <v>0</v>
      </c>
      <c r="BC1615" s="28">
        <v>0</v>
      </c>
      <c r="BD1615" s="28">
        <v>1</v>
      </c>
      <c r="BE1615" s="281" t="s">
        <v>3283</v>
      </c>
      <c r="BF1615" s="281" t="s">
        <v>3576</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69032006</v>
      </c>
      <c r="D1616" s="238" t="s">
        <v>3577</v>
      </c>
      <c r="E1616" s="238" t="s">
        <v>3578</v>
      </c>
      <c r="F1616" s="183">
        <v>1</v>
      </c>
      <c r="G1616" s="183">
        <v>66001007</v>
      </c>
      <c r="H1616" s="183">
        <v>0</v>
      </c>
      <c r="I1616" s="183">
        <v>0</v>
      </c>
      <c r="J1616" s="183">
        <v>1</v>
      </c>
      <c r="K1616" s="183">
        <v>0</v>
      </c>
      <c r="L1616" s="183">
        <v>0</v>
      </c>
      <c r="M1616" s="183">
        <v>0</v>
      </c>
      <c r="N1616" s="183">
        <v>0</v>
      </c>
      <c r="O1616" s="183">
        <v>2</v>
      </c>
      <c r="P1616" s="183">
        <v>2</v>
      </c>
      <c r="Q1616" s="183">
        <v>0.1</v>
      </c>
      <c r="R1616" s="183">
        <v>0</v>
      </c>
      <c r="S1616" s="183">
        <v>0</v>
      </c>
      <c r="T1616" s="183">
        <v>0</v>
      </c>
      <c r="U1616" s="183">
        <v>1</v>
      </c>
      <c r="V1616" s="183">
        <v>2</v>
      </c>
      <c r="W1616" s="183">
        <v>0</v>
      </c>
      <c r="X1616" s="183">
        <v>0</v>
      </c>
      <c r="Y1616" s="13">
        <v>0</v>
      </c>
      <c r="Z1616" s="183">
        <v>0</v>
      </c>
      <c r="AA1616" s="183">
        <v>0</v>
      </c>
      <c r="AB1616" s="183">
        <v>0</v>
      </c>
      <c r="AC1616" s="183">
        <v>0</v>
      </c>
      <c r="AD1616" s="183">
        <v>1</v>
      </c>
      <c r="AE1616" s="183">
        <v>0</v>
      </c>
      <c r="AF1616" s="183">
        <v>15</v>
      </c>
      <c r="AG1616" s="183">
        <v>0</v>
      </c>
      <c r="AH1616" s="183">
        <v>0</v>
      </c>
      <c r="AI1616" s="183">
        <v>7</v>
      </c>
      <c r="AJ1616" s="183">
        <v>0</v>
      </c>
      <c r="AK1616" s="183">
        <v>0</v>
      </c>
      <c r="AL1616" s="183">
        <v>6</v>
      </c>
      <c r="AM1616" s="183">
        <v>0</v>
      </c>
      <c r="AN1616" s="183">
        <v>0</v>
      </c>
      <c r="AO1616" s="183">
        <v>0</v>
      </c>
      <c r="AP1616" s="183">
        <v>0</v>
      </c>
      <c r="AQ1616" s="183">
        <v>1000</v>
      </c>
      <c r="AR1616" s="183">
        <v>0</v>
      </c>
      <c r="AS1616" s="183">
        <v>0</v>
      </c>
      <c r="AT1616" s="278">
        <v>10001003</v>
      </c>
      <c r="AU1616" s="183">
        <v>0</v>
      </c>
      <c r="AV1616" s="183"/>
      <c r="AW1616" s="238" t="s">
        <v>256</v>
      </c>
      <c r="AX1616" s="183" t="s">
        <v>1674</v>
      </c>
      <c r="AY1616" s="183" t="s">
        <v>198</v>
      </c>
      <c r="AZ1616" s="183">
        <v>0</v>
      </c>
      <c r="BA1616" s="238" t="s">
        <v>200</v>
      </c>
      <c r="BB1616" s="183">
        <v>0</v>
      </c>
      <c r="BC1616" s="183">
        <v>0</v>
      </c>
      <c r="BD1616" s="28">
        <v>1</v>
      </c>
      <c r="BE1616" s="282" t="s">
        <v>3579</v>
      </c>
      <c r="BF1616" s="282" t="s">
        <v>3580</v>
      </c>
      <c r="BG1616" s="183">
        <v>0</v>
      </c>
      <c r="BH1616" s="183">
        <v>0</v>
      </c>
      <c r="BI1616" s="183">
        <v>0</v>
      </c>
      <c r="BJ1616" s="183">
        <v>0</v>
      </c>
      <c r="BK1616" s="183">
        <v>0</v>
      </c>
      <c r="BL1616" s="183">
        <v>0</v>
      </c>
      <c r="BM1616" s="245">
        <v>0</v>
      </c>
      <c r="BN1616" s="13">
        <v>1</v>
      </c>
      <c r="BO1616" s="183">
        <v>0</v>
      </c>
      <c r="BP1616" s="183">
        <v>0</v>
      </c>
      <c r="BQ1616" s="183">
        <v>0</v>
      </c>
      <c r="BR1616" s="183">
        <v>0</v>
      </c>
      <c r="BS1616" s="183">
        <v>0</v>
      </c>
      <c r="BT1616" s="13">
        <v>0</v>
      </c>
      <c r="BU1616" s="49">
        <v>0</v>
      </c>
      <c r="BV1616" s="49"/>
      <c r="BW1616" s="49"/>
    </row>
    <row r="1617" spans="3:75" ht="19.5" customHeight="1">
      <c r="C1617" s="19">
        <v>69032007</v>
      </c>
      <c r="D1617" s="20" t="s">
        <v>3581</v>
      </c>
      <c r="E1617" s="20" t="s">
        <v>3582</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81" t="s">
        <v>3583</v>
      </c>
      <c r="BF1617" s="281" t="s">
        <v>3584</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69032008</v>
      </c>
      <c r="D1618" s="20" t="s">
        <v>3585</v>
      </c>
      <c r="E1618" s="20" t="s">
        <v>3586</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3587</v>
      </c>
      <c r="BC1618" s="28">
        <v>0</v>
      </c>
      <c r="BD1618" s="28">
        <v>1</v>
      </c>
      <c r="BE1618" s="89" t="s">
        <v>3588</v>
      </c>
      <c r="BF1618" s="89" t="s">
        <v>3589</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69032009</v>
      </c>
      <c r="D1619" s="20" t="s">
        <v>3590</v>
      </c>
      <c r="E1619" s="20" t="s">
        <v>3591</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3592</v>
      </c>
      <c r="BC1619" s="28">
        <v>0</v>
      </c>
      <c r="BD1619" s="28">
        <v>1</v>
      </c>
      <c r="BE1619" s="89" t="s">
        <v>3593</v>
      </c>
      <c r="BF1619" s="89" t="s">
        <v>3594</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69032010</v>
      </c>
      <c r="D1620" s="20" t="s">
        <v>3595</v>
      </c>
      <c r="E1620" s="20" t="s">
        <v>3596</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3597</v>
      </c>
      <c r="BF1620" s="89" t="s">
        <v>3598</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spans="3:75" ht="20.100000000000001" customHeight="1">
      <c r="C1621" s="19">
        <v>69033101</v>
      </c>
      <c r="D1621" s="20" t="s">
        <v>3599</v>
      </c>
      <c r="E1621" s="20" t="s">
        <v>3600</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3601</v>
      </c>
      <c r="BF1621" s="20" t="s">
        <v>3602</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spans="3:75" ht="20.100000000000001" customHeight="1">
      <c r="C1622" s="19">
        <v>69033102</v>
      </c>
      <c r="D1622" s="20" t="s">
        <v>3599</v>
      </c>
      <c r="E1622" s="20" t="s">
        <v>3600</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3603</v>
      </c>
      <c r="BF1622" s="20" t="s">
        <v>3604</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spans="3:75" ht="20.100000000000001" customHeight="1">
      <c r="C1623" s="19">
        <v>69033103</v>
      </c>
      <c r="D1623" s="20" t="s">
        <v>3599</v>
      </c>
      <c r="E1623" s="20" t="s">
        <v>3600</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3605</v>
      </c>
      <c r="BF1623" s="20" t="s">
        <v>3606</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spans="3:75" ht="20.100000000000001" customHeight="1">
      <c r="C1624" s="19">
        <v>69033104</v>
      </c>
      <c r="D1624" s="20" t="s">
        <v>3599</v>
      </c>
      <c r="E1624" s="20" t="s">
        <v>3600</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3607</v>
      </c>
      <c r="BF1624" s="20" t="s">
        <v>3608</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spans="3:75" ht="20.100000000000001" customHeight="1">
      <c r="C1625" s="19">
        <v>69033105</v>
      </c>
      <c r="D1625" s="20" t="s">
        <v>3599</v>
      </c>
      <c r="E1625" s="20" t="s">
        <v>3600</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3609</v>
      </c>
      <c r="BF1625" s="20" t="s">
        <v>3610</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69033106</v>
      </c>
      <c r="D1626" s="20" t="s">
        <v>3599</v>
      </c>
      <c r="E1626" s="20" t="s">
        <v>3600</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3611</v>
      </c>
      <c r="BF1626" s="20" t="s">
        <v>3612</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69033201</v>
      </c>
      <c r="D1627" s="20" t="s">
        <v>3599</v>
      </c>
      <c r="E1627" s="20" t="s">
        <v>3600</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3613</v>
      </c>
      <c r="BF1627" s="20" t="s">
        <v>3614</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69033202</v>
      </c>
      <c r="D1628" s="20" t="s">
        <v>3599</v>
      </c>
      <c r="E1628" s="20" t="s">
        <v>3600</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3615</v>
      </c>
      <c r="BF1628" s="20" t="s">
        <v>3616</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69033203</v>
      </c>
      <c r="D1629" s="20" t="s">
        <v>3599</v>
      </c>
      <c r="E1629" s="20" t="s">
        <v>3600</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3617</v>
      </c>
      <c r="BF1629" s="20" t="s">
        <v>3618</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69033204</v>
      </c>
      <c r="D1630" s="20" t="s">
        <v>3599</v>
      </c>
      <c r="E1630" s="20" t="s">
        <v>3600</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3619</v>
      </c>
      <c r="BF1630" s="20" t="s">
        <v>3620</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69033205</v>
      </c>
      <c r="D1631" s="20" t="s">
        <v>3599</v>
      </c>
      <c r="E1631" s="20" t="s">
        <v>3600</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3621</v>
      </c>
      <c r="BF1631" s="20" t="s">
        <v>3622</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69033206</v>
      </c>
      <c r="D1632" s="20" t="s">
        <v>3599</v>
      </c>
      <c r="E1632" s="20" t="s">
        <v>3600</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3623</v>
      </c>
      <c r="BF1632" s="20" t="s">
        <v>3624</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69041001</v>
      </c>
      <c r="D1633" s="20" t="s">
        <v>2573</v>
      </c>
      <c r="E1633" s="20" t="s">
        <v>2574</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3625</v>
      </c>
      <c r="BC1633" s="28">
        <v>0</v>
      </c>
      <c r="BD1633" s="28">
        <v>1</v>
      </c>
      <c r="BE1633" s="283" t="s">
        <v>3626</v>
      </c>
      <c r="BF1633" s="283" t="s">
        <v>3627</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69041002</v>
      </c>
      <c r="D1634" s="20" t="s">
        <v>3628</v>
      </c>
      <c r="E1634" s="20" t="s">
        <v>3629</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3630</v>
      </c>
      <c r="BC1634" s="28">
        <v>0</v>
      </c>
      <c r="BD1634" s="28">
        <v>1</v>
      </c>
      <c r="BE1634" s="283" t="s">
        <v>3631</v>
      </c>
      <c r="BF1634" s="283" t="s">
        <v>3632</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69041003</v>
      </c>
      <c r="D1635" s="20" t="s">
        <v>3633</v>
      </c>
      <c r="E1635" s="20" t="s">
        <v>3634</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3635</v>
      </c>
      <c r="BC1635" s="28">
        <v>0</v>
      </c>
      <c r="BD1635" s="28">
        <v>1</v>
      </c>
      <c r="BE1635" s="283" t="s">
        <v>3636</v>
      </c>
      <c r="BF1635" s="283" t="s">
        <v>3637</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69041004</v>
      </c>
      <c r="D1636" s="20" t="s">
        <v>3638</v>
      </c>
      <c r="E1636" s="20" t="s">
        <v>3639</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3640</v>
      </c>
      <c r="BC1636" s="28">
        <v>0</v>
      </c>
      <c r="BD1636" s="28">
        <v>1</v>
      </c>
      <c r="BE1636" s="283" t="s">
        <v>3641</v>
      </c>
      <c r="BF1636" s="283" t="s">
        <v>3642</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69041005</v>
      </c>
      <c r="D1637" s="20" t="s">
        <v>3643</v>
      </c>
      <c r="E1637" s="20" t="s">
        <v>3644</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3645</v>
      </c>
      <c r="BC1637" s="28">
        <v>0</v>
      </c>
      <c r="BD1637" s="28">
        <v>1</v>
      </c>
      <c r="BE1637" s="283" t="s">
        <v>3646</v>
      </c>
      <c r="BF1637" s="283" t="s">
        <v>3647</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69041006</v>
      </c>
      <c r="D1638" s="20" t="s">
        <v>3648</v>
      </c>
      <c r="E1638" s="20" t="s">
        <v>3649</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3650</v>
      </c>
      <c r="BC1638" s="28">
        <v>0</v>
      </c>
      <c r="BD1638" s="28">
        <v>1</v>
      </c>
      <c r="BE1638" s="283" t="s">
        <v>3651</v>
      </c>
      <c r="BF1638" s="283" t="s">
        <v>3652</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69041007</v>
      </c>
      <c r="D1639" s="20" t="s">
        <v>3653</v>
      </c>
      <c r="E1639" s="20" t="s">
        <v>3654</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3141</v>
      </c>
      <c r="BC1639" s="28">
        <v>0</v>
      </c>
      <c r="BD1639" s="28">
        <v>1</v>
      </c>
      <c r="BE1639" s="283" t="s">
        <v>3142</v>
      </c>
      <c r="BF1639" s="283" t="s">
        <v>3655</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69051001</v>
      </c>
      <c r="D1640" s="263" t="s">
        <v>598</v>
      </c>
      <c r="E1640" s="263" t="s">
        <v>1162</v>
      </c>
      <c r="F1640" s="76">
        <v>1</v>
      </c>
      <c r="G1640" s="76">
        <v>61011101</v>
      </c>
      <c r="H1640" s="74">
        <v>0</v>
      </c>
      <c r="I1640" s="74">
        <v>0</v>
      </c>
      <c r="J1640" s="76">
        <v>1</v>
      </c>
      <c r="K1640" s="76">
        <v>0</v>
      </c>
      <c r="L1640" s="74">
        <v>0</v>
      </c>
      <c r="M1640" s="74">
        <v>0</v>
      </c>
      <c r="N1640" s="74" t="s">
        <v>3656</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6">
        <v>0</v>
      </c>
      <c r="AU1640" s="74">
        <v>0</v>
      </c>
      <c r="AV1640" s="74"/>
      <c r="AW1640" s="263">
        <v>0</v>
      </c>
      <c r="AX1640" s="74">
        <v>0</v>
      </c>
      <c r="AY1640" s="74">
        <v>0</v>
      </c>
      <c r="AZ1640" s="74">
        <v>0</v>
      </c>
      <c r="BA1640" s="14" t="s">
        <v>200</v>
      </c>
      <c r="BB1640" s="74">
        <v>0</v>
      </c>
      <c r="BC1640" s="268">
        <v>0</v>
      </c>
      <c r="BD1640" s="28">
        <v>1</v>
      </c>
      <c r="BE1640" s="263" t="s">
        <v>3657</v>
      </c>
      <c r="BF1640" s="263" t="s">
        <v>3658</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69051002</v>
      </c>
      <c r="D1641" s="263" t="s">
        <v>532</v>
      </c>
      <c r="E1641" s="263" t="s">
        <v>255</v>
      </c>
      <c r="F1641" s="76">
        <v>1</v>
      </c>
      <c r="G1641" s="76">
        <v>61011201</v>
      </c>
      <c r="H1641" s="74">
        <v>0</v>
      </c>
      <c r="I1641" s="74">
        <v>0</v>
      </c>
      <c r="J1641" s="76">
        <v>1</v>
      </c>
      <c r="K1641" s="76">
        <v>0</v>
      </c>
      <c r="L1641" s="74">
        <v>0</v>
      </c>
      <c r="M1641" s="74">
        <v>0</v>
      </c>
      <c r="N1641" s="74" t="s">
        <v>3659</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6">
        <v>0</v>
      </c>
      <c r="AU1641" s="74">
        <v>0</v>
      </c>
      <c r="AV1641" s="74"/>
      <c r="AW1641" s="263">
        <v>0</v>
      </c>
      <c r="AX1641" s="74">
        <v>0</v>
      </c>
      <c r="AY1641" s="74">
        <v>0</v>
      </c>
      <c r="AZ1641" s="74">
        <v>0</v>
      </c>
      <c r="BA1641" s="14" t="s">
        <v>200</v>
      </c>
      <c r="BB1641" s="74">
        <v>0</v>
      </c>
      <c r="BC1641" s="268">
        <v>0</v>
      </c>
      <c r="BD1641" s="28">
        <v>1</v>
      </c>
      <c r="BE1641" s="263" t="s">
        <v>3660</v>
      </c>
      <c r="BF1641" s="263" t="s">
        <v>3661</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69051003</v>
      </c>
      <c r="D1642" s="263" t="s">
        <v>1369</v>
      </c>
      <c r="E1642" s="263" t="s">
        <v>1467</v>
      </c>
      <c r="F1642" s="76">
        <v>1</v>
      </c>
      <c r="G1642" s="76">
        <v>61011301</v>
      </c>
      <c r="H1642" s="74">
        <v>0</v>
      </c>
      <c r="I1642" s="74">
        <v>0</v>
      </c>
      <c r="J1642" s="76">
        <v>1</v>
      </c>
      <c r="K1642" s="76">
        <v>0</v>
      </c>
      <c r="L1642" s="74">
        <v>0</v>
      </c>
      <c r="M1642" s="74">
        <v>0</v>
      </c>
      <c r="N1642" s="74" t="s">
        <v>3662</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6">
        <v>0</v>
      </c>
      <c r="AU1642" s="74">
        <v>0</v>
      </c>
      <c r="AV1642" s="74"/>
      <c r="AW1642" s="263">
        <v>0</v>
      </c>
      <c r="AX1642" s="74">
        <v>0</v>
      </c>
      <c r="AY1642" s="74">
        <v>0</v>
      </c>
      <c r="AZ1642" s="74">
        <v>0</v>
      </c>
      <c r="BA1642" s="14" t="s">
        <v>200</v>
      </c>
      <c r="BB1642" s="74">
        <v>0</v>
      </c>
      <c r="BC1642" s="268">
        <v>0</v>
      </c>
      <c r="BD1642" s="28">
        <v>1</v>
      </c>
      <c r="BE1642" s="263" t="s">
        <v>3663</v>
      </c>
      <c r="BF1642" s="263" t="s">
        <v>3664</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69051011</v>
      </c>
      <c r="D1643" s="263" t="s">
        <v>3665</v>
      </c>
      <c r="E1643" s="263" t="s">
        <v>3666</v>
      </c>
      <c r="F1643" s="76">
        <v>1</v>
      </c>
      <c r="G1643" s="76">
        <v>61021401</v>
      </c>
      <c r="H1643" s="74">
        <v>0</v>
      </c>
      <c r="I1643" s="74">
        <v>0</v>
      </c>
      <c r="J1643" s="76">
        <v>1</v>
      </c>
      <c r="K1643" s="76">
        <v>0</v>
      </c>
      <c r="L1643" s="74">
        <v>0</v>
      </c>
      <c r="M1643" s="74">
        <v>0</v>
      </c>
      <c r="N1643" s="74" t="s">
        <v>3320</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6">
        <v>0</v>
      </c>
      <c r="AU1643" s="74">
        <v>0</v>
      </c>
      <c r="AV1643" s="74"/>
      <c r="AW1643" s="263">
        <v>0</v>
      </c>
      <c r="AX1643" s="74">
        <v>0</v>
      </c>
      <c r="AY1643" s="74">
        <v>0</v>
      </c>
      <c r="AZ1643" s="74">
        <v>0</v>
      </c>
      <c r="BA1643" s="14" t="s">
        <v>200</v>
      </c>
      <c r="BB1643" s="74">
        <v>0</v>
      </c>
      <c r="BC1643" s="268">
        <v>0</v>
      </c>
      <c r="BD1643" s="28">
        <v>1</v>
      </c>
      <c r="BE1643" s="263" t="s">
        <v>3318</v>
      </c>
      <c r="BF1643" s="263" t="s">
        <v>3667</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69051012</v>
      </c>
      <c r="D1644" s="263" t="s">
        <v>3668</v>
      </c>
      <c r="E1644" s="263" t="s">
        <v>3669</v>
      </c>
      <c r="F1644" s="76">
        <v>1</v>
      </c>
      <c r="G1644" s="76">
        <v>61021201</v>
      </c>
      <c r="H1644" s="74">
        <v>0</v>
      </c>
      <c r="I1644" s="74">
        <v>0</v>
      </c>
      <c r="J1644" s="76">
        <v>1</v>
      </c>
      <c r="K1644" s="76">
        <v>0</v>
      </c>
      <c r="L1644" s="74">
        <v>0</v>
      </c>
      <c r="M1644" s="74">
        <v>0</v>
      </c>
      <c r="N1644" s="74" t="s">
        <v>3323</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6">
        <v>0</v>
      </c>
      <c r="AU1644" s="74">
        <v>0</v>
      </c>
      <c r="AV1644" s="74"/>
      <c r="AW1644" s="263">
        <v>0</v>
      </c>
      <c r="AX1644" s="74">
        <v>0</v>
      </c>
      <c r="AY1644" s="74">
        <v>0</v>
      </c>
      <c r="AZ1644" s="74">
        <v>0</v>
      </c>
      <c r="BA1644" s="14" t="s">
        <v>200</v>
      </c>
      <c r="BB1644" s="74">
        <v>0</v>
      </c>
      <c r="BC1644" s="268">
        <v>0</v>
      </c>
      <c r="BD1644" s="28">
        <v>1</v>
      </c>
      <c r="BE1644" s="263" t="s">
        <v>3321</v>
      </c>
      <c r="BF1644" s="263" t="s">
        <v>3670</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69051013</v>
      </c>
      <c r="D1645" s="263" t="s">
        <v>3671</v>
      </c>
      <c r="E1645" s="263" t="s">
        <v>3672</v>
      </c>
      <c r="F1645" s="76">
        <v>1</v>
      </c>
      <c r="G1645" s="76">
        <v>61021301</v>
      </c>
      <c r="H1645" s="74">
        <v>0</v>
      </c>
      <c r="I1645" s="74">
        <v>0</v>
      </c>
      <c r="J1645" s="76">
        <v>1</v>
      </c>
      <c r="K1645" s="76">
        <v>0</v>
      </c>
      <c r="L1645" s="74">
        <v>0</v>
      </c>
      <c r="M1645" s="74">
        <v>0</v>
      </c>
      <c r="N1645" s="74" t="s">
        <v>3326</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6">
        <v>0</v>
      </c>
      <c r="AU1645" s="74">
        <v>0</v>
      </c>
      <c r="AV1645" s="74"/>
      <c r="AW1645" s="263">
        <v>0</v>
      </c>
      <c r="AX1645" s="74">
        <v>0</v>
      </c>
      <c r="AY1645" s="74">
        <v>0</v>
      </c>
      <c r="AZ1645" s="74">
        <v>0</v>
      </c>
      <c r="BA1645" s="14" t="s">
        <v>200</v>
      </c>
      <c r="BB1645" s="74">
        <v>0</v>
      </c>
      <c r="BC1645" s="268">
        <v>0</v>
      </c>
      <c r="BD1645" s="28">
        <v>1</v>
      </c>
      <c r="BE1645" s="263" t="s">
        <v>3324</v>
      </c>
      <c r="BF1645" s="263" t="s">
        <v>3673</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69051014</v>
      </c>
      <c r="D1646" s="263" t="s">
        <v>3674</v>
      </c>
      <c r="E1646" s="263" t="s">
        <v>3675</v>
      </c>
      <c r="F1646" s="76">
        <v>1</v>
      </c>
      <c r="G1646" s="76">
        <v>61021402</v>
      </c>
      <c r="H1646" s="74">
        <v>0</v>
      </c>
      <c r="I1646" s="74">
        <v>0</v>
      </c>
      <c r="J1646" s="76">
        <v>1</v>
      </c>
      <c r="K1646" s="76">
        <v>0</v>
      </c>
      <c r="L1646" s="74">
        <v>0</v>
      </c>
      <c r="M1646" s="74">
        <v>0</v>
      </c>
      <c r="N1646" s="74" t="s">
        <v>3329</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6">
        <v>0</v>
      </c>
      <c r="AU1646" s="74">
        <v>0</v>
      </c>
      <c r="AV1646" s="74"/>
      <c r="AW1646" s="263">
        <v>0</v>
      </c>
      <c r="AX1646" s="74">
        <v>0</v>
      </c>
      <c r="AY1646" s="74">
        <v>0</v>
      </c>
      <c r="AZ1646" s="74">
        <v>0</v>
      </c>
      <c r="BA1646" s="14" t="s">
        <v>200</v>
      </c>
      <c r="BB1646" s="74">
        <v>0</v>
      </c>
      <c r="BC1646" s="268">
        <v>0</v>
      </c>
      <c r="BD1646" s="28">
        <v>1</v>
      </c>
      <c r="BE1646" s="263" t="s">
        <v>3327</v>
      </c>
      <c r="BF1646" s="263" t="s">
        <v>3676</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69051021</v>
      </c>
      <c r="D1647" s="263" t="s">
        <v>3677</v>
      </c>
      <c r="E1647" s="263" t="s">
        <v>558</v>
      </c>
      <c r="F1647" s="76">
        <v>1</v>
      </c>
      <c r="G1647" s="76">
        <v>61022101</v>
      </c>
      <c r="H1647" s="74">
        <v>0</v>
      </c>
      <c r="I1647" s="74">
        <v>0</v>
      </c>
      <c r="J1647" s="76">
        <v>1</v>
      </c>
      <c r="K1647" s="76">
        <v>0</v>
      </c>
      <c r="L1647" s="74">
        <v>0</v>
      </c>
      <c r="M1647" s="74">
        <v>0</v>
      </c>
      <c r="N1647" s="74" t="s">
        <v>3332</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6">
        <v>0</v>
      </c>
      <c r="AU1647" s="74">
        <v>0</v>
      </c>
      <c r="AV1647" s="74"/>
      <c r="AW1647" s="263">
        <v>0</v>
      </c>
      <c r="AX1647" s="74">
        <v>0</v>
      </c>
      <c r="AY1647" s="74">
        <v>0</v>
      </c>
      <c r="AZ1647" s="74">
        <v>0</v>
      </c>
      <c r="BA1647" s="14" t="s">
        <v>200</v>
      </c>
      <c r="BB1647" s="74">
        <v>0</v>
      </c>
      <c r="BC1647" s="268">
        <v>0</v>
      </c>
      <c r="BD1647" s="28">
        <v>1</v>
      </c>
      <c r="BE1647" s="263" t="s">
        <v>3330</v>
      </c>
      <c r="BF1647" s="263" t="s">
        <v>3678</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69051022</v>
      </c>
      <c r="D1648" s="263" t="s">
        <v>3679</v>
      </c>
      <c r="E1648" s="263" t="s">
        <v>3680</v>
      </c>
      <c r="F1648" s="76">
        <v>1</v>
      </c>
      <c r="G1648" s="76">
        <v>61022201</v>
      </c>
      <c r="H1648" s="74">
        <v>0</v>
      </c>
      <c r="I1648" s="74">
        <v>0</v>
      </c>
      <c r="J1648" s="76">
        <v>1</v>
      </c>
      <c r="K1648" s="76">
        <v>0</v>
      </c>
      <c r="L1648" s="74">
        <v>0</v>
      </c>
      <c r="M1648" s="74">
        <v>0</v>
      </c>
      <c r="N1648" s="74" t="s">
        <v>3335</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6">
        <v>0</v>
      </c>
      <c r="AU1648" s="74">
        <v>0</v>
      </c>
      <c r="AV1648" s="74"/>
      <c r="AW1648" s="263">
        <v>0</v>
      </c>
      <c r="AX1648" s="74">
        <v>0</v>
      </c>
      <c r="AY1648" s="74">
        <v>0</v>
      </c>
      <c r="AZ1648" s="74">
        <v>0</v>
      </c>
      <c r="BA1648" s="14" t="s">
        <v>200</v>
      </c>
      <c r="BB1648" s="74">
        <v>0</v>
      </c>
      <c r="BC1648" s="268">
        <v>0</v>
      </c>
      <c r="BD1648" s="28">
        <v>1</v>
      </c>
      <c r="BE1648" s="263" t="s">
        <v>3333</v>
      </c>
      <c r="BF1648" s="263" t="s">
        <v>3681</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69051023</v>
      </c>
      <c r="D1649" s="263" t="s">
        <v>3682</v>
      </c>
      <c r="E1649" s="263" t="s">
        <v>1590</v>
      </c>
      <c r="F1649" s="76">
        <v>1</v>
      </c>
      <c r="G1649" s="76">
        <v>61022301</v>
      </c>
      <c r="H1649" s="74">
        <v>0</v>
      </c>
      <c r="I1649" s="74">
        <v>0</v>
      </c>
      <c r="J1649" s="76">
        <v>1</v>
      </c>
      <c r="K1649" s="76">
        <v>0</v>
      </c>
      <c r="L1649" s="74">
        <v>0</v>
      </c>
      <c r="M1649" s="74">
        <v>0</v>
      </c>
      <c r="N1649" s="74" t="s">
        <v>3338</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6">
        <v>0</v>
      </c>
      <c r="AU1649" s="74">
        <v>0</v>
      </c>
      <c r="AV1649" s="74"/>
      <c r="AW1649" s="263">
        <v>0</v>
      </c>
      <c r="AX1649" s="74">
        <v>0</v>
      </c>
      <c r="AY1649" s="74">
        <v>0</v>
      </c>
      <c r="AZ1649" s="74">
        <v>0</v>
      </c>
      <c r="BA1649" s="14" t="s">
        <v>200</v>
      </c>
      <c r="BB1649" s="74">
        <v>0</v>
      </c>
      <c r="BC1649" s="268">
        <v>0</v>
      </c>
      <c r="BD1649" s="28">
        <v>1</v>
      </c>
      <c r="BE1649" s="263" t="s">
        <v>3336</v>
      </c>
      <c r="BF1649" s="263" t="s">
        <v>3683</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69051024</v>
      </c>
      <c r="D1650" s="263" t="s">
        <v>3684</v>
      </c>
      <c r="E1650" s="263" t="s">
        <v>1560</v>
      </c>
      <c r="F1650" s="76">
        <v>1</v>
      </c>
      <c r="G1650" s="76">
        <v>61022401</v>
      </c>
      <c r="H1650" s="74">
        <v>0</v>
      </c>
      <c r="I1650" s="74">
        <v>0</v>
      </c>
      <c r="J1650" s="76">
        <v>1</v>
      </c>
      <c r="K1650" s="76">
        <v>0</v>
      </c>
      <c r="L1650" s="74">
        <v>0</v>
      </c>
      <c r="M1650" s="74">
        <v>0</v>
      </c>
      <c r="N1650" s="74" t="s">
        <v>3341</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6">
        <v>0</v>
      </c>
      <c r="AU1650" s="74">
        <v>0</v>
      </c>
      <c r="AV1650" s="74"/>
      <c r="AW1650" s="263">
        <v>0</v>
      </c>
      <c r="AX1650" s="74">
        <v>0</v>
      </c>
      <c r="AY1650" s="74">
        <v>0</v>
      </c>
      <c r="AZ1650" s="74">
        <v>0</v>
      </c>
      <c r="BA1650" s="14" t="s">
        <v>200</v>
      </c>
      <c r="BB1650" s="74">
        <v>0</v>
      </c>
      <c r="BC1650" s="268">
        <v>0</v>
      </c>
      <c r="BD1650" s="28">
        <v>1</v>
      </c>
      <c r="BE1650" s="263" t="s">
        <v>3339</v>
      </c>
      <c r="BF1650" s="263" t="s">
        <v>3685</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69051031</v>
      </c>
      <c r="D1651" s="263" t="s">
        <v>3686</v>
      </c>
      <c r="E1651" s="263" t="s">
        <v>1617</v>
      </c>
      <c r="F1651" s="76">
        <v>1</v>
      </c>
      <c r="G1651" s="76">
        <v>61023101</v>
      </c>
      <c r="H1651" s="74">
        <v>0</v>
      </c>
      <c r="I1651" s="74">
        <v>0</v>
      </c>
      <c r="J1651" s="76">
        <v>1</v>
      </c>
      <c r="K1651" s="76">
        <v>0</v>
      </c>
      <c r="L1651" s="74">
        <v>0</v>
      </c>
      <c r="M1651" s="74">
        <v>0</v>
      </c>
      <c r="N1651" s="74" t="s">
        <v>3344</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6">
        <v>0</v>
      </c>
      <c r="AU1651" s="74">
        <v>0</v>
      </c>
      <c r="AV1651" s="74"/>
      <c r="AW1651" s="263">
        <v>0</v>
      </c>
      <c r="AX1651" s="74">
        <v>0</v>
      </c>
      <c r="AY1651" s="74">
        <v>0</v>
      </c>
      <c r="AZ1651" s="74">
        <v>0</v>
      </c>
      <c r="BA1651" s="14" t="s">
        <v>200</v>
      </c>
      <c r="BB1651" s="74">
        <v>0</v>
      </c>
      <c r="BC1651" s="268">
        <v>0</v>
      </c>
      <c r="BD1651" s="28">
        <v>1</v>
      </c>
      <c r="BE1651" s="263" t="s">
        <v>3342</v>
      </c>
      <c r="BF1651" s="263" t="s">
        <v>3687</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69051032</v>
      </c>
      <c r="D1652" s="263" t="s">
        <v>3688</v>
      </c>
      <c r="E1652" s="263" t="s">
        <v>1625</v>
      </c>
      <c r="F1652" s="76">
        <v>1</v>
      </c>
      <c r="G1652" s="76">
        <v>61023201</v>
      </c>
      <c r="H1652" s="74">
        <v>0</v>
      </c>
      <c r="I1652" s="74">
        <v>0</v>
      </c>
      <c r="J1652" s="76">
        <v>1</v>
      </c>
      <c r="K1652" s="76">
        <v>0</v>
      </c>
      <c r="L1652" s="74">
        <v>0</v>
      </c>
      <c r="M1652" s="74">
        <v>0</v>
      </c>
      <c r="N1652" s="74" t="s">
        <v>3347</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6">
        <v>0</v>
      </c>
      <c r="AU1652" s="74">
        <v>0</v>
      </c>
      <c r="AV1652" s="74"/>
      <c r="AW1652" s="263">
        <v>0</v>
      </c>
      <c r="AX1652" s="74">
        <v>0</v>
      </c>
      <c r="AY1652" s="74">
        <v>0</v>
      </c>
      <c r="AZ1652" s="74">
        <v>0</v>
      </c>
      <c r="BA1652" s="14" t="s">
        <v>200</v>
      </c>
      <c r="BB1652" s="74">
        <v>0</v>
      </c>
      <c r="BC1652" s="268">
        <v>0</v>
      </c>
      <c r="BD1652" s="28">
        <v>1</v>
      </c>
      <c r="BE1652" s="263" t="s">
        <v>3345</v>
      </c>
      <c r="BF1652" s="263" t="s">
        <v>3689</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69051033</v>
      </c>
      <c r="D1653" s="263" t="s">
        <v>3690</v>
      </c>
      <c r="E1653" s="263" t="s">
        <v>1646</v>
      </c>
      <c r="F1653" s="76">
        <v>1</v>
      </c>
      <c r="G1653" s="76">
        <v>61023301</v>
      </c>
      <c r="H1653" s="74">
        <v>0</v>
      </c>
      <c r="I1653" s="74">
        <v>0</v>
      </c>
      <c r="J1653" s="76">
        <v>1</v>
      </c>
      <c r="K1653" s="76">
        <v>0</v>
      </c>
      <c r="L1653" s="74">
        <v>0</v>
      </c>
      <c r="M1653" s="74">
        <v>0</v>
      </c>
      <c r="N1653" s="74" t="s">
        <v>3350</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6">
        <v>0</v>
      </c>
      <c r="AU1653" s="74">
        <v>0</v>
      </c>
      <c r="AV1653" s="74"/>
      <c r="AW1653" s="263">
        <v>0</v>
      </c>
      <c r="AX1653" s="74">
        <v>0</v>
      </c>
      <c r="AY1653" s="74">
        <v>0</v>
      </c>
      <c r="AZ1653" s="74">
        <v>0</v>
      </c>
      <c r="BA1653" s="14" t="s">
        <v>200</v>
      </c>
      <c r="BB1653" s="74">
        <v>0</v>
      </c>
      <c r="BC1653" s="268">
        <v>0</v>
      </c>
      <c r="BD1653" s="28">
        <v>1</v>
      </c>
      <c r="BE1653" s="263" t="s">
        <v>3348</v>
      </c>
      <c r="BF1653" s="263" t="s">
        <v>3691</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69051034</v>
      </c>
      <c r="D1654" s="263" t="s">
        <v>3692</v>
      </c>
      <c r="E1654" s="263" t="s">
        <v>3693</v>
      </c>
      <c r="F1654" s="76">
        <v>1</v>
      </c>
      <c r="G1654" s="76">
        <v>61023401</v>
      </c>
      <c r="H1654" s="74">
        <v>0</v>
      </c>
      <c r="I1654" s="74">
        <v>0</v>
      </c>
      <c r="J1654" s="76">
        <v>1</v>
      </c>
      <c r="K1654" s="76">
        <v>0</v>
      </c>
      <c r="L1654" s="74">
        <v>0</v>
      </c>
      <c r="M1654" s="74">
        <v>0</v>
      </c>
      <c r="N1654" s="74" t="s">
        <v>3353</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6">
        <v>0</v>
      </c>
      <c r="AU1654" s="74">
        <v>0</v>
      </c>
      <c r="AV1654" s="74"/>
      <c r="AW1654" s="263">
        <v>0</v>
      </c>
      <c r="AX1654" s="74">
        <v>0</v>
      </c>
      <c r="AY1654" s="74">
        <v>0</v>
      </c>
      <c r="AZ1654" s="74">
        <v>0</v>
      </c>
      <c r="BA1654" s="14" t="s">
        <v>200</v>
      </c>
      <c r="BB1654" s="74">
        <v>0</v>
      </c>
      <c r="BC1654" s="268">
        <v>0</v>
      </c>
      <c r="BD1654" s="28">
        <v>1</v>
      </c>
      <c r="BE1654" s="263" t="s">
        <v>3351</v>
      </c>
      <c r="BF1654" s="263" t="s">
        <v>3694</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69052001</v>
      </c>
      <c r="D1655" s="263" t="s">
        <v>3695</v>
      </c>
      <c r="E1655" s="263" t="s">
        <v>1673</v>
      </c>
      <c r="F1655" s="76">
        <v>1</v>
      </c>
      <c r="G1655" s="76">
        <v>62011101</v>
      </c>
      <c r="H1655" s="74">
        <v>0</v>
      </c>
      <c r="I1655" s="74">
        <v>0</v>
      </c>
      <c r="J1655" s="76">
        <v>1</v>
      </c>
      <c r="K1655" s="76">
        <v>0</v>
      </c>
      <c r="L1655" s="74">
        <v>0</v>
      </c>
      <c r="M1655" s="74">
        <v>0</v>
      </c>
      <c r="N1655" s="74" t="s">
        <v>3696</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6">
        <v>0</v>
      </c>
      <c r="AU1655" s="74">
        <v>0</v>
      </c>
      <c r="AV1655" s="74"/>
      <c r="AW1655" s="263">
        <v>0</v>
      </c>
      <c r="AX1655" s="74">
        <v>0</v>
      </c>
      <c r="AY1655" s="74">
        <v>0</v>
      </c>
      <c r="AZ1655" s="74">
        <v>0</v>
      </c>
      <c r="BA1655" s="14" t="s">
        <v>200</v>
      </c>
      <c r="BB1655" s="74">
        <v>0</v>
      </c>
      <c r="BC1655" s="268">
        <v>0</v>
      </c>
      <c r="BD1655" s="28">
        <v>1</v>
      </c>
      <c r="BE1655" s="263" t="s">
        <v>3697</v>
      </c>
      <c r="BF1655" s="263" t="s">
        <v>3698</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69052002</v>
      </c>
      <c r="D1656" s="263" t="s">
        <v>3699</v>
      </c>
      <c r="E1656" s="263" t="s">
        <v>1681</v>
      </c>
      <c r="F1656" s="76">
        <v>1</v>
      </c>
      <c r="G1656" s="76">
        <v>62011201</v>
      </c>
      <c r="H1656" s="74">
        <v>0</v>
      </c>
      <c r="I1656" s="74">
        <v>0</v>
      </c>
      <c r="J1656" s="76">
        <v>1</v>
      </c>
      <c r="K1656" s="76">
        <v>0</v>
      </c>
      <c r="L1656" s="74">
        <v>0</v>
      </c>
      <c r="M1656" s="74">
        <v>0</v>
      </c>
      <c r="N1656" s="74" t="s">
        <v>3700</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6">
        <v>0</v>
      </c>
      <c r="AU1656" s="74">
        <v>0</v>
      </c>
      <c r="AV1656" s="74"/>
      <c r="AW1656" s="263">
        <v>0</v>
      </c>
      <c r="AX1656" s="74">
        <v>0</v>
      </c>
      <c r="AY1656" s="74">
        <v>0</v>
      </c>
      <c r="AZ1656" s="74">
        <v>0</v>
      </c>
      <c r="BA1656" s="14" t="s">
        <v>200</v>
      </c>
      <c r="BB1656" s="74">
        <v>0</v>
      </c>
      <c r="BC1656" s="268">
        <v>0</v>
      </c>
      <c r="BD1656" s="28">
        <v>1</v>
      </c>
      <c r="BE1656" s="263" t="s">
        <v>3701</v>
      </c>
      <c r="BF1656" s="263" t="s">
        <v>3702</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69052003</v>
      </c>
      <c r="D1657" s="263" t="s">
        <v>3703</v>
      </c>
      <c r="E1657" s="263" t="s">
        <v>1688</v>
      </c>
      <c r="F1657" s="76">
        <v>1</v>
      </c>
      <c r="G1657" s="76">
        <v>62011301</v>
      </c>
      <c r="H1657" s="74">
        <v>0</v>
      </c>
      <c r="I1657" s="74">
        <v>0</v>
      </c>
      <c r="J1657" s="76">
        <v>1</v>
      </c>
      <c r="K1657" s="76">
        <v>0</v>
      </c>
      <c r="L1657" s="74">
        <v>0</v>
      </c>
      <c r="M1657" s="74">
        <v>0</v>
      </c>
      <c r="N1657" s="74" t="s">
        <v>3704</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6">
        <v>0</v>
      </c>
      <c r="AU1657" s="74">
        <v>0</v>
      </c>
      <c r="AV1657" s="74"/>
      <c r="AW1657" s="263">
        <v>0</v>
      </c>
      <c r="AX1657" s="74">
        <v>0</v>
      </c>
      <c r="AY1657" s="74">
        <v>0</v>
      </c>
      <c r="AZ1657" s="74">
        <v>0</v>
      </c>
      <c r="BA1657" s="14" t="s">
        <v>200</v>
      </c>
      <c r="BB1657" s="74">
        <v>0</v>
      </c>
      <c r="BC1657" s="268">
        <v>0</v>
      </c>
      <c r="BD1657" s="28">
        <v>1</v>
      </c>
      <c r="BE1657" s="263" t="s">
        <v>3705</v>
      </c>
      <c r="BF1657" s="263" t="s">
        <v>3706</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69052011</v>
      </c>
      <c r="D1658" s="263" t="s">
        <v>3707</v>
      </c>
      <c r="E1658" s="263" t="s">
        <v>1500</v>
      </c>
      <c r="F1658" s="76">
        <v>1</v>
      </c>
      <c r="G1658" s="76">
        <v>61021101</v>
      </c>
      <c r="H1658" s="74">
        <v>0</v>
      </c>
      <c r="I1658" s="74">
        <v>0</v>
      </c>
      <c r="J1658" s="76">
        <v>1</v>
      </c>
      <c r="K1658" s="76">
        <v>0</v>
      </c>
      <c r="L1658" s="74">
        <v>0</v>
      </c>
      <c r="M1658" s="74">
        <v>0</v>
      </c>
      <c r="N1658" s="74" t="s">
        <v>3371</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6">
        <v>0</v>
      </c>
      <c r="AU1658" s="74">
        <v>0</v>
      </c>
      <c r="AV1658" s="74"/>
      <c r="AW1658" s="263">
        <v>0</v>
      </c>
      <c r="AX1658" s="74">
        <v>0</v>
      </c>
      <c r="AY1658" s="74">
        <v>0</v>
      </c>
      <c r="AZ1658" s="74">
        <v>0</v>
      </c>
      <c r="BA1658" s="14" t="s">
        <v>200</v>
      </c>
      <c r="BB1658" s="74">
        <v>0</v>
      </c>
      <c r="BC1658" s="268">
        <v>0</v>
      </c>
      <c r="BD1658" s="28">
        <v>1</v>
      </c>
      <c r="BE1658" s="263" t="s">
        <v>3369</v>
      </c>
      <c r="BF1658" s="263" t="s">
        <v>3708</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69052012</v>
      </c>
      <c r="D1659" s="263" t="s">
        <v>3709</v>
      </c>
      <c r="E1659" s="263" t="s">
        <v>1325</v>
      </c>
      <c r="F1659" s="76">
        <v>1</v>
      </c>
      <c r="G1659" s="76">
        <v>62021301</v>
      </c>
      <c r="H1659" s="74">
        <v>0</v>
      </c>
      <c r="I1659" s="74">
        <v>0</v>
      </c>
      <c r="J1659" s="76">
        <v>1</v>
      </c>
      <c r="K1659" s="76">
        <v>0</v>
      </c>
      <c r="L1659" s="74">
        <v>0</v>
      </c>
      <c r="M1659" s="74">
        <v>0</v>
      </c>
      <c r="N1659" s="74" t="s">
        <v>3374</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6">
        <v>0</v>
      </c>
      <c r="AU1659" s="74">
        <v>0</v>
      </c>
      <c r="AV1659" s="74"/>
      <c r="AW1659" s="263">
        <v>0</v>
      </c>
      <c r="AX1659" s="74">
        <v>0</v>
      </c>
      <c r="AY1659" s="74">
        <v>0</v>
      </c>
      <c r="AZ1659" s="74">
        <v>0</v>
      </c>
      <c r="BA1659" s="14" t="s">
        <v>200</v>
      </c>
      <c r="BB1659" s="74">
        <v>0</v>
      </c>
      <c r="BC1659" s="268">
        <v>0</v>
      </c>
      <c r="BD1659" s="28">
        <v>1</v>
      </c>
      <c r="BE1659" s="263" t="s">
        <v>3372</v>
      </c>
      <c r="BF1659" s="263" t="s">
        <v>3710</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69052013</v>
      </c>
      <c r="D1660" s="263" t="s">
        <v>3711</v>
      </c>
      <c r="E1660" s="263" t="s">
        <v>368</v>
      </c>
      <c r="F1660" s="76">
        <v>1</v>
      </c>
      <c r="G1660" s="76">
        <v>62021401</v>
      </c>
      <c r="H1660" s="74">
        <v>0</v>
      </c>
      <c r="I1660" s="74">
        <v>0</v>
      </c>
      <c r="J1660" s="76">
        <v>1</v>
      </c>
      <c r="K1660" s="76">
        <v>0</v>
      </c>
      <c r="L1660" s="74">
        <v>0</v>
      </c>
      <c r="M1660" s="74">
        <v>0</v>
      </c>
      <c r="N1660" s="74" t="s">
        <v>3377</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6">
        <v>0</v>
      </c>
      <c r="AU1660" s="74">
        <v>0</v>
      </c>
      <c r="AV1660" s="74"/>
      <c r="AW1660" s="263">
        <v>0</v>
      </c>
      <c r="AX1660" s="74">
        <v>0</v>
      </c>
      <c r="AY1660" s="74">
        <v>0</v>
      </c>
      <c r="AZ1660" s="74">
        <v>0</v>
      </c>
      <c r="BA1660" s="14" t="s">
        <v>200</v>
      </c>
      <c r="BB1660" s="74">
        <v>0</v>
      </c>
      <c r="BC1660" s="268">
        <v>0</v>
      </c>
      <c r="BD1660" s="28">
        <v>1</v>
      </c>
      <c r="BE1660" s="263" t="s">
        <v>3375</v>
      </c>
      <c r="BF1660" s="263" t="s">
        <v>3712</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69052014</v>
      </c>
      <c r="D1661" s="263" t="s">
        <v>3713</v>
      </c>
      <c r="E1661" s="263" t="s">
        <v>3714</v>
      </c>
      <c r="F1661" s="76">
        <v>1</v>
      </c>
      <c r="G1661" s="76">
        <v>62021501</v>
      </c>
      <c r="H1661" s="74">
        <v>0</v>
      </c>
      <c r="I1661" s="74">
        <v>0</v>
      </c>
      <c r="J1661" s="76">
        <v>1</v>
      </c>
      <c r="K1661" s="76">
        <v>0</v>
      </c>
      <c r="L1661" s="74">
        <v>0</v>
      </c>
      <c r="M1661" s="74">
        <v>0</v>
      </c>
      <c r="N1661" s="74" t="s">
        <v>3380</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6">
        <v>0</v>
      </c>
      <c r="AU1661" s="74">
        <v>0</v>
      </c>
      <c r="AV1661" s="74"/>
      <c r="AW1661" s="263">
        <v>0</v>
      </c>
      <c r="AX1661" s="74">
        <v>0</v>
      </c>
      <c r="AY1661" s="74">
        <v>0</v>
      </c>
      <c r="AZ1661" s="74">
        <v>0</v>
      </c>
      <c r="BA1661" s="14" t="s">
        <v>200</v>
      </c>
      <c r="BB1661" s="74">
        <v>0</v>
      </c>
      <c r="BC1661" s="268">
        <v>0</v>
      </c>
      <c r="BD1661" s="28">
        <v>1</v>
      </c>
      <c r="BE1661" s="263" t="s">
        <v>3378</v>
      </c>
      <c r="BF1661" s="263" t="s">
        <v>3715</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69052021</v>
      </c>
      <c r="D1662" s="263" t="s">
        <v>3716</v>
      </c>
      <c r="E1662" s="263" t="s">
        <v>3717</v>
      </c>
      <c r="F1662" s="76">
        <v>1</v>
      </c>
      <c r="G1662" s="76">
        <v>62022101</v>
      </c>
      <c r="H1662" s="74">
        <v>0</v>
      </c>
      <c r="I1662" s="74">
        <v>0</v>
      </c>
      <c r="J1662" s="76">
        <v>1</v>
      </c>
      <c r="K1662" s="76">
        <v>0</v>
      </c>
      <c r="L1662" s="74">
        <v>0</v>
      </c>
      <c r="M1662" s="74">
        <v>0</v>
      </c>
      <c r="N1662" s="74" t="s">
        <v>3383</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6">
        <v>0</v>
      </c>
      <c r="AU1662" s="74">
        <v>0</v>
      </c>
      <c r="AV1662" s="74"/>
      <c r="AW1662" s="263">
        <v>0</v>
      </c>
      <c r="AX1662" s="74">
        <v>0</v>
      </c>
      <c r="AY1662" s="74">
        <v>0</v>
      </c>
      <c r="AZ1662" s="74">
        <v>0</v>
      </c>
      <c r="BA1662" s="14" t="s">
        <v>200</v>
      </c>
      <c r="BB1662" s="74">
        <v>0</v>
      </c>
      <c r="BC1662" s="268">
        <v>0</v>
      </c>
      <c r="BD1662" s="28">
        <v>1</v>
      </c>
      <c r="BE1662" s="263" t="s">
        <v>3381</v>
      </c>
      <c r="BF1662" s="263" t="s">
        <v>3718</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69052022</v>
      </c>
      <c r="D1663" s="263" t="s">
        <v>3719</v>
      </c>
      <c r="E1663" s="263" t="s">
        <v>3720</v>
      </c>
      <c r="F1663" s="76">
        <v>1</v>
      </c>
      <c r="G1663" s="76">
        <v>62022201</v>
      </c>
      <c r="H1663" s="74">
        <v>0</v>
      </c>
      <c r="I1663" s="74">
        <v>0</v>
      </c>
      <c r="J1663" s="76">
        <v>1</v>
      </c>
      <c r="K1663" s="76">
        <v>0</v>
      </c>
      <c r="L1663" s="74">
        <v>0</v>
      </c>
      <c r="M1663" s="74">
        <v>0</v>
      </c>
      <c r="N1663" s="74" t="s">
        <v>3386</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6">
        <v>0</v>
      </c>
      <c r="AU1663" s="74">
        <v>0</v>
      </c>
      <c r="AV1663" s="74"/>
      <c r="AW1663" s="263">
        <v>0</v>
      </c>
      <c r="AX1663" s="74">
        <v>0</v>
      </c>
      <c r="AY1663" s="74">
        <v>0</v>
      </c>
      <c r="AZ1663" s="74">
        <v>0</v>
      </c>
      <c r="BA1663" s="14" t="s">
        <v>200</v>
      </c>
      <c r="BB1663" s="74">
        <v>0</v>
      </c>
      <c r="BC1663" s="268">
        <v>0</v>
      </c>
      <c r="BD1663" s="28">
        <v>1</v>
      </c>
      <c r="BE1663" s="263" t="s">
        <v>3384</v>
      </c>
      <c r="BF1663" s="263" t="s">
        <v>3721</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69052023</v>
      </c>
      <c r="D1664" s="263" t="s">
        <v>3722</v>
      </c>
      <c r="E1664" s="263" t="s">
        <v>1790</v>
      </c>
      <c r="F1664" s="76">
        <v>1</v>
      </c>
      <c r="G1664" s="76">
        <v>62022301</v>
      </c>
      <c r="H1664" s="74">
        <v>0</v>
      </c>
      <c r="I1664" s="74">
        <v>0</v>
      </c>
      <c r="J1664" s="76">
        <v>1</v>
      </c>
      <c r="K1664" s="76">
        <v>0</v>
      </c>
      <c r="L1664" s="74">
        <v>0</v>
      </c>
      <c r="M1664" s="74">
        <v>0</v>
      </c>
      <c r="N1664" s="74" t="s">
        <v>3389</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6">
        <v>0</v>
      </c>
      <c r="AU1664" s="74">
        <v>0</v>
      </c>
      <c r="AV1664" s="74"/>
      <c r="AW1664" s="263">
        <v>0</v>
      </c>
      <c r="AX1664" s="74">
        <v>0</v>
      </c>
      <c r="AY1664" s="74">
        <v>0</v>
      </c>
      <c r="AZ1664" s="74">
        <v>0</v>
      </c>
      <c r="BA1664" s="14" t="s">
        <v>200</v>
      </c>
      <c r="BB1664" s="74">
        <v>0</v>
      </c>
      <c r="BC1664" s="268">
        <v>0</v>
      </c>
      <c r="BD1664" s="28">
        <v>1</v>
      </c>
      <c r="BE1664" s="263" t="s">
        <v>3387</v>
      </c>
      <c r="BF1664" s="263" t="s">
        <v>3723</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69052024</v>
      </c>
      <c r="D1665" s="263" t="s">
        <v>3724</v>
      </c>
      <c r="E1665" s="263" t="s">
        <v>3725</v>
      </c>
      <c r="F1665" s="76">
        <v>1</v>
      </c>
      <c r="G1665" s="76">
        <v>62022401</v>
      </c>
      <c r="H1665" s="74">
        <v>0</v>
      </c>
      <c r="I1665" s="74">
        <v>0</v>
      </c>
      <c r="J1665" s="76">
        <v>1</v>
      </c>
      <c r="K1665" s="76">
        <v>0</v>
      </c>
      <c r="L1665" s="74">
        <v>0</v>
      </c>
      <c r="M1665" s="74">
        <v>0</v>
      </c>
      <c r="N1665" s="74" t="s">
        <v>3392</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6">
        <v>0</v>
      </c>
      <c r="AU1665" s="74">
        <v>0</v>
      </c>
      <c r="AV1665" s="74"/>
      <c r="AW1665" s="263">
        <v>0</v>
      </c>
      <c r="AX1665" s="74">
        <v>0</v>
      </c>
      <c r="AY1665" s="74">
        <v>0</v>
      </c>
      <c r="AZ1665" s="74">
        <v>0</v>
      </c>
      <c r="BA1665" s="14" t="s">
        <v>200</v>
      </c>
      <c r="BB1665" s="74">
        <v>0</v>
      </c>
      <c r="BC1665" s="268">
        <v>0</v>
      </c>
      <c r="BD1665" s="28">
        <v>1</v>
      </c>
      <c r="BE1665" s="263" t="s">
        <v>3390</v>
      </c>
      <c r="BF1665" s="263" t="s">
        <v>3726</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69052031</v>
      </c>
      <c r="D1666" s="263" t="s">
        <v>3727</v>
      </c>
      <c r="E1666" s="263" t="s">
        <v>341</v>
      </c>
      <c r="F1666" s="76">
        <v>1</v>
      </c>
      <c r="G1666" s="76">
        <v>62021101</v>
      </c>
      <c r="H1666" s="74">
        <v>0</v>
      </c>
      <c r="I1666" s="74">
        <v>0</v>
      </c>
      <c r="J1666" s="76">
        <v>1</v>
      </c>
      <c r="K1666" s="76">
        <v>0</v>
      </c>
      <c r="L1666" s="74">
        <v>0</v>
      </c>
      <c r="M1666" s="74">
        <v>0</v>
      </c>
      <c r="N1666" s="74" t="s">
        <v>3395</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6">
        <v>0</v>
      </c>
      <c r="AU1666" s="74">
        <v>0</v>
      </c>
      <c r="AV1666" s="74"/>
      <c r="AW1666" s="263">
        <v>0</v>
      </c>
      <c r="AX1666" s="74">
        <v>0</v>
      </c>
      <c r="AY1666" s="74">
        <v>0</v>
      </c>
      <c r="AZ1666" s="74">
        <v>0</v>
      </c>
      <c r="BA1666" s="14" t="s">
        <v>200</v>
      </c>
      <c r="BB1666" s="74">
        <v>0</v>
      </c>
      <c r="BC1666" s="268">
        <v>0</v>
      </c>
      <c r="BD1666" s="28">
        <v>1</v>
      </c>
      <c r="BE1666" s="263" t="s">
        <v>3393</v>
      </c>
      <c r="BF1666" s="263" t="s">
        <v>3728</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69052032</v>
      </c>
      <c r="D1667" s="263" t="s">
        <v>3729</v>
      </c>
      <c r="E1667" s="263" t="s">
        <v>3730</v>
      </c>
      <c r="F1667" s="76">
        <v>1</v>
      </c>
      <c r="G1667" s="76">
        <v>62023201</v>
      </c>
      <c r="H1667" s="74">
        <v>0</v>
      </c>
      <c r="I1667" s="74">
        <v>0</v>
      </c>
      <c r="J1667" s="76">
        <v>1</v>
      </c>
      <c r="K1667" s="76">
        <v>0</v>
      </c>
      <c r="L1667" s="74">
        <v>0</v>
      </c>
      <c r="M1667" s="74">
        <v>0</v>
      </c>
      <c r="N1667" s="74" t="s">
        <v>3398</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6">
        <v>0</v>
      </c>
      <c r="AU1667" s="74">
        <v>0</v>
      </c>
      <c r="AV1667" s="74"/>
      <c r="AW1667" s="263">
        <v>0</v>
      </c>
      <c r="AX1667" s="74">
        <v>0</v>
      </c>
      <c r="AY1667" s="74">
        <v>0</v>
      </c>
      <c r="AZ1667" s="74">
        <v>0</v>
      </c>
      <c r="BA1667" s="14" t="s">
        <v>200</v>
      </c>
      <c r="BB1667" s="74">
        <v>0</v>
      </c>
      <c r="BC1667" s="268">
        <v>0</v>
      </c>
      <c r="BD1667" s="28">
        <v>1</v>
      </c>
      <c r="BE1667" s="263" t="s">
        <v>3396</v>
      </c>
      <c r="BF1667" s="263" t="s">
        <v>3731</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69052033</v>
      </c>
      <c r="D1668" s="263" t="s">
        <v>3732</v>
      </c>
      <c r="E1668" s="263" t="s">
        <v>1846</v>
      </c>
      <c r="F1668" s="76">
        <v>1</v>
      </c>
      <c r="G1668" s="76">
        <v>62023301</v>
      </c>
      <c r="H1668" s="74">
        <v>0</v>
      </c>
      <c r="I1668" s="74">
        <v>0</v>
      </c>
      <c r="J1668" s="76">
        <v>1</v>
      </c>
      <c r="K1668" s="76">
        <v>0</v>
      </c>
      <c r="L1668" s="74">
        <v>0</v>
      </c>
      <c r="M1668" s="74">
        <v>0</v>
      </c>
      <c r="N1668" s="74" t="s">
        <v>3401</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6">
        <v>0</v>
      </c>
      <c r="AU1668" s="74">
        <v>0</v>
      </c>
      <c r="AV1668" s="74"/>
      <c r="AW1668" s="263">
        <v>0</v>
      </c>
      <c r="AX1668" s="74">
        <v>0</v>
      </c>
      <c r="AY1668" s="74">
        <v>0</v>
      </c>
      <c r="AZ1668" s="74">
        <v>0</v>
      </c>
      <c r="BA1668" s="14" t="s">
        <v>200</v>
      </c>
      <c r="BB1668" s="74">
        <v>0</v>
      </c>
      <c r="BC1668" s="268">
        <v>0</v>
      </c>
      <c r="BD1668" s="28">
        <v>1</v>
      </c>
      <c r="BE1668" s="263" t="s">
        <v>3399</v>
      </c>
      <c r="BF1668" s="263" t="s">
        <v>3733</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69052034</v>
      </c>
      <c r="D1669" s="263" t="s">
        <v>3734</v>
      </c>
      <c r="E1669" s="263" t="s">
        <v>3735</v>
      </c>
      <c r="F1669" s="76">
        <v>1</v>
      </c>
      <c r="G1669" s="76">
        <v>62023401</v>
      </c>
      <c r="H1669" s="74">
        <v>0</v>
      </c>
      <c r="I1669" s="74">
        <v>0</v>
      </c>
      <c r="J1669" s="76">
        <v>1</v>
      </c>
      <c r="K1669" s="76">
        <v>0</v>
      </c>
      <c r="L1669" s="74">
        <v>0</v>
      </c>
      <c r="M1669" s="74">
        <v>0</v>
      </c>
      <c r="N1669" s="74" t="s">
        <v>3404</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6">
        <v>0</v>
      </c>
      <c r="AU1669" s="74">
        <v>0</v>
      </c>
      <c r="AV1669" s="74"/>
      <c r="AW1669" s="263">
        <v>0</v>
      </c>
      <c r="AX1669" s="74">
        <v>0</v>
      </c>
      <c r="AY1669" s="74">
        <v>0</v>
      </c>
      <c r="AZ1669" s="74">
        <v>0</v>
      </c>
      <c r="BA1669" s="14" t="s">
        <v>200</v>
      </c>
      <c r="BB1669" s="74">
        <v>0</v>
      </c>
      <c r="BC1669" s="268">
        <v>0</v>
      </c>
      <c r="BD1669" s="28">
        <v>1</v>
      </c>
      <c r="BE1669" s="263" t="s">
        <v>3402</v>
      </c>
      <c r="BF1669" s="263" t="s">
        <v>3736</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78">
        <v>69053001</v>
      </c>
      <c r="D1670" s="275" t="s">
        <v>1398</v>
      </c>
      <c r="E1670" s="275" t="s">
        <v>1870</v>
      </c>
      <c r="F1670" s="276">
        <v>1</v>
      </c>
      <c r="G1670" s="276">
        <v>62011101</v>
      </c>
      <c r="H1670" s="277">
        <v>0</v>
      </c>
      <c r="I1670" s="277">
        <v>0</v>
      </c>
      <c r="J1670" s="276">
        <v>1</v>
      </c>
      <c r="K1670" s="276">
        <v>0</v>
      </c>
      <c r="L1670" s="277">
        <v>0</v>
      </c>
      <c r="M1670" s="277">
        <v>0</v>
      </c>
      <c r="N1670" s="277" t="s">
        <v>3737</v>
      </c>
      <c r="O1670" s="277">
        <v>3</v>
      </c>
      <c r="P1670" s="277">
        <v>0</v>
      </c>
      <c r="Q1670" s="277">
        <v>0</v>
      </c>
      <c r="R1670" s="277">
        <v>0</v>
      </c>
      <c r="S1670" s="177">
        <v>0</v>
      </c>
      <c r="T1670" s="277">
        <v>0</v>
      </c>
      <c r="U1670" s="174">
        <v>1</v>
      </c>
      <c r="V1670" s="277">
        <v>0</v>
      </c>
      <c r="W1670" s="277">
        <v>0</v>
      </c>
      <c r="X1670" s="277">
        <v>0</v>
      </c>
      <c r="Y1670" s="13">
        <v>0</v>
      </c>
      <c r="Z1670" s="277">
        <v>0</v>
      </c>
      <c r="AA1670" s="277">
        <v>0</v>
      </c>
      <c r="AB1670" s="277">
        <v>0</v>
      </c>
      <c r="AC1670" s="277">
        <v>0</v>
      </c>
      <c r="AD1670" s="276">
        <v>0</v>
      </c>
      <c r="AE1670" s="277">
        <v>0</v>
      </c>
      <c r="AF1670" s="277">
        <v>0</v>
      </c>
      <c r="AG1670" s="277">
        <v>0</v>
      </c>
      <c r="AH1670" s="277">
        <v>0</v>
      </c>
      <c r="AI1670" s="277">
        <v>0</v>
      </c>
      <c r="AJ1670" s="277">
        <v>0</v>
      </c>
      <c r="AK1670" s="177">
        <v>0</v>
      </c>
      <c r="AL1670" s="277">
        <v>0</v>
      </c>
      <c r="AM1670" s="277">
        <v>0</v>
      </c>
      <c r="AN1670" s="277">
        <v>0</v>
      </c>
      <c r="AO1670" s="277">
        <v>0</v>
      </c>
      <c r="AP1670" s="277">
        <v>0</v>
      </c>
      <c r="AQ1670" s="277">
        <v>0</v>
      </c>
      <c r="AR1670" s="277">
        <v>0</v>
      </c>
      <c r="AS1670" s="277">
        <v>0</v>
      </c>
      <c r="AT1670" s="279">
        <v>0</v>
      </c>
      <c r="AU1670" s="277">
        <v>0</v>
      </c>
      <c r="AV1670" s="277"/>
      <c r="AW1670" s="275">
        <v>0</v>
      </c>
      <c r="AX1670" s="277">
        <v>0</v>
      </c>
      <c r="AY1670" s="277">
        <v>0</v>
      </c>
      <c r="AZ1670" s="277">
        <v>0</v>
      </c>
      <c r="BA1670" s="202" t="s">
        <v>200</v>
      </c>
      <c r="BB1670" s="277">
        <v>0</v>
      </c>
      <c r="BC1670" s="280">
        <v>0</v>
      </c>
      <c r="BD1670" s="176">
        <v>1</v>
      </c>
      <c r="BE1670" s="277" t="s">
        <v>3738</v>
      </c>
      <c r="BF1670" s="277" t="s">
        <v>3739</v>
      </c>
      <c r="BG1670" s="277">
        <v>0</v>
      </c>
      <c r="BH1670" s="284">
        <v>0</v>
      </c>
      <c r="BI1670" s="177">
        <v>0</v>
      </c>
      <c r="BJ1670" s="277">
        <v>0</v>
      </c>
      <c r="BK1670" s="277">
        <v>0</v>
      </c>
      <c r="BL1670" s="277">
        <v>0</v>
      </c>
      <c r="BM1670" s="180">
        <v>0</v>
      </c>
      <c r="BN1670" s="177">
        <v>0</v>
      </c>
      <c r="BO1670" s="177">
        <v>0</v>
      </c>
      <c r="BP1670" s="177">
        <v>0</v>
      </c>
      <c r="BQ1670" s="177">
        <v>0</v>
      </c>
      <c r="BR1670" s="177">
        <v>0</v>
      </c>
      <c r="BS1670" s="177">
        <v>0</v>
      </c>
      <c r="BT1670" s="13">
        <v>0</v>
      </c>
      <c r="BU1670" s="49">
        <v>0</v>
      </c>
      <c r="BV1670" s="49"/>
      <c r="BW1670" s="49"/>
    </row>
    <row r="1671" spans="3:75" ht="20.100000000000001" customHeight="1">
      <c r="C1671" s="178">
        <v>69053002</v>
      </c>
      <c r="D1671" s="275" t="s">
        <v>1406</v>
      </c>
      <c r="E1671" s="275" t="s">
        <v>1884</v>
      </c>
      <c r="F1671" s="276">
        <v>1</v>
      </c>
      <c r="G1671" s="276">
        <v>62011201</v>
      </c>
      <c r="H1671" s="277">
        <v>0</v>
      </c>
      <c r="I1671" s="277">
        <v>0</v>
      </c>
      <c r="J1671" s="276">
        <v>1</v>
      </c>
      <c r="K1671" s="276">
        <v>0</v>
      </c>
      <c r="L1671" s="277">
        <v>0</v>
      </c>
      <c r="M1671" s="277">
        <v>0</v>
      </c>
      <c r="N1671" s="277" t="s">
        <v>3740</v>
      </c>
      <c r="O1671" s="277">
        <v>3</v>
      </c>
      <c r="P1671" s="277">
        <v>0</v>
      </c>
      <c r="Q1671" s="277">
        <v>0</v>
      </c>
      <c r="R1671" s="277">
        <v>0</v>
      </c>
      <c r="S1671" s="177">
        <v>0</v>
      </c>
      <c r="T1671" s="277">
        <v>0</v>
      </c>
      <c r="U1671" s="174">
        <v>1</v>
      </c>
      <c r="V1671" s="277">
        <v>0</v>
      </c>
      <c r="W1671" s="277">
        <v>0</v>
      </c>
      <c r="X1671" s="277">
        <v>0</v>
      </c>
      <c r="Y1671" s="13">
        <v>0</v>
      </c>
      <c r="Z1671" s="277">
        <v>0</v>
      </c>
      <c r="AA1671" s="277">
        <v>0</v>
      </c>
      <c r="AB1671" s="277">
        <v>0</v>
      </c>
      <c r="AC1671" s="277">
        <v>0</v>
      </c>
      <c r="AD1671" s="276">
        <v>0</v>
      </c>
      <c r="AE1671" s="277">
        <v>0</v>
      </c>
      <c r="AF1671" s="277">
        <v>0</v>
      </c>
      <c r="AG1671" s="277">
        <v>0</v>
      </c>
      <c r="AH1671" s="277">
        <v>0</v>
      </c>
      <c r="AI1671" s="277">
        <v>0</v>
      </c>
      <c r="AJ1671" s="277">
        <v>0</v>
      </c>
      <c r="AK1671" s="177">
        <v>0</v>
      </c>
      <c r="AL1671" s="277">
        <v>0</v>
      </c>
      <c r="AM1671" s="277">
        <v>0</v>
      </c>
      <c r="AN1671" s="277">
        <v>0</v>
      </c>
      <c r="AO1671" s="277">
        <v>0</v>
      </c>
      <c r="AP1671" s="277">
        <v>0</v>
      </c>
      <c r="AQ1671" s="277">
        <v>0</v>
      </c>
      <c r="AR1671" s="277">
        <v>0</v>
      </c>
      <c r="AS1671" s="277">
        <v>0</v>
      </c>
      <c r="AT1671" s="279">
        <v>0</v>
      </c>
      <c r="AU1671" s="277">
        <v>0</v>
      </c>
      <c r="AV1671" s="277"/>
      <c r="AW1671" s="275">
        <v>0</v>
      </c>
      <c r="AX1671" s="277">
        <v>0</v>
      </c>
      <c r="AY1671" s="277">
        <v>0</v>
      </c>
      <c r="AZ1671" s="277">
        <v>0</v>
      </c>
      <c r="BA1671" s="202" t="s">
        <v>200</v>
      </c>
      <c r="BB1671" s="277">
        <v>0</v>
      </c>
      <c r="BC1671" s="280">
        <v>0</v>
      </c>
      <c r="BD1671" s="176">
        <v>1</v>
      </c>
      <c r="BE1671" s="277" t="s">
        <v>3741</v>
      </c>
      <c r="BF1671" s="277" t="s">
        <v>3742</v>
      </c>
      <c r="BG1671" s="277">
        <v>0</v>
      </c>
      <c r="BH1671" s="284">
        <v>0</v>
      </c>
      <c r="BI1671" s="177">
        <v>0</v>
      </c>
      <c r="BJ1671" s="277">
        <v>0</v>
      </c>
      <c r="BK1671" s="277">
        <v>0</v>
      </c>
      <c r="BL1671" s="277">
        <v>0</v>
      </c>
      <c r="BM1671" s="180">
        <v>0</v>
      </c>
      <c r="BN1671" s="177">
        <v>0</v>
      </c>
      <c r="BO1671" s="177">
        <v>0</v>
      </c>
      <c r="BP1671" s="177">
        <v>0</v>
      </c>
      <c r="BQ1671" s="177">
        <v>0</v>
      </c>
      <c r="BR1671" s="177">
        <v>0</v>
      </c>
      <c r="BS1671" s="177">
        <v>0</v>
      </c>
      <c r="BT1671" s="13">
        <v>0</v>
      </c>
      <c r="BU1671" s="49">
        <v>0</v>
      </c>
      <c r="BV1671" s="49"/>
      <c r="BW1671" s="49"/>
    </row>
    <row r="1672" spans="3:75" ht="20.100000000000001" customHeight="1">
      <c r="C1672" s="178">
        <v>69053003</v>
      </c>
      <c r="D1672" s="275" t="s">
        <v>1414</v>
      </c>
      <c r="E1672" s="275" t="s">
        <v>1946</v>
      </c>
      <c r="F1672" s="276">
        <v>1</v>
      </c>
      <c r="G1672" s="276">
        <v>62011301</v>
      </c>
      <c r="H1672" s="277">
        <v>0</v>
      </c>
      <c r="I1672" s="277">
        <v>0</v>
      </c>
      <c r="J1672" s="276">
        <v>1</v>
      </c>
      <c r="K1672" s="276">
        <v>0</v>
      </c>
      <c r="L1672" s="277">
        <v>0</v>
      </c>
      <c r="M1672" s="277">
        <v>0</v>
      </c>
      <c r="N1672" s="277" t="s">
        <v>3743</v>
      </c>
      <c r="O1672" s="277">
        <v>3</v>
      </c>
      <c r="P1672" s="277">
        <v>0</v>
      </c>
      <c r="Q1672" s="277">
        <v>0</v>
      </c>
      <c r="R1672" s="277">
        <v>0</v>
      </c>
      <c r="S1672" s="177">
        <v>0</v>
      </c>
      <c r="T1672" s="277">
        <v>0</v>
      </c>
      <c r="U1672" s="174">
        <v>1</v>
      </c>
      <c r="V1672" s="277">
        <v>0</v>
      </c>
      <c r="W1672" s="277">
        <v>0</v>
      </c>
      <c r="X1672" s="277">
        <v>0</v>
      </c>
      <c r="Y1672" s="13">
        <v>0</v>
      </c>
      <c r="Z1672" s="277">
        <v>0</v>
      </c>
      <c r="AA1672" s="277">
        <v>0</v>
      </c>
      <c r="AB1672" s="277">
        <v>0</v>
      </c>
      <c r="AC1672" s="277">
        <v>0</v>
      </c>
      <c r="AD1672" s="276">
        <v>0</v>
      </c>
      <c r="AE1672" s="277">
        <v>0</v>
      </c>
      <c r="AF1672" s="277">
        <v>0</v>
      </c>
      <c r="AG1672" s="277">
        <v>0</v>
      </c>
      <c r="AH1672" s="277">
        <v>0</v>
      </c>
      <c r="AI1672" s="277">
        <v>0</v>
      </c>
      <c r="AJ1672" s="277">
        <v>0</v>
      </c>
      <c r="AK1672" s="177">
        <v>0</v>
      </c>
      <c r="AL1672" s="277">
        <v>0</v>
      </c>
      <c r="AM1672" s="277">
        <v>0</v>
      </c>
      <c r="AN1672" s="277">
        <v>0</v>
      </c>
      <c r="AO1672" s="277">
        <v>0</v>
      </c>
      <c r="AP1672" s="277">
        <v>0</v>
      </c>
      <c r="AQ1672" s="277">
        <v>0</v>
      </c>
      <c r="AR1672" s="277">
        <v>0</v>
      </c>
      <c r="AS1672" s="277">
        <v>0</v>
      </c>
      <c r="AT1672" s="279">
        <v>0</v>
      </c>
      <c r="AU1672" s="277">
        <v>0</v>
      </c>
      <c r="AV1672" s="277"/>
      <c r="AW1672" s="275">
        <v>0</v>
      </c>
      <c r="AX1672" s="277">
        <v>0</v>
      </c>
      <c r="AY1672" s="277">
        <v>0</v>
      </c>
      <c r="AZ1672" s="277">
        <v>0</v>
      </c>
      <c r="BA1672" s="202" t="s">
        <v>200</v>
      </c>
      <c r="BB1672" s="277">
        <v>0</v>
      </c>
      <c r="BC1672" s="280">
        <v>0</v>
      </c>
      <c r="BD1672" s="176">
        <v>1</v>
      </c>
      <c r="BE1672" s="277" t="s">
        <v>3744</v>
      </c>
      <c r="BF1672" s="277" t="s">
        <v>3745</v>
      </c>
      <c r="BG1672" s="277">
        <v>0</v>
      </c>
      <c r="BH1672" s="284">
        <v>0</v>
      </c>
      <c r="BI1672" s="177">
        <v>0</v>
      </c>
      <c r="BJ1672" s="277">
        <v>0</v>
      </c>
      <c r="BK1672" s="277">
        <v>0</v>
      </c>
      <c r="BL1672" s="277">
        <v>0</v>
      </c>
      <c r="BM1672" s="180">
        <v>0</v>
      </c>
      <c r="BN1672" s="177">
        <v>0</v>
      </c>
      <c r="BO1672" s="177">
        <v>0</v>
      </c>
      <c r="BP1672" s="177">
        <v>0</v>
      </c>
      <c r="BQ1672" s="177">
        <v>0</v>
      </c>
      <c r="BR1672" s="177">
        <v>0</v>
      </c>
      <c r="BS1672" s="177">
        <v>0</v>
      </c>
      <c r="BT1672" s="13">
        <v>0</v>
      </c>
      <c r="BU1672" s="49">
        <v>0</v>
      </c>
      <c r="BV1672" s="49"/>
      <c r="BW1672" s="49"/>
    </row>
    <row r="1673" spans="3:75" ht="20.100000000000001" customHeight="1">
      <c r="C1673" s="178">
        <v>69053011</v>
      </c>
      <c r="D1673" s="275" t="s">
        <v>1961</v>
      </c>
      <c r="E1673" s="275" t="s">
        <v>1962</v>
      </c>
      <c r="F1673" s="276">
        <v>1</v>
      </c>
      <c r="G1673" s="276">
        <v>61021101</v>
      </c>
      <c r="H1673" s="277">
        <v>0</v>
      </c>
      <c r="I1673" s="277">
        <v>0</v>
      </c>
      <c r="J1673" s="276">
        <v>1</v>
      </c>
      <c r="K1673" s="276">
        <v>0</v>
      </c>
      <c r="L1673" s="277">
        <v>0</v>
      </c>
      <c r="M1673" s="277">
        <v>0</v>
      </c>
      <c r="N1673" s="277" t="s">
        <v>3421</v>
      </c>
      <c r="O1673" s="277">
        <v>3</v>
      </c>
      <c r="P1673" s="277">
        <v>0</v>
      </c>
      <c r="Q1673" s="277">
        <v>0</v>
      </c>
      <c r="R1673" s="277">
        <v>0</v>
      </c>
      <c r="S1673" s="177">
        <v>0</v>
      </c>
      <c r="T1673" s="277">
        <v>0</v>
      </c>
      <c r="U1673" s="174">
        <v>1</v>
      </c>
      <c r="V1673" s="277">
        <v>0</v>
      </c>
      <c r="W1673" s="277">
        <v>0</v>
      </c>
      <c r="X1673" s="277">
        <v>0</v>
      </c>
      <c r="Y1673" s="13">
        <v>0</v>
      </c>
      <c r="Z1673" s="277">
        <v>0</v>
      </c>
      <c r="AA1673" s="277">
        <v>0</v>
      </c>
      <c r="AB1673" s="277">
        <v>0</v>
      </c>
      <c r="AC1673" s="277">
        <v>0</v>
      </c>
      <c r="AD1673" s="276">
        <v>0</v>
      </c>
      <c r="AE1673" s="277">
        <v>0</v>
      </c>
      <c r="AF1673" s="277">
        <v>0</v>
      </c>
      <c r="AG1673" s="277">
        <v>0</v>
      </c>
      <c r="AH1673" s="277">
        <v>0</v>
      </c>
      <c r="AI1673" s="277">
        <v>0</v>
      </c>
      <c r="AJ1673" s="277">
        <v>0</v>
      </c>
      <c r="AK1673" s="177">
        <v>0</v>
      </c>
      <c r="AL1673" s="277">
        <v>0</v>
      </c>
      <c r="AM1673" s="277">
        <v>0</v>
      </c>
      <c r="AN1673" s="277">
        <v>0</v>
      </c>
      <c r="AO1673" s="277">
        <v>0</v>
      </c>
      <c r="AP1673" s="277">
        <v>0</v>
      </c>
      <c r="AQ1673" s="277">
        <v>0</v>
      </c>
      <c r="AR1673" s="277">
        <v>0</v>
      </c>
      <c r="AS1673" s="277">
        <v>0</v>
      </c>
      <c r="AT1673" s="279">
        <v>0</v>
      </c>
      <c r="AU1673" s="277">
        <v>0</v>
      </c>
      <c r="AV1673" s="277"/>
      <c r="AW1673" s="275">
        <v>0</v>
      </c>
      <c r="AX1673" s="277">
        <v>0</v>
      </c>
      <c r="AY1673" s="277">
        <v>0</v>
      </c>
      <c r="AZ1673" s="277">
        <v>0</v>
      </c>
      <c r="BA1673" s="202" t="s">
        <v>200</v>
      </c>
      <c r="BB1673" s="277">
        <v>0</v>
      </c>
      <c r="BC1673" s="280">
        <v>0</v>
      </c>
      <c r="BD1673" s="176">
        <v>1</v>
      </c>
      <c r="BE1673" s="277" t="s">
        <v>3419</v>
      </c>
      <c r="BF1673" s="277" t="s">
        <v>3746</v>
      </c>
      <c r="BG1673" s="277">
        <v>0</v>
      </c>
      <c r="BH1673" s="284">
        <v>0</v>
      </c>
      <c r="BI1673" s="177">
        <v>0</v>
      </c>
      <c r="BJ1673" s="277">
        <v>0</v>
      </c>
      <c r="BK1673" s="277">
        <v>0</v>
      </c>
      <c r="BL1673" s="277">
        <v>0</v>
      </c>
      <c r="BM1673" s="180">
        <v>0</v>
      </c>
      <c r="BN1673" s="177">
        <v>0</v>
      </c>
      <c r="BO1673" s="177">
        <v>0</v>
      </c>
      <c r="BP1673" s="177">
        <v>0</v>
      </c>
      <c r="BQ1673" s="177">
        <v>0</v>
      </c>
      <c r="BR1673" s="177">
        <v>0</v>
      </c>
      <c r="BS1673" s="177">
        <v>0</v>
      </c>
      <c r="BT1673" s="13">
        <v>0</v>
      </c>
      <c r="BU1673" s="49">
        <v>0</v>
      </c>
      <c r="BV1673" s="49"/>
      <c r="BW1673" s="49"/>
    </row>
    <row r="1674" spans="3:75" ht="20.100000000000001" customHeight="1">
      <c r="C1674" s="178">
        <v>69053012</v>
      </c>
      <c r="D1674" s="275" t="s">
        <v>1985</v>
      </c>
      <c r="E1674" s="275" t="s">
        <v>1986</v>
      </c>
      <c r="F1674" s="276">
        <v>1</v>
      </c>
      <c r="G1674" s="276">
        <v>62021301</v>
      </c>
      <c r="H1674" s="277">
        <v>0</v>
      </c>
      <c r="I1674" s="277">
        <v>0</v>
      </c>
      <c r="J1674" s="276">
        <v>1</v>
      </c>
      <c r="K1674" s="276">
        <v>0</v>
      </c>
      <c r="L1674" s="277">
        <v>0</v>
      </c>
      <c r="M1674" s="277">
        <v>0</v>
      </c>
      <c r="N1674" s="277" t="s">
        <v>3424</v>
      </c>
      <c r="O1674" s="277">
        <v>3</v>
      </c>
      <c r="P1674" s="277">
        <v>0</v>
      </c>
      <c r="Q1674" s="277">
        <v>0</v>
      </c>
      <c r="R1674" s="277">
        <v>0</v>
      </c>
      <c r="S1674" s="177">
        <v>0</v>
      </c>
      <c r="T1674" s="277">
        <v>0</v>
      </c>
      <c r="U1674" s="174">
        <v>1</v>
      </c>
      <c r="V1674" s="277">
        <v>0</v>
      </c>
      <c r="W1674" s="277">
        <v>0</v>
      </c>
      <c r="X1674" s="277">
        <v>0</v>
      </c>
      <c r="Y1674" s="13">
        <v>0</v>
      </c>
      <c r="Z1674" s="277">
        <v>0</v>
      </c>
      <c r="AA1674" s="277">
        <v>0</v>
      </c>
      <c r="AB1674" s="277">
        <v>0</v>
      </c>
      <c r="AC1674" s="277">
        <v>0</v>
      </c>
      <c r="AD1674" s="276">
        <v>0</v>
      </c>
      <c r="AE1674" s="277">
        <v>0</v>
      </c>
      <c r="AF1674" s="277">
        <v>0</v>
      </c>
      <c r="AG1674" s="277">
        <v>0</v>
      </c>
      <c r="AH1674" s="277">
        <v>0</v>
      </c>
      <c r="AI1674" s="277">
        <v>0</v>
      </c>
      <c r="AJ1674" s="277">
        <v>0</v>
      </c>
      <c r="AK1674" s="177">
        <v>0</v>
      </c>
      <c r="AL1674" s="277">
        <v>0</v>
      </c>
      <c r="AM1674" s="277">
        <v>0</v>
      </c>
      <c r="AN1674" s="277">
        <v>0</v>
      </c>
      <c r="AO1674" s="277">
        <v>0</v>
      </c>
      <c r="AP1674" s="277">
        <v>0</v>
      </c>
      <c r="AQ1674" s="277">
        <v>0</v>
      </c>
      <c r="AR1674" s="277">
        <v>0</v>
      </c>
      <c r="AS1674" s="277">
        <v>0</v>
      </c>
      <c r="AT1674" s="279">
        <v>0</v>
      </c>
      <c r="AU1674" s="277">
        <v>0</v>
      </c>
      <c r="AV1674" s="277"/>
      <c r="AW1674" s="275">
        <v>0</v>
      </c>
      <c r="AX1674" s="277">
        <v>0</v>
      </c>
      <c r="AY1674" s="277">
        <v>0</v>
      </c>
      <c r="AZ1674" s="277">
        <v>0</v>
      </c>
      <c r="BA1674" s="202" t="s">
        <v>200</v>
      </c>
      <c r="BB1674" s="277">
        <v>0</v>
      </c>
      <c r="BC1674" s="280">
        <v>0</v>
      </c>
      <c r="BD1674" s="176">
        <v>1</v>
      </c>
      <c r="BE1674" s="277" t="s">
        <v>3422</v>
      </c>
      <c r="BF1674" s="277" t="s">
        <v>3747</v>
      </c>
      <c r="BG1674" s="277">
        <v>0</v>
      </c>
      <c r="BH1674" s="284">
        <v>0</v>
      </c>
      <c r="BI1674" s="177">
        <v>0</v>
      </c>
      <c r="BJ1674" s="277">
        <v>0</v>
      </c>
      <c r="BK1674" s="277">
        <v>0</v>
      </c>
      <c r="BL1674" s="277">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69053013</v>
      </c>
      <c r="D1675" s="275" t="s">
        <v>2009</v>
      </c>
      <c r="E1675" s="275" t="s">
        <v>2010</v>
      </c>
      <c r="F1675" s="276">
        <v>1</v>
      </c>
      <c r="G1675" s="276">
        <v>62021401</v>
      </c>
      <c r="H1675" s="277">
        <v>0</v>
      </c>
      <c r="I1675" s="277">
        <v>0</v>
      </c>
      <c r="J1675" s="276">
        <v>1</v>
      </c>
      <c r="K1675" s="276">
        <v>0</v>
      </c>
      <c r="L1675" s="277">
        <v>0</v>
      </c>
      <c r="M1675" s="277">
        <v>0</v>
      </c>
      <c r="N1675" s="277" t="s">
        <v>3427</v>
      </c>
      <c r="O1675" s="277">
        <v>3</v>
      </c>
      <c r="P1675" s="277">
        <v>0</v>
      </c>
      <c r="Q1675" s="277">
        <v>0</v>
      </c>
      <c r="R1675" s="277">
        <v>0</v>
      </c>
      <c r="S1675" s="177">
        <v>0</v>
      </c>
      <c r="T1675" s="277">
        <v>0</v>
      </c>
      <c r="U1675" s="174">
        <v>1</v>
      </c>
      <c r="V1675" s="277">
        <v>0</v>
      </c>
      <c r="W1675" s="277">
        <v>0</v>
      </c>
      <c r="X1675" s="277">
        <v>0</v>
      </c>
      <c r="Y1675" s="13">
        <v>0</v>
      </c>
      <c r="Z1675" s="277">
        <v>0</v>
      </c>
      <c r="AA1675" s="277">
        <v>0</v>
      </c>
      <c r="AB1675" s="277">
        <v>0</v>
      </c>
      <c r="AC1675" s="277">
        <v>0</v>
      </c>
      <c r="AD1675" s="276">
        <v>0</v>
      </c>
      <c r="AE1675" s="277">
        <v>0</v>
      </c>
      <c r="AF1675" s="277">
        <v>0</v>
      </c>
      <c r="AG1675" s="277">
        <v>0</v>
      </c>
      <c r="AH1675" s="277">
        <v>0</v>
      </c>
      <c r="AI1675" s="277">
        <v>0</v>
      </c>
      <c r="AJ1675" s="277">
        <v>0</v>
      </c>
      <c r="AK1675" s="177">
        <v>0</v>
      </c>
      <c r="AL1675" s="277">
        <v>0</v>
      </c>
      <c r="AM1675" s="277">
        <v>0</v>
      </c>
      <c r="AN1675" s="277">
        <v>0</v>
      </c>
      <c r="AO1675" s="277">
        <v>0</v>
      </c>
      <c r="AP1675" s="277">
        <v>0</v>
      </c>
      <c r="AQ1675" s="277">
        <v>0</v>
      </c>
      <c r="AR1675" s="277">
        <v>0</v>
      </c>
      <c r="AS1675" s="277">
        <v>0</v>
      </c>
      <c r="AT1675" s="279">
        <v>0</v>
      </c>
      <c r="AU1675" s="277">
        <v>0</v>
      </c>
      <c r="AV1675" s="277"/>
      <c r="AW1675" s="275">
        <v>0</v>
      </c>
      <c r="AX1675" s="277">
        <v>0</v>
      </c>
      <c r="AY1675" s="277">
        <v>0</v>
      </c>
      <c r="AZ1675" s="277">
        <v>0</v>
      </c>
      <c r="BA1675" s="202" t="s">
        <v>200</v>
      </c>
      <c r="BB1675" s="277">
        <v>0</v>
      </c>
      <c r="BC1675" s="280">
        <v>0</v>
      </c>
      <c r="BD1675" s="176">
        <v>1</v>
      </c>
      <c r="BE1675" s="277" t="s">
        <v>3425</v>
      </c>
      <c r="BF1675" s="277" t="s">
        <v>3748</v>
      </c>
      <c r="BG1675" s="277">
        <v>0</v>
      </c>
      <c r="BH1675" s="284">
        <v>0</v>
      </c>
      <c r="BI1675" s="177">
        <v>0</v>
      </c>
      <c r="BJ1675" s="277">
        <v>0</v>
      </c>
      <c r="BK1675" s="277">
        <v>0</v>
      </c>
      <c r="BL1675" s="277">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69053014</v>
      </c>
      <c r="D1676" s="275" t="s">
        <v>2016</v>
      </c>
      <c r="E1676" s="275" t="s">
        <v>2017</v>
      </c>
      <c r="F1676" s="276">
        <v>1</v>
      </c>
      <c r="G1676" s="276">
        <v>62021501</v>
      </c>
      <c r="H1676" s="277">
        <v>0</v>
      </c>
      <c r="I1676" s="277">
        <v>0</v>
      </c>
      <c r="J1676" s="276">
        <v>1</v>
      </c>
      <c r="K1676" s="276">
        <v>0</v>
      </c>
      <c r="L1676" s="277">
        <v>0</v>
      </c>
      <c r="M1676" s="277">
        <v>0</v>
      </c>
      <c r="N1676" s="277" t="s">
        <v>3430</v>
      </c>
      <c r="O1676" s="277">
        <v>3</v>
      </c>
      <c r="P1676" s="277">
        <v>0</v>
      </c>
      <c r="Q1676" s="277">
        <v>0</v>
      </c>
      <c r="R1676" s="277">
        <v>0</v>
      </c>
      <c r="S1676" s="177">
        <v>0</v>
      </c>
      <c r="T1676" s="277">
        <v>0</v>
      </c>
      <c r="U1676" s="174">
        <v>1</v>
      </c>
      <c r="V1676" s="277">
        <v>0</v>
      </c>
      <c r="W1676" s="277">
        <v>0</v>
      </c>
      <c r="X1676" s="277">
        <v>0</v>
      </c>
      <c r="Y1676" s="13">
        <v>0</v>
      </c>
      <c r="Z1676" s="277">
        <v>0</v>
      </c>
      <c r="AA1676" s="277">
        <v>0</v>
      </c>
      <c r="AB1676" s="277">
        <v>0</v>
      </c>
      <c r="AC1676" s="277">
        <v>0</v>
      </c>
      <c r="AD1676" s="276">
        <v>0</v>
      </c>
      <c r="AE1676" s="277">
        <v>0</v>
      </c>
      <c r="AF1676" s="277">
        <v>0</v>
      </c>
      <c r="AG1676" s="277">
        <v>0</v>
      </c>
      <c r="AH1676" s="277">
        <v>0</v>
      </c>
      <c r="AI1676" s="277">
        <v>0</v>
      </c>
      <c r="AJ1676" s="277">
        <v>0</v>
      </c>
      <c r="AK1676" s="177">
        <v>0</v>
      </c>
      <c r="AL1676" s="277">
        <v>0</v>
      </c>
      <c r="AM1676" s="277">
        <v>0</v>
      </c>
      <c r="AN1676" s="277">
        <v>0</v>
      </c>
      <c r="AO1676" s="277">
        <v>0</v>
      </c>
      <c r="AP1676" s="277">
        <v>0</v>
      </c>
      <c r="AQ1676" s="277">
        <v>0</v>
      </c>
      <c r="AR1676" s="277">
        <v>0</v>
      </c>
      <c r="AS1676" s="277">
        <v>0</v>
      </c>
      <c r="AT1676" s="279">
        <v>0</v>
      </c>
      <c r="AU1676" s="277">
        <v>0</v>
      </c>
      <c r="AV1676" s="277"/>
      <c r="AW1676" s="275">
        <v>0</v>
      </c>
      <c r="AX1676" s="277">
        <v>0</v>
      </c>
      <c r="AY1676" s="277">
        <v>0</v>
      </c>
      <c r="AZ1676" s="277">
        <v>0</v>
      </c>
      <c r="BA1676" s="202" t="s">
        <v>200</v>
      </c>
      <c r="BB1676" s="277">
        <v>0</v>
      </c>
      <c r="BC1676" s="280">
        <v>0</v>
      </c>
      <c r="BD1676" s="176">
        <v>1</v>
      </c>
      <c r="BE1676" s="277" t="s">
        <v>3428</v>
      </c>
      <c r="BF1676" s="277" t="s">
        <v>3749</v>
      </c>
      <c r="BG1676" s="277">
        <v>0</v>
      </c>
      <c r="BH1676" s="284">
        <v>0</v>
      </c>
      <c r="BI1676" s="177">
        <v>0</v>
      </c>
      <c r="BJ1676" s="277">
        <v>0</v>
      </c>
      <c r="BK1676" s="277">
        <v>0</v>
      </c>
      <c r="BL1676" s="277">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69053021</v>
      </c>
      <c r="D1677" s="275" t="s">
        <v>2049</v>
      </c>
      <c r="E1677" s="275" t="s">
        <v>2050</v>
      </c>
      <c r="F1677" s="276">
        <v>1</v>
      </c>
      <c r="G1677" s="276">
        <v>62022101</v>
      </c>
      <c r="H1677" s="277">
        <v>0</v>
      </c>
      <c r="I1677" s="277">
        <v>0</v>
      </c>
      <c r="J1677" s="276">
        <v>1</v>
      </c>
      <c r="K1677" s="276">
        <v>0</v>
      </c>
      <c r="L1677" s="277">
        <v>0</v>
      </c>
      <c r="M1677" s="277">
        <v>0</v>
      </c>
      <c r="N1677" s="277" t="s">
        <v>3433</v>
      </c>
      <c r="O1677" s="277">
        <v>3</v>
      </c>
      <c r="P1677" s="277">
        <v>0</v>
      </c>
      <c r="Q1677" s="277">
        <v>0</v>
      </c>
      <c r="R1677" s="277">
        <v>0</v>
      </c>
      <c r="S1677" s="177">
        <v>0</v>
      </c>
      <c r="T1677" s="277">
        <v>0</v>
      </c>
      <c r="U1677" s="174">
        <v>1</v>
      </c>
      <c r="V1677" s="277">
        <v>0</v>
      </c>
      <c r="W1677" s="277">
        <v>0</v>
      </c>
      <c r="X1677" s="277">
        <v>0</v>
      </c>
      <c r="Y1677" s="13">
        <v>0</v>
      </c>
      <c r="Z1677" s="277">
        <v>0</v>
      </c>
      <c r="AA1677" s="277">
        <v>0</v>
      </c>
      <c r="AB1677" s="277">
        <v>0</v>
      </c>
      <c r="AC1677" s="277">
        <v>0</v>
      </c>
      <c r="AD1677" s="276">
        <v>0</v>
      </c>
      <c r="AE1677" s="277">
        <v>0</v>
      </c>
      <c r="AF1677" s="277">
        <v>0</v>
      </c>
      <c r="AG1677" s="277">
        <v>0</v>
      </c>
      <c r="AH1677" s="277">
        <v>0</v>
      </c>
      <c r="AI1677" s="277">
        <v>0</v>
      </c>
      <c r="AJ1677" s="277">
        <v>0</v>
      </c>
      <c r="AK1677" s="177">
        <v>0</v>
      </c>
      <c r="AL1677" s="277">
        <v>0</v>
      </c>
      <c r="AM1677" s="277">
        <v>0</v>
      </c>
      <c r="AN1677" s="277">
        <v>0</v>
      </c>
      <c r="AO1677" s="277">
        <v>0</v>
      </c>
      <c r="AP1677" s="277">
        <v>0</v>
      </c>
      <c r="AQ1677" s="277">
        <v>0</v>
      </c>
      <c r="AR1677" s="277">
        <v>0</v>
      </c>
      <c r="AS1677" s="277">
        <v>0</v>
      </c>
      <c r="AT1677" s="279">
        <v>0</v>
      </c>
      <c r="AU1677" s="277">
        <v>0</v>
      </c>
      <c r="AV1677" s="277"/>
      <c r="AW1677" s="275">
        <v>0</v>
      </c>
      <c r="AX1677" s="277">
        <v>0</v>
      </c>
      <c r="AY1677" s="277">
        <v>0</v>
      </c>
      <c r="AZ1677" s="277">
        <v>0</v>
      </c>
      <c r="BA1677" s="202" t="s">
        <v>200</v>
      </c>
      <c r="BB1677" s="277">
        <v>0</v>
      </c>
      <c r="BC1677" s="280">
        <v>0</v>
      </c>
      <c r="BD1677" s="176">
        <v>1</v>
      </c>
      <c r="BE1677" s="277" t="s">
        <v>3431</v>
      </c>
      <c r="BF1677" s="277" t="s">
        <v>3750</v>
      </c>
      <c r="BG1677" s="277">
        <v>0</v>
      </c>
      <c r="BH1677" s="284">
        <v>0</v>
      </c>
      <c r="BI1677" s="177">
        <v>0</v>
      </c>
      <c r="BJ1677" s="277">
        <v>0</v>
      </c>
      <c r="BK1677" s="277">
        <v>0</v>
      </c>
      <c r="BL1677" s="277">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69053022</v>
      </c>
      <c r="D1678" s="275" t="s">
        <v>2056</v>
      </c>
      <c r="E1678" s="275" t="s">
        <v>2057</v>
      </c>
      <c r="F1678" s="276">
        <v>1</v>
      </c>
      <c r="G1678" s="276">
        <v>62022201</v>
      </c>
      <c r="H1678" s="277">
        <v>0</v>
      </c>
      <c r="I1678" s="277">
        <v>0</v>
      </c>
      <c r="J1678" s="276">
        <v>1</v>
      </c>
      <c r="K1678" s="276">
        <v>0</v>
      </c>
      <c r="L1678" s="277">
        <v>0</v>
      </c>
      <c r="M1678" s="277">
        <v>0</v>
      </c>
      <c r="N1678" s="277" t="s">
        <v>3436</v>
      </c>
      <c r="O1678" s="277">
        <v>3</v>
      </c>
      <c r="P1678" s="277">
        <v>0</v>
      </c>
      <c r="Q1678" s="277">
        <v>0</v>
      </c>
      <c r="R1678" s="277">
        <v>0</v>
      </c>
      <c r="S1678" s="177">
        <v>0</v>
      </c>
      <c r="T1678" s="277">
        <v>0</v>
      </c>
      <c r="U1678" s="174">
        <v>1</v>
      </c>
      <c r="V1678" s="277">
        <v>0</v>
      </c>
      <c r="W1678" s="277">
        <v>0</v>
      </c>
      <c r="X1678" s="277">
        <v>0</v>
      </c>
      <c r="Y1678" s="13">
        <v>0</v>
      </c>
      <c r="Z1678" s="277">
        <v>0</v>
      </c>
      <c r="AA1678" s="277">
        <v>0</v>
      </c>
      <c r="AB1678" s="277">
        <v>0</v>
      </c>
      <c r="AC1678" s="277">
        <v>0</v>
      </c>
      <c r="AD1678" s="276">
        <v>0</v>
      </c>
      <c r="AE1678" s="277">
        <v>0</v>
      </c>
      <c r="AF1678" s="277">
        <v>0</v>
      </c>
      <c r="AG1678" s="277">
        <v>0</v>
      </c>
      <c r="AH1678" s="277">
        <v>0</v>
      </c>
      <c r="AI1678" s="277">
        <v>0</v>
      </c>
      <c r="AJ1678" s="277">
        <v>0</v>
      </c>
      <c r="AK1678" s="177">
        <v>0</v>
      </c>
      <c r="AL1678" s="277">
        <v>0</v>
      </c>
      <c r="AM1678" s="277">
        <v>0</v>
      </c>
      <c r="AN1678" s="277">
        <v>0</v>
      </c>
      <c r="AO1678" s="277">
        <v>0</v>
      </c>
      <c r="AP1678" s="277">
        <v>0</v>
      </c>
      <c r="AQ1678" s="277">
        <v>0</v>
      </c>
      <c r="AR1678" s="277">
        <v>0</v>
      </c>
      <c r="AS1678" s="277">
        <v>0</v>
      </c>
      <c r="AT1678" s="279">
        <v>0</v>
      </c>
      <c r="AU1678" s="277">
        <v>0</v>
      </c>
      <c r="AV1678" s="277"/>
      <c r="AW1678" s="275">
        <v>0</v>
      </c>
      <c r="AX1678" s="277">
        <v>0</v>
      </c>
      <c r="AY1678" s="277">
        <v>0</v>
      </c>
      <c r="AZ1678" s="277">
        <v>0</v>
      </c>
      <c r="BA1678" s="202" t="s">
        <v>200</v>
      </c>
      <c r="BB1678" s="277">
        <v>0</v>
      </c>
      <c r="BC1678" s="280">
        <v>0</v>
      </c>
      <c r="BD1678" s="176">
        <v>1</v>
      </c>
      <c r="BE1678" s="277" t="s">
        <v>3434</v>
      </c>
      <c r="BF1678" s="277" t="s">
        <v>3751</v>
      </c>
      <c r="BG1678" s="277">
        <v>0</v>
      </c>
      <c r="BH1678" s="284">
        <v>0</v>
      </c>
      <c r="BI1678" s="177">
        <v>0</v>
      </c>
      <c r="BJ1678" s="277">
        <v>0</v>
      </c>
      <c r="BK1678" s="277">
        <v>0</v>
      </c>
      <c r="BL1678" s="277">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69053023</v>
      </c>
      <c r="D1679" s="275" t="s">
        <v>1120</v>
      </c>
      <c r="E1679" s="275" t="s">
        <v>1121</v>
      </c>
      <c r="F1679" s="276">
        <v>1</v>
      </c>
      <c r="G1679" s="276">
        <v>62022301</v>
      </c>
      <c r="H1679" s="277">
        <v>0</v>
      </c>
      <c r="I1679" s="277">
        <v>0</v>
      </c>
      <c r="J1679" s="276">
        <v>1</v>
      </c>
      <c r="K1679" s="276">
        <v>0</v>
      </c>
      <c r="L1679" s="277">
        <v>0</v>
      </c>
      <c r="M1679" s="277">
        <v>0</v>
      </c>
      <c r="N1679" s="277" t="s">
        <v>3439</v>
      </c>
      <c r="O1679" s="277">
        <v>3</v>
      </c>
      <c r="P1679" s="277">
        <v>0</v>
      </c>
      <c r="Q1679" s="277">
        <v>0</v>
      </c>
      <c r="R1679" s="277">
        <v>0</v>
      </c>
      <c r="S1679" s="177">
        <v>0</v>
      </c>
      <c r="T1679" s="277">
        <v>0</v>
      </c>
      <c r="U1679" s="174">
        <v>1</v>
      </c>
      <c r="V1679" s="277">
        <v>0</v>
      </c>
      <c r="W1679" s="277">
        <v>0</v>
      </c>
      <c r="X1679" s="277">
        <v>0</v>
      </c>
      <c r="Y1679" s="13">
        <v>0</v>
      </c>
      <c r="Z1679" s="277">
        <v>0</v>
      </c>
      <c r="AA1679" s="277">
        <v>0</v>
      </c>
      <c r="AB1679" s="277">
        <v>0</v>
      </c>
      <c r="AC1679" s="277">
        <v>0</v>
      </c>
      <c r="AD1679" s="276">
        <v>0</v>
      </c>
      <c r="AE1679" s="277">
        <v>0</v>
      </c>
      <c r="AF1679" s="277">
        <v>0</v>
      </c>
      <c r="AG1679" s="277">
        <v>0</v>
      </c>
      <c r="AH1679" s="277">
        <v>0</v>
      </c>
      <c r="AI1679" s="277">
        <v>0</v>
      </c>
      <c r="AJ1679" s="277">
        <v>0</v>
      </c>
      <c r="AK1679" s="177">
        <v>0</v>
      </c>
      <c r="AL1679" s="277">
        <v>0</v>
      </c>
      <c r="AM1679" s="277">
        <v>0</v>
      </c>
      <c r="AN1679" s="277">
        <v>0</v>
      </c>
      <c r="AO1679" s="277">
        <v>0</v>
      </c>
      <c r="AP1679" s="277">
        <v>0</v>
      </c>
      <c r="AQ1679" s="277">
        <v>0</v>
      </c>
      <c r="AR1679" s="277">
        <v>0</v>
      </c>
      <c r="AS1679" s="277">
        <v>0</v>
      </c>
      <c r="AT1679" s="279">
        <v>0</v>
      </c>
      <c r="AU1679" s="277">
        <v>0</v>
      </c>
      <c r="AV1679" s="277"/>
      <c r="AW1679" s="275">
        <v>0</v>
      </c>
      <c r="AX1679" s="277">
        <v>0</v>
      </c>
      <c r="AY1679" s="277">
        <v>0</v>
      </c>
      <c r="AZ1679" s="277">
        <v>0</v>
      </c>
      <c r="BA1679" s="202" t="s">
        <v>200</v>
      </c>
      <c r="BB1679" s="277">
        <v>0</v>
      </c>
      <c r="BC1679" s="280">
        <v>0</v>
      </c>
      <c r="BD1679" s="176">
        <v>1</v>
      </c>
      <c r="BE1679" s="277" t="s">
        <v>3437</v>
      </c>
      <c r="BF1679" s="277" t="s">
        <v>3752</v>
      </c>
      <c r="BG1679" s="277">
        <v>0</v>
      </c>
      <c r="BH1679" s="284">
        <v>0</v>
      </c>
      <c r="BI1679" s="177">
        <v>0</v>
      </c>
      <c r="BJ1679" s="277">
        <v>0</v>
      </c>
      <c r="BK1679" s="277">
        <v>0</v>
      </c>
      <c r="BL1679" s="277">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69053024</v>
      </c>
      <c r="D1680" s="275" t="s">
        <v>2069</v>
      </c>
      <c r="E1680" s="275" t="s">
        <v>2070</v>
      </c>
      <c r="F1680" s="276">
        <v>1</v>
      </c>
      <c r="G1680" s="276">
        <v>62022401</v>
      </c>
      <c r="H1680" s="277">
        <v>0</v>
      </c>
      <c r="I1680" s="277">
        <v>0</v>
      </c>
      <c r="J1680" s="276">
        <v>1</v>
      </c>
      <c r="K1680" s="276">
        <v>0</v>
      </c>
      <c r="L1680" s="277">
        <v>0</v>
      </c>
      <c r="M1680" s="277">
        <v>0</v>
      </c>
      <c r="N1680" s="277" t="s">
        <v>3442</v>
      </c>
      <c r="O1680" s="277">
        <v>3</v>
      </c>
      <c r="P1680" s="277">
        <v>0</v>
      </c>
      <c r="Q1680" s="277">
        <v>0</v>
      </c>
      <c r="R1680" s="277">
        <v>0</v>
      </c>
      <c r="S1680" s="177">
        <v>0</v>
      </c>
      <c r="T1680" s="277">
        <v>0</v>
      </c>
      <c r="U1680" s="174">
        <v>1</v>
      </c>
      <c r="V1680" s="277">
        <v>0</v>
      </c>
      <c r="W1680" s="277">
        <v>0</v>
      </c>
      <c r="X1680" s="277">
        <v>0</v>
      </c>
      <c r="Y1680" s="13">
        <v>0</v>
      </c>
      <c r="Z1680" s="277">
        <v>0</v>
      </c>
      <c r="AA1680" s="277">
        <v>0</v>
      </c>
      <c r="AB1680" s="277">
        <v>0</v>
      </c>
      <c r="AC1680" s="277">
        <v>0</v>
      </c>
      <c r="AD1680" s="276">
        <v>0</v>
      </c>
      <c r="AE1680" s="277">
        <v>0</v>
      </c>
      <c r="AF1680" s="277">
        <v>0</v>
      </c>
      <c r="AG1680" s="277">
        <v>0</v>
      </c>
      <c r="AH1680" s="277">
        <v>0</v>
      </c>
      <c r="AI1680" s="277">
        <v>0</v>
      </c>
      <c r="AJ1680" s="277">
        <v>0</v>
      </c>
      <c r="AK1680" s="177">
        <v>0</v>
      </c>
      <c r="AL1680" s="277">
        <v>0</v>
      </c>
      <c r="AM1680" s="277">
        <v>0</v>
      </c>
      <c r="AN1680" s="277">
        <v>0</v>
      </c>
      <c r="AO1680" s="277">
        <v>0</v>
      </c>
      <c r="AP1680" s="277">
        <v>0</v>
      </c>
      <c r="AQ1680" s="277">
        <v>0</v>
      </c>
      <c r="AR1680" s="277">
        <v>0</v>
      </c>
      <c r="AS1680" s="277">
        <v>0</v>
      </c>
      <c r="AT1680" s="279">
        <v>0</v>
      </c>
      <c r="AU1680" s="277">
        <v>0</v>
      </c>
      <c r="AV1680" s="277"/>
      <c r="AW1680" s="275">
        <v>0</v>
      </c>
      <c r="AX1680" s="277">
        <v>0</v>
      </c>
      <c r="AY1680" s="277">
        <v>0</v>
      </c>
      <c r="AZ1680" s="277">
        <v>0</v>
      </c>
      <c r="BA1680" s="202" t="s">
        <v>200</v>
      </c>
      <c r="BB1680" s="277">
        <v>0</v>
      </c>
      <c r="BC1680" s="280">
        <v>0</v>
      </c>
      <c r="BD1680" s="176">
        <v>1</v>
      </c>
      <c r="BE1680" s="277" t="s">
        <v>3440</v>
      </c>
      <c r="BF1680" s="277" t="s">
        <v>3753</v>
      </c>
      <c r="BG1680" s="277">
        <v>0</v>
      </c>
      <c r="BH1680" s="284">
        <v>0</v>
      </c>
      <c r="BI1680" s="177">
        <v>0</v>
      </c>
      <c r="BJ1680" s="277">
        <v>0</v>
      </c>
      <c r="BK1680" s="277">
        <v>0</v>
      </c>
      <c r="BL1680" s="277">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69053031</v>
      </c>
      <c r="D1681" s="275" t="s">
        <v>2077</v>
      </c>
      <c r="E1681" s="275" t="s">
        <v>2078</v>
      </c>
      <c r="F1681" s="276">
        <v>1</v>
      </c>
      <c r="G1681" s="276">
        <v>62021101</v>
      </c>
      <c r="H1681" s="277">
        <v>0</v>
      </c>
      <c r="I1681" s="277">
        <v>0</v>
      </c>
      <c r="J1681" s="276">
        <v>1</v>
      </c>
      <c r="K1681" s="276">
        <v>0</v>
      </c>
      <c r="L1681" s="277">
        <v>0</v>
      </c>
      <c r="M1681" s="277">
        <v>0</v>
      </c>
      <c r="N1681" s="277" t="s">
        <v>3445</v>
      </c>
      <c r="O1681" s="277">
        <v>3</v>
      </c>
      <c r="P1681" s="277">
        <v>0</v>
      </c>
      <c r="Q1681" s="277">
        <v>0</v>
      </c>
      <c r="R1681" s="277">
        <v>0</v>
      </c>
      <c r="S1681" s="177">
        <v>0</v>
      </c>
      <c r="T1681" s="277">
        <v>0</v>
      </c>
      <c r="U1681" s="174">
        <v>1</v>
      </c>
      <c r="V1681" s="277">
        <v>0</v>
      </c>
      <c r="W1681" s="277">
        <v>0</v>
      </c>
      <c r="X1681" s="277">
        <v>0</v>
      </c>
      <c r="Y1681" s="13">
        <v>0</v>
      </c>
      <c r="Z1681" s="277">
        <v>0</v>
      </c>
      <c r="AA1681" s="277">
        <v>0</v>
      </c>
      <c r="AB1681" s="277">
        <v>0</v>
      </c>
      <c r="AC1681" s="277">
        <v>0</v>
      </c>
      <c r="AD1681" s="276">
        <v>0</v>
      </c>
      <c r="AE1681" s="277">
        <v>0</v>
      </c>
      <c r="AF1681" s="277">
        <v>0</v>
      </c>
      <c r="AG1681" s="277">
        <v>0</v>
      </c>
      <c r="AH1681" s="277">
        <v>0</v>
      </c>
      <c r="AI1681" s="277">
        <v>0</v>
      </c>
      <c r="AJ1681" s="277">
        <v>0</v>
      </c>
      <c r="AK1681" s="177">
        <v>0</v>
      </c>
      <c r="AL1681" s="277">
        <v>0</v>
      </c>
      <c r="AM1681" s="277">
        <v>0</v>
      </c>
      <c r="AN1681" s="277">
        <v>0</v>
      </c>
      <c r="AO1681" s="277">
        <v>0</v>
      </c>
      <c r="AP1681" s="277">
        <v>0</v>
      </c>
      <c r="AQ1681" s="277">
        <v>0</v>
      </c>
      <c r="AR1681" s="277">
        <v>0</v>
      </c>
      <c r="AS1681" s="277">
        <v>0</v>
      </c>
      <c r="AT1681" s="279">
        <v>0</v>
      </c>
      <c r="AU1681" s="277">
        <v>0</v>
      </c>
      <c r="AV1681" s="277"/>
      <c r="AW1681" s="275">
        <v>0</v>
      </c>
      <c r="AX1681" s="277">
        <v>0</v>
      </c>
      <c r="AY1681" s="277">
        <v>0</v>
      </c>
      <c r="AZ1681" s="277">
        <v>0</v>
      </c>
      <c r="BA1681" s="202" t="s">
        <v>200</v>
      </c>
      <c r="BB1681" s="277">
        <v>0</v>
      </c>
      <c r="BC1681" s="280">
        <v>0</v>
      </c>
      <c r="BD1681" s="176">
        <v>1</v>
      </c>
      <c r="BE1681" s="277" t="s">
        <v>3443</v>
      </c>
      <c r="BF1681" s="277" t="s">
        <v>3754</v>
      </c>
      <c r="BG1681" s="277">
        <v>0</v>
      </c>
      <c r="BH1681" s="284">
        <v>0</v>
      </c>
      <c r="BI1681" s="177">
        <v>0</v>
      </c>
      <c r="BJ1681" s="277">
        <v>0</v>
      </c>
      <c r="BK1681" s="277">
        <v>0</v>
      </c>
      <c r="BL1681" s="277">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69053032</v>
      </c>
      <c r="D1682" s="275" t="s">
        <v>2100</v>
      </c>
      <c r="E1682" s="275" t="s">
        <v>2101</v>
      </c>
      <c r="F1682" s="276">
        <v>1</v>
      </c>
      <c r="G1682" s="276">
        <v>62023201</v>
      </c>
      <c r="H1682" s="277">
        <v>0</v>
      </c>
      <c r="I1682" s="277">
        <v>0</v>
      </c>
      <c r="J1682" s="276">
        <v>1</v>
      </c>
      <c r="K1682" s="276">
        <v>0</v>
      </c>
      <c r="L1682" s="277">
        <v>0</v>
      </c>
      <c r="M1682" s="277">
        <v>0</v>
      </c>
      <c r="N1682" s="277" t="s">
        <v>3448</v>
      </c>
      <c r="O1682" s="277">
        <v>3</v>
      </c>
      <c r="P1682" s="277">
        <v>0</v>
      </c>
      <c r="Q1682" s="277">
        <v>0</v>
      </c>
      <c r="R1682" s="277">
        <v>0</v>
      </c>
      <c r="S1682" s="177">
        <v>0</v>
      </c>
      <c r="T1682" s="277">
        <v>0</v>
      </c>
      <c r="U1682" s="174">
        <v>1</v>
      </c>
      <c r="V1682" s="277">
        <v>0</v>
      </c>
      <c r="W1682" s="277">
        <v>0</v>
      </c>
      <c r="X1682" s="277">
        <v>0</v>
      </c>
      <c r="Y1682" s="13">
        <v>0</v>
      </c>
      <c r="Z1682" s="277">
        <v>0</v>
      </c>
      <c r="AA1682" s="277">
        <v>0</v>
      </c>
      <c r="AB1682" s="277">
        <v>0</v>
      </c>
      <c r="AC1682" s="277">
        <v>0</v>
      </c>
      <c r="AD1682" s="276">
        <v>0</v>
      </c>
      <c r="AE1682" s="277">
        <v>0</v>
      </c>
      <c r="AF1682" s="277">
        <v>0</v>
      </c>
      <c r="AG1682" s="277">
        <v>0</v>
      </c>
      <c r="AH1682" s="277">
        <v>0</v>
      </c>
      <c r="AI1682" s="277">
        <v>0</v>
      </c>
      <c r="AJ1682" s="277">
        <v>0</v>
      </c>
      <c r="AK1682" s="177">
        <v>0</v>
      </c>
      <c r="AL1682" s="277">
        <v>0</v>
      </c>
      <c r="AM1682" s="277">
        <v>0</v>
      </c>
      <c r="AN1682" s="277">
        <v>0</v>
      </c>
      <c r="AO1682" s="277">
        <v>0</v>
      </c>
      <c r="AP1682" s="277">
        <v>0</v>
      </c>
      <c r="AQ1682" s="277">
        <v>0</v>
      </c>
      <c r="AR1682" s="277">
        <v>0</v>
      </c>
      <c r="AS1682" s="277">
        <v>0</v>
      </c>
      <c r="AT1682" s="279">
        <v>0</v>
      </c>
      <c r="AU1682" s="277">
        <v>0</v>
      </c>
      <c r="AV1682" s="277"/>
      <c r="AW1682" s="275">
        <v>0</v>
      </c>
      <c r="AX1682" s="277">
        <v>0</v>
      </c>
      <c r="AY1682" s="277">
        <v>0</v>
      </c>
      <c r="AZ1682" s="277">
        <v>0</v>
      </c>
      <c r="BA1682" s="202" t="s">
        <v>200</v>
      </c>
      <c r="BB1682" s="277">
        <v>0</v>
      </c>
      <c r="BC1682" s="280">
        <v>0</v>
      </c>
      <c r="BD1682" s="176">
        <v>1</v>
      </c>
      <c r="BE1682" s="277" t="s">
        <v>3446</v>
      </c>
      <c r="BF1682" s="277" t="s">
        <v>3755</v>
      </c>
      <c r="BG1682" s="277">
        <v>0</v>
      </c>
      <c r="BH1682" s="284">
        <v>0</v>
      </c>
      <c r="BI1682" s="177">
        <v>0</v>
      </c>
      <c r="BJ1682" s="277">
        <v>0</v>
      </c>
      <c r="BK1682" s="277">
        <v>0</v>
      </c>
      <c r="BL1682" s="277">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69053033</v>
      </c>
      <c r="D1683" s="275" t="s">
        <v>2107</v>
      </c>
      <c r="E1683" s="275" t="s">
        <v>2108</v>
      </c>
      <c r="F1683" s="276">
        <v>1</v>
      </c>
      <c r="G1683" s="276">
        <v>62023301</v>
      </c>
      <c r="H1683" s="277">
        <v>0</v>
      </c>
      <c r="I1683" s="277">
        <v>0</v>
      </c>
      <c r="J1683" s="276">
        <v>1</v>
      </c>
      <c r="K1683" s="276">
        <v>0</v>
      </c>
      <c r="L1683" s="277">
        <v>0</v>
      </c>
      <c r="M1683" s="277">
        <v>0</v>
      </c>
      <c r="N1683" s="277" t="s">
        <v>3451</v>
      </c>
      <c r="O1683" s="277">
        <v>3</v>
      </c>
      <c r="P1683" s="277">
        <v>0</v>
      </c>
      <c r="Q1683" s="277">
        <v>0</v>
      </c>
      <c r="R1683" s="277">
        <v>0</v>
      </c>
      <c r="S1683" s="177">
        <v>0</v>
      </c>
      <c r="T1683" s="277">
        <v>0</v>
      </c>
      <c r="U1683" s="174">
        <v>1</v>
      </c>
      <c r="V1683" s="277">
        <v>0</v>
      </c>
      <c r="W1683" s="277">
        <v>0</v>
      </c>
      <c r="X1683" s="277">
        <v>0</v>
      </c>
      <c r="Y1683" s="13">
        <v>0</v>
      </c>
      <c r="Z1683" s="277">
        <v>0</v>
      </c>
      <c r="AA1683" s="277">
        <v>0</v>
      </c>
      <c r="AB1683" s="277">
        <v>0</v>
      </c>
      <c r="AC1683" s="277">
        <v>0</v>
      </c>
      <c r="AD1683" s="276">
        <v>0</v>
      </c>
      <c r="AE1683" s="277">
        <v>0</v>
      </c>
      <c r="AF1683" s="277">
        <v>0</v>
      </c>
      <c r="AG1683" s="277">
        <v>0</v>
      </c>
      <c r="AH1683" s="277">
        <v>0</v>
      </c>
      <c r="AI1683" s="277">
        <v>0</v>
      </c>
      <c r="AJ1683" s="277">
        <v>0</v>
      </c>
      <c r="AK1683" s="177">
        <v>0</v>
      </c>
      <c r="AL1683" s="277">
        <v>0</v>
      </c>
      <c r="AM1683" s="277">
        <v>0</v>
      </c>
      <c r="AN1683" s="277">
        <v>0</v>
      </c>
      <c r="AO1683" s="277">
        <v>0</v>
      </c>
      <c r="AP1683" s="277">
        <v>0</v>
      </c>
      <c r="AQ1683" s="277">
        <v>0</v>
      </c>
      <c r="AR1683" s="277">
        <v>0</v>
      </c>
      <c r="AS1683" s="277">
        <v>0</v>
      </c>
      <c r="AT1683" s="279">
        <v>0</v>
      </c>
      <c r="AU1683" s="277">
        <v>0</v>
      </c>
      <c r="AV1683" s="277"/>
      <c r="AW1683" s="275">
        <v>0</v>
      </c>
      <c r="AX1683" s="277">
        <v>0</v>
      </c>
      <c r="AY1683" s="277">
        <v>0</v>
      </c>
      <c r="AZ1683" s="277">
        <v>0</v>
      </c>
      <c r="BA1683" s="202" t="s">
        <v>200</v>
      </c>
      <c r="BB1683" s="277">
        <v>0</v>
      </c>
      <c r="BC1683" s="280">
        <v>0</v>
      </c>
      <c r="BD1683" s="176">
        <v>1</v>
      </c>
      <c r="BE1683" s="277" t="s">
        <v>3449</v>
      </c>
      <c r="BF1683" s="277" t="s">
        <v>3756</v>
      </c>
      <c r="BG1683" s="277">
        <v>0</v>
      </c>
      <c r="BH1683" s="284">
        <v>0</v>
      </c>
      <c r="BI1683" s="177">
        <v>0</v>
      </c>
      <c r="BJ1683" s="277">
        <v>0</v>
      </c>
      <c r="BK1683" s="277">
        <v>0</v>
      </c>
      <c r="BL1683" s="277">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69053034</v>
      </c>
      <c r="D1684" s="275" t="s">
        <v>2114</v>
      </c>
      <c r="E1684" s="275" t="s">
        <v>2115</v>
      </c>
      <c r="F1684" s="276">
        <v>1</v>
      </c>
      <c r="G1684" s="276">
        <v>62023401</v>
      </c>
      <c r="H1684" s="277">
        <v>0</v>
      </c>
      <c r="I1684" s="277">
        <v>0</v>
      </c>
      <c r="J1684" s="276">
        <v>1</v>
      </c>
      <c r="K1684" s="276">
        <v>0</v>
      </c>
      <c r="L1684" s="277">
        <v>0</v>
      </c>
      <c r="M1684" s="277">
        <v>0</v>
      </c>
      <c r="N1684" s="277" t="s">
        <v>3454</v>
      </c>
      <c r="O1684" s="277">
        <v>3</v>
      </c>
      <c r="P1684" s="277">
        <v>0</v>
      </c>
      <c r="Q1684" s="277">
        <v>0</v>
      </c>
      <c r="R1684" s="277">
        <v>0</v>
      </c>
      <c r="S1684" s="177">
        <v>0</v>
      </c>
      <c r="T1684" s="277">
        <v>0</v>
      </c>
      <c r="U1684" s="174">
        <v>1</v>
      </c>
      <c r="V1684" s="277">
        <v>0</v>
      </c>
      <c r="W1684" s="277">
        <v>0</v>
      </c>
      <c r="X1684" s="277">
        <v>0</v>
      </c>
      <c r="Y1684" s="13">
        <v>0</v>
      </c>
      <c r="Z1684" s="277">
        <v>0</v>
      </c>
      <c r="AA1684" s="277">
        <v>0</v>
      </c>
      <c r="AB1684" s="277">
        <v>0</v>
      </c>
      <c r="AC1684" s="277">
        <v>0</v>
      </c>
      <c r="AD1684" s="276">
        <v>0</v>
      </c>
      <c r="AE1684" s="277">
        <v>0</v>
      </c>
      <c r="AF1684" s="277">
        <v>0</v>
      </c>
      <c r="AG1684" s="277">
        <v>0</v>
      </c>
      <c r="AH1684" s="277">
        <v>0</v>
      </c>
      <c r="AI1684" s="277">
        <v>0</v>
      </c>
      <c r="AJ1684" s="277">
        <v>0</v>
      </c>
      <c r="AK1684" s="177">
        <v>0</v>
      </c>
      <c r="AL1684" s="277">
        <v>0</v>
      </c>
      <c r="AM1684" s="277">
        <v>0</v>
      </c>
      <c r="AN1684" s="277">
        <v>0</v>
      </c>
      <c r="AO1684" s="277">
        <v>0</v>
      </c>
      <c r="AP1684" s="277">
        <v>0</v>
      </c>
      <c r="AQ1684" s="277">
        <v>0</v>
      </c>
      <c r="AR1684" s="277">
        <v>0</v>
      </c>
      <c r="AS1684" s="277">
        <v>0</v>
      </c>
      <c r="AT1684" s="279">
        <v>0</v>
      </c>
      <c r="AU1684" s="277">
        <v>0</v>
      </c>
      <c r="AV1684" s="277"/>
      <c r="AW1684" s="275">
        <v>0</v>
      </c>
      <c r="AX1684" s="277">
        <v>0</v>
      </c>
      <c r="AY1684" s="277">
        <v>0</v>
      </c>
      <c r="AZ1684" s="277">
        <v>0</v>
      </c>
      <c r="BA1684" s="202" t="s">
        <v>200</v>
      </c>
      <c r="BB1684" s="277">
        <v>0</v>
      </c>
      <c r="BC1684" s="280">
        <v>0</v>
      </c>
      <c r="BD1684" s="176">
        <v>1</v>
      </c>
      <c r="BE1684" s="277" t="s">
        <v>3452</v>
      </c>
      <c r="BF1684" s="277" t="s">
        <v>3757</v>
      </c>
      <c r="BG1684" s="277">
        <v>0</v>
      </c>
      <c r="BH1684" s="284">
        <v>0</v>
      </c>
      <c r="BI1684" s="177">
        <v>0</v>
      </c>
      <c r="BJ1684" s="277">
        <v>0</v>
      </c>
      <c r="BK1684" s="277">
        <v>0</v>
      </c>
      <c r="BL1684" s="277">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9">
        <v>69054001</v>
      </c>
      <c r="D1685" s="263" t="s">
        <v>1422</v>
      </c>
      <c r="E1685" s="263" t="s">
        <v>2154</v>
      </c>
      <c r="F1685" s="76">
        <v>1</v>
      </c>
      <c r="G1685" s="76">
        <v>63011101</v>
      </c>
      <c r="H1685" s="74">
        <v>0</v>
      </c>
      <c r="I1685" s="74">
        <v>0</v>
      </c>
      <c r="J1685" s="76">
        <v>1</v>
      </c>
      <c r="K1685" s="76">
        <v>0</v>
      </c>
      <c r="L1685" s="74">
        <v>0</v>
      </c>
      <c r="M1685" s="74">
        <v>0</v>
      </c>
      <c r="N1685" s="74" t="s">
        <v>3758</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6">
        <v>0</v>
      </c>
      <c r="AU1685" s="74">
        <v>0</v>
      </c>
      <c r="AV1685" s="74"/>
      <c r="AW1685" s="263">
        <v>0</v>
      </c>
      <c r="AX1685" s="74">
        <v>0</v>
      </c>
      <c r="AY1685" s="74">
        <v>0</v>
      </c>
      <c r="AZ1685" s="74">
        <v>0</v>
      </c>
      <c r="BA1685" s="14" t="s">
        <v>200</v>
      </c>
      <c r="BB1685" s="74">
        <v>0</v>
      </c>
      <c r="BC1685" s="268">
        <v>0</v>
      </c>
      <c r="BD1685" s="28">
        <v>1</v>
      </c>
      <c r="BE1685" s="263" t="s">
        <v>3759</v>
      </c>
      <c r="BF1685" s="263" t="s">
        <v>3760</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spans="3:75" ht="20.100000000000001" customHeight="1">
      <c r="C1686" s="19">
        <v>69054002</v>
      </c>
      <c r="D1686" s="263" t="s">
        <v>1429</v>
      </c>
      <c r="E1686" s="263" t="s">
        <v>1430</v>
      </c>
      <c r="F1686" s="76">
        <v>1</v>
      </c>
      <c r="G1686" s="76">
        <v>63011201</v>
      </c>
      <c r="H1686" s="74">
        <v>0</v>
      </c>
      <c r="I1686" s="74">
        <v>0</v>
      </c>
      <c r="J1686" s="76">
        <v>1</v>
      </c>
      <c r="K1686" s="76">
        <v>0</v>
      </c>
      <c r="L1686" s="74">
        <v>0</v>
      </c>
      <c r="M1686" s="74">
        <v>0</v>
      </c>
      <c r="N1686" s="74" t="s">
        <v>3761</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6">
        <v>0</v>
      </c>
      <c r="AU1686" s="74">
        <v>0</v>
      </c>
      <c r="AV1686" s="74"/>
      <c r="AW1686" s="263">
        <v>0</v>
      </c>
      <c r="AX1686" s="74">
        <v>0</v>
      </c>
      <c r="AY1686" s="74">
        <v>0</v>
      </c>
      <c r="AZ1686" s="74">
        <v>0</v>
      </c>
      <c r="BA1686" s="14" t="s">
        <v>200</v>
      </c>
      <c r="BB1686" s="74">
        <v>0</v>
      </c>
      <c r="BC1686" s="268">
        <v>0</v>
      </c>
      <c r="BD1686" s="28">
        <v>1</v>
      </c>
      <c r="BE1686" s="263" t="s">
        <v>3762</v>
      </c>
      <c r="BF1686" s="263" t="s">
        <v>3763</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spans="3:75" ht="20.100000000000001" customHeight="1">
      <c r="C1687" s="19">
        <v>69054003</v>
      </c>
      <c r="D1687" s="263" t="s">
        <v>2169</v>
      </c>
      <c r="E1687" s="263" t="s">
        <v>2170</v>
      </c>
      <c r="F1687" s="76">
        <v>1</v>
      </c>
      <c r="G1687" s="76">
        <v>63011301</v>
      </c>
      <c r="H1687" s="74">
        <v>0</v>
      </c>
      <c r="I1687" s="74">
        <v>0</v>
      </c>
      <c r="J1687" s="76">
        <v>1</v>
      </c>
      <c r="K1687" s="76">
        <v>0</v>
      </c>
      <c r="L1687" s="74">
        <v>0</v>
      </c>
      <c r="M1687" s="74">
        <v>0</v>
      </c>
      <c r="N1687" s="74" t="s">
        <v>3764</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6">
        <v>0</v>
      </c>
      <c r="AU1687" s="74">
        <v>0</v>
      </c>
      <c r="AV1687" s="74"/>
      <c r="AW1687" s="263">
        <v>0</v>
      </c>
      <c r="AX1687" s="74">
        <v>0</v>
      </c>
      <c r="AY1687" s="74">
        <v>0</v>
      </c>
      <c r="AZ1687" s="74">
        <v>0</v>
      </c>
      <c r="BA1687" s="14" t="s">
        <v>200</v>
      </c>
      <c r="BB1687" s="74">
        <v>0</v>
      </c>
      <c r="BC1687" s="268">
        <v>0</v>
      </c>
      <c r="BD1687" s="28">
        <v>1</v>
      </c>
      <c r="BE1687" s="263" t="s">
        <v>3765</v>
      </c>
      <c r="BF1687" s="263" t="s">
        <v>3766</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spans="3:75" ht="20.100000000000001" customHeight="1">
      <c r="C1688" s="19">
        <v>69054011</v>
      </c>
      <c r="D1688" s="263" t="s">
        <v>2228</v>
      </c>
      <c r="E1688" s="263" t="s">
        <v>2229</v>
      </c>
      <c r="F1688" s="76">
        <v>1</v>
      </c>
      <c r="G1688" s="76">
        <v>61021101</v>
      </c>
      <c r="H1688" s="74">
        <v>0</v>
      </c>
      <c r="I1688" s="74">
        <v>0</v>
      </c>
      <c r="J1688" s="76">
        <v>1</v>
      </c>
      <c r="K1688" s="76">
        <v>0</v>
      </c>
      <c r="L1688" s="74">
        <v>0</v>
      </c>
      <c r="M1688" s="74">
        <v>0</v>
      </c>
      <c r="N1688" s="74" t="s">
        <v>3767</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6">
        <v>0</v>
      </c>
      <c r="AU1688" s="74">
        <v>0</v>
      </c>
      <c r="AV1688" s="74"/>
      <c r="AW1688" s="263">
        <v>0</v>
      </c>
      <c r="AX1688" s="74">
        <v>0</v>
      </c>
      <c r="AY1688" s="74">
        <v>0</v>
      </c>
      <c r="AZ1688" s="74">
        <v>0</v>
      </c>
      <c r="BA1688" s="14" t="s">
        <v>200</v>
      </c>
      <c r="BB1688" s="74">
        <v>0</v>
      </c>
      <c r="BC1688" s="268">
        <v>0</v>
      </c>
      <c r="BD1688" s="28">
        <v>1</v>
      </c>
      <c r="BE1688" s="74" t="s">
        <v>3768</v>
      </c>
      <c r="BF1688" s="74" t="s">
        <v>3769</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spans="3:75" ht="20.100000000000001" customHeight="1">
      <c r="C1689" s="19">
        <v>69054012</v>
      </c>
      <c r="D1689" s="263" t="s">
        <v>2235</v>
      </c>
      <c r="E1689" s="263" t="s">
        <v>2236</v>
      </c>
      <c r="F1689" s="76">
        <v>1</v>
      </c>
      <c r="G1689" s="76">
        <v>63021301</v>
      </c>
      <c r="H1689" s="74">
        <v>0</v>
      </c>
      <c r="I1689" s="74">
        <v>0</v>
      </c>
      <c r="J1689" s="76">
        <v>1</v>
      </c>
      <c r="K1689" s="76">
        <v>0</v>
      </c>
      <c r="L1689" s="74">
        <v>0</v>
      </c>
      <c r="M1689" s="74">
        <v>0</v>
      </c>
      <c r="N1689" s="74" t="s">
        <v>3770</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6">
        <v>0</v>
      </c>
      <c r="AU1689" s="74">
        <v>0</v>
      </c>
      <c r="AV1689" s="74"/>
      <c r="AW1689" s="263">
        <v>0</v>
      </c>
      <c r="AX1689" s="74">
        <v>0</v>
      </c>
      <c r="AY1689" s="74">
        <v>0</v>
      </c>
      <c r="AZ1689" s="74">
        <v>0</v>
      </c>
      <c r="BA1689" s="14" t="s">
        <v>200</v>
      </c>
      <c r="BB1689" s="74">
        <v>0</v>
      </c>
      <c r="BC1689" s="268">
        <v>0</v>
      </c>
      <c r="BD1689" s="28">
        <v>1</v>
      </c>
      <c r="BE1689" s="74" t="s">
        <v>3771</v>
      </c>
      <c r="BF1689" s="74" t="s">
        <v>3772</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69054013</v>
      </c>
      <c r="D1690" s="263" t="s">
        <v>2242</v>
      </c>
      <c r="E1690" s="263" t="s">
        <v>2243</v>
      </c>
      <c r="F1690" s="76">
        <v>1</v>
      </c>
      <c r="G1690" s="76">
        <v>63021401</v>
      </c>
      <c r="H1690" s="74">
        <v>0</v>
      </c>
      <c r="I1690" s="74">
        <v>0</v>
      </c>
      <c r="J1690" s="76">
        <v>1</v>
      </c>
      <c r="K1690" s="76">
        <v>0</v>
      </c>
      <c r="L1690" s="74">
        <v>0</v>
      </c>
      <c r="M1690" s="74">
        <v>0</v>
      </c>
      <c r="N1690" s="74" t="s">
        <v>3773</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6">
        <v>0</v>
      </c>
      <c r="AU1690" s="74">
        <v>0</v>
      </c>
      <c r="AV1690" s="74"/>
      <c r="AW1690" s="263">
        <v>0</v>
      </c>
      <c r="AX1690" s="74">
        <v>0</v>
      </c>
      <c r="AY1690" s="74">
        <v>0</v>
      </c>
      <c r="AZ1690" s="74">
        <v>0</v>
      </c>
      <c r="BA1690" s="14" t="s">
        <v>200</v>
      </c>
      <c r="BB1690" s="74">
        <v>0</v>
      </c>
      <c r="BC1690" s="268">
        <v>0</v>
      </c>
      <c r="BD1690" s="28">
        <v>1</v>
      </c>
      <c r="BE1690" s="74" t="s">
        <v>3774</v>
      </c>
      <c r="BF1690" s="74" t="s">
        <v>3775</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69054014</v>
      </c>
      <c r="D1691" s="263" t="s">
        <v>2262</v>
      </c>
      <c r="E1691" s="263" t="s">
        <v>2263</v>
      </c>
      <c r="F1691" s="76">
        <v>1</v>
      </c>
      <c r="G1691" s="76">
        <v>63021501</v>
      </c>
      <c r="H1691" s="74">
        <v>0</v>
      </c>
      <c r="I1691" s="74">
        <v>0</v>
      </c>
      <c r="J1691" s="76">
        <v>1</v>
      </c>
      <c r="K1691" s="76">
        <v>0</v>
      </c>
      <c r="L1691" s="74">
        <v>0</v>
      </c>
      <c r="M1691" s="74">
        <v>0</v>
      </c>
      <c r="N1691" s="74" t="s">
        <v>3776</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6">
        <v>0</v>
      </c>
      <c r="AU1691" s="74">
        <v>0</v>
      </c>
      <c r="AV1691" s="74"/>
      <c r="AW1691" s="263">
        <v>0</v>
      </c>
      <c r="AX1691" s="74">
        <v>0</v>
      </c>
      <c r="AY1691" s="74">
        <v>0</v>
      </c>
      <c r="AZ1691" s="74">
        <v>0</v>
      </c>
      <c r="BA1691" s="14" t="s">
        <v>200</v>
      </c>
      <c r="BB1691" s="74">
        <v>0</v>
      </c>
      <c r="BC1691" s="268">
        <v>0</v>
      </c>
      <c r="BD1691" s="28">
        <v>1</v>
      </c>
      <c r="BE1691" s="74" t="s">
        <v>3777</v>
      </c>
      <c r="BF1691" s="74" t="s">
        <v>3778</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69054021</v>
      </c>
      <c r="D1692" s="263" t="s">
        <v>2277</v>
      </c>
      <c r="E1692" s="263" t="s">
        <v>2278</v>
      </c>
      <c r="F1692" s="76">
        <v>1</v>
      </c>
      <c r="G1692" s="76">
        <v>63022101</v>
      </c>
      <c r="H1692" s="74">
        <v>0</v>
      </c>
      <c r="I1692" s="74">
        <v>0</v>
      </c>
      <c r="J1692" s="76">
        <v>1</v>
      </c>
      <c r="K1692" s="76">
        <v>0</v>
      </c>
      <c r="L1692" s="74">
        <v>0</v>
      </c>
      <c r="M1692" s="74">
        <v>0</v>
      </c>
      <c r="N1692" s="74" t="s">
        <v>3779</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6">
        <v>0</v>
      </c>
      <c r="AU1692" s="74">
        <v>0</v>
      </c>
      <c r="AV1692" s="74"/>
      <c r="AW1692" s="263">
        <v>0</v>
      </c>
      <c r="AX1692" s="74">
        <v>0</v>
      </c>
      <c r="AY1692" s="74">
        <v>0</v>
      </c>
      <c r="AZ1692" s="74">
        <v>0</v>
      </c>
      <c r="BA1692" s="14" t="s">
        <v>200</v>
      </c>
      <c r="BB1692" s="74">
        <v>0</v>
      </c>
      <c r="BC1692" s="268">
        <v>0</v>
      </c>
      <c r="BD1692" s="28">
        <v>1</v>
      </c>
      <c r="BE1692" s="74" t="s">
        <v>3780</v>
      </c>
      <c r="BF1692" s="74" t="s">
        <v>3781</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69054022</v>
      </c>
      <c r="D1693" s="263" t="s">
        <v>2284</v>
      </c>
      <c r="E1693" s="263" t="s">
        <v>2285</v>
      </c>
      <c r="F1693" s="76">
        <v>1</v>
      </c>
      <c r="G1693" s="76">
        <v>63022201</v>
      </c>
      <c r="H1693" s="74">
        <v>0</v>
      </c>
      <c r="I1693" s="74">
        <v>0</v>
      </c>
      <c r="J1693" s="76">
        <v>1</v>
      </c>
      <c r="K1693" s="76">
        <v>0</v>
      </c>
      <c r="L1693" s="74">
        <v>0</v>
      </c>
      <c r="M1693" s="74">
        <v>0</v>
      </c>
      <c r="N1693" s="74" t="s">
        <v>3782</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6">
        <v>0</v>
      </c>
      <c r="AU1693" s="74">
        <v>0</v>
      </c>
      <c r="AV1693" s="74"/>
      <c r="AW1693" s="263">
        <v>0</v>
      </c>
      <c r="AX1693" s="74">
        <v>0</v>
      </c>
      <c r="AY1693" s="74">
        <v>0</v>
      </c>
      <c r="AZ1693" s="74">
        <v>0</v>
      </c>
      <c r="BA1693" s="14" t="s">
        <v>200</v>
      </c>
      <c r="BB1693" s="74">
        <v>0</v>
      </c>
      <c r="BC1693" s="268">
        <v>0</v>
      </c>
      <c r="BD1693" s="28">
        <v>1</v>
      </c>
      <c r="BE1693" s="74" t="s">
        <v>3783</v>
      </c>
      <c r="BF1693" s="74" t="s">
        <v>3784</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69054023</v>
      </c>
      <c r="D1694" s="263" t="s">
        <v>2293</v>
      </c>
      <c r="E1694" s="263" t="s">
        <v>2294</v>
      </c>
      <c r="F1694" s="76">
        <v>1</v>
      </c>
      <c r="G1694" s="76">
        <v>63022301</v>
      </c>
      <c r="H1694" s="74">
        <v>0</v>
      </c>
      <c r="I1694" s="74">
        <v>0</v>
      </c>
      <c r="J1694" s="76">
        <v>1</v>
      </c>
      <c r="K1694" s="76">
        <v>0</v>
      </c>
      <c r="L1694" s="74">
        <v>0</v>
      </c>
      <c r="M1694" s="74">
        <v>0</v>
      </c>
      <c r="N1694" s="74" t="s">
        <v>3785</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6">
        <v>0</v>
      </c>
      <c r="AU1694" s="74">
        <v>0</v>
      </c>
      <c r="AV1694" s="74"/>
      <c r="AW1694" s="263">
        <v>0</v>
      </c>
      <c r="AX1694" s="74">
        <v>0</v>
      </c>
      <c r="AY1694" s="74">
        <v>0</v>
      </c>
      <c r="AZ1694" s="74">
        <v>0</v>
      </c>
      <c r="BA1694" s="14" t="s">
        <v>200</v>
      </c>
      <c r="BB1694" s="74">
        <v>0</v>
      </c>
      <c r="BC1694" s="268">
        <v>0</v>
      </c>
      <c r="BD1694" s="28">
        <v>1</v>
      </c>
      <c r="BE1694" s="74" t="s">
        <v>3786</v>
      </c>
      <c r="BF1694" s="74" t="s">
        <v>3787</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69054024</v>
      </c>
      <c r="D1695" s="263" t="s">
        <v>2306</v>
      </c>
      <c r="E1695" s="263" t="s">
        <v>2307</v>
      </c>
      <c r="F1695" s="76">
        <v>1</v>
      </c>
      <c r="G1695" s="76">
        <v>63022401</v>
      </c>
      <c r="H1695" s="74">
        <v>0</v>
      </c>
      <c r="I1695" s="74">
        <v>0</v>
      </c>
      <c r="J1695" s="76">
        <v>1</v>
      </c>
      <c r="K1695" s="76">
        <v>0</v>
      </c>
      <c r="L1695" s="74">
        <v>0</v>
      </c>
      <c r="M1695" s="74">
        <v>0</v>
      </c>
      <c r="N1695" s="74" t="s">
        <v>3788</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6">
        <v>0</v>
      </c>
      <c r="AU1695" s="74">
        <v>0</v>
      </c>
      <c r="AV1695" s="74"/>
      <c r="AW1695" s="263">
        <v>0</v>
      </c>
      <c r="AX1695" s="74">
        <v>0</v>
      </c>
      <c r="AY1695" s="74">
        <v>0</v>
      </c>
      <c r="AZ1695" s="74">
        <v>0</v>
      </c>
      <c r="BA1695" s="14" t="s">
        <v>200</v>
      </c>
      <c r="BB1695" s="74">
        <v>0</v>
      </c>
      <c r="BC1695" s="268">
        <v>0</v>
      </c>
      <c r="BD1695" s="28">
        <v>1</v>
      </c>
      <c r="BE1695" s="74" t="s">
        <v>3789</v>
      </c>
      <c r="BF1695" s="74" t="s">
        <v>3790</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69054031</v>
      </c>
      <c r="D1696" s="263" t="s">
        <v>2329</v>
      </c>
      <c r="E1696" s="263" t="s">
        <v>2330</v>
      </c>
      <c r="F1696" s="76">
        <v>1</v>
      </c>
      <c r="G1696" s="76">
        <v>63021101</v>
      </c>
      <c r="H1696" s="74">
        <v>0</v>
      </c>
      <c r="I1696" s="74">
        <v>0</v>
      </c>
      <c r="J1696" s="76">
        <v>1</v>
      </c>
      <c r="K1696" s="76">
        <v>0</v>
      </c>
      <c r="L1696" s="74">
        <v>0</v>
      </c>
      <c r="M1696" s="74">
        <v>0</v>
      </c>
      <c r="N1696" s="74" t="s">
        <v>3791</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6">
        <v>0</v>
      </c>
      <c r="AU1696" s="74">
        <v>0</v>
      </c>
      <c r="AV1696" s="74"/>
      <c r="AW1696" s="263">
        <v>0</v>
      </c>
      <c r="AX1696" s="74">
        <v>0</v>
      </c>
      <c r="AY1696" s="74">
        <v>0</v>
      </c>
      <c r="AZ1696" s="74">
        <v>0</v>
      </c>
      <c r="BA1696" s="14" t="s">
        <v>200</v>
      </c>
      <c r="BB1696" s="74">
        <v>0</v>
      </c>
      <c r="BC1696" s="268">
        <v>0</v>
      </c>
      <c r="BD1696" s="28">
        <v>1</v>
      </c>
      <c r="BE1696" s="74" t="s">
        <v>3792</v>
      </c>
      <c r="BF1696" s="74" t="s">
        <v>3793</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69054032</v>
      </c>
      <c r="D1697" s="263" t="s">
        <v>2338</v>
      </c>
      <c r="E1697" s="263" t="s">
        <v>2339</v>
      </c>
      <c r="F1697" s="76">
        <v>1</v>
      </c>
      <c r="G1697" s="76">
        <v>63023201</v>
      </c>
      <c r="H1697" s="74">
        <v>0</v>
      </c>
      <c r="I1697" s="74">
        <v>0</v>
      </c>
      <c r="J1697" s="76">
        <v>1</v>
      </c>
      <c r="K1697" s="76">
        <v>0</v>
      </c>
      <c r="L1697" s="74">
        <v>0</v>
      </c>
      <c r="M1697" s="74">
        <v>0</v>
      </c>
      <c r="N1697" s="74" t="s">
        <v>3794</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6">
        <v>0</v>
      </c>
      <c r="AU1697" s="74">
        <v>0</v>
      </c>
      <c r="AV1697" s="74"/>
      <c r="AW1697" s="263">
        <v>0</v>
      </c>
      <c r="AX1697" s="74">
        <v>0</v>
      </c>
      <c r="AY1697" s="74">
        <v>0</v>
      </c>
      <c r="AZ1697" s="74">
        <v>0</v>
      </c>
      <c r="BA1697" s="14" t="s">
        <v>200</v>
      </c>
      <c r="BB1697" s="74">
        <v>0</v>
      </c>
      <c r="BC1697" s="268">
        <v>0</v>
      </c>
      <c r="BD1697" s="28">
        <v>1</v>
      </c>
      <c r="BE1697" s="74" t="s">
        <v>3795</v>
      </c>
      <c r="BF1697" s="74" t="s">
        <v>3796</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69054033</v>
      </c>
      <c r="D1698" s="263" t="s">
        <v>2340</v>
      </c>
      <c r="E1698" s="263" t="s">
        <v>2341</v>
      </c>
      <c r="F1698" s="76">
        <v>1</v>
      </c>
      <c r="G1698" s="76">
        <v>63023301</v>
      </c>
      <c r="H1698" s="74">
        <v>0</v>
      </c>
      <c r="I1698" s="74">
        <v>0</v>
      </c>
      <c r="J1698" s="76">
        <v>1</v>
      </c>
      <c r="K1698" s="76">
        <v>0</v>
      </c>
      <c r="L1698" s="74">
        <v>0</v>
      </c>
      <c r="M1698" s="74">
        <v>0</v>
      </c>
      <c r="N1698" s="74" t="s">
        <v>3797</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6">
        <v>0</v>
      </c>
      <c r="AU1698" s="74">
        <v>0</v>
      </c>
      <c r="AV1698" s="74"/>
      <c r="AW1698" s="263">
        <v>0</v>
      </c>
      <c r="AX1698" s="74">
        <v>0</v>
      </c>
      <c r="AY1698" s="74">
        <v>0</v>
      </c>
      <c r="AZ1698" s="74">
        <v>0</v>
      </c>
      <c r="BA1698" s="14" t="s">
        <v>200</v>
      </c>
      <c r="BB1698" s="74">
        <v>0</v>
      </c>
      <c r="BC1698" s="268">
        <v>0</v>
      </c>
      <c r="BD1698" s="28">
        <v>1</v>
      </c>
      <c r="BE1698" s="74" t="s">
        <v>3798</v>
      </c>
      <c r="BF1698" s="74" t="s">
        <v>3799</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69054034</v>
      </c>
      <c r="D1699" s="263" t="s">
        <v>2347</v>
      </c>
      <c r="E1699" s="263" t="s">
        <v>2348</v>
      </c>
      <c r="F1699" s="76">
        <v>1</v>
      </c>
      <c r="G1699" s="76">
        <v>63023401</v>
      </c>
      <c r="H1699" s="74">
        <v>0</v>
      </c>
      <c r="I1699" s="74">
        <v>0</v>
      </c>
      <c r="J1699" s="76">
        <v>1</v>
      </c>
      <c r="K1699" s="76">
        <v>0</v>
      </c>
      <c r="L1699" s="74">
        <v>0</v>
      </c>
      <c r="M1699" s="74">
        <v>0</v>
      </c>
      <c r="N1699" s="74" t="s">
        <v>3800</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6">
        <v>0</v>
      </c>
      <c r="AU1699" s="74">
        <v>0</v>
      </c>
      <c r="AV1699" s="74"/>
      <c r="AW1699" s="263">
        <v>0</v>
      </c>
      <c r="AX1699" s="74">
        <v>0</v>
      </c>
      <c r="AY1699" s="74">
        <v>0</v>
      </c>
      <c r="AZ1699" s="74">
        <v>0</v>
      </c>
      <c r="BA1699" s="14" t="s">
        <v>200</v>
      </c>
      <c r="BB1699" s="74">
        <v>0</v>
      </c>
      <c r="BC1699" s="268">
        <v>0</v>
      </c>
      <c r="BD1699" s="28">
        <v>1</v>
      </c>
      <c r="BE1699" s="74" t="s">
        <v>3801</v>
      </c>
      <c r="BF1699" s="74" t="s">
        <v>3802</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69060100</v>
      </c>
      <c r="D1700" s="20" t="s">
        <v>3803</v>
      </c>
      <c r="E1700" s="20" t="s">
        <v>3804</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3805</v>
      </c>
      <c r="BC1700" s="28">
        <v>0</v>
      </c>
      <c r="BD1700" s="28">
        <v>1</v>
      </c>
      <c r="BE1700" s="20" t="s">
        <v>3806</v>
      </c>
      <c r="BF1700" s="20" t="s">
        <v>3807</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69060101</v>
      </c>
      <c r="D1701" s="20" t="s">
        <v>3808</v>
      </c>
      <c r="E1701" s="20" t="s">
        <v>3809</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3810</v>
      </c>
      <c r="BC1701" s="28">
        <v>0</v>
      </c>
      <c r="BD1701" s="28">
        <v>1</v>
      </c>
      <c r="BE1701" s="20" t="s">
        <v>3811</v>
      </c>
      <c r="BF1701" s="20" t="s">
        <v>3812</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69060102</v>
      </c>
      <c r="D1702" s="20" t="s">
        <v>3813</v>
      </c>
      <c r="E1702" s="20" t="s">
        <v>3814</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3815</v>
      </c>
      <c r="BC1702" s="28">
        <v>0</v>
      </c>
      <c r="BD1702" s="28">
        <v>1</v>
      </c>
      <c r="BE1702" s="20" t="s">
        <v>3816</v>
      </c>
      <c r="BF1702" s="20" t="s">
        <v>3817</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69060103</v>
      </c>
      <c r="D1703" s="20" t="s">
        <v>3818</v>
      </c>
      <c r="E1703" s="20" t="s">
        <v>3819</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3820</v>
      </c>
      <c r="BC1703" s="28">
        <v>0</v>
      </c>
      <c r="BD1703" s="28">
        <v>1</v>
      </c>
      <c r="BE1703" s="20" t="s">
        <v>3821</v>
      </c>
      <c r="BF1703" s="20" t="s">
        <v>3822</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69060104</v>
      </c>
      <c r="D1704" s="20" t="s">
        <v>3823</v>
      </c>
      <c r="E1704" s="20" t="s">
        <v>3824</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3825</v>
      </c>
      <c r="BC1704" s="28">
        <v>0</v>
      </c>
      <c r="BD1704" s="28">
        <v>1</v>
      </c>
      <c r="BE1704" s="20" t="s">
        <v>3826</v>
      </c>
      <c r="BF1704" s="20" t="s">
        <v>3827</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69060105</v>
      </c>
      <c r="D1705" s="20" t="s">
        <v>3828</v>
      </c>
      <c r="E1705" s="20" t="s">
        <v>3829</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3830</v>
      </c>
      <c r="BC1705" s="28">
        <v>0</v>
      </c>
      <c r="BD1705" s="28">
        <v>1</v>
      </c>
      <c r="BE1705" s="20" t="s">
        <v>3831</v>
      </c>
      <c r="BF1705" s="20" t="s">
        <v>3832</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69060106</v>
      </c>
      <c r="D1706" s="20" t="s">
        <v>3833</v>
      </c>
      <c r="E1706" s="20" t="s">
        <v>3834</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3835</v>
      </c>
      <c r="BC1706" s="28">
        <v>0</v>
      </c>
      <c r="BD1706" s="28">
        <v>1</v>
      </c>
      <c r="BE1706" s="20" t="s">
        <v>3836</v>
      </c>
      <c r="BF1706" s="20" t="s">
        <v>3837</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69060107</v>
      </c>
      <c r="D1707" s="20" t="s">
        <v>3838</v>
      </c>
      <c r="E1707" s="20" t="s">
        <v>3839</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3840</v>
      </c>
      <c r="BC1707" s="28">
        <v>0</v>
      </c>
      <c r="BD1707" s="28">
        <v>1</v>
      </c>
      <c r="BE1707" s="20" t="s">
        <v>3841</v>
      </c>
      <c r="BF1707" s="20" t="s">
        <v>3842</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69060108</v>
      </c>
      <c r="D1708" s="20" t="s">
        <v>3843</v>
      </c>
      <c r="E1708" s="20" t="s">
        <v>3844</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3845</v>
      </c>
      <c r="BC1708" s="28">
        <v>0</v>
      </c>
      <c r="BD1708" s="28">
        <v>1</v>
      </c>
      <c r="BE1708" s="20" t="s">
        <v>3846</v>
      </c>
      <c r="BF1708" s="20" t="s">
        <v>3847</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69060109</v>
      </c>
      <c r="D1709" s="20" t="s">
        <v>3848</v>
      </c>
      <c r="E1709" s="20" t="s">
        <v>3849</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3850</v>
      </c>
      <c r="BC1709" s="28">
        <v>0</v>
      </c>
      <c r="BD1709" s="28">
        <v>1</v>
      </c>
      <c r="BE1709" s="20" t="s">
        <v>3851</v>
      </c>
      <c r="BF1709" s="20" t="s">
        <v>3852</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69060110</v>
      </c>
      <c r="D1710" s="20" t="s">
        <v>3853</v>
      </c>
      <c r="E1710" s="20" t="s">
        <v>3854</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3855</v>
      </c>
      <c r="BC1710" s="28">
        <v>0</v>
      </c>
      <c r="BD1710" s="28">
        <v>1</v>
      </c>
      <c r="BE1710" s="20" t="s">
        <v>3856</v>
      </c>
      <c r="BF1710" s="20" t="s">
        <v>3857</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69060200</v>
      </c>
      <c r="D1711" s="20" t="s">
        <v>3858</v>
      </c>
      <c r="E1711" s="20" t="s">
        <v>3859</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3860</v>
      </c>
      <c r="BC1711" s="28">
        <v>0</v>
      </c>
      <c r="BD1711" s="28">
        <v>1</v>
      </c>
      <c r="BE1711" s="20" t="s">
        <v>3806</v>
      </c>
      <c r="BF1711" s="20" t="s">
        <v>3807</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69060201</v>
      </c>
      <c r="D1712" s="20" t="s">
        <v>3861</v>
      </c>
      <c r="E1712" s="20" t="s">
        <v>3862</v>
      </c>
      <c r="F1712" s="19">
        <v>1</v>
      </c>
      <c r="G1712" s="19">
        <v>69060200</v>
      </c>
      <c r="H1712" s="19">
        <f t="shared" ref="H1712:H1720" si="141">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3863</v>
      </c>
      <c r="BC1712" s="28">
        <v>0</v>
      </c>
      <c r="BD1712" s="28">
        <v>1</v>
      </c>
      <c r="BE1712" s="20" t="s">
        <v>3864</v>
      </c>
      <c r="BF1712" s="20" t="s">
        <v>3865</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69060202</v>
      </c>
      <c r="D1713" s="20" t="s">
        <v>3866</v>
      </c>
      <c r="E1713" s="20" t="s">
        <v>3867</v>
      </c>
      <c r="F1713" s="19">
        <v>2</v>
      </c>
      <c r="G1713" s="19">
        <v>69060200</v>
      </c>
      <c r="H1713" s="19">
        <f t="shared" si="141"/>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3868</v>
      </c>
      <c r="BC1713" s="28">
        <v>0</v>
      </c>
      <c r="BD1713" s="28">
        <v>1</v>
      </c>
      <c r="BE1713" s="20" t="s">
        <v>3869</v>
      </c>
      <c r="BF1713" s="20" t="s">
        <v>3870</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69060203</v>
      </c>
      <c r="D1714" s="20" t="s">
        <v>3871</v>
      </c>
      <c r="E1714" s="20" t="s">
        <v>3872</v>
      </c>
      <c r="F1714" s="19">
        <v>3</v>
      </c>
      <c r="G1714" s="19">
        <v>69060200</v>
      </c>
      <c r="H1714" s="19">
        <f t="shared" si="141"/>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3873</v>
      </c>
      <c r="BC1714" s="28">
        <v>0</v>
      </c>
      <c r="BD1714" s="28">
        <v>1</v>
      </c>
      <c r="BE1714" s="20" t="s">
        <v>3874</v>
      </c>
      <c r="BF1714" s="20" t="s">
        <v>3875</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69060204</v>
      </c>
      <c r="D1715" s="20" t="s">
        <v>3876</v>
      </c>
      <c r="E1715" s="20" t="s">
        <v>3877</v>
      </c>
      <c r="F1715" s="19">
        <v>4</v>
      </c>
      <c r="G1715" s="19">
        <v>69060200</v>
      </c>
      <c r="H1715" s="19">
        <f t="shared" si="141"/>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3878</v>
      </c>
      <c r="BC1715" s="28">
        <v>0</v>
      </c>
      <c r="BD1715" s="28">
        <v>1</v>
      </c>
      <c r="BE1715" s="20" t="s">
        <v>3879</v>
      </c>
      <c r="BF1715" s="20" t="s">
        <v>3880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69060205</v>
      </c>
      <c r="D1716" s="20" t="s">
        <v>3881</v>
      </c>
      <c r="E1716" s="20" t="s">
        <v>3882</v>
      </c>
      <c r="F1716" s="19">
        <v>5</v>
      </c>
      <c r="G1716" s="19">
        <v>69060200</v>
      </c>
      <c r="H1716" s="19">
        <f t="shared" si="141"/>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3883</v>
      </c>
      <c r="BC1716" s="28">
        <v>0</v>
      </c>
      <c r="BD1716" s="28">
        <v>1</v>
      </c>
      <c r="BE1716" s="20" t="s">
        <v>3884</v>
      </c>
      <c r="BF1716" s="20" t="s">
        <v>3885</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69060206</v>
      </c>
      <c r="D1717" s="20" t="s">
        <v>3886</v>
      </c>
      <c r="E1717" s="20" t="s">
        <v>3887</v>
      </c>
      <c r="F1717" s="19">
        <v>6</v>
      </c>
      <c r="G1717" s="19">
        <v>69060200</v>
      </c>
      <c r="H1717" s="19">
        <f t="shared" si="141"/>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3888</v>
      </c>
      <c r="BC1717" s="28">
        <v>0</v>
      </c>
      <c r="BD1717" s="28">
        <v>1</v>
      </c>
      <c r="BE1717" s="20" t="s">
        <v>3889</v>
      </c>
      <c r="BF1717" s="20" t="s">
        <v>3890</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69060207</v>
      </c>
      <c r="D1718" s="20" t="s">
        <v>3891</v>
      </c>
      <c r="E1718" s="20" t="s">
        <v>3892</v>
      </c>
      <c r="F1718" s="19">
        <v>7</v>
      </c>
      <c r="G1718" s="19">
        <v>69060200</v>
      </c>
      <c r="H1718" s="19">
        <f t="shared" si="141"/>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3893</v>
      </c>
      <c r="BC1718" s="28">
        <v>0</v>
      </c>
      <c r="BD1718" s="28">
        <v>1</v>
      </c>
      <c r="BE1718" s="20" t="s">
        <v>3894</v>
      </c>
      <c r="BF1718" s="20" t="s">
        <v>3895</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69060208</v>
      </c>
      <c r="D1719" s="20" t="s">
        <v>3896</v>
      </c>
      <c r="E1719" s="20" t="s">
        <v>3897</v>
      </c>
      <c r="F1719" s="19">
        <v>8</v>
      </c>
      <c r="G1719" s="19">
        <v>69060200</v>
      </c>
      <c r="H1719" s="19">
        <f t="shared" si="141"/>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3898</v>
      </c>
      <c r="BC1719" s="28">
        <v>0</v>
      </c>
      <c r="BD1719" s="28">
        <v>1</v>
      </c>
      <c r="BE1719" s="20" t="s">
        <v>3899</v>
      </c>
      <c r="BF1719" s="20" t="s">
        <v>3900</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69060209</v>
      </c>
      <c r="D1720" s="20" t="s">
        <v>3901</v>
      </c>
      <c r="E1720" s="20" t="s">
        <v>3902</v>
      </c>
      <c r="F1720" s="19">
        <v>9</v>
      </c>
      <c r="G1720" s="19">
        <v>69060200</v>
      </c>
      <c r="H1720" s="19">
        <f t="shared" si="141"/>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3903</v>
      </c>
      <c r="BC1720" s="28">
        <v>0</v>
      </c>
      <c r="BD1720" s="28">
        <v>1</v>
      </c>
      <c r="BE1720" s="20" t="s">
        <v>3904</v>
      </c>
      <c r="BF1720" s="20" t="s">
        <v>3905</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69060210</v>
      </c>
      <c r="D1721" s="20" t="s">
        <v>3906</v>
      </c>
      <c r="E1721" s="20" t="s">
        <v>3907</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3908</v>
      </c>
      <c r="BC1721" s="28">
        <v>0</v>
      </c>
      <c r="BD1721" s="28">
        <v>1</v>
      </c>
      <c r="BE1721" s="20" t="s">
        <v>3909</v>
      </c>
      <c r="BF1721" s="20" t="s">
        <v>3910</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69060300</v>
      </c>
      <c r="D1722" s="20" t="s">
        <v>3911</v>
      </c>
      <c r="E1722" s="20" t="s">
        <v>3912</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3913</v>
      </c>
      <c r="BC1722" s="28">
        <v>0</v>
      </c>
      <c r="BD1722" s="28">
        <v>1</v>
      </c>
      <c r="BE1722" s="20" t="s">
        <v>3806</v>
      </c>
      <c r="BF1722" s="20" t="s">
        <v>3807</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69060301</v>
      </c>
      <c r="D1723" s="20" t="s">
        <v>3914</v>
      </c>
      <c r="E1723" s="20" t="s">
        <v>3915</v>
      </c>
      <c r="F1723" s="19">
        <v>1</v>
      </c>
      <c r="G1723" s="19">
        <v>69060300</v>
      </c>
      <c r="H1723" s="19">
        <f t="shared" ref="H1723:H1731" si="142">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3916</v>
      </c>
      <c r="BC1723" s="28">
        <v>0</v>
      </c>
      <c r="BD1723" s="28">
        <v>1</v>
      </c>
      <c r="BE1723" s="20" t="s">
        <v>3917</v>
      </c>
      <c r="BF1723" s="20" t="s">
        <v>3918</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69060302</v>
      </c>
      <c r="D1724" s="20" t="s">
        <v>3919</v>
      </c>
      <c r="E1724" s="20" t="s">
        <v>3920</v>
      </c>
      <c r="F1724" s="19">
        <v>2</v>
      </c>
      <c r="G1724" s="19">
        <v>69060300</v>
      </c>
      <c r="H1724" s="19">
        <f t="shared" si="142"/>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3921</v>
      </c>
      <c r="BC1724" s="28">
        <v>0</v>
      </c>
      <c r="BD1724" s="28">
        <v>1</v>
      </c>
      <c r="BE1724" s="20" t="s">
        <v>3922</v>
      </c>
      <c r="BF1724" s="20" t="s">
        <v>3923</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69060303</v>
      </c>
      <c r="D1725" s="20" t="s">
        <v>3924</v>
      </c>
      <c r="E1725" s="20" t="s">
        <v>3925</v>
      </c>
      <c r="F1725" s="19">
        <v>3</v>
      </c>
      <c r="G1725" s="19">
        <v>69060300</v>
      </c>
      <c r="H1725" s="19">
        <f t="shared" si="142"/>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3926</v>
      </c>
      <c r="BC1725" s="28">
        <v>0</v>
      </c>
      <c r="BD1725" s="28">
        <v>1</v>
      </c>
      <c r="BE1725" s="20" t="s">
        <v>3927</v>
      </c>
      <c r="BF1725" s="20" t="s">
        <v>3928</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69060304</v>
      </c>
      <c r="D1726" s="20" t="s">
        <v>3929</v>
      </c>
      <c r="E1726" s="20" t="s">
        <v>3930</v>
      </c>
      <c r="F1726" s="19">
        <v>4</v>
      </c>
      <c r="G1726" s="19">
        <v>69060300</v>
      </c>
      <c r="H1726" s="19">
        <f t="shared" si="142"/>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3931</v>
      </c>
      <c r="BC1726" s="28">
        <v>0</v>
      </c>
      <c r="BD1726" s="28">
        <v>1</v>
      </c>
      <c r="BE1726" s="20" t="s">
        <v>3932</v>
      </c>
      <c r="BF1726" s="20" t="s">
        <v>3933</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69060305</v>
      </c>
      <c r="D1727" s="20" t="s">
        <v>3934</v>
      </c>
      <c r="E1727" s="20" t="s">
        <v>3935</v>
      </c>
      <c r="F1727" s="19">
        <v>5</v>
      </c>
      <c r="G1727" s="19">
        <v>69060300</v>
      </c>
      <c r="H1727" s="19">
        <f t="shared" si="142"/>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3936</v>
      </c>
      <c r="BC1727" s="28">
        <v>0</v>
      </c>
      <c r="BD1727" s="28">
        <v>1</v>
      </c>
      <c r="BE1727" s="20" t="s">
        <v>3937</v>
      </c>
      <c r="BF1727" s="20" t="s">
        <v>3938</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69060306</v>
      </c>
      <c r="D1728" s="20" t="s">
        <v>3939</v>
      </c>
      <c r="E1728" s="20" t="s">
        <v>3940</v>
      </c>
      <c r="F1728" s="19">
        <v>6</v>
      </c>
      <c r="G1728" s="19">
        <v>69060300</v>
      </c>
      <c r="H1728" s="19">
        <f t="shared" si="142"/>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3941</v>
      </c>
      <c r="BC1728" s="28">
        <v>0</v>
      </c>
      <c r="BD1728" s="28">
        <v>1</v>
      </c>
      <c r="BE1728" s="20" t="s">
        <v>3942</v>
      </c>
      <c r="BF1728" s="20" t="s">
        <v>3943</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69060307</v>
      </c>
      <c r="D1729" s="20" t="s">
        <v>3944</v>
      </c>
      <c r="E1729" s="20" t="s">
        <v>3945</v>
      </c>
      <c r="F1729" s="19">
        <v>7</v>
      </c>
      <c r="G1729" s="19">
        <v>69060300</v>
      </c>
      <c r="H1729" s="19">
        <f t="shared" si="142"/>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3946</v>
      </c>
      <c r="BC1729" s="28">
        <v>0</v>
      </c>
      <c r="BD1729" s="28">
        <v>1</v>
      </c>
      <c r="BE1729" s="20" t="s">
        <v>3947</v>
      </c>
      <c r="BF1729" s="20" t="s">
        <v>3948</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69060308</v>
      </c>
      <c r="D1730" s="20" t="s">
        <v>3949</v>
      </c>
      <c r="E1730" s="20" t="s">
        <v>3950</v>
      </c>
      <c r="F1730" s="19">
        <v>8</v>
      </c>
      <c r="G1730" s="19">
        <v>69060300</v>
      </c>
      <c r="H1730" s="19">
        <f t="shared" si="142"/>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3951</v>
      </c>
      <c r="BC1730" s="28">
        <v>0</v>
      </c>
      <c r="BD1730" s="28">
        <v>1</v>
      </c>
      <c r="BE1730" s="20" t="s">
        <v>3952</v>
      </c>
      <c r="BF1730" s="20" t="s">
        <v>3953</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69060309</v>
      </c>
      <c r="D1731" s="20" t="s">
        <v>3954</v>
      </c>
      <c r="E1731" s="20" t="s">
        <v>3955</v>
      </c>
      <c r="F1731" s="19">
        <v>9</v>
      </c>
      <c r="G1731" s="19">
        <v>69060300</v>
      </c>
      <c r="H1731" s="19">
        <f t="shared" si="142"/>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3956</v>
      </c>
      <c r="BC1731" s="28">
        <v>0</v>
      </c>
      <c r="BD1731" s="28">
        <v>1</v>
      </c>
      <c r="BE1731" s="20" t="s">
        <v>3957</v>
      </c>
      <c r="BF1731" s="20" t="s">
        <v>3958</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69060310</v>
      </c>
      <c r="D1732" s="20" t="s">
        <v>3959</v>
      </c>
      <c r="E1732" s="20" t="s">
        <v>3960</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3961</v>
      </c>
      <c r="BC1732" s="28">
        <v>0</v>
      </c>
      <c r="BD1732" s="28">
        <v>1</v>
      </c>
      <c r="BE1732" s="20" t="s">
        <v>3962</v>
      </c>
      <c r="BF1732" s="20" t="s">
        <v>3963</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69060400</v>
      </c>
      <c r="D1733" s="20" t="s">
        <v>3964</v>
      </c>
      <c r="E1733" s="20" t="s">
        <v>3965</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3966</v>
      </c>
      <c r="BC1733" s="28">
        <v>0</v>
      </c>
      <c r="BD1733" s="28">
        <v>1</v>
      </c>
      <c r="BE1733" s="20" t="s">
        <v>3806</v>
      </c>
      <c r="BF1733" s="20" t="s">
        <v>3807</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69060401</v>
      </c>
      <c r="D1734" s="20" t="s">
        <v>3967</v>
      </c>
      <c r="E1734" s="20" t="s">
        <v>3968</v>
      </c>
      <c r="F1734" s="19">
        <v>1</v>
      </c>
      <c r="G1734" s="19">
        <v>69060400</v>
      </c>
      <c r="H1734" s="19">
        <f t="shared" ref="H1734:H1742" si="143">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3969</v>
      </c>
      <c r="BC1734" s="28">
        <v>0</v>
      </c>
      <c r="BD1734" s="28">
        <v>1</v>
      </c>
      <c r="BE1734" s="20" t="s">
        <v>3970</v>
      </c>
      <c r="BF1734" s="20" t="s">
        <v>3971</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69060402</v>
      </c>
      <c r="D1735" s="20" t="s">
        <v>3972</v>
      </c>
      <c r="E1735" s="20" t="s">
        <v>3973</v>
      </c>
      <c r="F1735" s="19">
        <v>2</v>
      </c>
      <c r="G1735" s="19">
        <v>69060400</v>
      </c>
      <c r="H1735" s="19">
        <f t="shared" si="143"/>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3974</v>
      </c>
      <c r="BC1735" s="28">
        <v>0</v>
      </c>
      <c r="BD1735" s="28">
        <v>1</v>
      </c>
      <c r="BE1735" s="20" t="s">
        <v>3975</v>
      </c>
      <c r="BF1735" s="20" t="s">
        <v>3976</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69060403</v>
      </c>
      <c r="D1736" s="20" t="s">
        <v>3977</v>
      </c>
      <c r="E1736" s="20" t="s">
        <v>3978</v>
      </c>
      <c r="F1736" s="19">
        <v>3</v>
      </c>
      <c r="G1736" s="19">
        <v>69060400</v>
      </c>
      <c r="H1736" s="19">
        <f t="shared" si="143"/>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3979</v>
      </c>
      <c r="BC1736" s="28">
        <v>0</v>
      </c>
      <c r="BD1736" s="28">
        <v>1</v>
      </c>
      <c r="BE1736" s="20" t="s">
        <v>3980</v>
      </c>
      <c r="BF1736" s="20" t="s">
        <v>3981</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69060404</v>
      </c>
      <c r="D1737" s="20" t="s">
        <v>3982</v>
      </c>
      <c r="E1737" s="20" t="s">
        <v>3983</v>
      </c>
      <c r="F1737" s="19">
        <v>4</v>
      </c>
      <c r="G1737" s="19">
        <v>69060400</v>
      </c>
      <c r="H1737" s="19">
        <f t="shared" si="143"/>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3984</v>
      </c>
      <c r="BC1737" s="28">
        <v>0</v>
      </c>
      <c r="BD1737" s="28">
        <v>1</v>
      </c>
      <c r="BE1737" s="20" t="s">
        <v>3985</v>
      </c>
      <c r="BF1737" s="20" t="s">
        <v>3986</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69060405</v>
      </c>
      <c r="D1738" s="20" t="s">
        <v>3987</v>
      </c>
      <c r="E1738" s="20" t="s">
        <v>3988</v>
      </c>
      <c r="F1738" s="19">
        <v>5</v>
      </c>
      <c r="G1738" s="19">
        <v>69060400</v>
      </c>
      <c r="H1738" s="19">
        <f t="shared" si="143"/>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3989</v>
      </c>
      <c r="BC1738" s="28">
        <v>0</v>
      </c>
      <c r="BD1738" s="28">
        <v>1</v>
      </c>
      <c r="BE1738" s="20" t="s">
        <v>3990</v>
      </c>
      <c r="BF1738" s="20" t="s">
        <v>3991</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69060406</v>
      </c>
      <c r="D1739" s="20" t="s">
        <v>3992</v>
      </c>
      <c r="E1739" s="20" t="s">
        <v>3993</v>
      </c>
      <c r="F1739" s="19">
        <v>6</v>
      </c>
      <c r="G1739" s="19">
        <v>69060400</v>
      </c>
      <c r="H1739" s="19">
        <f t="shared" si="143"/>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3994</v>
      </c>
      <c r="BC1739" s="28">
        <v>0</v>
      </c>
      <c r="BD1739" s="28">
        <v>1</v>
      </c>
      <c r="BE1739" s="20" t="s">
        <v>3995</v>
      </c>
      <c r="BF1739" s="20" t="s">
        <v>3996</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69060407</v>
      </c>
      <c r="D1740" s="20" t="s">
        <v>3997</v>
      </c>
      <c r="E1740" s="20" t="s">
        <v>3998</v>
      </c>
      <c r="F1740" s="19">
        <v>7</v>
      </c>
      <c r="G1740" s="19">
        <v>69060400</v>
      </c>
      <c r="H1740" s="19">
        <f t="shared" si="143"/>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3999</v>
      </c>
      <c r="BC1740" s="28">
        <v>0</v>
      </c>
      <c r="BD1740" s="28">
        <v>1</v>
      </c>
      <c r="BE1740" s="20" t="s">
        <v>4000</v>
      </c>
      <c r="BF1740" s="20" t="s">
        <v>4001</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69060408</v>
      </c>
      <c r="D1741" s="20" t="s">
        <v>4002</v>
      </c>
      <c r="E1741" s="20" t="s">
        <v>4003</v>
      </c>
      <c r="F1741" s="19">
        <v>8</v>
      </c>
      <c r="G1741" s="19">
        <v>69060400</v>
      </c>
      <c r="H1741" s="19">
        <f t="shared" si="143"/>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4004</v>
      </c>
      <c r="BC1741" s="28">
        <v>0</v>
      </c>
      <c r="BD1741" s="28">
        <v>1</v>
      </c>
      <c r="BE1741" s="20" t="s">
        <v>4005</v>
      </c>
      <c r="BF1741" s="20" t="s">
        <v>4006</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69060409</v>
      </c>
      <c r="D1742" s="20" t="s">
        <v>4007</v>
      </c>
      <c r="E1742" s="20" t="s">
        <v>4008</v>
      </c>
      <c r="F1742" s="19">
        <v>9</v>
      </c>
      <c r="G1742" s="19">
        <v>69060400</v>
      </c>
      <c r="H1742" s="19">
        <f t="shared" si="143"/>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4009</v>
      </c>
      <c r="BC1742" s="28">
        <v>0</v>
      </c>
      <c r="BD1742" s="28">
        <v>1</v>
      </c>
      <c r="BE1742" s="20" t="s">
        <v>4010</v>
      </c>
      <c r="BF1742" s="20" t="s">
        <v>4011</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69060410</v>
      </c>
      <c r="D1743" s="20" t="s">
        <v>4012</v>
      </c>
      <c r="E1743" s="20" t="s">
        <v>4013</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4014</v>
      </c>
      <c r="BC1743" s="28">
        <v>0</v>
      </c>
      <c r="BD1743" s="28">
        <v>1</v>
      </c>
      <c r="BE1743" s="20" t="s">
        <v>4015</v>
      </c>
      <c r="BF1743" s="20" t="s">
        <v>4016</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69060500</v>
      </c>
      <c r="D1744" s="20" t="s">
        <v>4017</v>
      </c>
      <c r="E1744" s="20" t="s">
        <v>4018</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4019</v>
      </c>
      <c r="BC1744" s="28">
        <v>0</v>
      </c>
      <c r="BD1744" s="28">
        <v>1</v>
      </c>
      <c r="BE1744" s="20" t="s">
        <v>3806</v>
      </c>
      <c r="BF1744" s="20" t="s">
        <v>3807</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69060501</v>
      </c>
      <c r="D1745" s="20" t="s">
        <v>4020</v>
      </c>
      <c r="E1745" s="20" t="s">
        <v>4021</v>
      </c>
      <c r="F1745" s="19">
        <v>1</v>
      </c>
      <c r="G1745" s="19">
        <v>69060500</v>
      </c>
      <c r="H1745" s="19">
        <f t="shared" ref="H1745:H1753" si="144">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4022</v>
      </c>
      <c r="BC1745" s="28">
        <v>0</v>
      </c>
      <c r="BD1745" s="28">
        <v>1</v>
      </c>
      <c r="BE1745" s="20" t="s">
        <v>4023</v>
      </c>
      <c r="BF1745" s="20" t="s">
        <v>4024</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69060502</v>
      </c>
      <c r="D1746" s="20" t="s">
        <v>4025</v>
      </c>
      <c r="E1746" s="20" t="s">
        <v>4026</v>
      </c>
      <c r="F1746" s="19">
        <v>2</v>
      </c>
      <c r="G1746" s="19">
        <v>69060500</v>
      </c>
      <c r="H1746" s="19">
        <f t="shared" si="144"/>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4027</v>
      </c>
      <c r="BC1746" s="28">
        <v>0</v>
      </c>
      <c r="BD1746" s="28">
        <v>1</v>
      </c>
      <c r="BE1746" s="20" t="s">
        <v>4028</v>
      </c>
      <c r="BF1746" s="20" t="s">
        <v>4029</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69060503</v>
      </c>
      <c r="D1747" s="20" t="s">
        <v>4030</v>
      </c>
      <c r="E1747" s="20" t="s">
        <v>4031</v>
      </c>
      <c r="F1747" s="19">
        <v>3</v>
      </c>
      <c r="G1747" s="19">
        <v>69060500</v>
      </c>
      <c r="H1747" s="19">
        <f t="shared" si="144"/>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4032</v>
      </c>
      <c r="BC1747" s="28">
        <v>0</v>
      </c>
      <c r="BD1747" s="28">
        <v>1</v>
      </c>
      <c r="BE1747" s="20" t="s">
        <v>4033</v>
      </c>
      <c r="BF1747" s="20" t="s">
        <v>4034</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69060504</v>
      </c>
      <c r="D1748" s="20" t="s">
        <v>4035</v>
      </c>
      <c r="E1748" s="20" t="s">
        <v>4036</v>
      </c>
      <c r="F1748" s="19">
        <v>4</v>
      </c>
      <c r="G1748" s="19">
        <v>69060500</v>
      </c>
      <c r="H1748" s="19">
        <f t="shared" si="144"/>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4037</v>
      </c>
      <c r="BC1748" s="28">
        <v>0</v>
      </c>
      <c r="BD1748" s="28">
        <v>1</v>
      </c>
      <c r="BE1748" s="20" t="s">
        <v>4038</v>
      </c>
      <c r="BF1748" s="20" t="s">
        <v>4039</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69060505</v>
      </c>
      <c r="D1749" s="20" t="s">
        <v>4040</v>
      </c>
      <c r="E1749" s="20" t="s">
        <v>4041</v>
      </c>
      <c r="F1749" s="19">
        <v>5</v>
      </c>
      <c r="G1749" s="19">
        <v>69060500</v>
      </c>
      <c r="H1749" s="19">
        <f t="shared" si="144"/>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4042</v>
      </c>
      <c r="BC1749" s="28">
        <v>0</v>
      </c>
      <c r="BD1749" s="28">
        <v>1</v>
      </c>
      <c r="BE1749" s="20" t="s">
        <v>4043</v>
      </c>
      <c r="BF1749" s="20" t="s">
        <v>4044</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69060506</v>
      </c>
      <c r="D1750" s="20" t="s">
        <v>4045</v>
      </c>
      <c r="E1750" s="20" t="s">
        <v>4046</v>
      </c>
      <c r="F1750" s="19">
        <v>6</v>
      </c>
      <c r="G1750" s="19">
        <v>69060500</v>
      </c>
      <c r="H1750" s="19">
        <f t="shared" si="144"/>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4047</v>
      </c>
      <c r="BC1750" s="28">
        <v>0</v>
      </c>
      <c r="BD1750" s="28">
        <v>1</v>
      </c>
      <c r="BE1750" s="20" t="s">
        <v>4048</v>
      </c>
      <c r="BF1750" s="20" t="s">
        <v>4049</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69060507</v>
      </c>
      <c r="D1751" s="20" t="s">
        <v>4050</v>
      </c>
      <c r="E1751" s="20" t="s">
        <v>4051</v>
      </c>
      <c r="F1751" s="19">
        <v>7</v>
      </c>
      <c r="G1751" s="19">
        <v>69060500</v>
      </c>
      <c r="H1751" s="19">
        <f t="shared" si="144"/>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4052</v>
      </c>
      <c r="BC1751" s="28">
        <v>0</v>
      </c>
      <c r="BD1751" s="28">
        <v>1</v>
      </c>
      <c r="BE1751" s="20" t="s">
        <v>4053</v>
      </c>
      <c r="BF1751" s="20" t="s">
        <v>4054</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69060508</v>
      </c>
      <c r="D1752" s="20" t="s">
        <v>4055</v>
      </c>
      <c r="E1752" s="20" t="s">
        <v>4056</v>
      </c>
      <c r="F1752" s="19">
        <v>8</v>
      </c>
      <c r="G1752" s="19">
        <v>69060500</v>
      </c>
      <c r="H1752" s="19">
        <f t="shared" si="144"/>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4057</v>
      </c>
      <c r="BC1752" s="28">
        <v>0</v>
      </c>
      <c r="BD1752" s="28">
        <v>1</v>
      </c>
      <c r="BE1752" s="20" t="s">
        <v>4058</v>
      </c>
      <c r="BF1752" s="20" t="s">
        <v>4059</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69060509</v>
      </c>
      <c r="D1753" s="20" t="s">
        <v>4060</v>
      </c>
      <c r="E1753" s="20" t="s">
        <v>4061</v>
      </c>
      <c r="F1753" s="19">
        <v>9</v>
      </c>
      <c r="G1753" s="19">
        <v>69060500</v>
      </c>
      <c r="H1753" s="19">
        <f t="shared" si="144"/>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4062</v>
      </c>
      <c r="BC1753" s="28">
        <v>0</v>
      </c>
      <c r="BD1753" s="28">
        <v>1</v>
      </c>
      <c r="BE1753" s="20" t="s">
        <v>4063</v>
      </c>
      <c r="BF1753" s="20" t="s">
        <v>4064</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69060510</v>
      </c>
      <c r="D1754" s="20" t="s">
        <v>4065</v>
      </c>
      <c r="E1754" s="20" t="s">
        <v>4066</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4067</v>
      </c>
      <c r="BC1754" s="28">
        <v>0</v>
      </c>
      <c r="BD1754" s="28">
        <v>1</v>
      </c>
      <c r="BE1754" s="20" t="s">
        <v>4068</v>
      </c>
      <c r="BF1754" s="20" t="s">
        <v>4069</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69060600</v>
      </c>
      <c r="D1755" s="20" t="s">
        <v>4070</v>
      </c>
      <c r="E1755" s="20" t="s">
        <v>4071</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4072</v>
      </c>
      <c r="BC1755" s="28">
        <v>0</v>
      </c>
      <c r="BD1755" s="28">
        <v>1</v>
      </c>
      <c r="BE1755" s="20" t="s">
        <v>3806</v>
      </c>
      <c r="BF1755" s="20" t="s">
        <v>3807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69060601</v>
      </c>
      <c r="D1756" s="20" t="s">
        <v>4073</v>
      </c>
      <c r="E1756" s="20" t="s">
        <v>4074</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3178</v>
      </c>
      <c r="BC1756" s="28">
        <v>0</v>
      </c>
      <c r="BD1756" s="28">
        <v>1</v>
      </c>
      <c r="BE1756" s="20" t="s">
        <v>4075</v>
      </c>
      <c r="BF1756" s="20" t="s">
        <v>4076</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69060602</v>
      </c>
      <c r="D1757" s="20" t="s">
        <v>4077</v>
      </c>
      <c r="E1757" s="20" t="s">
        <v>4078</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4079</v>
      </c>
      <c r="BC1757" s="28">
        <v>0</v>
      </c>
      <c r="BD1757" s="28">
        <v>1</v>
      </c>
      <c r="BE1757" s="20" t="s">
        <v>4080</v>
      </c>
      <c r="BF1757" s="20" t="s">
        <v>4081</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69060700</v>
      </c>
      <c r="D1758" s="20" t="s">
        <v>4082</v>
      </c>
      <c r="E1758" s="20" t="s">
        <v>4083</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4072</v>
      </c>
      <c r="BC1758" s="28">
        <v>0</v>
      </c>
      <c r="BD1758" s="28">
        <v>1</v>
      </c>
      <c r="BE1758" s="20" t="s">
        <v>3806</v>
      </c>
      <c r="BF1758" s="20" t="s">
        <v>3807</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69060701</v>
      </c>
      <c r="D1759" s="20" t="s">
        <v>4084</v>
      </c>
      <c r="E1759" s="20" t="s">
        <v>4085</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3178</v>
      </c>
      <c r="BC1759" s="28">
        <v>0</v>
      </c>
      <c r="BD1759" s="28">
        <v>1</v>
      </c>
      <c r="BE1759" s="20" t="s">
        <v>4086</v>
      </c>
      <c r="BF1759" s="20" t="s">
        <v>4087</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69060702</v>
      </c>
      <c r="D1760" s="20" t="s">
        <v>4088</v>
      </c>
      <c r="E1760" s="20" t="s">
        <v>4089</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4079</v>
      </c>
      <c r="BC1760" s="28">
        <v>0</v>
      </c>
      <c r="BD1760" s="28">
        <v>1</v>
      </c>
      <c r="BE1760" s="20" t="s">
        <v>4090</v>
      </c>
      <c r="BF1760" s="20" t="s">
        <v>4091</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69060800</v>
      </c>
      <c r="D1761" s="236" t="s">
        <v>4092</v>
      </c>
      <c r="E1761" s="236" t="s">
        <v>4093</v>
      </c>
      <c r="F1761" s="237">
        <v>1</v>
      </c>
      <c r="G1761" s="19">
        <v>69060800</v>
      </c>
      <c r="H1761" s="19">
        <v>69060801</v>
      </c>
      <c r="I1761" s="237">
        <v>0</v>
      </c>
      <c r="J1761" s="19">
        <v>20</v>
      </c>
      <c r="K1761" s="237">
        <v>3</v>
      </c>
      <c r="L1761" s="237">
        <v>0</v>
      </c>
      <c r="M1761" s="237">
        <v>0</v>
      </c>
      <c r="N1761" s="237">
        <v>0</v>
      </c>
      <c r="O1761" s="237">
        <v>2</v>
      </c>
      <c r="P1761" s="237">
        <v>0</v>
      </c>
      <c r="Q1761" s="237">
        <v>0</v>
      </c>
      <c r="R1761" s="237">
        <v>0</v>
      </c>
      <c r="S1761" s="237">
        <v>0</v>
      </c>
      <c r="T1761" s="237">
        <v>0</v>
      </c>
      <c r="U1761" s="237">
        <v>1</v>
      </c>
      <c r="V1761" s="237">
        <v>2</v>
      </c>
      <c r="W1761" s="237">
        <v>0</v>
      </c>
      <c r="X1761" s="237">
        <v>0</v>
      </c>
      <c r="Y1761" s="13">
        <v>0</v>
      </c>
      <c r="Z1761" s="237">
        <v>0</v>
      </c>
      <c r="AA1761" s="237">
        <v>0</v>
      </c>
      <c r="AB1761" s="237">
        <v>0</v>
      </c>
      <c r="AC1761" s="237">
        <v>0</v>
      </c>
      <c r="AD1761" s="237">
        <v>1</v>
      </c>
      <c r="AE1761" s="237">
        <v>0</v>
      </c>
      <c r="AF1761" s="237">
        <v>20</v>
      </c>
      <c r="AG1761" s="237">
        <v>0</v>
      </c>
      <c r="AH1761" s="237">
        <v>0</v>
      </c>
      <c r="AI1761" s="237">
        <v>2</v>
      </c>
      <c r="AJ1761" s="237">
        <v>0</v>
      </c>
      <c r="AK1761" s="237">
        <v>0</v>
      </c>
      <c r="AL1761" s="237">
        <v>0</v>
      </c>
      <c r="AM1761" s="237">
        <v>0</v>
      </c>
      <c r="AN1761" s="237">
        <v>0</v>
      </c>
      <c r="AO1761" s="237">
        <v>0</v>
      </c>
      <c r="AP1761" s="237">
        <v>0</v>
      </c>
      <c r="AQ1761" s="237">
        <v>1000</v>
      </c>
      <c r="AR1761" s="237">
        <v>0</v>
      </c>
      <c r="AS1761" s="237">
        <v>0</v>
      </c>
      <c r="AT1761" s="237"/>
      <c r="AU1761" s="237" t="s">
        <v>198</v>
      </c>
      <c r="AV1761" s="237"/>
      <c r="AW1761" s="236" t="s">
        <v>199</v>
      </c>
      <c r="AX1761" s="237">
        <v>0</v>
      </c>
      <c r="AY1761" s="237">
        <v>0</v>
      </c>
      <c r="AZ1761" s="237">
        <v>0</v>
      </c>
      <c r="BA1761" s="236" t="s">
        <v>200</v>
      </c>
      <c r="BB1761" s="237" t="s">
        <v>198</v>
      </c>
      <c r="BC1761" s="237">
        <v>0</v>
      </c>
      <c r="BD1761" s="237">
        <v>1</v>
      </c>
      <c r="BE1761" s="20" t="s">
        <v>3806</v>
      </c>
      <c r="BF1761" s="20" t="s">
        <v>3807</v>
      </c>
      <c r="BG1761" s="237">
        <v>0</v>
      </c>
      <c r="BH1761" s="237">
        <v>0</v>
      </c>
      <c r="BI1761" s="237">
        <v>0</v>
      </c>
      <c r="BJ1761" s="237">
        <v>0</v>
      </c>
      <c r="BK1761" s="237">
        <v>0</v>
      </c>
      <c r="BL1761" s="237">
        <v>0</v>
      </c>
      <c r="BM1761" s="244">
        <v>0</v>
      </c>
      <c r="BN1761" s="237">
        <v>1</v>
      </c>
      <c r="BO1761" s="13">
        <v>0</v>
      </c>
      <c r="BP1761" s="13">
        <v>0</v>
      </c>
      <c r="BQ1761" s="13">
        <v>0</v>
      </c>
      <c r="BR1761" s="13">
        <v>0</v>
      </c>
      <c r="BS1761" s="13">
        <v>0</v>
      </c>
      <c r="BT1761" s="13">
        <v>0</v>
      </c>
      <c r="BU1761" s="49">
        <v>0</v>
      </c>
      <c r="BV1761" s="49"/>
      <c r="BW1761" s="49"/>
    </row>
    <row r="1762" spans="3:75" ht="20.100000000000001" customHeight="1">
      <c r="C1762" s="19">
        <v>69060801</v>
      </c>
      <c r="D1762" s="236" t="s">
        <v>4092</v>
      </c>
      <c r="E1762" s="236" t="s">
        <v>4093</v>
      </c>
      <c r="F1762" s="237">
        <v>1</v>
      </c>
      <c r="G1762" s="19">
        <v>69060800</v>
      </c>
      <c r="H1762" s="237">
        <v>0</v>
      </c>
      <c r="I1762" s="237">
        <v>0</v>
      </c>
      <c r="J1762" s="19">
        <v>20</v>
      </c>
      <c r="K1762" s="237">
        <v>3</v>
      </c>
      <c r="L1762" s="237">
        <v>0</v>
      </c>
      <c r="M1762" s="237">
        <v>0</v>
      </c>
      <c r="N1762" s="237">
        <v>0</v>
      </c>
      <c r="O1762" s="237">
        <v>2</v>
      </c>
      <c r="P1762" s="237">
        <v>13</v>
      </c>
      <c r="Q1762" s="237">
        <v>0.25</v>
      </c>
      <c r="R1762" s="237">
        <v>0</v>
      </c>
      <c r="S1762" s="237">
        <v>0</v>
      </c>
      <c r="T1762" s="237">
        <v>0</v>
      </c>
      <c r="U1762" s="237">
        <v>1</v>
      </c>
      <c r="V1762" s="237">
        <v>2</v>
      </c>
      <c r="W1762" s="237">
        <v>0</v>
      </c>
      <c r="X1762" s="237">
        <v>0</v>
      </c>
      <c r="Y1762" s="13">
        <v>0</v>
      </c>
      <c r="Z1762" s="237">
        <v>0</v>
      </c>
      <c r="AA1762" s="237">
        <v>0</v>
      </c>
      <c r="AB1762" s="237">
        <v>0</v>
      </c>
      <c r="AC1762" s="237">
        <v>0</v>
      </c>
      <c r="AD1762" s="237">
        <v>1</v>
      </c>
      <c r="AE1762" s="237">
        <v>0</v>
      </c>
      <c r="AF1762" s="237">
        <v>20</v>
      </c>
      <c r="AG1762" s="237">
        <v>0</v>
      </c>
      <c r="AH1762" s="237">
        <v>0</v>
      </c>
      <c r="AI1762" s="237">
        <v>2</v>
      </c>
      <c r="AJ1762" s="237">
        <v>0</v>
      </c>
      <c r="AK1762" s="237">
        <v>0</v>
      </c>
      <c r="AL1762" s="237">
        <v>0</v>
      </c>
      <c r="AM1762" s="237">
        <v>0</v>
      </c>
      <c r="AN1762" s="237">
        <v>0</v>
      </c>
      <c r="AO1762" s="237">
        <v>0</v>
      </c>
      <c r="AP1762" s="237">
        <v>0</v>
      </c>
      <c r="AQ1762" s="237">
        <v>1000</v>
      </c>
      <c r="AR1762" s="237">
        <v>0</v>
      </c>
      <c r="AS1762" s="237">
        <v>0</v>
      </c>
      <c r="AT1762" s="237">
        <v>80001031</v>
      </c>
      <c r="AU1762" s="237" t="s">
        <v>198</v>
      </c>
      <c r="AV1762" s="237"/>
      <c r="AW1762" s="236" t="s">
        <v>199</v>
      </c>
      <c r="AX1762" s="237" t="s">
        <v>1816</v>
      </c>
      <c r="AY1762" s="237">
        <v>0</v>
      </c>
      <c r="AZ1762" s="237">
        <v>40000003</v>
      </c>
      <c r="BA1762" s="236" t="s">
        <v>200</v>
      </c>
      <c r="BB1762" s="237" t="s">
        <v>198</v>
      </c>
      <c r="BC1762" s="237">
        <v>0</v>
      </c>
      <c r="BD1762" s="237">
        <v>1</v>
      </c>
      <c r="BE1762" s="236" t="s">
        <v>4094</v>
      </c>
      <c r="BF1762" s="236" t="s">
        <v>4095</v>
      </c>
      <c r="BG1762" s="237">
        <v>0</v>
      </c>
      <c r="BH1762" s="237">
        <v>0</v>
      </c>
      <c r="BI1762" s="237">
        <v>0</v>
      </c>
      <c r="BJ1762" s="237">
        <v>0</v>
      </c>
      <c r="BK1762" s="237">
        <v>0</v>
      </c>
      <c r="BL1762" s="237">
        <v>0</v>
      </c>
      <c r="BM1762" s="244">
        <v>0</v>
      </c>
      <c r="BN1762" s="237">
        <v>1</v>
      </c>
      <c r="BO1762" s="13">
        <v>0</v>
      </c>
      <c r="BP1762" s="13">
        <v>0</v>
      </c>
      <c r="BQ1762" s="13">
        <v>0</v>
      </c>
      <c r="BR1762" s="13">
        <v>0</v>
      </c>
      <c r="BS1762" s="13">
        <v>0</v>
      </c>
      <c r="BT1762" s="13">
        <v>0</v>
      </c>
      <c r="BU1762" s="49">
        <v>0</v>
      </c>
      <c r="BV1762" s="49"/>
      <c r="BW1762" s="49"/>
    </row>
    <row r="1763" spans="3:75" ht="20.100000000000001" customHeight="1">
      <c r="C1763" s="19">
        <v>70000001</v>
      </c>
      <c r="D1763" s="20" t="s">
        <v>4096</v>
      </c>
      <c r="E1763" s="20" t="s">
        <v>4097</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66">
        <v>70000002</v>
      </c>
      <c r="D1764" s="65" t="s">
        <v>4098</v>
      </c>
      <c r="E1764" s="65" t="s">
        <v>4099</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spans="3:75" ht="20.100000000000001" customHeight="1">
      <c r="C1765" s="66">
        <v>70000003</v>
      </c>
      <c r="D1765" s="65" t="s">
        <v>4100</v>
      </c>
      <c r="E1765" s="65" t="s">
        <v>4101</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spans="3:75" ht="20.100000000000001" customHeight="1">
      <c r="C1766" s="66">
        <v>70000004</v>
      </c>
      <c r="D1766" s="65" t="s">
        <v>4102</v>
      </c>
      <c r="E1766" s="65" t="s">
        <v>4103</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spans="3:75" ht="20.100000000000001" customHeight="1">
      <c r="C1767" s="66">
        <v>70000005</v>
      </c>
      <c r="D1767" s="20" t="s">
        <v>4104</v>
      </c>
      <c r="E1767" s="20" t="s">
        <v>4105</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spans="3:75" ht="20.100000000000001" customHeight="1">
      <c r="C1768" s="66">
        <v>70000006</v>
      </c>
      <c r="D1768" s="65" t="s">
        <v>4098</v>
      </c>
      <c r="E1768" s="65" t="s">
        <v>4099</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70000007</v>
      </c>
      <c r="D1769" s="65" t="s">
        <v>4106</v>
      </c>
      <c r="E1769" s="65" t="s">
        <v>4107</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spans="3:75" ht="20.100000000000001" customHeight="1">
      <c r="C1770" s="66">
        <v>70000008</v>
      </c>
      <c r="D1770" s="65" t="s">
        <v>4108</v>
      </c>
      <c r="E1770" s="65" t="s">
        <v>4109</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19">
        <v>70000011</v>
      </c>
      <c r="D1771" s="20" t="s">
        <v>4110</v>
      </c>
      <c r="E1771" s="20" t="s">
        <v>4111</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spans="3:75" ht="20.100000000000001" customHeight="1">
      <c r="C1772" s="66">
        <v>70000012</v>
      </c>
      <c r="D1772" s="65" t="s">
        <v>4112</v>
      </c>
      <c r="E1772" s="65" t="s">
        <v>4113</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19">
        <v>70000101</v>
      </c>
      <c r="D1773" s="20" t="s">
        <v>4096</v>
      </c>
      <c r="E1773" s="20" t="s">
        <v>4097</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spans="3:75" ht="20.100000000000001" customHeight="1">
      <c r="C1774" s="19">
        <v>70000102</v>
      </c>
      <c r="D1774" s="20" t="s">
        <v>4096</v>
      </c>
      <c r="E1774" s="20" t="s">
        <v>4097</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spans="3:75" ht="20.100000000000001" customHeight="1">
      <c r="C1775" s="19">
        <v>70000103</v>
      </c>
      <c r="D1775" s="20" t="s">
        <v>4096</v>
      </c>
      <c r="E1775" s="20" t="s">
        <v>4097</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19">
        <v>70000104</v>
      </c>
      <c r="D1776" s="20" t="s">
        <v>4096</v>
      </c>
      <c r="E1776" s="20" t="s">
        <v>4097</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spans="3:75" ht="20.100000000000001" customHeight="1">
      <c r="C1777" s="19">
        <v>70000105</v>
      </c>
      <c r="D1777" s="20" t="s">
        <v>4096</v>
      </c>
      <c r="E1777" s="20" t="s">
        <v>4097</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70000106</v>
      </c>
      <c r="D1778" s="20" t="s">
        <v>4096</v>
      </c>
      <c r="E1778" s="20" t="s">
        <v>4097</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70000107</v>
      </c>
      <c r="D1779" s="20" t="s">
        <v>4096</v>
      </c>
      <c r="E1779" s="20" t="s">
        <v>4097</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70000108</v>
      </c>
      <c r="D1780" s="20" t="s">
        <v>4096</v>
      </c>
      <c r="E1780" s="20" t="s">
        <v>4097</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70000109</v>
      </c>
      <c r="D1781" s="20" t="s">
        <v>4096</v>
      </c>
      <c r="E1781" s="20" t="s">
        <v>4097</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70000110</v>
      </c>
      <c r="D1782" s="20" t="s">
        <v>4096</v>
      </c>
      <c r="E1782" s="20" t="s">
        <v>4097</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19.5" customHeight="1">
      <c r="C1783" s="19">
        <v>70000111</v>
      </c>
      <c r="D1783" s="20" t="s">
        <v>4096</v>
      </c>
      <c r="E1783" s="20" t="s">
        <v>4097</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4114</v>
      </c>
      <c r="BC1785" s="28">
        <v>0</v>
      </c>
      <c r="BD1785" s="28">
        <v>0</v>
      </c>
      <c r="BE1785" s="46" t="s">
        <v>4115</v>
      </c>
      <c r="BF1785" s="46" t="s">
        <v>4116</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spans="3:75" ht="21.75" customHeight="1">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4117</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spans="3:75" ht="20.100000000000001" customHeight="1">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1.1000000000000001</v>
      </c>
      <c r="AQ1788" s="17">
        <v>3000</v>
      </c>
      <c r="AR1788" s="17">
        <v>1.1000000000000001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spans="3:75" ht="20.100000000000001" customHeight="1">
      <c r="C1790" s="19">
        <v>70103003</v>
      </c>
      <c r="D1790" s="18" t="s">
        <v>2880</v>
      </c>
      <c r="E1790" s="18" t="s">
        <v>2881</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2882</v>
      </c>
      <c r="BC1790" s="28">
        <v>0</v>
      </c>
      <c r="BD1790" s="28">
        <v>0</v>
      </c>
      <c r="BE1790" s="46" t="s">
        <v>2883</v>
      </c>
      <c r="BF1790" s="46" t="s">
        <v>2884</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4118</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4119</v>
      </c>
      <c r="BC1793" s="28">
        <v>0</v>
      </c>
      <c r="BD1793" s="28">
        <v>0</v>
      </c>
      <c r="BE1793" s="46" t="s">
        <v>4120</v>
      </c>
      <c r="BF1793" s="46" t="s">
        <v>4121</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4122</v>
      </c>
      <c r="BC1794" s="28">
        <v>0</v>
      </c>
      <c r="BD1794" s="28">
        <v>0</v>
      </c>
      <c r="BE1794" s="46" t="s">
        <v>4123</v>
      </c>
      <c r="BF1794" s="46" t="s">
        <v>4124</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70105003</v>
      </c>
      <c r="D1796" s="18" t="s">
        <v>4125</v>
      </c>
      <c r="E1796" s="18" t="s">
        <v>4126</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4127</v>
      </c>
      <c r="BC1796" s="28">
        <v>0</v>
      </c>
      <c r="BD1796" s="28">
        <v>0</v>
      </c>
      <c r="BE1796" s="46" t="s">
        <v>4128</v>
      </c>
      <c r="BF1796" s="46" t="s">
        <v>4129</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4130</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spans="3:75" ht="19.5" customHeight="1">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spans="3:75" ht="19.5" customHeight="1">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20.100000000000001" customHeight="1">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4131</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4132</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spans="3:75" ht="19.5" customHeight="1">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spans="3:75" ht="20.100000000000001" customHeight="1">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70107006</v>
      </c>
      <c r="D1808" s="18" t="s">
        <v>4125</v>
      </c>
      <c r="E1808" s="18" t="s">
        <v>4126</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4133</v>
      </c>
      <c r="BC1808" s="28">
        <v>0</v>
      </c>
      <c r="BD1808" s="28">
        <v>0</v>
      </c>
      <c r="BE1808" s="46" t="s">
        <v>4134</v>
      </c>
      <c r="BF1808" s="46" t="s">
        <v>4135</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4136</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70201003</v>
      </c>
      <c r="D1811" s="18" t="s">
        <v>4137</v>
      </c>
      <c r="E1811" s="18" t="s">
        <v>4138</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4139</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4140</v>
      </c>
      <c r="BF1811" s="46" t="s">
        <v>4141</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70201004</v>
      </c>
      <c r="D1812" s="20" t="s">
        <v>4142</v>
      </c>
      <c r="E1812" s="20" t="s">
        <v>4143</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spans="3:75" ht="19.5" customHeight="1">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4144</v>
      </c>
      <c r="BC1814" s="28">
        <v>0</v>
      </c>
      <c r="BD1814" s="28">
        <v>0</v>
      </c>
      <c r="BE1814" s="46" t="s">
        <v>4145</v>
      </c>
      <c r="BF1814" s="46" t="s">
        <v>4146</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2889</v>
      </c>
      <c r="BF1815" s="89" t="s">
        <v>2890</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spans="3:75" ht="19.5" customHeight="1">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48" t="s">
        <v>1019</v>
      </c>
      <c r="AV1816" s="13"/>
      <c r="AW1816" s="20" t="s">
        <v>287</v>
      </c>
      <c r="AX1816" s="17" t="s">
        <v>534</v>
      </c>
      <c r="AY1816" s="19">
        <v>10000007</v>
      </c>
      <c r="AZ1816" s="19">
        <v>70202004</v>
      </c>
      <c r="BA1816" s="20" t="s">
        <v>315</v>
      </c>
      <c r="BB1816" s="20" t="s">
        <v>371</v>
      </c>
      <c r="BC1816" s="28">
        <v>0</v>
      </c>
      <c r="BD1816" s="28">
        <v>0</v>
      </c>
      <c r="BE1816" s="46" t="s">
        <v>4147</v>
      </c>
      <c r="BF1816" s="46" t="s">
        <v>4148</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spans="3:75" ht="19.5" customHeight="1">
      <c r="C1817" s="19">
        <v>70203001</v>
      </c>
      <c r="D1817" s="18" t="s">
        <v>4149</v>
      </c>
      <c r="E1817" s="18" t="s">
        <v>4150</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4151</v>
      </c>
      <c r="BF1817" s="46" t="s">
        <v>4152</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70203003</v>
      </c>
      <c r="D1819" s="18" t="s">
        <v>4153</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4154</v>
      </c>
      <c r="BC1819" s="28">
        <v>0</v>
      </c>
      <c r="BD1819" s="28">
        <v>0</v>
      </c>
      <c r="BE1819" s="46" t="s">
        <v>4155</v>
      </c>
      <c r="BF1819" s="46" t="s">
        <v>4156</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spans="3:75" ht="19.5" customHeight="1">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4157</v>
      </c>
      <c r="BF1820" s="46" t="s">
        <v>4158</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70204001</v>
      </c>
      <c r="D1821" s="18" t="s">
        <v>4159</v>
      </c>
      <c r="E1821" s="18" t="s">
        <v>4160</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4161</v>
      </c>
      <c r="BF1821" s="46" t="s">
        <v>4162</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4163</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4164</v>
      </c>
      <c r="BC1823" s="28">
        <v>0</v>
      </c>
      <c r="BD1823" s="28">
        <v>0</v>
      </c>
      <c r="BE1823" s="46" t="s">
        <v>4165</v>
      </c>
      <c r="BF1823" s="46" t="s">
        <v>4166</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spans="3:75" ht="19.5" customHeight="1">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4167</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4168</v>
      </c>
      <c r="BC1829" s="28">
        <v>0</v>
      </c>
      <c r="BD1829" s="28">
        <v>0</v>
      </c>
      <c r="BE1829" s="46" t="s">
        <v>4169</v>
      </c>
      <c r="BF1829" s="46" t="s">
        <v>4170</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spans="3:75" ht="19.5" customHeight="1">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19.5" customHeight="1">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19.5" customHeight="1">
      <c r="C1832" s="19">
        <v>70205007</v>
      </c>
      <c r="D1832" s="18" t="s">
        <v>4171</v>
      </c>
      <c r="E1832" s="18" t="s">
        <v>4172</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spans="3:75" ht="19.5" customHeight="1">
      <c r="C1833" s="19">
        <v>70301001</v>
      </c>
      <c r="D1833" s="18" t="s">
        <v>4173</v>
      </c>
      <c r="E1833" s="18" t="s">
        <v>4174</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4175</v>
      </c>
      <c r="BF1833" s="46" t="s">
        <v>4176</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20.100000000000001" customHeight="1">
      <c r="C1834" s="19">
        <v>70301002</v>
      </c>
      <c r="D1834" s="18" t="s">
        <v>4177</v>
      </c>
      <c r="E1834" s="18" t="s">
        <v>4178</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4179</v>
      </c>
      <c r="BC1834" s="28">
        <v>0</v>
      </c>
      <c r="BD1834" s="28">
        <v>0</v>
      </c>
      <c r="BE1834" s="46" t="s">
        <v>4180</v>
      </c>
      <c r="BF1834" s="46" t="s">
        <v>4181</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20.100000000000001" customHeight="1">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4182</v>
      </c>
      <c r="BC1835" s="28">
        <v>0</v>
      </c>
      <c r="BD1835" s="28">
        <v>0</v>
      </c>
      <c r="BE1835" s="46" t="s">
        <v>4183</v>
      </c>
      <c r="BF1835" s="46" t="s">
        <v>4184</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20.100000000000001" customHeight="1">
      <c r="C1836" s="19">
        <v>70301004</v>
      </c>
      <c r="D1836" s="20" t="s">
        <v>4185</v>
      </c>
      <c r="E1836" s="20" t="s">
        <v>4186</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4187</v>
      </c>
      <c r="AV1836" s="19"/>
      <c r="AW1836" s="20" t="s">
        <v>199</v>
      </c>
      <c r="AX1836" s="19" t="s">
        <v>348</v>
      </c>
      <c r="AY1836" s="19">
        <v>0</v>
      </c>
      <c r="AZ1836" s="19">
        <v>0</v>
      </c>
      <c r="BA1836" s="20" t="s">
        <v>200</v>
      </c>
      <c r="BB1836" s="20" t="s">
        <v>198</v>
      </c>
      <c r="BC1836" s="28">
        <v>0</v>
      </c>
      <c r="BD1836" s="28">
        <v>0</v>
      </c>
      <c r="BE1836" s="89" t="s">
        <v>4188</v>
      </c>
      <c r="BF1836" s="89" t="s">
        <v>4189</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spans="3:75" ht="20.100000000000001" customHeight="1">
      <c r="C1837" s="19">
        <v>70301005</v>
      </c>
      <c r="D1837" s="20" t="s">
        <v>4190</v>
      </c>
      <c r="E1837" s="20" t="s">
        <v>4191</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4192</v>
      </c>
      <c r="AV1837" s="19"/>
      <c r="AW1837" s="20" t="s">
        <v>741</v>
      </c>
      <c r="AX1837" s="19">
        <v>0</v>
      </c>
      <c r="AY1837" s="19">
        <v>10000011</v>
      </c>
      <c r="AZ1837" s="19">
        <v>50000001</v>
      </c>
      <c r="BA1837" s="20" t="s">
        <v>250</v>
      </c>
      <c r="BB1837" s="20" t="s">
        <v>198</v>
      </c>
      <c r="BC1837" s="28">
        <v>0</v>
      </c>
      <c r="BD1837" s="28">
        <v>0</v>
      </c>
      <c r="BE1837" s="89" t="s">
        <v>4193</v>
      </c>
      <c r="BF1837" s="89" t="s">
        <v>4194</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spans="3:75" ht="19.5" customHeight="1">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48"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4145</v>
      </c>
      <c r="BF1839" s="89" t="s">
        <v>4146</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spans="3:75" ht="19.5" customHeight="1">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2889</v>
      </c>
      <c r="BF1840" s="46" t="s">
        <v>2890</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4195</v>
      </c>
      <c r="BC1841" s="28">
        <v>0</v>
      </c>
      <c r="BD1841" s="28">
        <v>0</v>
      </c>
      <c r="BE1841" s="46" t="s">
        <v>4147</v>
      </c>
      <c r="BF1841" s="46" t="s">
        <v>4148</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spans="3:75" ht="20.100000000000001" customHeight="1">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4196</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19.5" customHeight="1">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spans="3:75" ht="20.100000000000001" customHeight="1">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4197</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4164</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70304001</v>
      </c>
      <c r="D1846" s="18" t="s">
        <v>4198</v>
      </c>
      <c r="E1846" s="18" t="s">
        <v>4199</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4200</v>
      </c>
      <c r="BC1846" s="28">
        <v>0</v>
      </c>
      <c r="BD1846" s="28">
        <v>0</v>
      </c>
      <c r="BE1846" s="46" t="s">
        <v>4201</v>
      </c>
      <c r="BF1846" s="46" t="s">
        <v>4202</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20.100000000000001" customHeight="1">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70304004</v>
      </c>
      <c r="D1849" s="20" t="s">
        <v>4142</v>
      </c>
      <c r="E1849" s="20" t="s">
        <v>4143</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spans="3:75" ht="19.5" customHeight="1">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4203</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spans="3:75" ht="19.5" customHeight="1">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spans="3:75" ht="19.5" customHeight="1">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4204</v>
      </c>
      <c r="BF1858" s="46" t="s">
        <v>4205</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19.5" customHeight="1">
      <c r="C1859" s="19">
        <v>70305006</v>
      </c>
      <c r="D1859" s="18" t="s">
        <v>4206</v>
      </c>
      <c r="E1859" s="18" t="s">
        <v>4207</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4208</v>
      </c>
      <c r="BC1859" s="28">
        <v>0</v>
      </c>
      <c r="BD1859" s="28">
        <v>0</v>
      </c>
      <c r="BE1859" s="46" t="s">
        <v>4209</v>
      </c>
      <c r="BF1859" s="46" t="s">
        <v>4210</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19.5" customHeight="1">
      <c r="C1860" s="19">
        <v>70305007</v>
      </c>
      <c r="D1860" s="18" t="s">
        <v>4211</v>
      </c>
      <c r="E1860" s="18" t="s">
        <v>4212</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20.100000000000001" customHeight="1">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4213</v>
      </c>
      <c r="BC1861" s="28">
        <v>0</v>
      </c>
      <c r="BD1861" s="28">
        <v>0</v>
      </c>
      <c r="BE1861" s="46" t="s">
        <v>4214</v>
      </c>
      <c r="BF1861" s="46" t="s">
        <v>4215</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spans="3:75" ht="20.100000000000001" customHeight="1">
      <c r="C1862" s="19">
        <v>70401002</v>
      </c>
      <c r="D1862" s="18" t="s">
        <v>4216</v>
      </c>
      <c r="E1862" s="18" t="s">
        <v>4217</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4218</v>
      </c>
      <c r="BC1862" s="28">
        <v>0</v>
      </c>
      <c r="BD1862" s="28">
        <v>0</v>
      </c>
      <c r="BE1862" s="46" t="s">
        <v>4219</v>
      </c>
      <c r="BF1862" s="46" t="s">
        <v>4220</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20.100000000000001" customHeight="1">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spans="3:75" ht="20.100000000000001" customHeight="1">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70401006</v>
      </c>
      <c r="D1866" s="18" t="s">
        <v>4221</v>
      </c>
      <c r="E1866" s="18" t="s">
        <v>4222</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4223</v>
      </c>
      <c r="AV1866" s="17"/>
      <c r="AW1866" s="20" t="s">
        <v>617</v>
      </c>
      <c r="AX1866" s="17" t="s">
        <v>545</v>
      </c>
      <c r="AY1866" s="19">
        <v>10000007</v>
      </c>
      <c r="AZ1866" s="19">
        <v>70401006</v>
      </c>
      <c r="BA1866" s="18" t="s">
        <v>200</v>
      </c>
      <c r="BB1866" s="17">
        <v>0</v>
      </c>
      <c r="BC1866" s="28">
        <v>0</v>
      </c>
      <c r="BD1866" s="28">
        <v>0</v>
      </c>
      <c r="BE1866" s="46" t="s">
        <v>4224</v>
      </c>
      <c r="BF1866" s="46" t="s">
        <v>4225</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19.5" customHeight="1">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48"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70402002</v>
      </c>
      <c r="D1868" s="18" t="s">
        <v>4226</v>
      </c>
      <c r="E1868" s="18" t="s">
        <v>4227</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4228</v>
      </c>
      <c r="BC1868" s="28">
        <v>0</v>
      </c>
      <c r="BD1868" s="28">
        <v>0</v>
      </c>
      <c r="BE1868" s="46" t="s">
        <v>4229</v>
      </c>
      <c r="BF1868" s="46" t="s">
        <v>4230</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spans="3:75" ht="19.5" customHeight="1">
      <c r="C1869" s="19">
        <v>70402003</v>
      </c>
      <c r="D1869" s="18" t="s">
        <v>4173</v>
      </c>
      <c r="E1869" s="18" t="s">
        <v>4174</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4204</v>
      </c>
      <c r="BF1869" s="46" t="s">
        <v>4205</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4231</v>
      </c>
      <c r="BF1870" s="89" t="s">
        <v>4232</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70403001</v>
      </c>
      <c r="D1872" s="18" t="s">
        <v>4233</v>
      </c>
      <c r="E1872" s="18" t="s">
        <v>4234</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4235</v>
      </c>
      <c r="BC1872" s="28">
        <v>0</v>
      </c>
      <c r="BD1872" s="28">
        <v>0</v>
      </c>
      <c r="BE1872" s="46" t="s">
        <v>4236</v>
      </c>
      <c r="BF1872" s="46" t="s">
        <v>4237</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20.100000000000001" customHeight="1">
      <c r="C1873" s="19">
        <v>70403002</v>
      </c>
      <c r="D1873" s="18" t="s">
        <v>4238</v>
      </c>
      <c r="E1873" s="18" t="s">
        <v>4239</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4224</v>
      </c>
      <c r="BF1873" s="46" t="s">
        <v>4225</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19.5" customHeight="1">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4204</v>
      </c>
      <c r="BF1874" s="46" t="s">
        <v>4205</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4240</v>
      </c>
      <c r="BC1875" s="28">
        <v>0</v>
      </c>
      <c r="BD1875" s="28">
        <v>0</v>
      </c>
      <c r="BE1875" s="46" t="s">
        <v>4241</v>
      </c>
      <c r="BF1875" s="46" t="s">
        <v>4242</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spans="3:75" ht="19.5" customHeight="1">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spans="3:75" ht="20.100000000000001" customHeight="1">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4243</v>
      </c>
      <c r="BC1878" s="28">
        <v>0</v>
      </c>
      <c r="BD1878" s="28">
        <v>0</v>
      </c>
      <c r="BE1878" s="46" t="s">
        <v>4244</v>
      </c>
      <c r="BF1878" s="46" t="s">
        <v>4245</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4246</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4247</v>
      </c>
      <c r="BF1882" s="46" t="s">
        <v>4248</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19.5" customHeight="1">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4249</v>
      </c>
      <c r="BF1883" s="46" t="s">
        <v>4250</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19.5" customHeight="1">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70405003</v>
      </c>
      <c r="D1885" s="18" t="s">
        <v>4153</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4251</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4252</v>
      </c>
      <c r="BC1886" s="28">
        <v>0</v>
      </c>
      <c r="BD1886" s="28">
        <v>0</v>
      </c>
      <c r="BE1886" s="46" t="s">
        <v>4183</v>
      </c>
      <c r="BF1886" s="46" t="s">
        <v>4184</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spans="3:75" ht="20.100000000000001" customHeight="1">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19.5" customHeight="1">
      <c r="C1889" s="19">
        <v>70405007</v>
      </c>
      <c r="D1889" s="18" t="s">
        <v>4253</v>
      </c>
      <c r="E1889" s="18" t="s">
        <v>4254</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4255</v>
      </c>
      <c r="BF1889" s="46" t="s">
        <v>4256</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spans="3:75" ht="19.5" customHeight="1">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19.5" customHeight="1">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4257</v>
      </c>
      <c r="BC1892" s="28">
        <v>0</v>
      </c>
      <c r="BD1892" s="28">
        <v>0</v>
      </c>
      <c r="BE1892" s="46" t="s">
        <v>4249</v>
      </c>
      <c r="BF1892" s="46" t="s">
        <v>4250</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20.100000000000001" customHeight="1">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4258</v>
      </c>
      <c r="BF1895" s="89" t="s">
        <v>4259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20.100000000000001" customHeight="1">
      <c r="C1896" s="19">
        <v>70501005</v>
      </c>
      <c r="D1896" s="18" t="s">
        <v>4221</v>
      </c>
      <c r="E1896" s="18" t="s">
        <v>4222</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4223</v>
      </c>
      <c r="AV1896" s="17"/>
      <c r="AW1896" s="20" t="s">
        <v>617</v>
      </c>
      <c r="AX1896" s="17" t="s">
        <v>545</v>
      </c>
      <c r="AY1896" s="19">
        <v>10000007</v>
      </c>
      <c r="AZ1896" s="19">
        <v>70401006</v>
      </c>
      <c r="BA1896" s="18" t="s">
        <v>200</v>
      </c>
      <c r="BB1896" s="17">
        <v>0</v>
      </c>
      <c r="BC1896" s="28">
        <v>0</v>
      </c>
      <c r="BD1896" s="28">
        <v>0</v>
      </c>
      <c r="BE1896" s="46" t="s">
        <v>4224</v>
      </c>
      <c r="BF1896" s="46" t="s">
        <v>4225</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19.5" customHeight="1">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19.5" customHeight="1">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4260</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4261</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20.100000000000001" customHeight="1">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20.100000000000001" customHeight="1">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spans="3:75" ht="19.5" customHeight="1">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4262</v>
      </c>
      <c r="BC1904" s="28">
        <v>0</v>
      </c>
      <c r="BD1904" s="28">
        <v>0</v>
      </c>
      <c r="BE1904" s="46" t="s">
        <v>4244</v>
      </c>
      <c r="BF1904" s="46" t="s">
        <v>4245</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20.100000000000001" customHeight="1">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4247</v>
      </c>
      <c r="BF1907" s="46" t="s">
        <v>4248</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4263</v>
      </c>
      <c r="BC1908" s="28">
        <v>0</v>
      </c>
      <c r="BD1908" s="28">
        <v>0</v>
      </c>
      <c r="BE1908" s="46" t="s">
        <v>4147</v>
      </c>
      <c r="BF1908" s="46" t="s">
        <v>4148</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spans="3:75" ht="19.5" customHeight="1">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4264</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4265</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19.5" customHeight="1">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20.100000000000001" customHeight="1">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4266</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spans="3:75" ht="19.5" customHeight="1">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spans="3:75" ht="19.5" customHeight="1">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19.5" customHeight="1">
      <c r="C1919" s="19">
        <v>70505006</v>
      </c>
      <c r="D1919" s="18" t="s">
        <v>4211</v>
      </c>
      <c r="E1919" s="18" t="s">
        <v>4212</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19.5" customHeight="1">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48"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spans="3:75" ht="19.5" customHeight="1">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spans="3:75" ht="19.5" customHeight="1">
      <c r="C1922" s="19">
        <v>71000001</v>
      </c>
      <c r="D1922" s="20" t="s">
        <v>4267</v>
      </c>
      <c r="E1922" s="20" t="s">
        <v>4268</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4269</v>
      </c>
      <c r="AV1922" s="19"/>
      <c r="AW1922" s="20" t="s">
        <v>256</v>
      </c>
      <c r="AX1922" s="19" t="s">
        <v>534</v>
      </c>
      <c r="AY1922" s="19" t="s">
        <v>198</v>
      </c>
      <c r="AZ1922" s="19" t="s">
        <v>198</v>
      </c>
      <c r="BA1922" s="20" t="s">
        <v>200</v>
      </c>
      <c r="BB1922" s="20">
        <v>0</v>
      </c>
      <c r="BC1922" s="28">
        <v>0</v>
      </c>
      <c r="BD1922" s="28">
        <v>0</v>
      </c>
      <c r="BE1922" s="89" t="s">
        <v>4270</v>
      </c>
      <c r="BF1922" s="89" t="s">
        <v>4271</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spans="3:75" ht="19.5" customHeight="1">
      <c r="C1923" s="19">
        <v>71000002</v>
      </c>
      <c r="D1923" s="20" t="s">
        <v>4272</v>
      </c>
      <c r="E1923" s="20" t="s">
        <v>4273</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4270</v>
      </c>
      <c r="BF1923" s="89" t="s">
        <v>4271</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spans="3:75" ht="20.100000000000001" customHeight="1">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spans="3:75" ht="20.100000000000001" customHeight="1">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4122</v>
      </c>
      <c r="BC1925" s="28">
        <v>0</v>
      </c>
      <c r="BD1925" s="28">
        <v>0</v>
      </c>
      <c r="BE1925" s="46" t="s">
        <v>4123</v>
      </c>
      <c r="BF1925" s="46" t="s">
        <v>4124</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21.75" customHeight="1">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4117</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19.5" customHeight="1">
      <c r="C1927" s="19">
        <v>73001201</v>
      </c>
      <c r="D1927" s="18" t="s">
        <v>4253</v>
      </c>
      <c r="E1927" s="18" t="s">
        <v>4254</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4255</v>
      </c>
      <c r="BF1927" s="46" t="s">
        <v>4256</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73001203</v>
      </c>
      <c r="D1928" s="18" t="s">
        <v>4125</v>
      </c>
      <c r="E1928" s="18" t="s">
        <v>4126</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4274</v>
      </c>
      <c r="BC1928" s="28">
        <v>0</v>
      </c>
      <c r="BD1928" s="28">
        <v>0</v>
      </c>
      <c r="BE1928" s="46" t="s">
        <v>4128</v>
      </c>
      <c r="BF1928" s="46" t="s">
        <v>4129</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73001204</v>
      </c>
      <c r="D1929" s="18" t="s">
        <v>2880</v>
      </c>
      <c r="E1929" s="18" t="s">
        <v>2881</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4275</v>
      </c>
      <c r="BC1929" s="28">
        <v>0</v>
      </c>
      <c r="BD1929" s="28">
        <v>0</v>
      </c>
      <c r="BE1929" s="46" t="s">
        <v>2883</v>
      </c>
      <c r="BF1929" s="46" t="s">
        <v>2884</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19.5" customHeight="1">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spans="3:75" ht="20.100000000000001" customHeight="1">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73001302</v>
      </c>
      <c r="D1932" s="18" t="s">
        <v>4125</v>
      </c>
      <c r="E1932" s="18" t="s">
        <v>4126</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4276</v>
      </c>
      <c r="BC1932" s="28">
        <v>0</v>
      </c>
      <c r="BD1932" s="28">
        <v>0</v>
      </c>
      <c r="BE1932" s="46" t="s">
        <v>4128</v>
      </c>
      <c r="BF1932" s="46" t="s">
        <v>4129</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25" customHeight="1">
      <c r="C1935" s="19">
        <v>73001306</v>
      </c>
      <c r="D1935" s="20" t="s">
        <v>2583</v>
      </c>
      <c r="E1935" s="20" t="s">
        <v>2584</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2887</v>
      </c>
      <c r="BF1935" s="46" t="s">
        <v>2888</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73002101</v>
      </c>
      <c r="D1936" s="18" t="s">
        <v>4125</v>
      </c>
      <c r="E1936" s="18" t="s">
        <v>4126</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4277</v>
      </c>
      <c r="BC1936" s="28">
        <v>0</v>
      </c>
      <c r="BD1936" s="28">
        <v>0</v>
      </c>
      <c r="BE1936" s="46" t="s">
        <v>4128</v>
      </c>
      <c r="BF1936" s="46" t="s">
        <v>4129</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73002102</v>
      </c>
      <c r="D1937" s="20" t="s">
        <v>4278</v>
      </c>
      <c r="E1937" s="20" t="s">
        <v>4279</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4280</v>
      </c>
      <c r="BF1937" s="89" t="s">
        <v>4281</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spans="3:75" ht="20.100000000000001" customHeight="1">
      <c r="C1938" s="19">
        <v>73002103</v>
      </c>
      <c r="D1938" s="20" t="s">
        <v>4282</v>
      </c>
      <c r="E1938" s="20" t="s">
        <v>4283</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100000000000001" customHeight="1">
      <c r="C1939" s="19">
        <v>73002104</v>
      </c>
      <c r="D1939" s="20" t="s">
        <v>4282</v>
      </c>
      <c r="E1939" s="20" t="s">
        <v>4283</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19.5" customHeight="1">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48" t="s">
        <v>1019</v>
      </c>
      <c r="AV1940" s="13"/>
      <c r="AW1940" s="20" t="s">
        <v>287</v>
      </c>
      <c r="AX1940" s="17" t="s">
        <v>534</v>
      </c>
      <c r="AY1940" s="19">
        <v>10000007</v>
      </c>
      <c r="AZ1940" s="19">
        <v>70202004</v>
      </c>
      <c r="BA1940" s="20" t="s">
        <v>315</v>
      </c>
      <c r="BB1940" s="20" t="s">
        <v>371</v>
      </c>
      <c r="BC1940" s="28">
        <v>0</v>
      </c>
      <c r="BD1940" s="28">
        <v>0</v>
      </c>
      <c r="BE1940" s="46" t="s">
        <v>4284</v>
      </c>
      <c r="BF1940" s="46" t="s">
        <v>4285</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19.5" customHeight="1">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4286</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4287</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spans="3:75" ht="20.100000000000001" customHeight="1">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spans="3:75" ht="20.100000000000001" customHeight="1">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4288</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19.5" customHeight="1">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4204</v>
      </c>
      <c r="BF1947" s="46" t="s">
        <v>4205</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4289</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19.5" customHeight="1">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spans="3:75" ht="19.5" customHeight="1">
      <c r="C1951" s="19">
        <v>73002307</v>
      </c>
      <c r="D1951" s="18" t="s">
        <v>4290</v>
      </c>
      <c r="E1951" s="18" t="s">
        <v>4291</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spans="3:75" ht="19.5" customHeight="1">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spans="3:75" ht="20.100000000000001" customHeight="1">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4122</v>
      </c>
      <c r="BC1954" s="28">
        <v>0</v>
      </c>
      <c r="BD1954" s="28">
        <v>0</v>
      </c>
      <c r="BE1954" s="46" t="s">
        <v>4123</v>
      </c>
      <c r="BF1954" s="46" t="s">
        <v>4124</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spans="3:75" ht="20.100000000000001" customHeight="1">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4292</v>
      </c>
      <c r="BF1955" s="89" t="s">
        <v>4293</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4261</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spans="3:75" ht="20.100000000000001" customHeight="1">
      <c r="C1957" s="19">
        <v>73003202</v>
      </c>
      <c r="D1957" s="20" t="s">
        <v>4294</v>
      </c>
      <c r="E1957" s="20" t="s">
        <v>4295</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4296</v>
      </c>
      <c r="BF1957" s="89" t="s">
        <v>4297</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spans="3:75" ht="19.5" customHeight="1">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4204</v>
      </c>
      <c r="BF1958" s="46" t="s">
        <v>4205</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4298</v>
      </c>
      <c r="BC1960" s="68">
        <v>0</v>
      </c>
      <c r="BD1960" s="68">
        <v>0</v>
      </c>
      <c r="BE1960" s="92" t="s">
        <v>4299</v>
      </c>
      <c r="BF1960" s="92" t="s">
        <v>4300</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spans="3:75" ht="20.100000000000001" customHeight="1">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4301</v>
      </c>
      <c r="BC1961" s="28">
        <v>0</v>
      </c>
      <c r="BD1961" s="28">
        <v>0</v>
      </c>
      <c r="BE1961" s="46" t="s">
        <v>4128</v>
      </c>
      <c r="BF1961" s="46" t="s">
        <v>4129</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spans="3:75" ht="20.100000000000001" customHeight="1">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73003304</v>
      </c>
      <c r="D1963" s="61" t="s">
        <v>4302</v>
      </c>
      <c r="E1963" s="61" t="s">
        <v>4303</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4292</v>
      </c>
      <c r="BF1963" s="94" t="s">
        <v>4293</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spans="3:75" ht="19.5" customHeight="1">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4204</v>
      </c>
      <c r="BF1964" s="46" t="s">
        <v>4205</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spans="3:75" ht="20.100000000000001" customHeight="1">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73003307</v>
      </c>
      <c r="D1966" s="18" t="s">
        <v>4304</v>
      </c>
      <c r="E1966" s="18" t="s">
        <v>4305</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4122</v>
      </c>
      <c r="BC1966" s="28">
        <v>0</v>
      </c>
      <c r="BD1966" s="28">
        <v>0</v>
      </c>
      <c r="BE1966" s="46" t="s">
        <v>4123</v>
      </c>
      <c r="BF1966" s="46" t="s">
        <v>4124</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4306</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spans="3:75" ht="20.100000000000001" customHeight="1">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4307</v>
      </c>
      <c r="BF1968" s="89" t="s">
        <v>4308</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4309</v>
      </c>
      <c r="BC1969" s="28">
        <v>0</v>
      </c>
      <c r="BD1969" s="28">
        <v>0</v>
      </c>
      <c r="BE1969" s="46" t="s">
        <v>4310</v>
      </c>
      <c r="BF1969" s="46" t="s">
        <v>4311</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4312</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4307</v>
      </c>
      <c r="BF1972" s="89" t="s">
        <v>4308</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19.5" customHeight="1">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4204</v>
      </c>
      <c r="BF1973" s="46" t="s">
        <v>4205</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19.5" customHeight="1">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48" t="s">
        <v>1019</v>
      </c>
      <c r="AV1974" s="13"/>
      <c r="AW1974" s="20" t="s">
        <v>287</v>
      </c>
      <c r="AX1974" s="17" t="s">
        <v>534</v>
      </c>
      <c r="AY1974" s="19">
        <v>10000007</v>
      </c>
      <c r="AZ1974" s="19">
        <v>70202004</v>
      </c>
      <c r="BA1974" s="20" t="s">
        <v>315</v>
      </c>
      <c r="BB1974" s="20" t="s">
        <v>371</v>
      </c>
      <c r="BC1974" s="28">
        <v>0</v>
      </c>
      <c r="BD1974" s="28">
        <v>0</v>
      </c>
      <c r="BE1974" s="46" t="s">
        <v>4284</v>
      </c>
      <c r="BF1974" s="46" t="s">
        <v>4285</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73004301</v>
      </c>
      <c r="D1975" s="18" t="s">
        <v>4313</v>
      </c>
      <c r="E1975" s="18" t="s">
        <v>4314</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73004302</v>
      </c>
      <c r="D1976" s="18" t="s">
        <v>4313</v>
      </c>
      <c r="E1976" s="18" t="s">
        <v>4314</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4315</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spans="3:75" ht="19.5" customHeight="1">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4204</v>
      </c>
      <c r="BF1977" s="46" t="s">
        <v>4205</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20.100000000000001" customHeight="1">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73004305</v>
      </c>
      <c r="D1979" s="20" t="s">
        <v>4294</v>
      </c>
      <c r="E1979" s="20" t="s">
        <v>4295</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6" t="s">
        <v>4316</v>
      </c>
      <c r="AV1979" s="19"/>
      <c r="AW1979" s="20" t="s">
        <v>741</v>
      </c>
      <c r="AX1979" s="19">
        <v>0</v>
      </c>
      <c r="AY1979" s="19">
        <v>10007001</v>
      </c>
      <c r="AZ1979" s="19">
        <v>0</v>
      </c>
      <c r="BA1979" s="20" t="s">
        <v>200</v>
      </c>
      <c r="BB1979" s="20" t="s">
        <v>198</v>
      </c>
      <c r="BC1979" s="28">
        <v>0</v>
      </c>
      <c r="BD1979" s="28">
        <v>0</v>
      </c>
      <c r="BE1979" s="89" t="s">
        <v>4296</v>
      </c>
      <c r="BF1979" s="89" t="s">
        <v>4297</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4309</v>
      </c>
      <c r="BC1980" s="28">
        <v>0</v>
      </c>
      <c r="BD1980" s="28">
        <v>0</v>
      </c>
      <c r="BE1980" s="46" t="s">
        <v>4310</v>
      </c>
      <c r="BF1980" s="46" t="s">
        <v>4311</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20.100000000000001" customHeight="1">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spans="3:75" ht="20.100000000000001" customHeight="1">
      <c r="C1982" s="66">
        <v>75001001</v>
      </c>
      <c r="D1982" s="20" t="s">
        <v>4317</v>
      </c>
      <c r="E1982" s="20" t="s">
        <v>4318</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19.5" customHeight="1">
      <c r="C1983" s="66">
        <v>76001001</v>
      </c>
      <c r="D1983" s="18" t="s">
        <v>4319</v>
      </c>
      <c r="E1983" s="18" t="s">
        <v>4320</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4321</v>
      </c>
      <c r="BF1983" s="46" t="s">
        <v>4322</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4306</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spans="3:75" ht="19.5" customHeight="1">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4204</v>
      </c>
      <c r="BF1986" s="46" t="s">
        <v>4205</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spans="3:75" ht="19.5" customHeight="1">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4122</v>
      </c>
      <c r="BC1989" s="28">
        <v>0</v>
      </c>
      <c r="BD1989" s="28">
        <v>0</v>
      </c>
      <c r="BE1989" s="46" t="s">
        <v>4123</v>
      </c>
      <c r="BF1989" s="46" t="s">
        <v>4124</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20.100000000000001" customHeight="1">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spans="3:75" ht="19.5" customHeight="1">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48" t="s">
        <v>1019</v>
      </c>
      <c r="AV1991" s="13"/>
      <c r="AW1991" s="20" t="s">
        <v>287</v>
      </c>
      <c r="AX1991" s="17" t="s">
        <v>534</v>
      </c>
      <c r="AY1991" s="19">
        <v>10000007</v>
      </c>
      <c r="AZ1991" s="19">
        <v>70202004</v>
      </c>
      <c r="BA1991" s="20" t="s">
        <v>315</v>
      </c>
      <c r="BB1991" s="20" t="s">
        <v>371</v>
      </c>
      <c r="BC1991" s="28">
        <v>0</v>
      </c>
      <c r="BD1991" s="28">
        <v>0</v>
      </c>
      <c r="BE1991" s="46" t="s">
        <v>4284</v>
      </c>
      <c r="BF1991" s="46" t="s">
        <v>4285</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19.5" customHeight="1">
      <c r="C1993" s="19">
        <v>79000010</v>
      </c>
      <c r="D1993" s="18" t="s">
        <v>4253</v>
      </c>
      <c r="E1993" s="18" t="s">
        <v>4254</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4255</v>
      </c>
      <c r="BF1993" s="46" t="s">
        <v>4256</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79000011</v>
      </c>
      <c r="D1994" s="20" t="s">
        <v>4294</v>
      </c>
      <c r="E1994" s="20" t="s">
        <v>4295</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4296</v>
      </c>
      <c r="BF1994" s="89" t="s">
        <v>4297</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4323</v>
      </c>
      <c r="BF1996" s="139" t="s">
        <v>4324</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spans="3:75" ht="20.100000000000001" customHeight="1">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2" t="s">
        <v>732</v>
      </c>
      <c r="AU1997" s="343" t="s">
        <v>733</v>
      </c>
      <c r="AV1997" s="112"/>
      <c r="AW1997" s="99" t="s">
        <v>287</v>
      </c>
      <c r="AX1997" s="106">
        <v>0</v>
      </c>
      <c r="AY1997" s="106">
        <v>0</v>
      </c>
      <c r="AZ1997" s="106">
        <v>62001401</v>
      </c>
      <c r="BA1997" s="104" t="s">
        <v>200</v>
      </c>
      <c r="BB1997" s="103">
        <v>0</v>
      </c>
      <c r="BC1997" s="107">
        <v>0</v>
      </c>
      <c r="BD1997" s="107">
        <v>0</v>
      </c>
      <c r="BE1997" s="120" t="s">
        <v>4325</v>
      </c>
      <c r="BF1997" s="120" t="s">
        <v>4326</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spans="3:75" ht="20.100000000000001" customHeight="1">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6"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spans="3:75" ht="20.100000000000001" customHeight="1">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7"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spans="3:75" ht="19.5" customHeight="1">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6" t="s">
        <v>198</v>
      </c>
      <c r="AV2000" s="116"/>
      <c r="AW2000" s="101" t="s">
        <v>199</v>
      </c>
      <c r="AX2000" s="103" t="s">
        <v>534</v>
      </c>
      <c r="AY2000" s="102">
        <v>10000007</v>
      </c>
      <c r="AZ2000" s="344"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spans="3:75" ht="20.100000000000001" customHeight="1">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5" t="s">
        <v>806</v>
      </c>
      <c r="AU2001" s="346"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2"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spans="3:75" ht="20.100000000000001" customHeight="1">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spans="3:75" ht="20.100000000000001" customHeight="1">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spans="3:75" ht="19.5" customHeight="1">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4204</v>
      </c>
      <c r="BF2005" s="46" t="s">
        <v>4205</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spans="3:75" ht="20.100000000000001" customHeight="1">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4287</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spans="3:75" ht="19.5" customHeight="1">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48" t="s">
        <v>1019</v>
      </c>
      <c r="AV2007" s="13"/>
      <c r="AW2007" s="20" t="s">
        <v>287</v>
      </c>
      <c r="AX2007" s="17" t="s">
        <v>534</v>
      </c>
      <c r="AY2007" s="19">
        <v>10000007</v>
      </c>
      <c r="AZ2007" s="19">
        <v>70202004</v>
      </c>
      <c r="BA2007" s="20" t="s">
        <v>315</v>
      </c>
      <c r="BB2007" s="20" t="s">
        <v>371</v>
      </c>
      <c r="BC2007" s="28">
        <v>0</v>
      </c>
      <c r="BD2007" s="28">
        <v>0</v>
      </c>
      <c r="BE2007" s="46" t="s">
        <v>4284</v>
      </c>
      <c r="BF2007" s="46" t="s">
        <v>4285</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spans="3:75" ht="20.100000000000001" customHeight="1">
      <c r="C2008" s="19">
        <v>80000001</v>
      </c>
      <c r="D2008" s="18" t="s">
        <v>4327</v>
      </c>
      <c r="E2008" s="18" t="s">
        <v>4328</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4329</v>
      </c>
      <c r="BC2008" s="28">
        <v>0</v>
      </c>
      <c r="BD2008" s="28">
        <v>0</v>
      </c>
      <c r="BE2008" s="46" t="s">
        <v>4330</v>
      </c>
      <c r="BF2008" s="46" t="s">
        <v>4331</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20.100000000000001" customHeight="1">
      <c r="C2009" s="19">
        <v>80000002</v>
      </c>
      <c r="D2009" s="18" t="s">
        <v>4332</v>
      </c>
      <c r="E2009" s="18" t="s">
        <v>4333</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4329</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80000003</v>
      </c>
      <c r="D2010" s="18" t="s">
        <v>4334</v>
      </c>
      <c r="E2010" s="18" t="s">
        <v>4335</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4329</v>
      </c>
      <c r="BC2010" s="28">
        <v>0</v>
      </c>
      <c r="BD2010" s="28">
        <v>0</v>
      </c>
      <c r="BE2010" s="46" t="s">
        <v>4336</v>
      </c>
      <c r="BF2010" s="46" t="s">
        <v>4337</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9">
        <v>80000004</v>
      </c>
      <c r="D2011" s="18" t="s">
        <v>4338</v>
      </c>
      <c r="E2011" s="18" t="s">
        <v>4339</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4329</v>
      </c>
      <c r="BC2011" s="28">
        <v>0</v>
      </c>
      <c r="BD2011" s="28">
        <v>0</v>
      </c>
      <c r="BE2011" s="46" t="s">
        <v>4340</v>
      </c>
      <c r="BF2011" s="46" t="s">
        <v>4341</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80000005</v>
      </c>
      <c r="D2012" s="18" t="s">
        <v>4342</v>
      </c>
      <c r="E2012" s="18" t="s">
        <v>4343</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4329</v>
      </c>
      <c r="BC2012" s="28">
        <v>0</v>
      </c>
      <c r="BD2012" s="28">
        <v>0</v>
      </c>
      <c r="BE2012" s="46" t="s">
        <v>4344</v>
      </c>
      <c r="BF2012" s="46" t="s">
        <v>4345</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80000006</v>
      </c>
      <c r="D2013" s="18" t="s">
        <v>4346</v>
      </c>
      <c r="E2013" s="18" t="s">
        <v>4347</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4329</v>
      </c>
      <c r="BC2013" s="28">
        <v>0</v>
      </c>
      <c r="BD2013" s="28">
        <v>0</v>
      </c>
      <c r="BE2013" s="46" t="s">
        <v>4348</v>
      </c>
      <c r="BF2013" s="46" t="s">
        <v>4349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80000007</v>
      </c>
      <c r="D2014" s="18" t="s">
        <v>4350</v>
      </c>
      <c r="E2014" s="18" t="s">
        <v>4351</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4329</v>
      </c>
      <c r="BC2014" s="28">
        <v>0</v>
      </c>
      <c r="BD2014" s="28">
        <v>0</v>
      </c>
      <c r="BE2014" s="46" t="s">
        <v>4352</v>
      </c>
      <c r="BF2014" s="46" t="s">
        <v>4353</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80000008</v>
      </c>
      <c r="D2015" s="18" t="s">
        <v>4354</v>
      </c>
      <c r="E2015" s="18" t="s">
        <v>4355</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4329</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80001001</v>
      </c>
      <c r="D2016" s="18" t="s">
        <v>4356</v>
      </c>
      <c r="E2016" s="285" t="s">
        <v>3112</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4357</v>
      </c>
      <c r="BC2016" s="28">
        <v>0</v>
      </c>
      <c r="BD2016" s="28">
        <v>0</v>
      </c>
      <c r="BE2016" s="46" t="s">
        <v>4358</v>
      </c>
      <c r="BF2016" s="46" t="s">
        <v>4359</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80001002</v>
      </c>
      <c r="D2017" s="18" t="s">
        <v>4360</v>
      </c>
      <c r="E2017" s="285" t="s">
        <v>4361</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4362</v>
      </c>
      <c r="BC2017" s="28">
        <v>0</v>
      </c>
      <c r="BD2017" s="28">
        <v>0</v>
      </c>
      <c r="BE2017" s="46" t="s">
        <v>4363</v>
      </c>
      <c r="BF2017" s="46" t="s">
        <v>4364</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spans="3:75" ht="20.100000000000001" customHeight="1">
      <c r="C2018" s="19">
        <v>80001003</v>
      </c>
      <c r="D2018" s="18" t="s">
        <v>4365</v>
      </c>
      <c r="E2018" s="285" t="s">
        <v>4366</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4367</v>
      </c>
      <c r="BC2018" s="28">
        <v>0</v>
      </c>
      <c r="BD2018" s="28">
        <v>0</v>
      </c>
      <c r="BE2018" s="46" t="s">
        <v>4368</v>
      </c>
      <c r="BF2018" s="46" t="s">
        <v>4369</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spans="3:75" ht="20.100000000000001" customHeight="1">
      <c r="C2019" s="19">
        <v>80001004</v>
      </c>
      <c r="D2019" s="18" t="s">
        <v>4370</v>
      </c>
      <c r="E2019" s="285" t="s">
        <v>4371</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4372</v>
      </c>
      <c r="BC2019" s="28">
        <v>0</v>
      </c>
      <c r="BD2019" s="28">
        <v>0</v>
      </c>
      <c r="BE2019" s="46" t="s">
        <v>4373</v>
      </c>
      <c r="BF2019" s="46" t="s">
        <v>4374</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spans="3:75" ht="20.100000000000001" customHeight="1">
      <c r="C2020" s="19">
        <v>80001005</v>
      </c>
      <c r="D2020" s="18" t="s">
        <v>4375</v>
      </c>
      <c r="E2020" s="285" t="s">
        <v>4376</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4377</v>
      </c>
      <c r="BC2020" s="28">
        <v>0</v>
      </c>
      <c r="BD2020" s="28">
        <v>0</v>
      </c>
      <c r="BE2020" s="46" t="s">
        <v>4378</v>
      </c>
      <c r="BF2020" s="46" t="s">
        <v>4379</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spans="3:75" ht="20.100000000000001" customHeight="1">
      <c r="C2021" s="183">
        <v>80001006</v>
      </c>
      <c r="D2021" s="238" t="s">
        <v>1907</v>
      </c>
      <c r="E2021" s="285" t="s">
        <v>4380</v>
      </c>
      <c r="F2021" s="183">
        <v>1</v>
      </c>
      <c r="G2021" s="183">
        <v>80001006</v>
      </c>
      <c r="H2021" s="183">
        <v>0</v>
      </c>
      <c r="I2021" s="183">
        <v>0</v>
      </c>
      <c r="J2021" s="19">
        <v>1</v>
      </c>
      <c r="K2021" s="19">
        <v>0</v>
      </c>
      <c r="L2021" s="183">
        <v>0</v>
      </c>
      <c r="M2021" s="183">
        <v>0</v>
      </c>
      <c r="N2021" s="183">
        <v>0</v>
      </c>
      <c r="O2021" s="183">
        <v>5</v>
      </c>
      <c r="P2021" s="183">
        <v>0</v>
      </c>
      <c r="Q2021" s="183">
        <v>0</v>
      </c>
      <c r="R2021" s="183">
        <v>0</v>
      </c>
      <c r="S2021" s="13">
        <v>0</v>
      </c>
      <c r="T2021" s="183">
        <v>0</v>
      </c>
      <c r="U2021" s="183">
        <v>1</v>
      </c>
      <c r="V2021" s="183">
        <v>2</v>
      </c>
      <c r="W2021" s="183">
        <v>0</v>
      </c>
      <c r="X2021" s="17">
        <v>1</v>
      </c>
      <c r="Y2021" s="13">
        <v>0</v>
      </c>
      <c r="Z2021" s="17">
        <v>0</v>
      </c>
      <c r="AA2021" s="183">
        <v>0</v>
      </c>
      <c r="AB2021" s="183">
        <v>0</v>
      </c>
      <c r="AC2021" s="183">
        <v>0</v>
      </c>
      <c r="AD2021" s="183">
        <v>0</v>
      </c>
      <c r="AE2021" s="183">
        <v>0</v>
      </c>
      <c r="AF2021" s="183">
        <v>9</v>
      </c>
      <c r="AG2021" s="183">
        <v>2</v>
      </c>
      <c r="AH2021" s="183" t="s">
        <v>213</v>
      </c>
      <c r="AI2021" s="183">
        <v>2</v>
      </c>
      <c r="AJ2021" s="183">
        <v>2</v>
      </c>
      <c r="AK2021" s="13">
        <v>0</v>
      </c>
      <c r="AL2021" s="183">
        <v>1.5</v>
      </c>
      <c r="AM2021" s="183">
        <v>0</v>
      </c>
      <c r="AN2021" s="183">
        <v>0</v>
      </c>
      <c r="AO2021" s="183">
        <v>0</v>
      </c>
      <c r="AP2021" s="183">
        <v>1</v>
      </c>
      <c r="AQ2021" s="183">
        <v>3000</v>
      </c>
      <c r="AR2021" s="183">
        <v>0.5</v>
      </c>
      <c r="AS2021" s="183">
        <v>0</v>
      </c>
      <c r="AT2021" s="183">
        <v>0</v>
      </c>
      <c r="AU2021" s="183" t="s">
        <v>198</v>
      </c>
      <c r="AV2021" s="183"/>
      <c r="AW2021" s="238" t="s">
        <v>287</v>
      </c>
      <c r="AX2021" s="183">
        <v>0</v>
      </c>
      <c r="AY2021" s="183">
        <v>0</v>
      </c>
      <c r="AZ2021" s="183">
        <v>0</v>
      </c>
      <c r="BA2021" s="238" t="s">
        <v>200</v>
      </c>
      <c r="BB2021" s="183" t="s">
        <v>4381</v>
      </c>
      <c r="BC2021" s="183">
        <v>0</v>
      </c>
      <c r="BD2021" s="183">
        <v>0</v>
      </c>
      <c r="BE2021" s="243" t="s">
        <v>4382</v>
      </c>
      <c r="BF2021" s="243" t="s">
        <v>4383</v>
      </c>
      <c r="BG2021" s="183"/>
      <c r="BH2021" s="17">
        <v>0</v>
      </c>
      <c r="BI2021" s="183"/>
      <c r="BJ2021" s="183"/>
      <c r="BK2021" s="183"/>
      <c r="BL2021" s="183">
        <v>80002006</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80001007</v>
      </c>
      <c r="D2022" s="18" t="s">
        <v>3565</v>
      </c>
      <c r="E2022" s="285" t="s">
        <v>3566</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4384</v>
      </c>
      <c r="BF2022" s="46" t="s">
        <v>4385</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80001008</v>
      </c>
      <c r="D2023" s="18" t="s">
        <v>4386</v>
      </c>
      <c r="E2023" s="285"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4387</v>
      </c>
      <c r="BF2023" s="46" t="s">
        <v>4388</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80001009</v>
      </c>
      <c r="D2024" s="18" t="s">
        <v>3570</v>
      </c>
      <c r="E2024" s="285" t="s">
        <v>3571</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4389</v>
      </c>
      <c r="BC2024" s="28">
        <v>0</v>
      </c>
      <c r="BD2024" s="28">
        <v>0</v>
      </c>
      <c r="BE2024" s="46" t="s">
        <v>4390</v>
      </c>
      <c r="BF2024" s="46" t="s">
        <v>4391</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9">
        <v>80001010</v>
      </c>
      <c r="D2025" s="18" t="s">
        <v>1911</v>
      </c>
      <c r="E2025" s="285" t="s">
        <v>4392</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4393</v>
      </c>
      <c r="BC2025" s="28">
        <v>0</v>
      </c>
      <c r="BD2025" s="28">
        <v>0</v>
      </c>
      <c r="BE2025" s="46" t="s">
        <v>4394</v>
      </c>
      <c r="BF2025" s="46" t="s">
        <v>4395</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80001011</v>
      </c>
      <c r="D2026" s="18" t="s">
        <v>4396</v>
      </c>
      <c r="E2026" s="285" t="s">
        <v>4397</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4398</v>
      </c>
      <c r="BC2026" s="28">
        <v>0</v>
      </c>
      <c r="BD2026" s="28">
        <v>0</v>
      </c>
      <c r="BE2026" s="46" t="s">
        <v>4399</v>
      </c>
      <c r="BF2026" s="46" t="s">
        <v>4400</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80001012</v>
      </c>
      <c r="D2027" s="18" t="s">
        <v>4401</v>
      </c>
      <c r="E2027" s="285" t="s">
        <v>4402</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4403</v>
      </c>
      <c r="BC2027" s="28">
        <v>0</v>
      </c>
      <c r="BD2027" s="28">
        <v>0</v>
      </c>
      <c r="BE2027" s="46" t="s">
        <v>4404</v>
      </c>
      <c r="BF2027" s="46" t="s">
        <v>4405</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80001013</v>
      </c>
      <c r="D2028" s="18" t="s">
        <v>4406</v>
      </c>
      <c r="E2028" s="285" t="s">
        <v>4407</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4079</v>
      </c>
      <c r="BC2028" s="28">
        <v>0</v>
      </c>
      <c r="BD2028" s="28">
        <v>0</v>
      </c>
      <c r="BE2028" s="46" t="s">
        <v>4408</v>
      </c>
      <c r="BF2028" s="46" t="s">
        <v>4409</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80001014</v>
      </c>
      <c r="D2029" s="18" t="s">
        <v>2858</v>
      </c>
      <c r="E2029" s="285" t="s">
        <v>2859</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4410</v>
      </c>
      <c r="BC2029" s="28">
        <v>0</v>
      </c>
      <c r="BD2029" s="28">
        <v>0</v>
      </c>
      <c r="BE2029" s="46" t="s">
        <v>4411</v>
      </c>
      <c r="BF2029" s="46" t="s">
        <v>4412</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83">
        <v>80001015</v>
      </c>
      <c r="D2030" s="238" t="s">
        <v>4413</v>
      </c>
      <c r="E2030" s="285" t="s">
        <v>4414</v>
      </c>
      <c r="F2030" s="183">
        <v>1</v>
      </c>
      <c r="G2030" s="183">
        <v>80001015</v>
      </c>
      <c r="H2030" s="183">
        <v>0</v>
      </c>
      <c r="I2030" s="183">
        <v>0</v>
      </c>
      <c r="J2030" s="19">
        <v>1</v>
      </c>
      <c r="K2030" s="19">
        <v>0</v>
      </c>
      <c r="L2030" s="183">
        <v>0</v>
      </c>
      <c r="M2030" s="183">
        <v>0</v>
      </c>
      <c r="N2030" s="183">
        <v>0</v>
      </c>
      <c r="O2030" s="183">
        <v>2</v>
      </c>
      <c r="P2030" s="183">
        <v>0</v>
      </c>
      <c r="Q2030" s="183">
        <v>0</v>
      </c>
      <c r="R2030" s="183">
        <v>0</v>
      </c>
      <c r="S2030" s="13">
        <v>0</v>
      </c>
      <c r="T2030" s="183">
        <v>0</v>
      </c>
      <c r="U2030" s="183">
        <v>1</v>
      </c>
      <c r="V2030" s="183">
        <v>2</v>
      </c>
      <c r="W2030" s="183">
        <v>0</v>
      </c>
      <c r="X2030" s="183">
        <v>0</v>
      </c>
      <c r="Y2030" s="13">
        <v>0</v>
      </c>
      <c r="Z2030" s="183">
        <v>0</v>
      </c>
      <c r="AA2030" s="183">
        <v>0</v>
      </c>
      <c r="AB2030" s="183">
        <v>0</v>
      </c>
      <c r="AC2030" s="183">
        <v>0</v>
      </c>
      <c r="AD2030" s="183">
        <v>0</v>
      </c>
      <c r="AE2030" s="183">
        <v>0</v>
      </c>
      <c r="AF2030" s="183">
        <v>9</v>
      </c>
      <c r="AG2030" s="183">
        <v>2</v>
      </c>
      <c r="AH2030" s="183" t="s">
        <v>213</v>
      </c>
      <c r="AI2030" s="183">
        <v>2</v>
      </c>
      <c r="AJ2030" s="183">
        <v>2</v>
      </c>
      <c r="AK2030" s="13">
        <v>0</v>
      </c>
      <c r="AL2030" s="183">
        <v>1.5</v>
      </c>
      <c r="AM2030" s="183">
        <v>0</v>
      </c>
      <c r="AN2030" s="183">
        <v>0</v>
      </c>
      <c r="AO2030" s="183">
        <v>0</v>
      </c>
      <c r="AP2030" s="183">
        <v>1</v>
      </c>
      <c r="AQ2030" s="183">
        <v>3000</v>
      </c>
      <c r="AR2030" s="183">
        <v>0.5</v>
      </c>
      <c r="AS2030" s="183">
        <v>0</v>
      </c>
      <c r="AT2030" s="183">
        <v>0</v>
      </c>
      <c r="AU2030" s="183" t="s">
        <v>198</v>
      </c>
      <c r="AV2030" s="183"/>
      <c r="AW2030" s="238" t="s">
        <v>287</v>
      </c>
      <c r="AX2030" s="183">
        <v>0</v>
      </c>
      <c r="AY2030" s="183">
        <v>0</v>
      </c>
      <c r="AZ2030" s="183">
        <v>0</v>
      </c>
      <c r="BA2030" s="238" t="s">
        <v>200</v>
      </c>
      <c r="BB2030" s="183" t="s">
        <v>4415</v>
      </c>
      <c r="BC2030" s="183">
        <v>0</v>
      </c>
      <c r="BD2030" s="183">
        <v>0</v>
      </c>
      <c r="BE2030" s="243" t="s">
        <v>4416</v>
      </c>
      <c r="BF2030" s="243" t="s">
        <v>4417</v>
      </c>
      <c r="BG2030" s="183"/>
      <c r="BH2030" s="17">
        <v>0</v>
      </c>
      <c r="BI2030" s="183"/>
      <c r="BJ2030" s="183"/>
      <c r="BK2030" s="183"/>
      <c r="BL2030" s="183">
        <v>80002015</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80001016</v>
      </c>
      <c r="D2031" s="18" t="s">
        <v>4418</v>
      </c>
      <c r="E2031" s="285" t="s">
        <v>4419</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4420</v>
      </c>
      <c r="BC2031" s="28">
        <v>0</v>
      </c>
      <c r="BD2031" s="28">
        <v>0</v>
      </c>
      <c r="BE2031" s="46" t="s">
        <v>4421</v>
      </c>
      <c r="BF2031" s="46" t="s">
        <v>4422</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80001017</v>
      </c>
      <c r="D2032" s="18" t="s">
        <v>4423</v>
      </c>
      <c r="E2032" s="285" t="s">
        <v>4424</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4425</v>
      </c>
      <c r="BF2032" s="243" t="s">
        <v>4426</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80001018</v>
      </c>
      <c r="D2033" s="18" t="s">
        <v>4427</v>
      </c>
      <c r="E2033" s="285" t="s">
        <v>4428</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4429</v>
      </c>
      <c r="BC2033" s="28">
        <v>0</v>
      </c>
      <c r="BD2033" s="28">
        <v>0</v>
      </c>
      <c r="BE2033" s="46" t="s">
        <v>4430</v>
      </c>
      <c r="BF2033" s="46" t="s">
        <v>4431</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9">
        <v>80001019</v>
      </c>
      <c r="D2034" s="18" t="s">
        <v>408</v>
      </c>
      <c r="E2034" s="285"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4432</v>
      </c>
      <c r="BC2034" s="28">
        <v>0</v>
      </c>
      <c r="BD2034" s="28">
        <v>0</v>
      </c>
      <c r="BE2034" s="46" t="s">
        <v>4433</v>
      </c>
      <c r="BF2034" s="46" t="s">
        <v>4434</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80001020</v>
      </c>
      <c r="D2035" s="18" t="s">
        <v>4435</v>
      </c>
      <c r="E2035" s="285" t="s">
        <v>4436</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4437</v>
      </c>
      <c r="BC2035" s="28">
        <v>0</v>
      </c>
      <c r="BD2035" s="28">
        <v>0</v>
      </c>
      <c r="BE2035" s="46" t="s">
        <v>4438</v>
      </c>
      <c r="BF2035" s="46" t="s">
        <v>4439</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spans="3:75" ht="20.25" customHeight="1">
      <c r="C2036" s="19">
        <v>80001021</v>
      </c>
      <c r="D2036" s="18" t="s">
        <v>2137</v>
      </c>
      <c r="E2036" s="285" t="s">
        <v>4440</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6">
        <v>23000080</v>
      </c>
      <c r="BA2036" s="18" t="s">
        <v>200</v>
      </c>
      <c r="BB2036" s="20" t="s">
        <v>198</v>
      </c>
      <c r="BC2036" s="28">
        <v>0</v>
      </c>
      <c r="BD2036" s="28">
        <v>0</v>
      </c>
      <c r="BE2036" s="46" t="s">
        <v>4441</v>
      </c>
      <c r="BF2036" s="46" t="s">
        <v>4442</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spans="3:75" ht="20.100000000000001" customHeight="1">
      <c r="C2037" s="19">
        <v>80001022</v>
      </c>
      <c r="D2037" s="18" t="s">
        <v>2141</v>
      </c>
      <c r="E2037" s="285" t="s">
        <v>4443</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48" t="s">
        <v>4444</v>
      </c>
      <c r="AV2037" s="13"/>
      <c r="AW2037" s="18" t="s">
        <v>199</v>
      </c>
      <c r="AX2037" s="13">
        <v>0</v>
      </c>
      <c r="AY2037" s="13" t="s">
        <v>198</v>
      </c>
      <c r="AZ2037" s="13">
        <v>0</v>
      </c>
      <c r="BA2037" s="14" t="s">
        <v>200</v>
      </c>
      <c r="BB2037" s="13">
        <v>0</v>
      </c>
      <c r="BC2037" s="28">
        <v>0</v>
      </c>
      <c r="BD2037" s="28">
        <v>0</v>
      </c>
      <c r="BE2037" s="46" t="s">
        <v>4445</v>
      </c>
      <c r="BF2037" s="46" t="s">
        <v>4446</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spans="3:75" ht="20.100000000000001" customHeight="1">
      <c r="C2038" s="19">
        <v>80001023</v>
      </c>
      <c r="D2038" s="18" t="s">
        <v>294</v>
      </c>
      <c r="E2038" s="285"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4447</v>
      </c>
      <c r="BF2038" s="46" t="s">
        <v>4448</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80001024</v>
      </c>
      <c r="D2039" s="18" t="s">
        <v>4449</v>
      </c>
      <c r="E2039" s="285" t="s">
        <v>4450</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4451</v>
      </c>
      <c r="BC2039" s="28">
        <v>0</v>
      </c>
      <c r="BD2039" s="28">
        <v>0</v>
      </c>
      <c r="BE2039" s="46" t="s">
        <v>4452</v>
      </c>
      <c r="BF2039" s="46" t="s">
        <v>4453</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80001025</v>
      </c>
      <c r="D2040" s="18" t="s">
        <v>4454</v>
      </c>
      <c r="E2040" s="285" t="s">
        <v>4455</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4456</v>
      </c>
      <c r="BF2040" s="44" t="s">
        <v>4457</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80001026</v>
      </c>
      <c r="D2041" s="18" t="s">
        <v>2832</v>
      </c>
      <c r="E2041" s="285" t="s">
        <v>3137</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4458</v>
      </c>
      <c r="BF2041" s="44" t="s">
        <v>4459</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80001027</v>
      </c>
      <c r="D2042" s="18" t="s">
        <v>4460</v>
      </c>
      <c r="E2042" s="285" t="s">
        <v>4461</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4462</v>
      </c>
      <c r="BC2042" s="28">
        <v>0</v>
      </c>
      <c r="BD2042" s="28">
        <v>0</v>
      </c>
      <c r="BE2042" s="46" t="s">
        <v>4463</v>
      </c>
      <c r="BF2042" s="46" t="s">
        <v>4464</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80001028</v>
      </c>
      <c r="D2043" s="18" t="s">
        <v>1903</v>
      </c>
      <c r="E2043" s="285" t="s">
        <v>4465</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4466</v>
      </c>
      <c r="BF2043" s="46" t="s">
        <v>4467</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80002001</v>
      </c>
      <c r="D2044" s="18" t="s">
        <v>4468</v>
      </c>
      <c r="E2044" s="285" t="s">
        <v>4469</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4470</v>
      </c>
      <c r="BC2044" s="28">
        <v>0</v>
      </c>
      <c r="BD2044" s="28">
        <v>0</v>
      </c>
      <c r="BE2044" s="46" t="s">
        <v>4471</v>
      </c>
      <c r="BF2044" s="46" t="s">
        <v>4472</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spans="3:75" ht="20.100000000000001" customHeight="1">
      <c r="C2045" s="19">
        <v>80002002</v>
      </c>
      <c r="D2045" s="18" t="s">
        <v>4473</v>
      </c>
      <c r="E2045" s="285" t="s">
        <v>4474</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spans="3:75" ht="20.100000000000001" customHeight="1">
      <c r="C2046" s="19">
        <v>80002003</v>
      </c>
      <c r="D2046" s="18" t="s">
        <v>4475</v>
      </c>
      <c r="E2046" s="285" t="s">
        <v>4476</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4477</v>
      </c>
      <c r="BC2046" s="28">
        <v>0</v>
      </c>
      <c r="BD2046" s="28">
        <v>0</v>
      </c>
      <c r="BE2046" s="46" t="s">
        <v>4478</v>
      </c>
      <c r="BF2046" s="46" t="s">
        <v>4479</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80002004</v>
      </c>
      <c r="D2047" s="18" t="s">
        <v>4480</v>
      </c>
      <c r="E2047" s="285" t="s">
        <v>4481</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4482</v>
      </c>
      <c r="BC2047" s="28">
        <v>0</v>
      </c>
      <c r="BD2047" s="28">
        <v>0</v>
      </c>
      <c r="BE2047" s="46" t="s">
        <v>4483</v>
      </c>
      <c r="BF2047" s="46" t="s">
        <v>4484</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80002005</v>
      </c>
      <c r="D2048" s="18" t="s">
        <v>4485</v>
      </c>
      <c r="E2048" s="285" t="s">
        <v>4486</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4487</v>
      </c>
      <c r="BC2048" s="28">
        <v>0</v>
      </c>
      <c r="BD2048" s="28">
        <v>0</v>
      </c>
      <c r="BE2048" s="46" t="s">
        <v>4488</v>
      </c>
      <c r="BF2048" s="46" t="s">
        <v>4489</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80002006</v>
      </c>
      <c r="D2049" s="18" t="s">
        <v>4490</v>
      </c>
      <c r="E2049" s="285" t="s">
        <v>4491</v>
      </c>
      <c r="F2049" s="17">
        <v>1</v>
      </c>
      <c r="G2049" s="17">
        <v>80002006</v>
      </c>
      <c r="H2049" s="19">
        <v>0</v>
      </c>
      <c r="I2049" s="28">
        <v>0</v>
      </c>
      <c r="J2049" s="19">
        <v>1</v>
      </c>
      <c r="K2049" s="19">
        <v>0</v>
      </c>
      <c r="L2049" s="19">
        <v>0</v>
      </c>
      <c r="M2049" s="17">
        <v>0</v>
      </c>
      <c r="N2049" s="17">
        <v>0</v>
      </c>
      <c r="O2049" s="17">
        <v>5</v>
      </c>
      <c r="P2049" s="183">
        <v>0</v>
      </c>
      <c r="Q2049" s="183">
        <v>0</v>
      </c>
      <c r="R2049" s="183">
        <v>0</v>
      </c>
      <c r="S2049" s="13">
        <v>0</v>
      </c>
      <c r="T2049" s="183">
        <v>0</v>
      </c>
      <c r="U2049" s="183">
        <v>1</v>
      </c>
      <c r="V2049" s="183">
        <v>2</v>
      </c>
      <c r="W2049" s="183">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3" t="s">
        <v>4492</v>
      </c>
      <c r="BC2049" s="28">
        <v>0</v>
      </c>
      <c r="BD2049" s="28">
        <v>0</v>
      </c>
      <c r="BE2049" s="243" t="s">
        <v>4493</v>
      </c>
      <c r="BF2049" s="243" t="s">
        <v>4494</v>
      </c>
      <c r="BG2049" s="17"/>
      <c r="BH2049" s="17">
        <v>0</v>
      </c>
      <c r="BI2049" s="17"/>
      <c r="BJ2049" s="17"/>
      <c r="BK2049" s="17"/>
      <c r="BL2049" s="183"/>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80002007</v>
      </c>
      <c r="D2050" s="18" t="s">
        <v>4495</v>
      </c>
      <c r="E2050" s="285" t="s">
        <v>4496</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4384</v>
      </c>
      <c r="BF2050" s="46" t="s">
        <v>4385</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80002008</v>
      </c>
      <c r="D2051" s="18" t="s">
        <v>4497</v>
      </c>
      <c r="E2051" s="285" t="s">
        <v>4498</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4499</v>
      </c>
      <c r="BF2051" s="46" t="s">
        <v>4500</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80002009</v>
      </c>
      <c r="D2052" s="18" t="s">
        <v>4501</v>
      </c>
      <c r="E2052" s="285" t="s">
        <v>4502</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4503</v>
      </c>
      <c r="BC2052" s="28">
        <v>0</v>
      </c>
      <c r="BD2052" s="28">
        <v>0</v>
      </c>
      <c r="BE2052" s="46" t="s">
        <v>4504</v>
      </c>
      <c r="BF2052" s="46" t="s">
        <v>4505</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80002010</v>
      </c>
      <c r="D2053" s="18" t="s">
        <v>4506</v>
      </c>
      <c r="E2053" s="285" t="s">
        <v>4507</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4508</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80002011</v>
      </c>
      <c r="D2054" s="18" t="s">
        <v>4509</v>
      </c>
      <c r="E2054" s="285" t="s">
        <v>4510</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4511</v>
      </c>
      <c r="BC2054" s="28">
        <v>0</v>
      </c>
      <c r="BD2054" s="28">
        <v>0</v>
      </c>
      <c r="BE2054" s="46" t="s">
        <v>4512</v>
      </c>
      <c r="BF2054" s="46" t="s">
        <v>4513</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80002012</v>
      </c>
      <c r="D2055" s="18" t="s">
        <v>4514</v>
      </c>
      <c r="E2055" s="285" t="s">
        <v>4515</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4516</v>
      </c>
      <c r="BC2055" s="28">
        <v>0</v>
      </c>
      <c r="BD2055" s="28">
        <v>0</v>
      </c>
      <c r="BE2055" s="46" t="s">
        <v>4517</v>
      </c>
      <c r="BF2055" s="46" t="s">
        <v>4518</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80002013</v>
      </c>
      <c r="D2056" s="18" t="s">
        <v>4519</v>
      </c>
      <c r="E2056" s="285" t="s">
        <v>4520</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4521</v>
      </c>
      <c r="BC2056" s="28">
        <v>0</v>
      </c>
      <c r="BD2056" s="28">
        <v>0</v>
      </c>
      <c r="BE2056" s="46" t="s">
        <v>4522</v>
      </c>
      <c r="BF2056" s="46" t="s">
        <v>4523</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80002014</v>
      </c>
      <c r="D2057" s="18" t="s">
        <v>4524</v>
      </c>
      <c r="E2057" s="285" t="s">
        <v>4525</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4526</v>
      </c>
      <c r="BC2057" s="28">
        <v>0</v>
      </c>
      <c r="BD2057" s="28">
        <v>0</v>
      </c>
      <c r="BE2057" s="46" t="s">
        <v>4527</v>
      </c>
      <c r="BF2057" s="46" t="s">
        <v>4528</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83">
        <v>80002015</v>
      </c>
      <c r="D2058" s="238" t="s">
        <v>4529</v>
      </c>
      <c r="E2058" s="285" t="s">
        <v>4530</v>
      </c>
      <c r="F2058" s="183">
        <v>1</v>
      </c>
      <c r="G2058" s="183">
        <v>80002015</v>
      </c>
      <c r="H2058" s="183">
        <v>0</v>
      </c>
      <c r="I2058" s="183">
        <v>0</v>
      </c>
      <c r="J2058" s="19">
        <v>1</v>
      </c>
      <c r="K2058" s="19">
        <v>0</v>
      </c>
      <c r="L2058" s="183">
        <v>0</v>
      </c>
      <c r="M2058" s="183">
        <v>0</v>
      </c>
      <c r="N2058" s="183">
        <v>0</v>
      </c>
      <c r="O2058" s="183">
        <v>2</v>
      </c>
      <c r="P2058" s="183">
        <v>0</v>
      </c>
      <c r="Q2058" s="183">
        <v>0</v>
      </c>
      <c r="R2058" s="183">
        <v>0</v>
      </c>
      <c r="S2058" s="13">
        <v>0</v>
      </c>
      <c r="T2058" s="183">
        <v>0</v>
      </c>
      <c r="U2058" s="183">
        <v>1</v>
      </c>
      <c r="V2058" s="183">
        <v>2</v>
      </c>
      <c r="W2058" s="183">
        <v>0</v>
      </c>
      <c r="X2058" s="183">
        <v>0</v>
      </c>
      <c r="Y2058" s="13">
        <v>0</v>
      </c>
      <c r="Z2058" s="183">
        <v>0</v>
      </c>
      <c r="AA2058" s="183">
        <v>0</v>
      </c>
      <c r="AB2058" s="183">
        <v>0</v>
      </c>
      <c r="AC2058" s="183">
        <v>0</v>
      </c>
      <c r="AD2058" s="183">
        <v>0</v>
      </c>
      <c r="AE2058" s="183">
        <v>0</v>
      </c>
      <c r="AF2058" s="183">
        <v>9</v>
      </c>
      <c r="AG2058" s="183">
        <v>2</v>
      </c>
      <c r="AH2058" s="183" t="s">
        <v>213</v>
      </c>
      <c r="AI2058" s="183">
        <v>2</v>
      </c>
      <c r="AJ2058" s="183">
        <v>2</v>
      </c>
      <c r="AK2058" s="13">
        <v>0</v>
      </c>
      <c r="AL2058" s="183">
        <v>1.5</v>
      </c>
      <c r="AM2058" s="183">
        <v>0</v>
      </c>
      <c r="AN2058" s="183">
        <v>0</v>
      </c>
      <c r="AO2058" s="183">
        <v>0</v>
      </c>
      <c r="AP2058" s="183">
        <v>1</v>
      </c>
      <c r="AQ2058" s="183">
        <v>3000</v>
      </c>
      <c r="AR2058" s="183">
        <v>0.5</v>
      </c>
      <c r="AS2058" s="183">
        <v>0</v>
      </c>
      <c r="AT2058" s="183">
        <v>0</v>
      </c>
      <c r="AU2058" s="183" t="s">
        <v>198</v>
      </c>
      <c r="AV2058" s="183"/>
      <c r="AW2058" s="18" t="s">
        <v>199</v>
      </c>
      <c r="AX2058" s="183">
        <v>0</v>
      </c>
      <c r="AY2058" s="183">
        <v>0</v>
      </c>
      <c r="AZ2058" s="183">
        <v>0</v>
      </c>
      <c r="BA2058" s="238" t="s">
        <v>200</v>
      </c>
      <c r="BB2058" s="183" t="s">
        <v>4531</v>
      </c>
      <c r="BC2058" s="183">
        <v>0</v>
      </c>
      <c r="BD2058" s="183">
        <v>0</v>
      </c>
      <c r="BE2058" s="243" t="s">
        <v>4532</v>
      </c>
      <c r="BF2058" s="243" t="s">
        <v>4533</v>
      </c>
      <c r="BG2058" s="183"/>
      <c r="BH2058" s="17">
        <v>0</v>
      </c>
      <c r="BI2058" s="183"/>
      <c r="BJ2058" s="183"/>
      <c r="BK2058" s="183"/>
      <c r="BL2058" s="183"/>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80002016</v>
      </c>
      <c r="D2059" s="18" t="s">
        <v>4534</v>
      </c>
      <c r="E2059" s="285" t="s">
        <v>4535</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4536</v>
      </c>
      <c r="BC2059" s="28">
        <v>0</v>
      </c>
      <c r="BD2059" s="28">
        <v>0</v>
      </c>
      <c r="BE2059" s="46" t="s">
        <v>4537</v>
      </c>
      <c r="BF2059" s="46" t="s">
        <v>4538</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80002017</v>
      </c>
      <c r="D2060" s="18" t="s">
        <v>4539</v>
      </c>
      <c r="E2060" s="285" t="s">
        <v>4540</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4541</v>
      </c>
      <c r="BF2060" s="243" t="s">
        <v>4542</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80002018</v>
      </c>
      <c r="D2061" s="18" t="s">
        <v>4543</v>
      </c>
      <c r="E2061" s="285" t="s">
        <v>4544</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4545</v>
      </c>
      <c r="BC2061" s="28">
        <v>0</v>
      </c>
      <c r="BD2061" s="28">
        <v>0</v>
      </c>
      <c r="BE2061" s="46" t="s">
        <v>4546</v>
      </c>
      <c r="BF2061" s="46" t="s">
        <v>4547</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80002019</v>
      </c>
      <c r="D2062" s="18" t="s">
        <v>4548</v>
      </c>
      <c r="E2062" s="285" t="s">
        <v>4549</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4550</v>
      </c>
      <c r="BC2062" s="28">
        <v>0</v>
      </c>
      <c r="BD2062" s="28">
        <v>0</v>
      </c>
      <c r="BE2062" s="46" t="s">
        <v>4551</v>
      </c>
      <c r="BF2062" s="46" t="s">
        <v>4552</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80002020</v>
      </c>
      <c r="D2063" s="18" t="s">
        <v>4553</v>
      </c>
      <c r="E2063" s="285" t="s">
        <v>4554</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4555</v>
      </c>
      <c r="BC2063" s="28">
        <v>0</v>
      </c>
      <c r="BD2063" s="28">
        <v>0</v>
      </c>
      <c r="BE2063" s="46" t="s">
        <v>4556</v>
      </c>
      <c r="BF2063" s="46" t="s">
        <v>4557</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25" customHeight="1">
      <c r="C2064" s="19">
        <v>80002021</v>
      </c>
      <c r="D2064" s="18" t="s">
        <v>4558</v>
      </c>
      <c r="E2064" s="285" t="s">
        <v>4559</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6">
        <v>23000080</v>
      </c>
      <c r="BA2064" s="18" t="s">
        <v>200</v>
      </c>
      <c r="BB2064" s="20" t="s">
        <v>198</v>
      </c>
      <c r="BC2064" s="28">
        <v>0</v>
      </c>
      <c r="BD2064" s="28">
        <v>0</v>
      </c>
      <c r="BE2064" s="46" t="s">
        <v>4560</v>
      </c>
      <c r="BF2064" s="46" t="s">
        <v>4561</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spans="3:75" ht="20.100000000000001" customHeight="1">
      <c r="C2065" s="19">
        <v>80002022</v>
      </c>
      <c r="D2065" s="18" t="s">
        <v>4562</v>
      </c>
      <c r="E2065" s="285" t="s">
        <v>4563</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48"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spans="3:75" ht="20.100000000000001" customHeight="1">
      <c r="C2066" s="19">
        <v>80002023</v>
      </c>
      <c r="D2066" s="18" t="s">
        <v>4564</v>
      </c>
      <c r="E2066" s="285" t="s">
        <v>4565</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80002024</v>
      </c>
      <c r="D2067" s="18" t="s">
        <v>4566</v>
      </c>
      <c r="E2067" s="285" t="s">
        <v>4567</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4451</v>
      </c>
      <c r="BC2067" s="28">
        <v>0</v>
      </c>
      <c r="BD2067" s="28">
        <v>0</v>
      </c>
      <c r="BE2067" s="46" t="s">
        <v>4568</v>
      </c>
      <c r="BF2067" s="46" t="s">
        <v>4569</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80002025</v>
      </c>
      <c r="D2068" s="18" t="s">
        <v>4570</v>
      </c>
      <c r="E2068" s="285" t="s">
        <v>4571</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4572</v>
      </c>
      <c r="BF2068" s="44" t="s">
        <v>4573</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80002026</v>
      </c>
      <c r="D2069" s="18" t="s">
        <v>4574</v>
      </c>
      <c r="E2069" s="285" t="s">
        <v>4575</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4576</v>
      </c>
      <c r="BF2069" s="44" t="s">
        <v>4577</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80002027</v>
      </c>
      <c r="D2070" s="18" t="s">
        <v>4578</v>
      </c>
      <c r="E2070" s="285" t="s">
        <v>4579</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4462</v>
      </c>
      <c r="BC2070" s="28">
        <v>0</v>
      </c>
      <c r="BD2070" s="28">
        <v>0</v>
      </c>
      <c r="BE2070" s="46" t="s">
        <v>4580</v>
      </c>
      <c r="BF2070" s="46" t="s">
        <v>4581</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80002028</v>
      </c>
      <c r="D2071" s="18" t="s">
        <v>4582</v>
      </c>
      <c r="E2071" s="285" t="s">
        <v>4583</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80003001</v>
      </c>
      <c r="D2072" s="61" t="s">
        <v>4584</v>
      </c>
      <c r="E2072" s="61" t="s">
        <v>4585</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4586</v>
      </c>
      <c r="BF2072" s="92" t="s">
        <v>4587</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spans="3:75" ht="20.100000000000001" customHeight="1">
      <c r="C2073" s="19">
        <v>80003002</v>
      </c>
      <c r="D2073" s="61" t="s">
        <v>4588</v>
      </c>
      <c r="E2073" s="61" t="s">
        <v>4589</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2" t="s">
        <v>4590</v>
      </c>
      <c r="AV2073" s="62"/>
      <c r="AW2073" s="61" t="s">
        <v>198</v>
      </c>
      <c r="AX2073" s="62">
        <v>0</v>
      </c>
      <c r="AY2073" s="66">
        <v>0</v>
      </c>
      <c r="AZ2073" s="66">
        <v>0</v>
      </c>
      <c r="BA2073" s="61" t="s">
        <v>200</v>
      </c>
      <c r="BB2073" s="62">
        <v>0</v>
      </c>
      <c r="BC2073" s="68">
        <v>0</v>
      </c>
      <c r="BD2073" s="68">
        <v>1</v>
      </c>
      <c r="BE2073" s="92" t="s">
        <v>4591</v>
      </c>
      <c r="BF2073" s="92" t="s">
        <v>4592</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spans="3:75" ht="19.5" customHeight="1">
      <c r="C2074" s="19">
        <v>80003003</v>
      </c>
      <c r="D2074" s="61" t="s">
        <v>4593</v>
      </c>
      <c r="E2074" s="61" t="s">
        <v>4594</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4595</v>
      </c>
      <c r="BF2074" s="92" t="s">
        <v>4596</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spans="3:75" ht="19.5" customHeight="1">
      <c r="C2075" s="66">
        <v>80003004</v>
      </c>
      <c r="D2075" s="65" t="s">
        <v>4597</v>
      </c>
      <c r="E2075" s="65" t="s">
        <v>4598</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4599</v>
      </c>
      <c r="BF2075" s="94" t="s">
        <v>4600</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spans="3:75" ht="18.75" customHeight="1">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4601</v>
      </c>
      <c r="BF2076" s="94" t="s">
        <v>4602</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spans="3:75" ht="19.5" customHeight="1">
      <c r="C2077" s="19">
        <v>80003006</v>
      </c>
      <c r="D2077" s="61" t="s">
        <v>4603</v>
      </c>
      <c r="E2077" s="61" t="s">
        <v>4604</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4605</v>
      </c>
      <c r="BF2077" s="92" t="s">
        <v>4606</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spans="3:75" ht="20.100000000000001" customHeight="1">
      <c r="C2078" s="19">
        <v>80003007</v>
      </c>
      <c r="D2078" s="61" t="s">
        <v>4607</v>
      </c>
      <c r="E2078" s="61" t="s">
        <v>4608</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4609</v>
      </c>
      <c r="BF2078" s="123" t="s">
        <v>4610</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19">
        <v>80003008</v>
      </c>
      <c r="D2079" s="61" t="s">
        <v>4611</v>
      </c>
      <c r="E2079" s="61" t="s">
        <v>4612</v>
      </c>
      <c r="F2079" s="66">
        <v>1</v>
      </c>
      <c r="G2079" s="19">
        <v>80003008</v>
      </c>
      <c r="H2079" s="66">
        <v>0</v>
      </c>
      <c r="I2079" s="68">
        <v>0</v>
      </c>
      <c r="J2079" s="66">
        <v>1</v>
      </c>
      <c r="K2079" s="66">
        <v>0</v>
      </c>
      <c r="L2079" s="66">
        <v>0</v>
      </c>
      <c r="M2079" s="62">
        <v>0</v>
      </c>
      <c r="N2079" s="62">
        <v>0</v>
      </c>
      <c r="O2079" s="62">
        <v>2</v>
      </c>
      <c r="P2079" s="62" t="s">
        <v>4613</v>
      </c>
      <c r="Q2079" s="62" t="s">
        <v>4614</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49" t="s">
        <v>4615</v>
      </c>
      <c r="AU2079" s="62">
        <v>80005072</v>
      </c>
      <c r="AV2079" s="62"/>
      <c r="AW2079" s="65" t="s">
        <v>198</v>
      </c>
      <c r="AX2079" s="62" t="s">
        <v>534</v>
      </c>
      <c r="AY2079" s="66">
        <v>0</v>
      </c>
      <c r="AZ2079" s="66">
        <v>0</v>
      </c>
      <c r="BA2079" s="61" t="s">
        <v>200</v>
      </c>
      <c r="BB2079" s="62">
        <v>0</v>
      </c>
      <c r="BC2079" s="68">
        <v>0</v>
      </c>
      <c r="BD2079" s="68">
        <v>0</v>
      </c>
      <c r="BE2079" s="92" t="s">
        <v>4616</v>
      </c>
      <c r="BF2079" s="92" t="s">
        <v>4617</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spans="3:75" ht="20.100000000000001" customHeight="1">
      <c r="C2080" s="19">
        <v>80003101</v>
      </c>
      <c r="D2080" s="18" t="s">
        <v>4618</v>
      </c>
      <c r="E2080" s="18" t="s">
        <v>4619</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4620</v>
      </c>
      <c r="BF2080" s="46" t="s">
        <v>4621</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spans="3:75" ht="20.100000000000001" customHeight="1">
      <c r="C2081" s="19">
        <v>80003102</v>
      </c>
      <c r="D2081" s="18" t="s">
        <v>4622</v>
      </c>
      <c r="E2081" s="18" t="s">
        <v>4623</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4620</v>
      </c>
      <c r="BF2081" s="46" t="s">
        <v>4621</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spans="3:75" ht="20.100000000000001" customHeight="1">
      <c r="C2082" s="19">
        <v>80003103</v>
      </c>
      <c r="D2082" s="18" t="s">
        <v>4624</v>
      </c>
      <c r="E2082" s="18" t="s">
        <v>4625</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4620</v>
      </c>
      <c r="BF2082" s="46" t="s">
        <v>4621</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spans="3:75" ht="20.100000000000001" customHeight="1">
      <c r="C2083" s="19">
        <v>80003104</v>
      </c>
      <c r="D2083" s="18" t="s">
        <v>4626</v>
      </c>
      <c r="E2083" s="18" t="s">
        <v>4627</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4620</v>
      </c>
      <c r="BF2083" s="46" t="s">
        <v>4621</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spans="3:75" ht="20.100000000000001" customHeight="1">
      <c r="C2084" s="19">
        <v>80003105</v>
      </c>
      <c r="D2084" s="18" t="s">
        <v>4628</v>
      </c>
      <c r="E2084" s="18" t="s">
        <v>4629</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4620</v>
      </c>
      <c r="BF2084" s="46" t="s">
        <v>4621</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80003106</v>
      </c>
      <c r="D2085" s="18" t="s">
        <v>4630</v>
      </c>
      <c r="E2085" s="18" t="s">
        <v>4631</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4632</v>
      </c>
      <c r="BF2085" s="46" t="s">
        <v>4633</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80003107</v>
      </c>
      <c r="D2086" s="18" t="s">
        <v>4634</v>
      </c>
      <c r="E2086" s="18" t="s">
        <v>4635</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4636</v>
      </c>
      <c r="BF2086" s="46" t="s">
        <v>4637</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80003108</v>
      </c>
      <c r="D2087" s="18" t="s">
        <v>4638</v>
      </c>
      <c r="E2087" s="18" t="s">
        <v>4639</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4640</v>
      </c>
      <c r="BF2087" s="46" t="s">
        <v>4641</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80003109</v>
      </c>
      <c r="D2088" s="18" t="s">
        <v>4642</v>
      </c>
      <c r="E2088" s="18" t="s">
        <v>4643</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4644</v>
      </c>
      <c r="BF2088" s="46" t="s">
        <v>4645</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80003110</v>
      </c>
      <c r="D2089" s="18" t="s">
        <v>4646</v>
      </c>
      <c r="E2089" s="18" t="s">
        <v>4647</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4648</v>
      </c>
      <c r="BF2089" s="46" t="s">
        <v>4649</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80004001</v>
      </c>
      <c r="D2090" s="61" t="s">
        <v>4650</v>
      </c>
      <c r="E2090" s="61" t="s">
        <v>4651</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4652</v>
      </c>
      <c r="BF2090" s="46" t="s">
        <v>4653</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spans="3:75" ht="19.5" customHeight="1">
      <c r="C2091" s="19">
        <v>80004002</v>
      </c>
      <c r="D2091" s="18" t="s">
        <v>4654</v>
      </c>
      <c r="E2091" s="18" t="s">
        <v>4655</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4656</v>
      </c>
      <c r="BF2091" s="46" t="s">
        <v>4657</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spans="3:75" ht="20.100000000000001" customHeight="1">
      <c r="C2092" s="19">
        <v>80004003</v>
      </c>
      <c r="D2092" s="18" t="s">
        <v>4658</v>
      </c>
      <c r="E2092" s="18" t="s">
        <v>4659</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4660</v>
      </c>
      <c r="BF2092" s="46" t="s">
        <v>4661</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80004004</v>
      </c>
      <c r="D2093" s="18" t="s">
        <v>4662</v>
      </c>
      <c r="E2093" s="18" t="s">
        <v>4663</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4664</v>
      </c>
      <c r="BC2093" s="28">
        <v>0</v>
      </c>
      <c r="BD2093" s="28">
        <v>0</v>
      </c>
      <c r="BE2093" s="46" t="s">
        <v>4665</v>
      </c>
      <c r="BF2093" s="46" t="s">
        <v>4666</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spans="3:75" ht="19.5" customHeight="1">
      <c r="C2094" s="66">
        <v>80004005</v>
      </c>
      <c r="D2094" s="61" t="s">
        <v>4650</v>
      </c>
      <c r="E2094" s="61" t="s">
        <v>4651</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49" t="s">
        <v>4667</v>
      </c>
      <c r="AU2094" s="81">
        <v>0</v>
      </c>
      <c r="AV2094" s="81"/>
      <c r="AW2094" s="61" t="s">
        <v>198</v>
      </c>
      <c r="AX2094" s="62">
        <v>0</v>
      </c>
      <c r="AY2094" s="66">
        <v>0</v>
      </c>
      <c r="AZ2094" s="66">
        <v>0</v>
      </c>
      <c r="BA2094" s="61" t="s">
        <v>200</v>
      </c>
      <c r="BB2094" s="62">
        <v>0</v>
      </c>
      <c r="BC2094" s="68">
        <v>0</v>
      </c>
      <c r="BD2094" s="68">
        <v>0</v>
      </c>
      <c r="BE2094" s="92" t="s">
        <v>4668</v>
      </c>
      <c r="BF2094" s="92" t="s">
        <v>4669</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spans="3:75" ht="19.5" customHeight="1">
      <c r="C2095" s="66">
        <v>80004006</v>
      </c>
      <c r="D2095" s="61" t="s">
        <v>4670</v>
      </c>
      <c r="E2095" s="61" t="s">
        <v>4671</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4672</v>
      </c>
      <c r="BF2095" s="92" t="s">
        <v>4673</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spans="3:75" ht="19.5" customHeight="1">
      <c r="C2096" s="66">
        <v>80004007</v>
      </c>
      <c r="D2096" s="61" t="s">
        <v>4674</v>
      </c>
      <c r="E2096" s="61" t="s">
        <v>4675</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1" t="s">
        <v>4676</v>
      </c>
      <c r="AV2096" s="81"/>
      <c r="AW2096" s="61" t="s">
        <v>287</v>
      </c>
      <c r="AX2096" s="62">
        <v>0</v>
      </c>
      <c r="AY2096" s="66">
        <v>0</v>
      </c>
      <c r="AZ2096" s="66">
        <v>23000202</v>
      </c>
      <c r="BA2096" s="61" t="s">
        <v>200</v>
      </c>
      <c r="BB2096" s="62">
        <v>0</v>
      </c>
      <c r="BC2096" s="68">
        <v>0</v>
      </c>
      <c r="BD2096" s="68">
        <v>0</v>
      </c>
      <c r="BE2096" s="92" t="s">
        <v>4677</v>
      </c>
      <c r="BF2096" s="92" t="s">
        <v>4678</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spans="3:75" ht="19.5" customHeight="1">
      <c r="C2097" s="66">
        <v>80004008</v>
      </c>
      <c r="D2097" s="61" t="s">
        <v>4679</v>
      </c>
      <c r="E2097" s="61" t="s">
        <v>4680</v>
      </c>
      <c r="F2097" s="66">
        <v>1</v>
      </c>
      <c r="G2097" s="66">
        <v>80004008</v>
      </c>
      <c r="H2097" s="66">
        <v>0</v>
      </c>
      <c r="I2097" s="68">
        <v>0</v>
      </c>
      <c r="J2097" s="66">
        <v>1</v>
      </c>
      <c r="K2097" s="66">
        <v>0</v>
      </c>
      <c r="L2097" s="66">
        <v>0</v>
      </c>
      <c r="M2097" s="62">
        <v>0</v>
      </c>
      <c r="N2097" s="62">
        <v>0</v>
      </c>
      <c r="O2097" s="62">
        <v>2</v>
      </c>
      <c r="P2097" s="62" t="s">
        <v>4681</v>
      </c>
      <c r="Q2097" s="62" t="s">
        <v>4682</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0" t="s">
        <v>4683</v>
      </c>
      <c r="AU2097" s="341" t="s">
        <v>4684</v>
      </c>
      <c r="AV2097" s="81"/>
      <c r="AW2097" s="61" t="s">
        <v>287</v>
      </c>
      <c r="AX2097" s="62">
        <v>0</v>
      </c>
      <c r="AY2097" s="66">
        <v>0</v>
      </c>
      <c r="AZ2097" s="66">
        <v>23000211</v>
      </c>
      <c r="BA2097" s="61" t="s">
        <v>200</v>
      </c>
      <c r="BB2097" s="62">
        <v>0</v>
      </c>
      <c r="BC2097" s="68">
        <v>0</v>
      </c>
      <c r="BD2097" s="68">
        <v>0</v>
      </c>
      <c r="BE2097" s="92" t="s">
        <v>4685</v>
      </c>
      <c r="BF2097" s="92" t="s">
        <v>4686</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spans="3:75" ht="19.5" customHeight="1">
      <c r="C2098" s="66">
        <v>80004009</v>
      </c>
      <c r="D2098" s="61" t="s">
        <v>4687</v>
      </c>
      <c r="E2098" s="61" t="s">
        <v>4688</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1"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20.100000000000001" customHeight="1">
      <c r="C2099" s="66">
        <v>80004010</v>
      </c>
      <c r="D2099" s="61" t="s">
        <v>4689</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49" t="s">
        <v>4690</v>
      </c>
      <c r="AU2099" s="341" t="s">
        <v>4691</v>
      </c>
      <c r="AV2099" s="81"/>
      <c r="AW2099" s="61" t="s">
        <v>199</v>
      </c>
      <c r="AX2099" s="62" t="s">
        <v>215</v>
      </c>
      <c r="AY2099" s="66">
        <v>10000011</v>
      </c>
      <c r="AZ2099" s="66">
        <v>23000221</v>
      </c>
      <c r="BA2099" s="61" t="s">
        <v>216</v>
      </c>
      <c r="BB2099" s="62">
        <v>0</v>
      </c>
      <c r="BC2099" s="68">
        <v>0</v>
      </c>
      <c r="BD2099" s="68">
        <v>0</v>
      </c>
      <c r="BE2099" s="92" t="s">
        <v>4692</v>
      </c>
      <c r="BF2099" s="92" t="s">
        <v>4693</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20.100000000000001" customHeight="1">
      <c r="C2100" s="66">
        <v>80004011</v>
      </c>
      <c r="D2100" s="61" t="s">
        <v>4689</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49" t="s">
        <v>4694</v>
      </c>
      <c r="AU2100" s="341" t="s">
        <v>4691</v>
      </c>
      <c r="AV2100" s="81"/>
      <c r="AW2100" s="61" t="s">
        <v>199</v>
      </c>
      <c r="AX2100" s="62" t="s">
        <v>215</v>
      </c>
      <c r="AY2100" s="66">
        <v>10000011</v>
      </c>
      <c r="AZ2100" s="66">
        <v>23000221</v>
      </c>
      <c r="BA2100" s="61" t="s">
        <v>216</v>
      </c>
      <c r="BB2100" s="62">
        <v>0</v>
      </c>
      <c r="BC2100" s="68">
        <v>0</v>
      </c>
      <c r="BD2100" s="68">
        <v>0</v>
      </c>
      <c r="BE2100" s="92" t="s">
        <v>4695</v>
      </c>
      <c r="BF2100" s="92" t="s">
        <v>4696</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4697</v>
      </c>
      <c r="BF2101" s="92" t="s">
        <v>4698</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20.100000000000001" customHeight="1">
      <c r="C2102" s="66">
        <v>80004013</v>
      </c>
      <c r="D2102" s="61" t="s">
        <v>4658</v>
      </c>
      <c r="E2102" s="61" t="s">
        <v>4659</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4699</v>
      </c>
      <c r="BF2102" s="92" t="s">
        <v>4700</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spans="3:75" ht="20.100000000000001" customHeight="1">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6" t="s">
        <v>4701</v>
      </c>
      <c r="AV2103" s="19"/>
      <c r="AW2103" s="20" t="s">
        <v>199</v>
      </c>
      <c r="AX2103" s="19" t="s">
        <v>534</v>
      </c>
      <c r="AY2103" s="19">
        <v>10000007</v>
      </c>
      <c r="AZ2103" s="19">
        <v>70403003</v>
      </c>
      <c r="BA2103" s="18" t="s">
        <v>1528</v>
      </c>
      <c r="BB2103" s="20">
        <v>0</v>
      </c>
      <c r="BC2103" s="28">
        <v>0</v>
      </c>
      <c r="BD2103" s="28">
        <v>0</v>
      </c>
      <c r="BE2103" s="186" t="s">
        <v>4702</v>
      </c>
      <c r="BF2103" s="186" t="s">
        <v>4703</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spans="3:75" ht="19.5" customHeight="1">
      <c r="C2104" s="19">
        <v>81000120</v>
      </c>
      <c r="D2104" s="20" t="s">
        <v>4294</v>
      </c>
      <c r="E2104" s="20" t="s">
        <v>4295</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4704</v>
      </c>
      <c r="BF2104" s="186" t="s">
        <v>4705</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spans="3:75" ht="20.100000000000001" customHeight="1">
      <c r="C2105" s="19">
        <v>81000130</v>
      </c>
      <c r="D2105" s="20" t="s">
        <v>4706</v>
      </c>
      <c r="E2105" s="20" t="s">
        <v>4707</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4708</v>
      </c>
      <c r="BF2105" s="186" t="s">
        <v>4709</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spans="3:75" ht="20.100000000000001" customHeight="1">
      <c r="C2106" s="19">
        <v>81000140</v>
      </c>
      <c r="D2106" s="20" t="s">
        <v>4710</v>
      </c>
      <c r="E2106" s="20" t="s">
        <v>4711</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4712</v>
      </c>
      <c r="BF2106" s="186" t="s">
        <v>4713</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spans="3:75" ht="20.100000000000001" customHeight="1">
      <c r="C2107" s="19">
        <v>81000150</v>
      </c>
      <c r="D2107" s="65" t="s">
        <v>4714</v>
      </c>
      <c r="E2107" s="65" t="s">
        <v>4715</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4716</v>
      </c>
      <c r="BC2107" s="68">
        <v>0</v>
      </c>
      <c r="BD2107" s="68">
        <v>0</v>
      </c>
      <c r="BE2107" s="94" t="s">
        <v>4717</v>
      </c>
      <c r="BF2107" s="94" t="s">
        <v>4718</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spans="3:75" ht="19.5" customHeight="1">
      <c r="C2108" s="19">
        <v>81000151</v>
      </c>
      <c r="D2108" s="65" t="s">
        <v>4719</v>
      </c>
      <c r="E2108" s="65" t="s">
        <v>4720</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7" t="s">
        <v>4721</v>
      </c>
      <c r="BF2108" s="207" t="s">
        <v>4722</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spans="3:75" ht="19.5" customHeight="1">
      <c r="C2109" s="19">
        <v>81000160</v>
      </c>
      <c r="D2109" s="18" t="s">
        <v>4723</v>
      </c>
      <c r="E2109" s="18" t="s">
        <v>4724</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6" t="s">
        <v>4701</v>
      </c>
      <c r="AV2109" s="19"/>
      <c r="AW2109" s="20" t="s">
        <v>199</v>
      </c>
      <c r="AX2109" s="17" t="s">
        <v>534</v>
      </c>
      <c r="AY2109" s="19">
        <v>10000007</v>
      </c>
      <c r="AZ2109" s="19">
        <v>21101050</v>
      </c>
      <c r="BA2109" s="18" t="s">
        <v>4725</v>
      </c>
      <c r="BB2109" s="17">
        <v>0</v>
      </c>
      <c r="BC2109" s="28">
        <v>0</v>
      </c>
      <c r="BD2109" s="28">
        <v>0</v>
      </c>
      <c r="BE2109" s="186" t="s">
        <v>4726</v>
      </c>
      <c r="BF2109" s="186" t="s">
        <v>4727</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spans="3:75" ht="20.100000000000001" customHeight="1">
      <c r="C2110" s="19">
        <v>81000170</v>
      </c>
      <c r="D2110" s="18" t="s">
        <v>4728</v>
      </c>
      <c r="E2110" s="18" t="s">
        <v>4729</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4730</v>
      </c>
      <c r="BF2110" s="172" t="s">
        <v>4731</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spans="3:75" ht="20.100000000000001" customHeight="1">
      <c r="C2111" s="19">
        <v>81000310</v>
      </c>
      <c r="D2111" s="18" t="s">
        <v>4732</v>
      </c>
      <c r="E2111" s="18" t="s">
        <v>4733</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4734</v>
      </c>
      <c r="BF2111" s="44" t="s">
        <v>4735</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spans="3:75" ht="20.100000000000001" customHeight="1">
      <c r="C2112" s="19">
        <v>81000320</v>
      </c>
      <c r="D2112" s="18" t="s">
        <v>4736</v>
      </c>
      <c r="E2112" s="18" t="s">
        <v>4737</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4738</v>
      </c>
      <c r="BF2112" s="44" t="s">
        <v>4739</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spans="3:75" ht="19.5" customHeight="1">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4740</v>
      </c>
      <c r="BF2113" s="186" t="s">
        <v>4741</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4742</v>
      </c>
      <c r="BF2114" s="186" t="s">
        <v>4743</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spans="3:75" ht="19.5" customHeight="1">
      <c r="C2115" s="19">
        <v>81000350</v>
      </c>
      <c r="D2115" s="18" t="s">
        <v>4744</v>
      </c>
      <c r="E2115" s="18" t="s">
        <v>4745</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4725</v>
      </c>
      <c r="BB2115" s="17">
        <v>0</v>
      </c>
      <c r="BC2115" s="28">
        <v>0</v>
      </c>
      <c r="BD2115" s="28">
        <v>0</v>
      </c>
      <c r="BE2115" s="186" t="s">
        <v>4746</v>
      </c>
      <c r="BF2115" s="186" t="s">
        <v>4747</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spans="3:75" ht="19.5" customHeight="1">
      <c r="C2116" s="19">
        <v>81000360</v>
      </c>
      <c r="D2116" s="189" t="s">
        <v>4748</v>
      </c>
      <c r="E2116" s="189" t="s">
        <v>4749</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4750</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spans="3:75" ht="19.5" customHeight="1">
      <c r="C2117" s="19">
        <v>81000370</v>
      </c>
      <c r="D2117" s="20" t="s">
        <v>4751</v>
      </c>
      <c r="E2117" s="20" t="s">
        <v>4752</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87">
        <v>81000370</v>
      </c>
      <c r="AV2117" s="288"/>
      <c r="AW2117" s="20" t="s">
        <v>199</v>
      </c>
      <c r="AX2117" s="19" t="s">
        <v>534</v>
      </c>
      <c r="AY2117" s="19">
        <v>10003002</v>
      </c>
      <c r="AZ2117" s="19">
        <v>21100060</v>
      </c>
      <c r="BA2117" s="20" t="s">
        <v>200</v>
      </c>
      <c r="BB2117" s="20">
        <v>0</v>
      </c>
      <c r="BC2117" s="28">
        <v>0</v>
      </c>
      <c r="BD2117" s="28">
        <v>0</v>
      </c>
      <c r="BE2117" s="186" t="s">
        <v>4753</v>
      </c>
      <c r="BF2117" s="186" t="s">
        <v>4754</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67000262</v>
      </c>
      <c r="D2118" s="18" t="s">
        <v>4755</v>
      </c>
      <c r="E2118" s="18" t="s">
        <v>4756</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4757</v>
      </c>
      <c r="BB2118" s="17">
        <v>0</v>
      </c>
      <c r="BC2118" s="28">
        <v>0</v>
      </c>
      <c r="BD2118" s="28">
        <v>1</v>
      </c>
      <c r="BE2118" s="46" t="s">
        <v>4758</v>
      </c>
      <c r="BF2118" s="46" t="s">
        <v>4759</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spans="3:75" ht="20.100000000000001" customHeight="1">
      <c r="C2119" s="19">
        <v>67000263</v>
      </c>
      <c r="D2119" s="18" t="s">
        <v>4760</v>
      </c>
      <c r="E2119" s="18" t="s">
        <v>4761</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4762</v>
      </c>
      <c r="AV2119" s="17"/>
      <c r="AW2119" s="18" t="s">
        <v>287</v>
      </c>
      <c r="AX2119" s="17">
        <v>0</v>
      </c>
      <c r="AY2119" s="19">
        <v>0</v>
      </c>
      <c r="AZ2119" s="19">
        <v>0</v>
      </c>
      <c r="BA2119" s="18" t="s">
        <v>200</v>
      </c>
      <c r="BB2119" s="17">
        <v>0</v>
      </c>
      <c r="BC2119" s="28">
        <v>0</v>
      </c>
      <c r="BD2119" s="28">
        <v>1</v>
      </c>
      <c r="BE2119" s="46" t="s">
        <v>4763</v>
      </c>
      <c r="BF2119" s="46" t="s">
        <v>4764</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spans="3:75" ht="20.100000000000001" customHeight="1">
      <c r="C2120" s="19">
        <v>67000264</v>
      </c>
      <c r="D2120" s="61" t="s">
        <v>4765</v>
      </c>
      <c r="E2120" s="61" t="s">
        <v>4766</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4767</v>
      </c>
      <c r="BF2120" s="92" t="s">
        <v>4768</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spans="3:75" ht="20.100000000000001" customHeight="1">
      <c r="C2121" s="19">
        <v>67000265</v>
      </c>
      <c r="D2121" s="18" t="s">
        <v>4769</v>
      </c>
      <c r="E2121" s="18" t="s">
        <v>4770</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4757</v>
      </c>
      <c r="BB2121" s="17">
        <v>0</v>
      </c>
      <c r="BC2121" s="28">
        <v>0</v>
      </c>
      <c r="BD2121" s="28">
        <v>1</v>
      </c>
      <c r="BE2121" s="46" t="s">
        <v>4771</v>
      </c>
      <c r="BF2121" s="46" t="s">
        <v>4772</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spans="3:75" ht="20.100000000000001" customHeight="1">
      <c r="C2122" s="19">
        <v>67000266</v>
      </c>
      <c r="D2122" s="18" t="s">
        <v>4773</v>
      </c>
      <c r="E2122" s="18" t="s">
        <v>4774</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4775</v>
      </c>
      <c r="AV2122" s="17"/>
      <c r="AW2122" s="18" t="s">
        <v>287</v>
      </c>
      <c r="AX2122" s="17">
        <v>0</v>
      </c>
      <c r="AY2122" s="19">
        <v>0</v>
      </c>
      <c r="AZ2122" s="19">
        <v>0</v>
      </c>
      <c r="BA2122" s="18" t="s">
        <v>200</v>
      </c>
      <c r="BB2122" s="17">
        <v>0</v>
      </c>
      <c r="BC2122" s="28">
        <v>0</v>
      </c>
      <c r="BD2122" s="28">
        <v>1</v>
      </c>
      <c r="BE2122" s="46" t="s">
        <v>4776</v>
      </c>
      <c r="BF2122" s="46" t="s">
        <v>4777</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67000267</v>
      </c>
      <c r="D2123" s="61" t="s">
        <v>4778</v>
      </c>
      <c r="E2123" s="61" t="s">
        <v>4779</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4780</v>
      </c>
      <c r="BF2123" s="92" t="s">
        <v>4781</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67000268</v>
      </c>
      <c r="D2124" s="61" t="s">
        <v>4782</v>
      </c>
      <c r="E2124" s="61" t="s">
        <v>4783</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4784</v>
      </c>
      <c r="AV2124" s="62"/>
      <c r="AW2124" s="61" t="s">
        <v>287</v>
      </c>
      <c r="AX2124" s="17">
        <v>0</v>
      </c>
      <c r="AY2124" s="66">
        <v>10000007</v>
      </c>
      <c r="AZ2124" s="19">
        <v>23000030</v>
      </c>
      <c r="BA2124" s="61" t="s">
        <v>200</v>
      </c>
      <c r="BB2124" s="62">
        <v>0</v>
      </c>
      <c r="BC2124" s="68">
        <v>0</v>
      </c>
      <c r="BD2124" s="28">
        <v>1</v>
      </c>
      <c r="BE2124" s="92" t="s">
        <v>4785</v>
      </c>
      <c r="BF2124" s="92" t="s">
        <v>4786</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67000269</v>
      </c>
      <c r="D2125" s="61" t="s">
        <v>4787</v>
      </c>
      <c r="E2125" s="61" t="s">
        <v>4788</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4789</v>
      </c>
      <c r="BF2125" s="92" t="s">
        <v>4790</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67000270</v>
      </c>
      <c r="D2126" s="18" t="s">
        <v>4791</v>
      </c>
      <c r="E2126" s="18" t="s">
        <v>4792</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4793</v>
      </c>
      <c r="AV2126" s="17"/>
      <c r="AW2126" s="18" t="s">
        <v>287</v>
      </c>
      <c r="AX2126" s="17">
        <v>0</v>
      </c>
      <c r="AY2126" s="19">
        <v>0</v>
      </c>
      <c r="AZ2126" s="19">
        <v>0</v>
      </c>
      <c r="BA2126" s="18" t="s">
        <v>200</v>
      </c>
      <c r="BB2126" s="17">
        <v>0</v>
      </c>
      <c r="BC2126" s="28">
        <v>0</v>
      </c>
      <c r="BD2126" s="28">
        <v>1</v>
      </c>
      <c r="BE2126" s="46" t="s">
        <v>4794</v>
      </c>
      <c r="BF2126" s="46" t="s">
        <v>4795</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67000271</v>
      </c>
      <c r="D2127" s="18" t="s">
        <v>4796</v>
      </c>
      <c r="E2127" s="18" t="s">
        <v>4797</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4798</v>
      </c>
      <c r="AV2127" s="17"/>
      <c r="AW2127" s="18" t="s">
        <v>287</v>
      </c>
      <c r="AX2127" s="17">
        <v>0</v>
      </c>
      <c r="AY2127" s="19">
        <v>0</v>
      </c>
      <c r="AZ2127" s="19">
        <v>0</v>
      </c>
      <c r="BA2127" s="18" t="s">
        <v>200</v>
      </c>
      <c r="BB2127" s="17">
        <v>0</v>
      </c>
      <c r="BC2127" s="28">
        <v>0</v>
      </c>
      <c r="BD2127" s="28">
        <v>1</v>
      </c>
      <c r="BE2127" s="46" t="s">
        <v>4799</v>
      </c>
      <c r="BF2127" s="46" t="s">
        <v>4800</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67000272</v>
      </c>
      <c r="D2128" s="18" t="s">
        <v>4801</v>
      </c>
      <c r="E2128" s="18" t="s">
        <v>4802</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4803</v>
      </c>
      <c r="AV2128" s="17"/>
      <c r="AW2128" s="18" t="s">
        <v>287</v>
      </c>
      <c r="AX2128" s="17">
        <v>0</v>
      </c>
      <c r="AY2128" s="19">
        <v>0</v>
      </c>
      <c r="AZ2128" s="19">
        <v>0</v>
      </c>
      <c r="BA2128" s="18" t="s">
        <v>200</v>
      </c>
      <c r="BB2128" s="17">
        <v>0</v>
      </c>
      <c r="BC2128" s="28">
        <v>0</v>
      </c>
      <c r="BD2128" s="28">
        <v>1</v>
      </c>
      <c r="BE2128" s="46" t="s">
        <v>4804</v>
      </c>
      <c r="BF2128" s="46" t="s">
        <v>4805</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67000273</v>
      </c>
      <c r="D2129" s="18" t="s">
        <v>4806</v>
      </c>
      <c r="E2129" s="18" t="s">
        <v>4807</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4808</v>
      </c>
      <c r="BF2129" s="46" t="s">
        <v>4809</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67000274</v>
      </c>
      <c r="D2130" s="18" t="s">
        <v>4810</v>
      </c>
      <c r="E2130" s="18" t="s">
        <v>4811</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4812</v>
      </c>
      <c r="BF2130" s="46" t="s">
        <v>4813</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67000275</v>
      </c>
      <c r="D2131" s="61" t="s">
        <v>4814</v>
      </c>
      <c r="E2131" s="61" t="s">
        <v>4815</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4816</v>
      </c>
      <c r="AV2131" s="62"/>
      <c r="AW2131" s="61" t="s">
        <v>287</v>
      </c>
      <c r="AX2131" s="17">
        <v>0</v>
      </c>
      <c r="AY2131" s="66">
        <v>10000007</v>
      </c>
      <c r="AZ2131" s="19">
        <v>23000050</v>
      </c>
      <c r="BA2131" s="61" t="s">
        <v>200</v>
      </c>
      <c r="BB2131" s="62">
        <v>0</v>
      </c>
      <c r="BC2131" s="68">
        <v>0</v>
      </c>
      <c r="BD2131" s="28">
        <v>1</v>
      </c>
      <c r="BE2131" s="92" t="s">
        <v>4817</v>
      </c>
      <c r="BF2131" s="92" t="s">
        <v>4818</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67000276</v>
      </c>
      <c r="D2132" s="61" t="s">
        <v>4819</v>
      </c>
      <c r="E2132" s="61" t="s">
        <v>4820</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4821</v>
      </c>
      <c r="AV2132" s="62"/>
      <c r="AW2132" s="61" t="s">
        <v>287</v>
      </c>
      <c r="AX2132" s="17">
        <v>0</v>
      </c>
      <c r="AY2132" s="66">
        <v>10000007</v>
      </c>
      <c r="AZ2132" s="19">
        <v>23000060</v>
      </c>
      <c r="BA2132" s="61" t="s">
        <v>200</v>
      </c>
      <c r="BB2132" s="62">
        <v>0</v>
      </c>
      <c r="BC2132" s="68">
        <v>0</v>
      </c>
      <c r="BD2132" s="68">
        <v>0</v>
      </c>
      <c r="BE2132" s="92" t="s">
        <v>4822</v>
      </c>
      <c r="BF2132" s="92" t="s">
        <v>4823</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4824</v>
      </c>
      <c r="BC2133" s="68">
        <v>0</v>
      </c>
      <c r="BD2133" s="68">
        <v>0</v>
      </c>
      <c r="BE2133" s="92" t="s">
        <v>4822</v>
      </c>
      <c r="BF2133" s="92" t="s">
        <v>4823</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67000278</v>
      </c>
      <c r="D2134" s="20" t="s">
        <v>4825</v>
      </c>
      <c r="E2134" s="20" t="s">
        <v>4826</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4827</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2725</v>
      </c>
      <c r="BB2134" s="20">
        <v>0</v>
      </c>
      <c r="BC2134" s="28">
        <v>0</v>
      </c>
      <c r="BD2134" s="28">
        <v>0</v>
      </c>
      <c r="BE2134" s="186" t="s">
        <v>4828</v>
      </c>
      <c r="BF2134" s="186" t="s">
        <v>4829</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spans="3:75" ht="19.5" customHeight="1">
      <c r="C2135" s="19">
        <v>67000279</v>
      </c>
      <c r="D2135" s="18" t="s">
        <v>4830</v>
      </c>
      <c r="E2135" s="18" t="s">
        <v>4831</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4832</v>
      </c>
      <c r="BF2135" s="186" t="s">
        <v>4833</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spans="3:75" ht="20.100000000000001" customHeight="1">
      <c r="C2136" s="19">
        <v>67000280</v>
      </c>
      <c r="D2136" s="18" t="s">
        <v>4834</v>
      </c>
      <c r="E2136" s="18" t="s">
        <v>4835</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4836</v>
      </c>
      <c r="BF2136" s="186" t="s">
        <v>4837</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spans="3:75" ht="20.100000000000001" customHeight="1">
      <c r="C2137" s="19">
        <v>67000281</v>
      </c>
      <c r="D2137" s="18" t="s">
        <v>4838</v>
      </c>
      <c r="E2137" s="18" t="s">
        <v>4839</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4840</v>
      </c>
      <c r="BF2137" s="186" t="s">
        <v>4841</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spans="3:75" ht="19.5" customHeight="1">
      <c r="C2138" s="19">
        <v>67000282</v>
      </c>
      <c r="D2138" s="18" t="s">
        <v>4842</v>
      </c>
      <c r="E2138" s="18" t="s">
        <v>4843</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4844</v>
      </c>
      <c r="BF2138" s="186" t="s">
        <v>4845</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20.100000000000001" customHeight="1">
      <c r="C2139" s="19">
        <v>67000283</v>
      </c>
      <c r="D2139" s="20" t="s">
        <v>4846</v>
      </c>
      <c r="E2139" s="20" t="s">
        <v>4847</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4848</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2725</v>
      </c>
      <c r="BB2139" s="20">
        <v>0</v>
      </c>
      <c r="BC2139" s="28">
        <v>0</v>
      </c>
      <c r="BD2139" s="28">
        <v>0</v>
      </c>
      <c r="BE2139" s="186" t="s">
        <v>4828</v>
      </c>
      <c r="BF2139" s="186" t="s">
        <v>4829</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67000284</v>
      </c>
      <c r="D2140" s="20" t="s">
        <v>4849</v>
      </c>
      <c r="E2140" s="20" t="s">
        <v>4850</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2725</v>
      </c>
      <c r="BB2140" s="20">
        <v>0</v>
      </c>
      <c r="BC2140" s="28">
        <v>0</v>
      </c>
      <c r="BD2140" s="28">
        <v>0</v>
      </c>
      <c r="BE2140" s="186" t="s">
        <v>4828</v>
      </c>
      <c r="BF2140" s="186" t="s">
        <v>4829</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spans="3:75" ht="21.75" customHeight="1">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1.1000000000000001</v>
      </c>
      <c r="AS2141" s="17">
        <v>0</v>
      </c>
      <c r="AT2141" s="13">
        <v>0</v>
      </c>
      <c r="AU2141" s="17">
        <v>90000002</v>
      </c>
      <c r="AV2141" s="17"/>
      <c r="AW2141" s="18" t="s">
        <v>287</v>
      </c>
      <c r="AX2141" s="17" t="s">
        <v>534</v>
      </c>
      <c r="AY2141" s="19">
        <v>10000007</v>
      </c>
      <c r="AZ2141" s="19">
        <v>90010301</v>
      </c>
      <c r="BA2141" s="18" t="s">
        <v>200</v>
      </c>
      <c r="BB2141" s="17" t="s">
        <v>4117</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20.100000000000001" customHeight="1">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1.1000000000000001</v>
      </c>
      <c r="AQ2142" s="17">
        <v>3000</v>
      </c>
      <c r="AR2142" s="17">
        <v>1.1000000000000001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90010401</v>
      </c>
      <c r="D2144" s="16" t="s">
        <v>4851</v>
      </c>
      <c r="E2144" s="16" t="s">
        <v>4852</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spans="3:75" ht="21.75" customHeight="1">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4853</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90010403</v>
      </c>
      <c r="D2146" s="16" t="s">
        <v>4854</v>
      </c>
      <c r="E2146" s="16" t="s">
        <v>4855</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90010404</v>
      </c>
      <c r="D2147" s="16" t="s">
        <v>4856</v>
      </c>
      <c r="E2147" s="16" t="s">
        <v>4857</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spans="3:75" ht="20.100000000000001" customHeight="1">
      <c r="C2149" s="19">
        <v>90010406</v>
      </c>
      <c r="D2149" s="20" t="s">
        <v>4858</v>
      </c>
      <c r="E2149" s="20" t="s">
        <v>4859</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4860</v>
      </c>
      <c r="BF2149" s="89" t="s">
        <v>4861</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4862</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spans="3:75" ht="19.5" customHeight="1">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90010901</v>
      </c>
      <c r="D2155" s="283" t="s">
        <v>4863</v>
      </c>
      <c r="E2155" s="283" t="s">
        <v>4864</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5">"对目标区域持续造成伤害,在此范围内的敌方目标每秒造成2次"&amp;X2155*100&amp;"%攻击伤害+"&amp;Z2155&amp;"点固定伤害,目标移动速度降低75%,持续6秒,当在施法过程中进行移动会中断此技能施放"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4865</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spans="3:75" ht="19.5" customHeight="1">
      <c r="C2156" s="17">
        <v>90010902</v>
      </c>
      <c r="D2156" s="283" t="s">
        <v>4866</v>
      </c>
      <c r="E2156" s="283" t="s">
        <v>4867</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6">"立即对指定前方区域释放冲击波,冲击波对触碰的怪物造成"&amp;X2156*100&amp;"%攻击伤害+"&amp;Z2156&amp;"点固定伤害"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19.5" customHeight="1">
      <c r="C2157" s="19">
        <v>90010903</v>
      </c>
      <c r="D2157" s="283" t="s">
        <v>4868</v>
      </c>
      <c r="E2157" s="283" t="s">
        <v>4869</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7">"立即对指定前方区域释放冲击波,冲击波对触碰的怪物造成"&amp;X2157*100&amp;"%攻击伤害+"&amp;Z2157&amp;"点固定伤害"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19.5" customHeight="1">
      <c r="C2158" s="17">
        <v>90010904</v>
      </c>
      <c r="D2158" s="20" t="s">
        <v>4870</v>
      </c>
      <c r="E2158" s="20" t="s">
        <v>4871</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4872</v>
      </c>
      <c r="BF2158" s="89" t="s">
        <v>4873</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spans="3:75" ht="19.5" customHeight="1">
      <c r="C2159" s="19">
        <v>90010905</v>
      </c>
      <c r="D2159" s="20" t="s">
        <v>4874</v>
      </c>
      <c r="E2159" s="20" t="s">
        <v>4875</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6" t="s">
        <v>4876</v>
      </c>
      <c r="BC2159" s="28">
        <v>0</v>
      </c>
      <c r="BD2159" s="28">
        <v>0</v>
      </c>
      <c r="BE2159" s="89" t="s">
        <v>4877</v>
      </c>
      <c r="BF2159" s="89" t="s">
        <v>4878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90010906</v>
      </c>
      <c r="D2160" s="18" t="s">
        <v>4879</v>
      </c>
      <c r="E2160" s="18" t="s">
        <v>4880</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4725</v>
      </c>
      <c r="BB2160" s="17">
        <v>0</v>
      </c>
      <c r="BC2160" s="28">
        <v>0</v>
      </c>
      <c r="BD2160" s="28">
        <v>0</v>
      </c>
      <c r="BE2160" s="186" t="s">
        <v>4832</v>
      </c>
      <c r="BF2160" s="186" t="s">
        <v>4833</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spans="3:75" ht="19.5" customHeight="1">
      <c r="C2161" s="17">
        <v>90010907</v>
      </c>
      <c r="D2161" s="18" t="s">
        <v>4881</v>
      </c>
      <c r="E2161" s="18" t="s">
        <v>4882</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4832</v>
      </c>
      <c r="BF2161" s="186" t="s">
        <v>4833</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spans="3:75" ht="20.100000000000001" customHeight="1">
      <c r="C2162" s="62">
        <v>90010908</v>
      </c>
      <c r="D2162" s="65" t="s">
        <v>4883</v>
      </c>
      <c r="E2162" s="65" t="s">
        <v>4884</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spans="3:75" ht="20.100000000000001" customHeight="1">
      <c r="C2163" s="17">
        <v>90010909</v>
      </c>
      <c r="D2163" s="18" t="s">
        <v>4885</v>
      </c>
      <c r="E2163" s="18" t="s">
        <v>4886</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4887</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spans="3:75" ht="19.5" customHeight="1">
      <c r="C2164" s="17">
        <v>90010910</v>
      </c>
      <c r="D2164" s="20" t="s">
        <v>4888</v>
      </c>
      <c r="E2164" s="20" t="s">
        <v>4889</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6" t="s">
        <v>2019</v>
      </c>
      <c r="BC2164" s="28">
        <v>0</v>
      </c>
      <c r="BD2164" s="28">
        <v>0</v>
      </c>
      <c r="BE2164" s="89" t="s">
        <v>4877</v>
      </c>
      <c r="BF2164" s="89" t="s">
        <v>4878</v>
      </c>
      <c r="BG2164" s="19">
        <v>0</v>
      </c>
      <c r="BH2164" s="377" t="s">
        <v>4890</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spans="3:75" ht="20.100000000000001" customHeight="1">
      <c r="C2165" s="102">
        <v>90010911</v>
      </c>
      <c r="D2165" s="101" t="s">
        <v>4891</v>
      </c>
      <c r="E2165" s="101" t="s">
        <v>4892</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4893</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spans="3:75" ht="20.100000000000001" customHeight="1">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7" t="s">
        <v>4894</v>
      </c>
      <c r="AV2166" s="103"/>
      <c r="AW2166" s="101" t="s">
        <v>762</v>
      </c>
      <c r="AX2166" s="103" t="s">
        <v>534</v>
      </c>
      <c r="AY2166" s="102">
        <v>10000001</v>
      </c>
      <c r="AZ2166" s="102">
        <v>62001701</v>
      </c>
      <c r="BA2166" s="101" t="s">
        <v>1165</v>
      </c>
      <c r="BB2166" s="103">
        <v>0</v>
      </c>
      <c r="BC2166" s="107">
        <v>0</v>
      </c>
      <c r="BD2166" s="107">
        <v>0</v>
      </c>
      <c r="BE2166" s="139" t="str">
        <f t="shared" ref="BE2166" si="148">"每秒对周围的怪物造成"&amp;X2166*100&amp;"%攻击伤害+"&amp;Z2166&amp;"点固定伤害.持续4秒并使自身免疫怪物攻击"</f>
        <v>每秒对周围的怪物造成150%攻击伤害+300点固定伤害.持续4秒并使自身免疫怪物攻击</v>
      </c>
      <c r="BF2166" s="139" t="s">
        <v>4895</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spans="3:75" ht="20.100000000000001" customHeight="1">
      <c r="C2167" s="289">
        <v>90020002</v>
      </c>
      <c r="D2167" s="290" t="s">
        <v>4896</v>
      </c>
      <c r="E2167" s="290" t="s">
        <v>4897</v>
      </c>
      <c r="F2167" s="289">
        <v>1</v>
      </c>
      <c r="G2167" s="289">
        <v>80003005</v>
      </c>
      <c r="H2167" s="289">
        <v>0</v>
      </c>
      <c r="I2167" s="297">
        <v>0</v>
      </c>
      <c r="J2167" s="289">
        <v>1</v>
      </c>
      <c r="K2167" s="289">
        <v>0</v>
      </c>
      <c r="L2167" s="289">
        <v>0</v>
      </c>
      <c r="M2167" s="289">
        <v>0</v>
      </c>
      <c r="N2167" s="289">
        <v>0</v>
      </c>
      <c r="O2167" s="289">
        <v>1</v>
      </c>
      <c r="P2167" s="289">
        <v>0</v>
      </c>
      <c r="Q2167" s="289">
        <v>0</v>
      </c>
      <c r="R2167" s="289">
        <v>0</v>
      </c>
      <c r="S2167" s="299">
        <v>0</v>
      </c>
      <c r="T2167" s="297">
        <v>0</v>
      </c>
      <c r="U2167" s="300">
        <v>1</v>
      </c>
      <c r="V2167" s="289">
        <v>1</v>
      </c>
      <c r="W2167" s="289">
        <v>0</v>
      </c>
      <c r="X2167" s="289">
        <v>1.5</v>
      </c>
      <c r="Y2167" s="13">
        <v>0</v>
      </c>
      <c r="Z2167" s="289">
        <v>0</v>
      </c>
      <c r="AA2167" s="289">
        <v>0</v>
      </c>
      <c r="AB2167" s="289">
        <v>0</v>
      </c>
      <c r="AC2167" s="289">
        <v>0</v>
      </c>
      <c r="AD2167" s="289">
        <v>1</v>
      </c>
      <c r="AE2167" s="289">
        <v>1</v>
      </c>
      <c r="AF2167" s="289">
        <v>5</v>
      </c>
      <c r="AG2167" s="289">
        <v>1</v>
      </c>
      <c r="AH2167" s="289">
        <v>3</v>
      </c>
      <c r="AI2167" s="299">
        <v>2</v>
      </c>
      <c r="AJ2167" s="299">
        <v>1</v>
      </c>
      <c r="AK2167" s="299">
        <v>0</v>
      </c>
      <c r="AL2167" s="299">
        <v>6</v>
      </c>
      <c r="AM2167" s="289">
        <v>0</v>
      </c>
      <c r="AN2167" s="289">
        <v>0</v>
      </c>
      <c r="AO2167" s="289">
        <v>0</v>
      </c>
      <c r="AP2167" s="289">
        <v>0</v>
      </c>
      <c r="AQ2167" s="289">
        <v>5000</v>
      </c>
      <c r="AR2167" s="289">
        <v>0.2</v>
      </c>
      <c r="AS2167" s="289">
        <v>0</v>
      </c>
      <c r="AT2167" s="299">
        <v>0</v>
      </c>
      <c r="AU2167" s="289">
        <v>0</v>
      </c>
      <c r="AV2167" s="289"/>
      <c r="AW2167" s="290" t="s">
        <v>198</v>
      </c>
      <c r="AX2167" s="289" t="s">
        <v>1587</v>
      </c>
      <c r="AY2167" s="289">
        <v>10000006</v>
      </c>
      <c r="AZ2167" s="304">
        <v>91000307</v>
      </c>
      <c r="BA2167" s="290" t="s">
        <v>4898</v>
      </c>
      <c r="BB2167" s="290" t="s">
        <v>4899</v>
      </c>
      <c r="BC2167" s="297">
        <v>0</v>
      </c>
      <c r="BD2167" s="297">
        <v>0</v>
      </c>
      <c r="BE2167" s="306" t="s">
        <v>4900</v>
      </c>
      <c r="BF2167" s="306" t="s">
        <v>4901</v>
      </c>
      <c r="BG2167" s="289">
        <v>0</v>
      </c>
      <c r="BH2167" s="300">
        <v>0</v>
      </c>
      <c r="BI2167" s="289">
        <v>0</v>
      </c>
      <c r="BJ2167" s="289">
        <v>0</v>
      </c>
      <c r="BK2167" s="289">
        <v>0</v>
      </c>
      <c r="BL2167" s="289">
        <v>0</v>
      </c>
      <c r="BM2167" s="309">
        <v>0</v>
      </c>
      <c r="BN2167" s="299">
        <v>1</v>
      </c>
      <c r="BO2167" s="299">
        <v>0</v>
      </c>
      <c r="BP2167" s="299">
        <v>0</v>
      </c>
      <c r="BQ2167" s="299">
        <v>0</v>
      </c>
      <c r="BR2167" s="299">
        <v>0</v>
      </c>
      <c r="BS2167" s="299">
        <v>1</v>
      </c>
      <c r="BT2167" s="13">
        <v>0</v>
      </c>
      <c r="BU2167" s="49">
        <v>0</v>
      </c>
      <c r="BV2167" s="49"/>
      <c r="BW2167" s="49"/>
    </row>
    <row r="2168" spans="3:75" ht="20.100000000000001" customHeight="1">
      <c r="C2168" s="289">
        <v>90020003</v>
      </c>
      <c r="D2168" s="290" t="s">
        <v>4902</v>
      </c>
      <c r="E2168" s="290" t="s">
        <v>4903</v>
      </c>
      <c r="F2168" s="289">
        <v>1</v>
      </c>
      <c r="G2168" s="289">
        <v>80003005</v>
      </c>
      <c r="H2168" s="289">
        <v>0</v>
      </c>
      <c r="I2168" s="297">
        <v>0</v>
      </c>
      <c r="J2168" s="289">
        <v>1</v>
      </c>
      <c r="K2168" s="289">
        <v>0</v>
      </c>
      <c r="L2168" s="289">
        <v>0</v>
      </c>
      <c r="M2168" s="289">
        <v>0</v>
      </c>
      <c r="N2168" s="289">
        <v>0</v>
      </c>
      <c r="O2168" s="289">
        <v>1</v>
      </c>
      <c r="P2168" s="289">
        <v>0</v>
      </c>
      <c r="Q2168" s="289">
        <v>0</v>
      </c>
      <c r="R2168" s="289">
        <v>0</v>
      </c>
      <c r="S2168" s="299">
        <v>0</v>
      </c>
      <c r="T2168" s="297">
        <v>0</v>
      </c>
      <c r="U2168" s="300">
        <v>1</v>
      </c>
      <c r="V2168" s="289">
        <v>1</v>
      </c>
      <c r="W2168" s="289">
        <v>0</v>
      </c>
      <c r="X2168" s="289">
        <v>1.5</v>
      </c>
      <c r="Y2168" s="13">
        <v>0</v>
      </c>
      <c r="Z2168" s="289">
        <v>0</v>
      </c>
      <c r="AA2168" s="289">
        <v>0</v>
      </c>
      <c r="AB2168" s="289">
        <v>0</v>
      </c>
      <c r="AC2168" s="289">
        <v>0</v>
      </c>
      <c r="AD2168" s="289">
        <v>1</v>
      </c>
      <c r="AE2168" s="289">
        <v>1</v>
      </c>
      <c r="AF2168" s="289">
        <v>5</v>
      </c>
      <c r="AG2168" s="289">
        <v>1</v>
      </c>
      <c r="AH2168" s="289">
        <v>10</v>
      </c>
      <c r="AI2168" s="299">
        <v>2</v>
      </c>
      <c r="AJ2168" s="299">
        <v>1</v>
      </c>
      <c r="AK2168" s="299">
        <v>0</v>
      </c>
      <c r="AL2168" s="299">
        <v>6</v>
      </c>
      <c r="AM2168" s="289">
        <v>0</v>
      </c>
      <c r="AN2168" s="289">
        <v>0</v>
      </c>
      <c r="AO2168" s="289">
        <v>0</v>
      </c>
      <c r="AP2168" s="289">
        <v>0</v>
      </c>
      <c r="AQ2168" s="289">
        <v>5000</v>
      </c>
      <c r="AR2168" s="289">
        <v>1</v>
      </c>
      <c r="AS2168" s="289">
        <v>0</v>
      </c>
      <c r="AT2168" s="299">
        <v>0</v>
      </c>
      <c r="AU2168" s="289">
        <v>0</v>
      </c>
      <c r="AV2168" s="289"/>
      <c r="AW2168" s="290" t="s">
        <v>198</v>
      </c>
      <c r="AX2168" s="289" t="s">
        <v>1587</v>
      </c>
      <c r="AY2168" s="289">
        <v>10000006</v>
      </c>
      <c r="AZ2168" s="304">
        <v>91000315</v>
      </c>
      <c r="BA2168" s="290" t="s">
        <v>4904</v>
      </c>
      <c r="BB2168" s="290" t="s">
        <v>198</v>
      </c>
      <c r="BC2168" s="297">
        <v>0</v>
      </c>
      <c r="BD2168" s="297">
        <v>0</v>
      </c>
      <c r="BE2168" s="306" t="s">
        <v>4905</v>
      </c>
      <c r="BF2168" s="306" t="s">
        <v>4906</v>
      </c>
      <c r="BG2168" s="289">
        <v>0</v>
      </c>
      <c r="BH2168" s="300">
        <v>0</v>
      </c>
      <c r="BI2168" s="289">
        <v>0</v>
      </c>
      <c r="BJ2168" s="289">
        <v>0</v>
      </c>
      <c r="BK2168" s="289">
        <v>0</v>
      </c>
      <c r="BL2168" s="289">
        <v>0</v>
      </c>
      <c r="BM2168" s="309">
        <v>0</v>
      </c>
      <c r="BN2168" s="299">
        <v>1</v>
      </c>
      <c r="BO2168" s="299">
        <v>0</v>
      </c>
      <c r="BP2168" s="299">
        <v>0</v>
      </c>
      <c r="BQ2168" s="299">
        <v>0</v>
      </c>
      <c r="BR2168" s="299">
        <v>0</v>
      </c>
      <c r="BS2168" s="299">
        <v>1</v>
      </c>
      <c r="BT2168" s="13">
        <v>0</v>
      </c>
      <c r="BU2168" s="49">
        <v>0</v>
      </c>
      <c r="BV2168" s="49"/>
      <c r="BW2168" s="49"/>
    </row>
    <row r="2169" spans="3:75" ht="20.100000000000001" customHeight="1">
      <c r="C2169" s="289">
        <v>90020004</v>
      </c>
      <c r="D2169" s="20" t="s">
        <v>4907</v>
      </c>
      <c r="E2169" s="20" t="s">
        <v>4908</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4909</v>
      </c>
      <c r="BB2169" s="17" t="s">
        <v>4910</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spans="3:75" ht="20.100000000000001" customHeight="1">
      <c r="C2170" s="289">
        <v>90020005</v>
      </c>
      <c r="D2170" s="20" t="s">
        <v>4911</v>
      </c>
      <c r="E2170" s="20" t="s">
        <v>4912</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spans="3:75" ht="20.100000000000001" customHeight="1">
      <c r="C2171" s="291">
        <v>77001101</v>
      </c>
      <c r="D2171" s="292" t="s">
        <v>731</v>
      </c>
      <c r="E2171" s="292"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49" t="s">
        <v>4913</v>
      </c>
      <c r="AU2171" s="341" t="s">
        <v>4914</v>
      </c>
      <c r="AV2171" s="81"/>
      <c r="AW2171" s="61" t="s">
        <v>287</v>
      </c>
      <c r="AX2171" s="127">
        <v>0</v>
      </c>
      <c r="AY2171" s="127">
        <v>0</v>
      </c>
      <c r="AZ2171" s="127">
        <v>77001101</v>
      </c>
      <c r="BA2171" s="65" t="s">
        <v>200</v>
      </c>
      <c r="BB2171" s="62">
        <v>0</v>
      </c>
      <c r="BC2171" s="68">
        <v>0</v>
      </c>
      <c r="BD2171" s="68">
        <v>0</v>
      </c>
      <c r="BE2171" s="307" t="s">
        <v>4915</v>
      </c>
      <c r="BF2171" s="307" t="s">
        <v>4916</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spans="3:75" ht="20.100000000000001" customHeight="1">
      <c r="C2172" s="291">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1" t="s">
        <v>4914</v>
      </c>
      <c r="AV2172" s="81"/>
      <c r="AW2172" s="65" t="s">
        <v>199</v>
      </c>
      <c r="AX2172" s="62" t="s">
        <v>545</v>
      </c>
      <c r="AY2172" s="66">
        <v>10001007</v>
      </c>
      <c r="AZ2172" s="66">
        <v>77001104</v>
      </c>
      <c r="BA2172" s="61" t="s">
        <v>200</v>
      </c>
      <c r="BB2172" s="62">
        <v>0</v>
      </c>
      <c r="BC2172" s="68">
        <v>0</v>
      </c>
      <c r="BD2172" s="68">
        <v>0</v>
      </c>
      <c r="BE2172" s="92" t="s">
        <v>4917</v>
      </c>
      <c r="BF2172" s="92" t="s">
        <v>4918</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spans="3:75" ht="20.100000000000001" customHeight="1">
      <c r="C2173" s="291">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1" t="s">
        <v>4919</v>
      </c>
      <c r="AV2173" s="81"/>
      <c r="AW2173" s="65" t="s">
        <v>199</v>
      </c>
      <c r="AX2173" s="62" t="s">
        <v>545</v>
      </c>
      <c r="AY2173" s="66">
        <v>10001007</v>
      </c>
      <c r="AZ2173" s="66">
        <v>77001103</v>
      </c>
      <c r="BA2173" s="61" t="s">
        <v>200</v>
      </c>
      <c r="BB2173" s="62">
        <v>0</v>
      </c>
      <c r="BC2173" s="68">
        <v>0</v>
      </c>
      <c r="BD2173" s="68">
        <v>0</v>
      </c>
      <c r="BE2173" s="92" t="s">
        <v>4920</v>
      </c>
      <c r="BF2173" s="92" t="s">
        <v>4921</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spans="3:75" ht="20.100000000000001" customHeight="1">
      <c r="C2174" s="291">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1" t="s">
        <v>4919</v>
      </c>
      <c r="AV2174" s="81"/>
      <c r="AW2174" s="65" t="s">
        <v>198</v>
      </c>
      <c r="AX2174" s="62" t="s">
        <v>545</v>
      </c>
      <c r="AY2174" s="66">
        <v>10001007</v>
      </c>
      <c r="AZ2174" s="66">
        <v>77001103</v>
      </c>
      <c r="BA2174" s="61" t="s">
        <v>200</v>
      </c>
      <c r="BB2174" s="62">
        <v>0</v>
      </c>
      <c r="BC2174" s="68">
        <v>0</v>
      </c>
      <c r="BD2174" s="68">
        <v>0</v>
      </c>
      <c r="BE2174" s="92" t="s">
        <v>4922</v>
      </c>
      <c r="BF2174" s="92" t="s">
        <v>4923</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spans="3:75" ht="20.100000000000001" customHeight="1">
      <c r="C2175" s="291">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1" t="s">
        <v>4919</v>
      </c>
      <c r="AV2175" s="81"/>
      <c r="AW2175" s="65" t="s">
        <v>198</v>
      </c>
      <c r="AX2175" s="62" t="s">
        <v>545</v>
      </c>
      <c r="AY2175" s="66">
        <v>10001007</v>
      </c>
      <c r="AZ2175" s="66">
        <v>77001103</v>
      </c>
      <c r="BA2175" s="61" t="s">
        <v>200</v>
      </c>
      <c r="BB2175" s="62">
        <v>0</v>
      </c>
      <c r="BC2175" s="68">
        <v>0</v>
      </c>
      <c r="BD2175" s="68">
        <v>0</v>
      </c>
      <c r="BE2175" s="92" t="s">
        <v>4922</v>
      </c>
      <c r="BF2175" s="92" t="s">
        <v>4923</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spans="3:75" ht="19.5" customHeight="1">
      <c r="C2176" s="291">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1" t="s">
        <v>4914</v>
      </c>
      <c r="AV2176" s="81"/>
      <c r="AW2176" s="65" t="s">
        <v>198</v>
      </c>
      <c r="AX2176" s="62" t="s">
        <v>545</v>
      </c>
      <c r="AY2176" s="66">
        <v>10001007</v>
      </c>
      <c r="AZ2176" s="66">
        <v>77001105</v>
      </c>
      <c r="BA2176" s="61" t="s">
        <v>200</v>
      </c>
      <c r="BB2176" s="62">
        <v>0</v>
      </c>
      <c r="BC2176" s="68">
        <v>0</v>
      </c>
      <c r="BD2176" s="68">
        <v>0</v>
      </c>
      <c r="BE2176" s="92" t="s">
        <v>4922</v>
      </c>
      <c r="BF2176" s="92" t="s">
        <v>4923</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19.5" customHeight="1">
      <c r="C2177" s="293">
        <v>77001201</v>
      </c>
      <c r="D2177" s="294" t="s">
        <v>4924</v>
      </c>
      <c r="E2177" s="294" t="s">
        <v>4925</v>
      </c>
      <c r="F2177" s="293">
        <v>1</v>
      </c>
      <c r="G2177" s="295">
        <v>0</v>
      </c>
      <c r="H2177" s="293">
        <v>0</v>
      </c>
      <c r="I2177" s="298">
        <v>0</v>
      </c>
      <c r="J2177" s="293">
        <v>1</v>
      </c>
      <c r="K2177" s="293">
        <v>0</v>
      </c>
      <c r="L2177" s="293">
        <v>0</v>
      </c>
      <c r="M2177" s="295">
        <v>0</v>
      </c>
      <c r="N2177" s="295">
        <v>0</v>
      </c>
      <c r="O2177" s="295">
        <v>2</v>
      </c>
      <c r="P2177" s="295">
        <v>3</v>
      </c>
      <c r="Q2177" s="295">
        <v>0.15</v>
      </c>
      <c r="R2177" s="295">
        <v>0</v>
      </c>
      <c r="S2177" s="301">
        <v>0</v>
      </c>
      <c r="T2177" s="295">
        <v>0</v>
      </c>
      <c r="U2177" s="295">
        <v>1</v>
      </c>
      <c r="V2177" s="295">
        <v>1</v>
      </c>
      <c r="W2177" s="295">
        <v>0</v>
      </c>
      <c r="X2177" s="295">
        <v>2</v>
      </c>
      <c r="Y2177" s="13">
        <v>0</v>
      </c>
      <c r="Z2177" s="295">
        <v>0</v>
      </c>
      <c r="AA2177" s="295">
        <v>1</v>
      </c>
      <c r="AB2177" s="295">
        <v>0</v>
      </c>
      <c r="AC2177" s="295">
        <v>0</v>
      </c>
      <c r="AD2177" s="295">
        <v>0</v>
      </c>
      <c r="AE2177" s="295">
        <v>1</v>
      </c>
      <c r="AF2177" s="295">
        <v>15</v>
      </c>
      <c r="AG2177" s="295">
        <v>1</v>
      </c>
      <c r="AH2177" s="295">
        <v>4</v>
      </c>
      <c r="AI2177" s="301">
        <v>0</v>
      </c>
      <c r="AJ2177" s="301">
        <v>1</v>
      </c>
      <c r="AK2177" s="301">
        <v>0</v>
      </c>
      <c r="AL2177" s="301">
        <v>3</v>
      </c>
      <c r="AM2177" s="295">
        <v>0</v>
      </c>
      <c r="AN2177" s="295">
        <v>0</v>
      </c>
      <c r="AO2177" s="295">
        <v>0</v>
      </c>
      <c r="AP2177" s="295">
        <v>1.2</v>
      </c>
      <c r="AQ2177" s="295">
        <v>2000</v>
      </c>
      <c r="AR2177" s="295">
        <v>1.2</v>
      </c>
      <c r="AS2177" s="295">
        <v>0</v>
      </c>
      <c r="AT2177" s="301">
        <v>97002003</v>
      </c>
      <c r="AU2177" s="295">
        <v>0</v>
      </c>
      <c r="AV2177" s="295"/>
      <c r="AW2177" s="305" t="s">
        <v>199</v>
      </c>
      <c r="AX2177" s="295" t="s">
        <v>534</v>
      </c>
      <c r="AY2177" s="293">
        <v>0</v>
      </c>
      <c r="AZ2177" s="293">
        <v>77001201</v>
      </c>
      <c r="BA2177" s="294" t="s">
        <v>200</v>
      </c>
      <c r="BB2177" s="295">
        <v>0</v>
      </c>
      <c r="BC2177" s="298">
        <v>0</v>
      </c>
      <c r="BD2177" s="298">
        <v>0</v>
      </c>
      <c r="BE2177" s="308" t="s">
        <v>4926</v>
      </c>
      <c r="BF2177" s="308" t="s">
        <v>4927</v>
      </c>
      <c r="BG2177" s="295">
        <v>0</v>
      </c>
      <c r="BH2177" s="295">
        <v>0</v>
      </c>
      <c r="BI2177" s="295">
        <v>0</v>
      </c>
      <c r="BJ2177" s="295">
        <v>0</v>
      </c>
      <c r="BK2177" s="295">
        <v>0</v>
      </c>
      <c r="BL2177" s="295">
        <v>0</v>
      </c>
      <c r="BM2177" s="310">
        <v>0</v>
      </c>
      <c r="BN2177" s="301">
        <v>0</v>
      </c>
      <c r="BO2177" s="301">
        <v>0</v>
      </c>
      <c r="BP2177" s="301">
        <v>0</v>
      </c>
      <c r="BQ2177" s="301">
        <v>0</v>
      </c>
      <c r="BR2177" s="301">
        <v>0</v>
      </c>
      <c r="BS2177" s="301">
        <v>0</v>
      </c>
      <c r="BT2177" s="301">
        <v>0</v>
      </c>
      <c r="BU2177" s="49">
        <v>0</v>
      </c>
      <c r="BV2177" s="49"/>
      <c r="BW2177" s="49"/>
    </row>
    <row r="2178" spans="3:75" ht="19.5" customHeight="1">
      <c r="C2178" s="293">
        <v>77001202</v>
      </c>
      <c r="D2178" s="294" t="s">
        <v>4928</v>
      </c>
      <c r="E2178" s="294" t="s">
        <v>674</v>
      </c>
      <c r="F2178" s="293">
        <v>1</v>
      </c>
      <c r="G2178" s="295">
        <v>0</v>
      </c>
      <c r="H2178" s="293">
        <v>0</v>
      </c>
      <c r="I2178" s="298">
        <v>0</v>
      </c>
      <c r="J2178" s="293">
        <v>1</v>
      </c>
      <c r="K2178" s="293">
        <v>0</v>
      </c>
      <c r="L2178" s="293">
        <v>0</v>
      </c>
      <c r="M2178" s="295">
        <v>0</v>
      </c>
      <c r="N2178" s="295">
        <v>0</v>
      </c>
      <c r="O2178" s="295">
        <v>2</v>
      </c>
      <c r="P2178" s="295">
        <v>3</v>
      </c>
      <c r="Q2178" s="295">
        <v>0.15</v>
      </c>
      <c r="R2178" s="295">
        <v>0</v>
      </c>
      <c r="S2178" s="301">
        <v>0</v>
      </c>
      <c r="T2178" s="295">
        <v>0</v>
      </c>
      <c r="U2178" s="295">
        <v>1</v>
      </c>
      <c r="V2178" s="295">
        <v>1</v>
      </c>
      <c r="W2178" s="295">
        <v>0</v>
      </c>
      <c r="X2178" s="295">
        <v>0.5</v>
      </c>
      <c r="Y2178" s="13">
        <v>0</v>
      </c>
      <c r="Z2178" s="295">
        <v>0</v>
      </c>
      <c r="AA2178" s="295">
        <v>1</v>
      </c>
      <c r="AB2178" s="295">
        <v>0</v>
      </c>
      <c r="AC2178" s="295">
        <v>0</v>
      </c>
      <c r="AD2178" s="295">
        <v>0</v>
      </c>
      <c r="AE2178" s="295">
        <v>1</v>
      </c>
      <c r="AF2178" s="295">
        <v>0</v>
      </c>
      <c r="AG2178" s="295">
        <v>1</v>
      </c>
      <c r="AH2178" s="295">
        <v>5</v>
      </c>
      <c r="AI2178" s="301">
        <v>0</v>
      </c>
      <c r="AJ2178" s="301">
        <v>1</v>
      </c>
      <c r="AK2178" s="301">
        <v>0</v>
      </c>
      <c r="AL2178" s="301">
        <v>3</v>
      </c>
      <c r="AM2178" s="295">
        <v>0</v>
      </c>
      <c r="AN2178" s="295">
        <v>0</v>
      </c>
      <c r="AO2178" s="295">
        <v>0</v>
      </c>
      <c r="AP2178" s="295">
        <v>0</v>
      </c>
      <c r="AQ2178" s="295">
        <v>1000</v>
      </c>
      <c r="AR2178" s="295">
        <v>0.2</v>
      </c>
      <c r="AS2178" s="295">
        <v>0</v>
      </c>
      <c r="AT2178" s="301">
        <v>0</v>
      </c>
      <c r="AU2178" s="378" t="s">
        <v>4929</v>
      </c>
      <c r="AV2178" s="302"/>
      <c r="AW2178" s="305" t="s">
        <v>198</v>
      </c>
      <c r="AX2178" s="295" t="s">
        <v>534</v>
      </c>
      <c r="AY2178" s="293">
        <v>0</v>
      </c>
      <c r="AZ2178" s="293">
        <v>77001202</v>
      </c>
      <c r="BA2178" s="294" t="s">
        <v>200</v>
      </c>
      <c r="BB2178" s="295">
        <v>0</v>
      </c>
      <c r="BC2178" s="298">
        <v>0</v>
      </c>
      <c r="BD2178" s="298">
        <v>0</v>
      </c>
      <c r="BE2178" s="308" t="s">
        <v>4930</v>
      </c>
      <c r="BF2178" s="308" t="s">
        <v>4931</v>
      </c>
      <c r="BG2178" s="295">
        <v>0</v>
      </c>
      <c r="BH2178" s="295">
        <v>0</v>
      </c>
      <c r="BI2178" s="295">
        <v>0</v>
      </c>
      <c r="BJ2178" s="295">
        <v>0</v>
      </c>
      <c r="BK2178" s="295">
        <v>0</v>
      </c>
      <c r="BL2178" s="295">
        <v>0</v>
      </c>
      <c r="BM2178" s="310">
        <v>0</v>
      </c>
      <c r="BN2178" s="301">
        <v>0</v>
      </c>
      <c r="BO2178" s="301">
        <v>0</v>
      </c>
      <c r="BP2178" s="301">
        <v>0</v>
      </c>
      <c r="BQ2178" s="301">
        <v>0</v>
      </c>
      <c r="BR2178" s="301">
        <v>0</v>
      </c>
      <c r="BS2178" s="301">
        <v>1</v>
      </c>
      <c r="BT2178" s="301">
        <v>0</v>
      </c>
      <c r="BU2178" s="49">
        <v>0</v>
      </c>
      <c r="BV2178" s="49"/>
      <c r="BW2178" s="49"/>
    </row>
    <row r="2179" spans="3:75" ht="19.5" customHeight="1">
      <c r="C2179" s="293">
        <v>77001203</v>
      </c>
      <c r="D2179" s="294" t="s">
        <v>4932</v>
      </c>
      <c r="E2179" s="294" t="s">
        <v>4933</v>
      </c>
      <c r="F2179" s="293">
        <v>1</v>
      </c>
      <c r="G2179" s="295">
        <v>0</v>
      </c>
      <c r="H2179" s="293">
        <v>0</v>
      </c>
      <c r="I2179" s="298">
        <v>0</v>
      </c>
      <c r="J2179" s="293">
        <v>1</v>
      </c>
      <c r="K2179" s="293">
        <v>0</v>
      </c>
      <c r="L2179" s="293">
        <v>0</v>
      </c>
      <c r="M2179" s="295">
        <v>0</v>
      </c>
      <c r="N2179" s="295">
        <v>0</v>
      </c>
      <c r="O2179" s="295">
        <v>2</v>
      </c>
      <c r="P2179" s="295">
        <v>3</v>
      </c>
      <c r="Q2179" s="295">
        <v>0.1</v>
      </c>
      <c r="R2179" s="295">
        <v>0</v>
      </c>
      <c r="S2179" s="301">
        <v>0</v>
      </c>
      <c r="T2179" s="295">
        <v>0</v>
      </c>
      <c r="U2179" s="295">
        <v>1</v>
      </c>
      <c r="V2179" s="295">
        <v>1</v>
      </c>
      <c r="W2179" s="295">
        <v>0</v>
      </c>
      <c r="X2179" s="295">
        <v>3</v>
      </c>
      <c r="Y2179" s="13">
        <v>0</v>
      </c>
      <c r="Z2179" s="295">
        <v>0</v>
      </c>
      <c r="AA2179" s="295">
        <v>1</v>
      </c>
      <c r="AB2179" s="295">
        <v>0</v>
      </c>
      <c r="AC2179" s="295">
        <v>0</v>
      </c>
      <c r="AD2179" s="295">
        <v>0</v>
      </c>
      <c r="AE2179" s="295">
        <v>1</v>
      </c>
      <c r="AF2179" s="295">
        <v>5</v>
      </c>
      <c r="AG2179" s="295">
        <v>1</v>
      </c>
      <c r="AH2179" s="295">
        <v>6</v>
      </c>
      <c r="AI2179" s="301">
        <v>1</v>
      </c>
      <c r="AJ2179" s="301">
        <v>1</v>
      </c>
      <c r="AK2179" s="301">
        <v>0</v>
      </c>
      <c r="AL2179" s="301">
        <v>3</v>
      </c>
      <c r="AM2179" s="295">
        <v>0</v>
      </c>
      <c r="AN2179" s="295">
        <v>0</v>
      </c>
      <c r="AO2179" s="295">
        <v>0</v>
      </c>
      <c r="AP2179" s="295">
        <v>1.8</v>
      </c>
      <c r="AQ2179" s="295">
        <v>2000</v>
      </c>
      <c r="AR2179" s="295">
        <v>2</v>
      </c>
      <c r="AS2179" s="295">
        <v>0</v>
      </c>
      <c r="AT2179" s="301">
        <v>0</v>
      </c>
      <c r="AU2179" s="295">
        <v>97002001</v>
      </c>
      <c r="AV2179" s="295"/>
      <c r="AW2179" s="305" t="s">
        <v>199</v>
      </c>
      <c r="AX2179" s="295" t="s">
        <v>534</v>
      </c>
      <c r="AY2179" s="293">
        <v>0</v>
      </c>
      <c r="AZ2179" s="293">
        <v>77001203</v>
      </c>
      <c r="BA2179" s="294" t="s">
        <v>771</v>
      </c>
      <c r="BB2179" s="295">
        <v>0</v>
      </c>
      <c r="BC2179" s="298">
        <v>0</v>
      </c>
      <c r="BD2179" s="298">
        <v>0</v>
      </c>
      <c r="BE2179" s="308" t="s">
        <v>4934</v>
      </c>
      <c r="BF2179" s="308" t="s">
        <v>4935</v>
      </c>
      <c r="BG2179" s="295">
        <v>0</v>
      </c>
      <c r="BH2179" s="295">
        <v>0</v>
      </c>
      <c r="BI2179" s="295">
        <v>0</v>
      </c>
      <c r="BJ2179" s="295">
        <v>0</v>
      </c>
      <c r="BK2179" s="295">
        <v>0</v>
      </c>
      <c r="BL2179" s="295">
        <v>0</v>
      </c>
      <c r="BM2179" s="310">
        <v>0</v>
      </c>
      <c r="BN2179" s="301">
        <v>0</v>
      </c>
      <c r="BO2179" s="301">
        <v>0</v>
      </c>
      <c r="BP2179" s="301">
        <v>0</v>
      </c>
      <c r="BQ2179" s="301">
        <v>0</v>
      </c>
      <c r="BR2179" s="301">
        <v>0</v>
      </c>
      <c r="BS2179" s="301">
        <v>0</v>
      </c>
      <c r="BT2179" s="301">
        <v>77001208</v>
      </c>
      <c r="BU2179" s="49">
        <v>0</v>
      </c>
      <c r="BV2179" s="49"/>
      <c r="BW2179" s="49"/>
    </row>
    <row r="2180" spans="3:75" ht="20.100000000000001" customHeight="1">
      <c r="C2180" s="293">
        <v>77001204</v>
      </c>
      <c r="D2180" s="294" t="s">
        <v>4936</v>
      </c>
      <c r="E2180" s="294" t="s">
        <v>4937</v>
      </c>
      <c r="F2180" s="295">
        <v>1</v>
      </c>
      <c r="G2180" s="295">
        <v>0</v>
      </c>
      <c r="H2180" s="293">
        <v>0</v>
      </c>
      <c r="I2180" s="298">
        <v>0</v>
      </c>
      <c r="J2180" s="293">
        <v>1</v>
      </c>
      <c r="K2180" s="293">
        <v>0</v>
      </c>
      <c r="L2180" s="293">
        <v>0</v>
      </c>
      <c r="M2180" s="295">
        <v>0</v>
      </c>
      <c r="N2180" s="295">
        <v>0</v>
      </c>
      <c r="O2180" s="295">
        <v>2</v>
      </c>
      <c r="P2180" s="295">
        <v>1</v>
      </c>
      <c r="Q2180" s="295">
        <v>0.3</v>
      </c>
      <c r="R2180" s="295">
        <v>0</v>
      </c>
      <c r="S2180" s="301">
        <v>3</v>
      </c>
      <c r="T2180" s="295">
        <v>0</v>
      </c>
      <c r="U2180" s="295">
        <v>1</v>
      </c>
      <c r="V2180" s="295">
        <v>2</v>
      </c>
      <c r="W2180" s="295">
        <v>0</v>
      </c>
      <c r="X2180" s="295">
        <v>1</v>
      </c>
      <c r="Y2180" s="13">
        <v>0</v>
      </c>
      <c r="Z2180" s="295">
        <v>0</v>
      </c>
      <c r="AA2180" s="295">
        <v>0</v>
      </c>
      <c r="AB2180" s="295">
        <v>0</v>
      </c>
      <c r="AC2180" s="295">
        <v>0</v>
      </c>
      <c r="AD2180" s="295">
        <v>0</v>
      </c>
      <c r="AE2180" s="295">
        <v>0</v>
      </c>
      <c r="AF2180" s="295">
        <v>12</v>
      </c>
      <c r="AG2180" s="295">
        <v>1</v>
      </c>
      <c r="AH2180" s="295">
        <v>3</v>
      </c>
      <c r="AI2180" s="301">
        <v>6</v>
      </c>
      <c r="AJ2180" s="301">
        <v>1</v>
      </c>
      <c r="AK2180" s="301">
        <v>0</v>
      </c>
      <c r="AL2180" s="301">
        <v>1.5</v>
      </c>
      <c r="AM2180" s="295">
        <v>0</v>
      </c>
      <c r="AN2180" s="295">
        <v>0</v>
      </c>
      <c r="AO2180" s="295">
        <v>0</v>
      </c>
      <c r="AP2180" s="295">
        <v>0.5</v>
      </c>
      <c r="AQ2180" s="295">
        <v>5000</v>
      </c>
      <c r="AR2180" s="295">
        <v>1</v>
      </c>
      <c r="AS2180" s="295">
        <v>0</v>
      </c>
      <c r="AT2180" s="301">
        <v>0</v>
      </c>
      <c r="AU2180" s="295">
        <v>97002002</v>
      </c>
      <c r="AV2180" s="295"/>
      <c r="AW2180" s="305" t="s">
        <v>199</v>
      </c>
      <c r="AX2180" s="295" t="s">
        <v>534</v>
      </c>
      <c r="AY2180" s="293">
        <v>10000007</v>
      </c>
      <c r="AZ2180" s="379" t="s">
        <v>4938</v>
      </c>
      <c r="BA2180" s="294" t="s">
        <v>200</v>
      </c>
      <c r="BB2180" s="295" t="s">
        <v>4939</v>
      </c>
      <c r="BC2180" s="298">
        <v>0</v>
      </c>
      <c r="BD2180" s="298">
        <v>0</v>
      </c>
      <c r="BE2180" s="308" t="s">
        <v>4940</v>
      </c>
      <c r="BF2180" s="308" t="s">
        <v>4941</v>
      </c>
      <c r="BG2180" s="295">
        <v>0</v>
      </c>
      <c r="BH2180" s="295">
        <v>0</v>
      </c>
      <c r="BI2180" s="295">
        <v>0</v>
      </c>
      <c r="BJ2180" s="295">
        <v>0</v>
      </c>
      <c r="BK2180" s="295">
        <v>0</v>
      </c>
      <c r="BL2180" s="295">
        <v>0</v>
      </c>
      <c r="BM2180" s="310">
        <v>0</v>
      </c>
      <c r="BN2180" s="301">
        <v>0</v>
      </c>
      <c r="BO2180" s="301">
        <v>0</v>
      </c>
      <c r="BP2180" s="301">
        <v>0</v>
      </c>
      <c r="BQ2180" s="301">
        <v>0</v>
      </c>
      <c r="BR2180" s="301">
        <v>0</v>
      </c>
      <c r="BS2180" s="301">
        <v>0</v>
      </c>
      <c r="BT2180" s="301">
        <v>0</v>
      </c>
      <c r="BU2180" s="49">
        <v>0</v>
      </c>
      <c r="BV2180" s="49"/>
      <c r="BW2180" s="49"/>
    </row>
    <row r="2181" spans="3:75" ht="19.5" customHeight="1">
      <c r="C2181" s="293">
        <v>77001205</v>
      </c>
      <c r="D2181" s="294" t="s">
        <v>2273</v>
      </c>
      <c r="E2181" s="294" t="s">
        <v>2274</v>
      </c>
      <c r="F2181" s="293">
        <v>1</v>
      </c>
      <c r="G2181" s="295">
        <v>0</v>
      </c>
      <c r="H2181" s="293">
        <v>0</v>
      </c>
      <c r="I2181" s="298">
        <v>0</v>
      </c>
      <c r="J2181" s="293">
        <v>1</v>
      </c>
      <c r="K2181" s="293">
        <v>0</v>
      </c>
      <c r="L2181" s="293">
        <v>0</v>
      </c>
      <c r="M2181" s="295">
        <v>0</v>
      </c>
      <c r="N2181" s="295">
        <v>0</v>
      </c>
      <c r="O2181" s="295">
        <v>2</v>
      </c>
      <c r="P2181" s="295">
        <v>3</v>
      </c>
      <c r="Q2181" s="295">
        <v>0.15</v>
      </c>
      <c r="R2181" s="295">
        <v>0</v>
      </c>
      <c r="S2181" s="301">
        <v>0</v>
      </c>
      <c r="T2181" s="295">
        <v>0</v>
      </c>
      <c r="U2181" s="295">
        <v>1</v>
      </c>
      <c r="V2181" s="295">
        <v>1</v>
      </c>
      <c r="W2181" s="295">
        <v>0</v>
      </c>
      <c r="X2181" s="295">
        <v>0</v>
      </c>
      <c r="Y2181" s="13">
        <v>0</v>
      </c>
      <c r="Z2181" s="295">
        <v>0</v>
      </c>
      <c r="AA2181" s="295">
        <v>1</v>
      </c>
      <c r="AB2181" s="295">
        <v>0</v>
      </c>
      <c r="AC2181" s="295">
        <v>0</v>
      </c>
      <c r="AD2181" s="295">
        <v>0</v>
      </c>
      <c r="AE2181" s="295">
        <v>1</v>
      </c>
      <c r="AF2181" s="295">
        <v>0</v>
      </c>
      <c r="AG2181" s="295">
        <v>1</v>
      </c>
      <c r="AH2181" s="295">
        <v>5</v>
      </c>
      <c r="AI2181" s="301">
        <v>0</v>
      </c>
      <c r="AJ2181" s="301">
        <v>1</v>
      </c>
      <c r="AK2181" s="301">
        <v>0</v>
      </c>
      <c r="AL2181" s="301">
        <v>3</v>
      </c>
      <c r="AM2181" s="295">
        <v>0</v>
      </c>
      <c r="AN2181" s="295">
        <v>0</v>
      </c>
      <c r="AO2181" s="295">
        <v>0</v>
      </c>
      <c r="AP2181" s="295">
        <v>0</v>
      </c>
      <c r="AQ2181" s="295">
        <v>1000</v>
      </c>
      <c r="AR2181" s="295">
        <v>0</v>
      </c>
      <c r="AS2181" s="295">
        <v>0</v>
      </c>
      <c r="AT2181" s="301">
        <v>97002005</v>
      </c>
      <c r="AU2181" s="302">
        <v>0</v>
      </c>
      <c r="AV2181" s="302"/>
      <c r="AW2181" s="305" t="s">
        <v>198</v>
      </c>
      <c r="AX2181" s="295" t="s">
        <v>534</v>
      </c>
      <c r="AY2181" s="293">
        <v>0</v>
      </c>
      <c r="AZ2181" s="293">
        <v>0</v>
      </c>
      <c r="BA2181" s="294" t="s">
        <v>200</v>
      </c>
      <c r="BB2181" s="295">
        <v>0</v>
      </c>
      <c r="BC2181" s="298">
        <v>0</v>
      </c>
      <c r="BD2181" s="298">
        <v>0</v>
      </c>
      <c r="BE2181" s="308" t="s">
        <v>4930</v>
      </c>
      <c r="BF2181" s="308" t="s">
        <v>4931</v>
      </c>
      <c r="BG2181" s="295">
        <v>0</v>
      </c>
      <c r="BH2181" s="295">
        <v>0</v>
      </c>
      <c r="BI2181" s="295">
        <v>0</v>
      </c>
      <c r="BJ2181" s="295">
        <v>0</v>
      </c>
      <c r="BK2181" s="295">
        <v>0</v>
      </c>
      <c r="BL2181" s="295">
        <v>0</v>
      </c>
      <c r="BM2181" s="310">
        <v>0</v>
      </c>
      <c r="BN2181" s="301">
        <v>0</v>
      </c>
      <c r="BO2181" s="301">
        <v>0</v>
      </c>
      <c r="BP2181" s="301">
        <v>0</v>
      </c>
      <c r="BQ2181" s="301">
        <v>0</v>
      </c>
      <c r="BR2181" s="301">
        <v>0</v>
      </c>
      <c r="BS2181" s="301">
        <v>1</v>
      </c>
      <c r="BT2181" s="301">
        <v>0</v>
      </c>
      <c r="BU2181" s="49">
        <v>0</v>
      </c>
      <c r="BV2181" s="49"/>
      <c r="BW2181" s="49"/>
    </row>
    <row r="2182" spans="3:75" ht="19.5" customHeight="1">
      <c r="C2182" s="293">
        <v>77001206</v>
      </c>
      <c r="D2182" s="294" t="s">
        <v>4942</v>
      </c>
      <c r="E2182" s="294" t="s">
        <v>3077</v>
      </c>
      <c r="F2182" s="293">
        <v>1</v>
      </c>
      <c r="G2182" s="295">
        <v>0</v>
      </c>
      <c r="H2182" s="293">
        <v>0</v>
      </c>
      <c r="I2182" s="298">
        <v>0</v>
      </c>
      <c r="J2182" s="293">
        <v>1</v>
      </c>
      <c r="K2182" s="293">
        <v>0</v>
      </c>
      <c r="L2182" s="293">
        <v>0</v>
      </c>
      <c r="M2182" s="295">
        <v>0</v>
      </c>
      <c r="N2182" s="295">
        <v>0</v>
      </c>
      <c r="O2182" s="295">
        <v>2</v>
      </c>
      <c r="P2182" s="295" t="s">
        <v>4943</v>
      </c>
      <c r="Q2182" s="295" t="s">
        <v>4944</v>
      </c>
      <c r="R2182" s="295">
        <v>0</v>
      </c>
      <c r="S2182" s="301">
        <v>0</v>
      </c>
      <c r="T2182" s="295">
        <v>0</v>
      </c>
      <c r="U2182" s="295">
        <v>1</v>
      </c>
      <c r="V2182" s="295">
        <v>2</v>
      </c>
      <c r="W2182" s="295">
        <v>0</v>
      </c>
      <c r="X2182" s="295">
        <v>1.5</v>
      </c>
      <c r="Y2182" s="13">
        <v>0</v>
      </c>
      <c r="Z2182" s="295">
        <v>0</v>
      </c>
      <c r="AA2182" s="295">
        <v>0</v>
      </c>
      <c r="AB2182" s="295">
        <v>0</v>
      </c>
      <c r="AC2182" s="295">
        <v>0</v>
      </c>
      <c r="AD2182" s="295">
        <v>0</v>
      </c>
      <c r="AE2182" s="295">
        <v>1</v>
      </c>
      <c r="AF2182" s="295">
        <v>18</v>
      </c>
      <c r="AG2182" s="295">
        <v>1</v>
      </c>
      <c r="AH2182" s="295">
        <v>2</v>
      </c>
      <c r="AI2182" s="301">
        <v>0</v>
      </c>
      <c r="AJ2182" s="301">
        <v>2</v>
      </c>
      <c r="AK2182" s="301">
        <v>0</v>
      </c>
      <c r="AL2182" s="301">
        <v>2</v>
      </c>
      <c r="AM2182" s="295">
        <v>0</v>
      </c>
      <c r="AN2182" s="295">
        <v>0</v>
      </c>
      <c r="AO2182" s="295">
        <v>0</v>
      </c>
      <c r="AP2182" s="295">
        <v>1</v>
      </c>
      <c r="AQ2182" s="295">
        <v>12000</v>
      </c>
      <c r="AR2182" s="295">
        <v>1</v>
      </c>
      <c r="AS2182" s="295">
        <v>10</v>
      </c>
      <c r="AT2182" s="303">
        <v>0</v>
      </c>
      <c r="AU2182" s="378" t="s">
        <v>4945</v>
      </c>
      <c r="AV2182" s="302"/>
      <c r="AW2182" s="294" t="s">
        <v>199</v>
      </c>
      <c r="AX2182" s="295" t="s">
        <v>534</v>
      </c>
      <c r="AY2182" s="293">
        <v>10000007</v>
      </c>
      <c r="AZ2182" s="379" t="s">
        <v>4946</v>
      </c>
      <c r="BA2182" s="294" t="s">
        <v>586</v>
      </c>
      <c r="BB2182" s="295" t="s">
        <v>4947</v>
      </c>
      <c r="BC2182" s="298">
        <v>0</v>
      </c>
      <c r="BD2182" s="298">
        <v>0</v>
      </c>
      <c r="BE2182" s="308" t="s">
        <v>4948</v>
      </c>
      <c r="BF2182" s="308" t="s">
        <v>4949</v>
      </c>
      <c r="BG2182" s="295">
        <v>0</v>
      </c>
      <c r="BH2182" s="295">
        <v>0</v>
      </c>
      <c r="BI2182" s="295">
        <v>0</v>
      </c>
      <c r="BJ2182" s="295">
        <v>0</v>
      </c>
      <c r="BK2182" s="295">
        <v>0</v>
      </c>
      <c r="BL2182" s="295">
        <v>0</v>
      </c>
      <c r="BM2182" s="310">
        <v>0</v>
      </c>
      <c r="BN2182" s="301">
        <v>0</v>
      </c>
      <c r="BO2182" s="301">
        <v>0</v>
      </c>
      <c r="BP2182" s="301">
        <v>0</v>
      </c>
      <c r="BQ2182" s="301">
        <v>0</v>
      </c>
      <c r="BR2182" s="301">
        <v>0</v>
      </c>
      <c r="BS2182" s="301">
        <v>0</v>
      </c>
      <c r="BT2182" s="301">
        <v>0</v>
      </c>
      <c r="BU2182" s="49">
        <v>0</v>
      </c>
      <c r="BV2182" s="49"/>
      <c r="BW2182" s="49"/>
    </row>
    <row r="2183" spans="3:75" ht="19.5" customHeight="1">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2" t="s">
        <v>4950</v>
      </c>
      <c r="AU2183" s="99">
        <v>0</v>
      </c>
      <c r="AV2183" s="114"/>
      <c r="AW2183" s="104" t="s">
        <v>199</v>
      </c>
      <c r="AX2183" s="106">
        <v>0</v>
      </c>
      <c r="AY2183" s="106">
        <v>0</v>
      </c>
      <c r="AZ2183" s="106">
        <v>77001305</v>
      </c>
      <c r="BA2183" s="101" t="s">
        <v>528</v>
      </c>
      <c r="BB2183" s="99" t="s">
        <v>4951</v>
      </c>
      <c r="BC2183" s="117">
        <v>0</v>
      </c>
      <c r="BD2183" s="107">
        <v>0</v>
      </c>
      <c r="BE2183" s="120" t="s">
        <v>4952</v>
      </c>
      <c r="BF2183" s="120" t="s">
        <v>4953</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spans="3:75" ht="19.5" hidden="1" customHeight="1">
      <c r="C2184" s="102">
        <v>77001302</v>
      </c>
      <c r="D2184" s="101" t="s">
        <v>804</v>
      </c>
      <c r="E2184" s="296"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5" t="s">
        <v>4954</v>
      </c>
      <c r="AU2184" s="346" t="s">
        <v>4955</v>
      </c>
      <c r="AV2184" s="116"/>
      <c r="AW2184" s="101" t="s">
        <v>256</v>
      </c>
      <c r="AX2184" s="103" t="s">
        <v>215</v>
      </c>
      <c r="AY2184" s="102">
        <v>10000011</v>
      </c>
      <c r="AZ2184" s="102">
        <v>77001301</v>
      </c>
      <c r="BA2184" s="101" t="s">
        <v>216</v>
      </c>
      <c r="BB2184" s="103">
        <v>0</v>
      </c>
      <c r="BC2184" s="107">
        <v>0</v>
      </c>
      <c r="BD2184" s="107">
        <v>0</v>
      </c>
      <c r="BE2184" s="121" t="s">
        <v>4956</v>
      </c>
      <c r="BF2184" s="121" t="s">
        <v>4957</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spans="3:75" ht="20.100000000000001" customHeight="1">
      <c r="C2185" s="102">
        <v>77001303</v>
      </c>
      <c r="D2185" s="101" t="s">
        <v>810</v>
      </c>
      <c r="E2185" s="296"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6" t="s">
        <v>4955</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spans="3:75" ht="20.100000000000001" customHeight="1">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6" t="s">
        <v>4958</v>
      </c>
      <c r="AV2186" s="116"/>
      <c r="AW2186" s="104" t="s">
        <v>287</v>
      </c>
      <c r="AX2186" s="106">
        <v>0</v>
      </c>
      <c r="AY2186" s="106">
        <v>0</v>
      </c>
      <c r="AZ2186" s="102">
        <v>77001303</v>
      </c>
      <c r="BA2186" s="104" t="s">
        <v>586</v>
      </c>
      <c r="BB2186" s="103" t="s">
        <v>816</v>
      </c>
      <c r="BC2186" s="107">
        <v>0</v>
      </c>
      <c r="BD2186" s="107">
        <v>0</v>
      </c>
      <c r="BE2186" s="121" t="s">
        <v>4959</v>
      </c>
      <c r="BF2186" s="124" t="s">
        <v>4960</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spans="3:75" ht="20.100000000000001" customHeight="1">
      <c r="C2187" s="102">
        <v>77001305</v>
      </c>
      <c r="D2187" s="101" t="s">
        <v>760</v>
      </c>
      <c r="E2187" s="296"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2" t="s">
        <v>4954</v>
      </c>
      <c r="AU2187" s="346" t="s">
        <v>4955</v>
      </c>
      <c r="AV2187" s="116"/>
      <c r="AW2187" s="101" t="s">
        <v>256</v>
      </c>
      <c r="AX2187" s="103" t="s">
        <v>215</v>
      </c>
      <c r="AY2187" s="102">
        <v>10000011</v>
      </c>
      <c r="AZ2187" s="102">
        <v>77001301</v>
      </c>
      <c r="BA2187" s="101" t="s">
        <v>216</v>
      </c>
      <c r="BB2187" s="103">
        <v>0</v>
      </c>
      <c r="BC2187" s="107">
        <v>0</v>
      </c>
      <c r="BD2187" s="107">
        <v>0</v>
      </c>
      <c r="BE2187" s="121" t="s">
        <v>4961</v>
      </c>
      <c r="BF2187" s="121" t="s">
        <v>4962</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spans="3:75" ht="20.100000000000001" customHeight="1">
      <c r="C2188" s="102">
        <v>77001306</v>
      </c>
      <c r="D2188" s="101" t="s">
        <v>760</v>
      </c>
      <c r="E2188" s="296"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2" t="s">
        <v>4954</v>
      </c>
      <c r="AU2188" s="346" t="s">
        <v>4955</v>
      </c>
      <c r="AV2188" s="116"/>
      <c r="AW2188" s="101" t="s">
        <v>256</v>
      </c>
      <c r="AX2188" s="103" t="s">
        <v>215</v>
      </c>
      <c r="AY2188" s="102">
        <v>10000011</v>
      </c>
      <c r="AZ2188" s="102">
        <v>77001301</v>
      </c>
      <c r="BA2188" s="101" t="s">
        <v>216</v>
      </c>
      <c r="BB2188" s="103">
        <v>0</v>
      </c>
      <c r="BC2188" s="107">
        <v>0</v>
      </c>
      <c r="BD2188" s="107">
        <v>0</v>
      </c>
      <c r="BE2188" s="121" t="s">
        <v>4961</v>
      </c>
      <c r="BF2188" s="121" t="s">
        <v>4962</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spans="3:75" ht="20.100000000000001" customHeight="1">
      <c r="C2189" s="102">
        <v>77001307</v>
      </c>
      <c r="D2189" s="101" t="s">
        <v>4963</v>
      </c>
      <c r="E2189" s="296" t="s">
        <v>4964</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6" t="s">
        <v>4955</v>
      </c>
      <c r="AV2189" s="116"/>
      <c r="AW2189" s="104" t="s">
        <v>198</v>
      </c>
      <c r="AX2189" s="103" t="s">
        <v>545</v>
      </c>
      <c r="AY2189" s="102">
        <v>10001007</v>
      </c>
      <c r="AZ2189" s="102">
        <v>77001304</v>
      </c>
      <c r="BA2189" s="101" t="s">
        <v>200</v>
      </c>
      <c r="BB2189" s="103">
        <v>0</v>
      </c>
      <c r="BC2189" s="107">
        <v>0</v>
      </c>
      <c r="BD2189" s="107">
        <v>0</v>
      </c>
      <c r="BE2189" s="121" t="s">
        <v>4965</v>
      </c>
      <c r="BF2189" s="121" t="s">
        <v>4966</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19.5" customHeight="1">
      <c r="C2190" s="66">
        <v>77001401</v>
      </c>
      <c r="D2190" s="61" t="s">
        <v>4967</v>
      </c>
      <c r="E2190" s="61" t="s">
        <v>4968</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1" t="s">
        <v>4969</v>
      </c>
      <c r="AV2190" s="81"/>
      <c r="AW2190" s="61" t="s">
        <v>287</v>
      </c>
      <c r="AX2190" s="62" t="s">
        <v>534</v>
      </c>
      <c r="AY2190" s="66">
        <v>10000007</v>
      </c>
      <c r="AZ2190" s="66">
        <v>77001401</v>
      </c>
      <c r="BA2190" s="61" t="s">
        <v>586</v>
      </c>
      <c r="BB2190" s="62" t="s">
        <v>4970</v>
      </c>
      <c r="BC2190" s="68">
        <v>0</v>
      </c>
      <c r="BD2190" s="68">
        <v>1</v>
      </c>
      <c r="BE2190" s="92" t="s">
        <v>4971</v>
      </c>
      <c r="BF2190" s="92" t="s">
        <v>4972</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spans="3:75" ht="19.5" customHeight="1">
      <c r="C2191" s="66">
        <v>77001402</v>
      </c>
      <c r="D2191" s="61" t="s">
        <v>4973</v>
      </c>
      <c r="E2191" s="61" t="s">
        <v>4974</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49" t="s">
        <v>4975</v>
      </c>
      <c r="AU2191" s="341" t="s">
        <v>4976</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spans="3:75" ht="19.5" customHeight="1">
      <c r="C2192" s="66">
        <v>77001403</v>
      </c>
      <c r="D2192" s="61" t="s">
        <v>4973</v>
      </c>
      <c r="E2192" s="61" t="s">
        <v>4974</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1" t="s">
        <v>4976</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spans="3:75" ht="19.5" customHeight="1">
      <c r="C2193" s="66">
        <v>77001404</v>
      </c>
      <c r="D2193" s="61" t="s">
        <v>4977</v>
      </c>
      <c r="E2193" s="61" t="s">
        <v>4978</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1" t="s">
        <v>4979</v>
      </c>
      <c r="AV2193" s="81"/>
      <c r="AW2193" s="61" t="s">
        <v>256</v>
      </c>
      <c r="AX2193" s="62" t="s">
        <v>534</v>
      </c>
      <c r="AY2193" s="66">
        <v>10000007</v>
      </c>
      <c r="AZ2193" s="66">
        <v>77001402</v>
      </c>
      <c r="BA2193" s="61" t="s">
        <v>586</v>
      </c>
      <c r="BB2193" s="62" t="s">
        <v>4980</v>
      </c>
      <c r="BC2193" s="68">
        <v>0</v>
      </c>
      <c r="BD2193" s="68">
        <v>1</v>
      </c>
      <c r="BE2193" s="92" t="s">
        <v>4981</v>
      </c>
      <c r="BF2193" s="92" t="s">
        <v>4982</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spans="3:75" ht="19.5" customHeight="1">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1" t="s">
        <v>4976</v>
      </c>
      <c r="AV2194" s="81"/>
      <c r="AW2194" s="65" t="s">
        <v>199</v>
      </c>
      <c r="AX2194" s="62" t="s">
        <v>534</v>
      </c>
      <c r="AY2194" s="66">
        <v>0</v>
      </c>
      <c r="AZ2194" s="66">
        <v>77001404</v>
      </c>
      <c r="BA2194" s="61" t="s">
        <v>200</v>
      </c>
      <c r="BB2194" s="62" t="s">
        <v>4983</v>
      </c>
      <c r="BC2194" s="68">
        <v>0</v>
      </c>
      <c r="BD2194" s="68">
        <v>0</v>
      </c>
      <c r="BE2194" s="92" t="s">
        <v>4984</v>
      </c>
      <c r="BF2194" s="92" t="s">
        <v>4985</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20.100000000000001" customHeight="1">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spans="3:75" ht="19.5" customHeight="1">
      <c r="C2196" s="66">
        <v>77001407</v>
      </c>
      <c r="D2196" s="61" t="s">
        <v>4986</v>
      </c>
      <c r="E2196" s="61" t="s">
        <v>4987</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1" t="s">
        <v>4979</v>
      </c>
      <c r="AV2196" s="81"/>
      <c r="AW2196" s="65" t="s">
        <v>287</v>
      </c>
      <c r="AX2196" s="62" t="s">
        <v>534</v>
      </c>
      <c r="AY2196" s="66">
        <v>0</v>
      </c>
      <c r="AZ2196" s="66">
        <v>77001407</v>
      </c>
      <c r="BA2196" s="61" t="s">
        <v>200</v>
      </c>
      <c r="BB2196" s="62">
        <v>0</v>
      </c>
      <c r="BC2196" s="68">
        <v>0</v>
      </c>
      <c r="BD2196" s="68">
        <v>0</v>
      </c>
      <c r="BE2196" s="92" t="s">
        <v>4988</v>
      </c>
      <c r="BF2196" s="92" t="s">
        <v>4989</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293">
        <v>77001501</v>
      </c>
      <c r="D2197" s="294" t="s">
        <v>4990</v>
      </c>
      <c r="E2197" s="294" t="s">
        <v>4991</v>
      </c>
      <c r="F2197" s="293">
        <v>1</v>
      </c>
      <c r="G2197" s="293">
        <v>0</v>
      </c>
      <c r="H2197" s="293">
        <v>0</v>
      </c>
      <c r="I2197" s="298">
        <v>0</v>
      </c>
      <c r="J2197" s="293">
        <v>1</v>
      </c>
      <c r="K2197" s="293">
        <v>0</v>
      </c>
      <c r="L2197" s="293">
        <v>0</v>
      </c>
      <c r="M2197" s="295">
        <v>0</v>
      </c>
      <c r="N2197" s="295">
        <v>0</v>
      </c>
      <c r="O2197" s="295">
        <v>2</v>
      </c>
      <c r="P2197" s="295">
        <v>2</v>
      </c>
      <c r="Q2197" s="295">
        <v>0.5</v>
      </c>
      <c r="R2197" s="295">
        <v>0</v>
      </c>
      <c r="S2197" s="301">
        <v>0</v>
      </c>
      <c r="T2197" s="295">
        <v>0</v>
      </c>
      <c r="U2197" s="295">
        <v>1</v>
      </c>
      <c r="V2197" s="295">
        <v>2</v>
      </c>
      <c r="W2197" s="295">
        <v>0</v>
      </c>
      <c r="X2197" s="295">
        <v>2</v>
      </c>
      <c r="Y2197" s="13">
        <v>0</v>
      </c>
      <c r="Z2197" s="295">
        <v>0</v>
      </c>
      <c r="AA2197" s="295">
        <v>1</v>
      </c>
      <c r="AB2197" s="295">
        <v>0</v>
      </c>
      <c r="AC2197" s="295">
        <v>0</v>
      </c>
      <c r="AD2197" s="295">
        <v>0</v>
      </c>
      <c r="AE2197" s="295">
        <v>1</v>
      </c>
      <c r="AF2197" s="295">
        <v>30</v>
      </c>
      <c r="AG2197" s="295">
        <v>1</v>
      </c>
      <c r="AH2197" s="295">
        <v>4</v>
      </c>
      <c r="AI2197" s="301">
        <v>0</v>
      </c>
      <c r="AJ2197" s="301">
        <v>1</v>
      </c>
      <c r="AK2197" s="301">
        <v>0</v>
      </c>
      <c r="AL2197" s="301">
        <v>3</v>
      </c>
      <c r="AM2197" s="295">
        <v>0</v>
      </c>
      <c r="AN2197" s="295">
        <v>1</v>
      </c>
      <c r="AO2197" s="295">
        <v>0</v>
      </c>
      <c r="AP2197" s="295">
        <v>1</v>
      </c>
      <c r="AQ2197" s="295">
        <v>3000</v>
      </c>
      <c r="AR2197" s="295">
        <v>1</v>
      </c>
      <c r="AS2197" s="295">
        <v>0</v>
      </c>
      <c r="AT2197" s="301">
        <v>97005001</v>
      </c>
      <c r="AU2197" s="378" t="s">
        <v>4992</v>
      </c>
      <c r="AV2197" s="302"/>
      <c r="AW2197" s="305" t="s">
        <v>287</v>
      </c>
      <c r="AX2197" s="295" t="s">
        <v>534</v>
      </c>
      <c r="AY2197" s="293">
        <v>0</v>
      </c>
      <c r="AZ2197" s="293">
        <v>77001501</v>
      </c>
      <c r="BA2197" s="294" t="s">
        <v>200</v>
      </c>
      <c r="BB2197" s="295">
        <v>0</v>
      </c>
      <c r="BC2197" s="298">
        <v>0</v>
      </c>
      <c r="BD2197" s="298">
        <v>0</v>
      </c>
      <c r="BE2197" s="308" t="s">
        <v>4993</v>
      </c>
      <c r="BF2197" s="308" t="s">
        <v>4994</v>
      </c>
      <c r="BG2197" s="295">
        <v>0</v>
      </c>
      <c r="BH2197" s="295">
        <v>0</v>
      </c>
      <c r="BI2197" s="295">
        <v>0</v>
      </c>
      <c r="BJ2197" s="295">
        <v>0</v>
      </c>
      <c r="BK2197" s="295">
        <v>0</v>
      </c>
      <c r="BL2197" s="295">
        <v>0</v>
      </c>
      <c r="BM2197" s="310">
        <v>0</v>
      </c>
      <c r="BN2197" s="301">
        <v>0</v>
      </c>
      <c r="BO2197" s="301">
        <v>0</v>
      </c>
      <c r="BP2197" s="301">
        <v>0</v>
      </c>
      <c r="BQ2197" s="301">
        <v>0</v>
      </c>
      <c r="BR2197" s="301">
        <v>0</v>
      </c>
      <c r="BS2197" s="301">
        <v>0</v>
      </c>
      <c r="BT2197" s="301">
        <v>0</v>
      </c>
      <c r="BU2197" s="49">
        <v>0</v>
      </c>
      <c r="BV2197" s="49"/>
      <c r="BW2197" s="49"/>
    </row>
    <row r="2198" spans="3:75" ht="20.100000000000001" customHeight="1">
      <c r="C2198" s="293">
        <v>77001502</v>
      </c>
      <c r="D2198" s="294" t="s">
        <v>4995</v>
      </c>
      <c r="E2198" s="294" t="s">
        <v>4996</v>
      </c>
      <c r="F2198" s="295">
        <v>1</v>
      </c>
      <c r="G2198" s="295">
        <v>0</v>
      </c>
      <c r="H2198" s="295">
        <v>0</v>
      </c>
      <c r="I2198" s="298">
        <v>0</v>
      </c>
      <c r="J2198" s="293">
        <v>1</v>
      </c>
      <c r="K2198" s="295">
        <v>0</v>
      </c>
      <c r="L2198" s="295">
        <v>0</v>
      </c>
      <c r="M2198" s="295">
        <v>0</v>
      </c>
      <c r="N2198" s="295">
        <v>0</v>
      </c>
      <c r="O2198" s="295">
        <v>2</v>
      </c>
      <c r="P2198" s="295">
        <v>3</v>
      </c>
      <c r="Q2198" s="295">
        <v>0.2</v>
      </c>
      <c r="R2198" s="295">
        <v>0</v>
      </c>
      <c r="S2198" s="301">
        <v>0</v>
      </c>
      <c r="T2198" s="295">
        <v>0</v>
      </c>
      <c r="U2198" s="295">
        <v>1</v>
      </c>
      <c r="V2198" s="295">
        <v>1</v>
      </c>
      <c r="W2198" s="295">
        <v>0</v>
      </c>
      <c r="X2198" s="295">
        <v>1</v>
      </c>
      <c r="Y2198" s="13">
        <v>0</v>
      </c>
      <c r="Z2198" s="295">
        <v>0</v>
      </c>
      <c r="AA2198" s="295">
        <v>1</v>
      </c>
      <c r="AB2198" s="295">
        <v>0</v>
      </c>
      <c r="AC2198" s="295">
        <v>0</v>
      </c>
      <c r="AD2198" s="295">
        <v>0</v>
      </c>
      <c r="AE2198" s="295">
        <v>1</v>
      </c>
      <c r="AF2198" s="295">
        <v>6</v>
      </c>
      <c r="AG2198" s="295">
        <v>1</v>
      </c>
      <c r="AH2198" s="295">
        <v>3</v>
      </c>
      <c r="AI2198" s="301">
        <v>0</v>
      </c>
      <c r="AJ2198" s="301">
        <v>1</v>
      </c>
      <c r="AK2198" s="301">
        <v>0</v>
      </c>
      <c r="AL2198" s="301">
        <v>2</v>
      </c>
      <c r="AM2198" s="295">
        <v>0</v>
      </c>
      <c r="AN2198" s="295">
        <v>0</v>
      </c>
      <c r="AO2198" s="295">
        <v>0</v>
      </c>
      <c r="AP2198" s="295">
        <v>1</v>
      </c>
      <c r="AQ2198" s="295">
        <v>1100</v>
      </c>
      <c r="AR2198" s="295">
        <v>1</v>
      </c>
      <c r="AS2198" s="295">
        <v>0</v>
      </c>
      <c r="AT2198" s="301">
        <v>0</v>
      </c>
      <c r="AU2198" s="295">
        <v>97005003</v>
      </c>
      <c r="AV2198" s="295"/>
      <c r="AW2198" s="294" t="s">
        <v>198</v>
      </c>
      <c r="AX2198" s="295" t="s">
        <v>534</v>
      </c>
      <c r="AY2198" s="293">
        <v>10000001</v>
      </c>
      <c r="AZ2198" s="293">
        <v>77001505</v>
      </c>
      <c r="BA2198" s="294" t="s">
        <v>771</v>
      </c>
      <c r="BB2198" s="295">
        <v>0</v>
      </c>
      <c r="BC2198" s="298">
        <v>0</v>
      </c>
      <c r="BD2198" s="298">
        <v>0</v>
      </c>
      <c r="BE2198" s="315" t="s">
        <v>4997</v>
      </c>
      <c r="BF2198" s="315" t="s">
        <v>4998</v>
      </c>
      <c r="BG2198" s="295">
        <v>0</v>
      </c>
      <c r="BH2198" s="295">
        <v>0</v>
      </c>
      <c r="BI2198" s="295">
        <v>0</v>
      </c>
      <c r="BJ2198" s="295">
        <v>0</v>
      </c>
      <c r="BK2198" s="295">
        <v>0</v>
      </c>
      <c r="BL2198" s="295">
        <v>0</v>
      </c>
      <c r="BM2198" s="310">
        <v>0</v>
      </c>
      <c r="BN2198" s="301">
        <v>0</v>
      </c>
      <c r="BO2198" s="301">
        <v>0</v>
      </c>
      <c r="BP2198" s="301">
        <v>0</v>
      </c>
      <c r="BQ2198" s="301">
        <v>0</v>
      </c>
      <c r="BR2198" s="301">
        <v>0</v>
      </c>
      <c r="BS2198" s="301">
        <v>0</v>
      </c>
      <c r="BT2198" s="301">
        <v>77001508</v>
      </c>
      <c r="BU2198" s="49">
        <v>0</v>
      </c>
      <c r="BV2198" s="49"/>
      <c r="BW2198" s="49"/>
    </row>
    <row r="2199" spans="3:75" ht="19.5" customHeight="1">
      <c r="C2199" s="293">
        <v>77001503</v>
      </c>
      <c r="D2199" s="294" t="s">
        <v>4999</v>
      </c>
      <c r="E2199" s="294" t="s">
        <v>5000</v>
      </c>
      <c r="F2199" s="293">
        <v>1</v>
      </c>
      <c r="G2199" s="295">
        <v>0</v>
      </c>
      <c r="H2199" s="293">
        <v>0</v>
      </c>
      <c r="I2199" s="298">
        <v>0</v>
      </c>
      <c r="J2199" s="293">
        <v>1</v>
      </c>
      <c r="K2199" s="293">
        <v>0</v>
      </c>
      <c r="L2199" s="293">
        <v>0</v>
      </c>
      <c r="M2199" s="295">
        <v>0</v>
      </c>
      <c r="N2199" s="295">
        <v>0</v>
      </c>
      <c r="O2199" s="295">
        <v>2</v>
      </c>
      <c r="P2199" s="295">
        <v>1</v>
      </c>
      <c r="Q2199" s="295">
        <v>0.2</v>
      </c>
      <c r="R2199" s="295">
        <v>0</v>
      </c>
      <c r="S2199" s="301">
        <v>0</v>
      </c>
      <c r="T2199" s="295">
        <v>0</v>
      </c>
      <c r="U2199" s="295">
        <v>1</v>
      </c>
      <c r="V2199" s="295">
        <v>2</v>
      </c>
      <c r="W2199" s="295">
        <v>0</v>
      </c>
      <c r="X2199" s="295">
        <v>0.8</v>
      </c>
      <c r="Y2199" s="13">
        <v>0</v>
      </c>
      <c r="Z2199" s="295">
        <v>0</v>
      </c>
      <c r="AA2199" s="295">
        <v>1</v>
      </c>
      <c r="AB2199" s="295">
        <v>0</v>
      </c>
      <c r="AC2199" s="295">
        <v>0</v>
      </c>
      <c r="AD2199" s="295">
        <v>0</v>
      </c>
      <c r="AE2199" s="295">
        <v>0</v>
      </c>
      <c r="AF2199" s="295">
        <v>14</v>
      </c>
      <c r="AG2199" s="295">
        <v>1</v>
      </c>
      <c r="AH2199" s="295">
        <v>3</v>
      </c>
      <c r="AI2199" s="301">
        <v>1</v>
      </c>
      <c r="AJ2199" s="301">
        <v>0</v>
      </c>
      <c r="AK2199" s="301">
        <v>0</v>
      </c>
      <c r="AL2199" s="301">
        <v>0</v>
      </c>
      <c r="AM2199" s="295">
        <v>0</v>
      </c>
      <c r="AN2199" s="295">
        <v>0</v>
      </c>
      <c r="AO2199" s="295">
        <v>0</v>
      </c>
      <c r="AP2199" s="295">
        <v>0</v>
      </c>
      <c r="AQ2199" s="295">
        <v>999999</v>
      </c>
      <c r="AR2199" s="295">
        <v>0</v>
      </c>
      <c r="AS2199" s="295">
        <v>0</v>
      </c>
      <c r="AT2199" s="301">
        <v>97005004</v>
      </c>
      <c r="AU2199" s="295">
        <v>97005002</v>
      </c>
      <c r="AV2199" s="295"/>
      <c r="AW2199" s="305" t="s">
        <v>287</v>
      </c>
      <c r="AX2199" s="295" t="s">
        <v>534</v>
      </c>
      <c r="AY2199" s="293">
        <v>10000007</v>
      </c>
      <c r="AZ2199" s="293">
        <v>77001503</v>
      </c>
      <c r="BA2199" s="305" t="s">
        <v>315</v>
      </c>
      <c r="BB2199" s="305" t="s">
        <v>371</v>
      </c>
      <c r="BC2199" s="298">
        <v>0</v>
      </c>
      <c r="BD2199" s="298">
        <v>0</v>
      </c>
      <c r="BE2199" s="308" t="s">
        <v>5001</v>
      </c>
      <c r="BF2199" s="308" t="s">
        <v>5002</v>
      </c>
      <c r="BG2199" s="295">
        <v>0</v>
      </c>
      <c r="BH2199" s="295">
        <v>0</v>
      </c>
      <c r="BI2199" s="295">
        <v>0</v>
      </c>
      <c r="BJ2199" s="295">
        <v>0</v>
      </c>
      <c r="BK2199" s="295">
        <v>0</v>
      </c>
      <c r="BL2199" s="295">
        <v>0</v>
      </c>
      <c r="BM2199" s="310">
        <v>0</v>
      </c>
      <c r="BN2199" s="301">
        <v>0</v>
      </c>
      <c r="BO2199" s="301">
        <v>0</v>
      </c>
      <c r="BP2199" s="301">
        <v>0</v>
      </c>
      <c r="BQ2199" s="301">
        <v>0</v>
      </c>
      <c r="BR2199" s="301">
        <v>0</v>
      </c>
      <c r="BS2199" s="301">
        <v>0</v>
      </c>
      <c r="BT2199" s="301">
        <v>0</v>
      </c>
      <c r="BU2199" s="49">
        <v>0</v>
      </c>
      <c r="BV2199" s="49"/>
      <c r="BW2199" s="49"/>
    </row>
    <row r="2200" spans="3:75" ht="20.100000000000001" customHeight="1">
      <c r="C2200" s="293">
        <v>77001504</v>
      </c>
      <c r="D2200" s="294" t="s">
        <v>5003</v>
      </c>
      <c r="E2200" s="311" t="s">
        <v>5004</v>
      </c>
      <c r="F2200" s="310">
        <v>1</v>
      </c>
      <c r="G2200" s="295">
        <v>0</v>
      </c>
      <c r="H2200" s="295">
        <v>0</v>
      </c>
      <c r="I2200" s="298">
        <v>0</v>
      </c>
      <c r="J2200" s="293">
        <v>1</v>
      </c>
      <c r="K2200" s="293">
        <v>0</v>
      </c>
      <c r="L2200" s="293">
        <v>0</v>
      </c>
      <c r="M2200" s="295">
        <v>0</v>
      </c>
      <c r="N2200" s="295">
        <v>0</v>
      </c>
      <c r="O2200" s="295">
        <v>2</v>
      </c>
      <c r="P2200" s="295">
        <v>1</v>
      </c>
      <c r="Q2200" s="295">
        <v>0.2</v>
      </c>
      <c r="R2200" s="295">
        <v>0</v>
      </c>
      <c r="S2200" s="301">
        <v>0</v>
      </c>
      <c r="T2200" s="295">
        <v>0</v>
      </c>
      <c r="U2200" s="295">
        <v>1</v>
      </c>
      <c r="V2200" s="310">
        <v>1</v>
      </c>
      <c r="W2200" s="295">
        <v>0</v>
      </c>
      <c r="X2200" s="295">
        <v>0</v>
      </c>
      <c r="Y2200" s="13">
        <v>0</v>
      </c>
      <c r="Z2200" s="295">
        <v>0</v>
      </c>
      <c r="AA2200" s="295">
        <v>1</v>
      </c>
      <c r="AB2200" s="295">
        <v>0</v>
      </c>
      <c r="AC2200" s="295">
        <v>0</v>
      </c>
      <c r="AD2200" s="295">
        <v>0</v>
      </c>
      <c r="AE2200" s="295">
        <v>1</v>
      </c>
      <c r="AF2200" s="295">
        <v>12</v>
      </c>
      <c r="AG2200" s="295">
        <v>2</v>
      </c>
      <c r="AH2200" s="295" t="s">
        <v>213</v>
      </c>
      <c r="AI2200" s="301">
        <v>0</v>
      </c>
      <c r="AJ2200" s="301">
        <v>2</v>
      </c>
      <c r="AK2200" s="301">
        <v>0</v>
      </c>
      <c r="AL2200" s="301">
        <v>1.5</v>
      </c>
      <c r="AM2200" s="295">
        <v>0</v>
      </c>
      <c r="AN2200" s="295">
        <v>0</v>
      </c>
      <c r="AO2200" s="295">
        <v>0</v>
      </c>
      <c r="AP2200" s="295">
        <v>0.5</v>
      </c>
      <c r="AQ2200" s="295">
        <v>500</v>
      </c>
      <c r="AR2200" s="295">
        <v>0</v>
      </c>
      <c r="AS2200" s="295">
        <v>18</v>
      </c>
      <c r="AT2200" s="301">
        <v>0</v>
      </c>
      <c r="AU2200" s="302">
        <v>0</v>
      </c>
      <c r="AV2200" s="302"/>
      <c r="AW2200" s="294" t="s">
        <v>287</v>
      </c>
      <c r="AX2200" s="295" t="s">
        <v>215</v>
      </c>
      <c r="AY2200" s="293">
        <v>0</v>
      </c>
      <c r="AZ2200" s="293">
        <v>0</v>
      </c>
      <c r="BA2200" s="294" t="s">
        <v>216</v>
      </c>
      <c r="BB2200" s="295">
        <v>0</v>
      </c>
      <c r="BC2200" s="298">
        <v>0</v>
      </c>
      <c r="BD2200" s="298">
        <v>0</v>
      </c>
      <c r="BE2200" s="308" t="s">
        <v>5005</v>
      </c>
      <c r="BF2200" s="308" t="s">
        <v>5006</v>
      </c>
      <c r="BG2200" s="295">
        <v>0</v>
      </c>
      <c r="BH2200" s="295">
        <v>0</v>
      </c>
      <c r="BI2200" s="295">
        <v>0</v>
      </c>
      <c r="BJ2200" s="295">
        <v>0</v>
      </c>
      <c r="BK2200" s="295">
        <v>0</v>
      </c>
      <c r="BL2200" s="295">
        <v>0</v>
      </c>
      <c r="BM2200" s="310">
        <v>0</v>
      </c>
      <c r="BN2200" s="301">
        <v>0</v>
      </c>
      <c r="BO2200" s="301">
        <v>0</v>
      </c>
      <c r="BP2200" s="301">
        <v>0</v>
      </c>
      <c r="BQ2200" s="301">
        <v>0</v>
      </c>
      <c r="BR2200" s="301">
        <v>0</v>
      </c>
      <c r="BS2200" s="301">
        <v>1</v>
      </c>
      <c r="BT2200" s="301">
        <v>77001505</v>
      </c>
      <c r="BU2200" s="49">
        <v>0</v>
      </c>
      <c r="BV2200" s="49"/>
      <c r="BW2200" s="49"/>
    </row>
    <row r="2201" spans="3:75" ht="19.5" customHeight="1">
      <c r="C2201" s="293">
        <v>77001505</v>
      </c>
      <c r="D2201" s="294" t="s">
        <v>5007</v>
      </c>
      <c r="E2201" s="294" t="s">
        <v>1266</v>
      </c>
      <c r="F2201" s="293">
        <v>1</v>
      </c>
      <c r="G2201" s="295">
        <v>0</v>
      </c>
      <c r="H2201" s="293">
        <v>0</v>
      </c>
      <c r="I2201" s="298">
        <v>0</v>
      </c>
      <c r="J2201" s="293">
        <v>1</v>
      </c>
      <c r="K2201" s="293">
        <v>0</v>
      </c>
      <c r="L2201" s="293">
        <v>0</v>
      </c>
      <c r="M2201" s="295">
        <v>0</v>
      </c>
      <c r="N2201" s="295">
        <v>0</v>
      </c>
      <c r="O2201" s="295">
        <v>2</v>
      </c>
      <c r="P2201" s="295">
        <v>16</v>
      </c>
      <c r="Q2201" s="295">
        <v>5</v>
      </c>
      <c r="R2201" s="295">
        <v>0</v>
      </c>
      <c r="S2201" s="301">
        <v>0</v>
      </c>
      <c r="T2201" s="295">
        <v>0</v>
      </c>
      <c r="U2201" s="295">
        <v>1</v>
      </c>
      <c r="V2201" s="295">
        <v>2</v>
      </c>
      <c r="W2201" s="295">
        <v>0</v>
      </c>
      <c r="X2201" s="295">
        <v>2</v>
      </c>
      <c r="Y2201" s="13">
        <v>0</v>
      </c>
      <c r="Z2201" s="295">
        <v>0</v>
      </c>
      <c r="AA2201" s="295">
        <v>0</v>
      </c>
      <c r="AB2201" s="295">
        <v>0</v>
      </c>
      <c r="AC2201" s="295">
        <v>0</v>
      </c>
      <c r="AD2201" s="295">
        <v>0</v>
      </c>
      <c r="AE2201" s="295">
        <v>1</v>
      </c>
      <c r="AF2201" s="295">
        <v>0</v>
      </c>
      <c r="AG2201" s="295">
        <v>1</v>
      </c>
      <c r="AH2201" s="295" t="s">
        <v>5008</v>
      </c>
      <c r="AI2201" s="301">
        <v>0</v>
      </c>
      <c r="AJ2201" s="301">
        <v>2</v>
      </c>
      <c r="AK2201" s="301">
        <v>0</v>
      </c>
      <c r="AL2201" s="301">
        <v>2</v>
      </c>
      <c r="AM2201" s="295">
        <v>0</v>
      </c>
      <c r="AN2201" s="295">
        <v>0</v>
      </c>
      <c r="AO2201" s="295">
        <v>0</v>
      </c>
      <c r="AP2201" s="295">
        <v>0.5</v>
      </c>
      <c r="AQ2201" s="295">
        <v>1000</v>
      </c>
      <c r="AR2201" s="295">
        <v>0.5</v>
      </c>
      <c r="AS2201" s="295">
        <v>0</v>
      </c>
      <c r="AT2201" s="303">
        <v>0</v>
      </c>
      <c r="AU2201" s="378" t="s">
        <v>5009</v>
      </c>
      <c r="AV2201" s="302"/>
      <c r="AW2201" s="294" t="s">
        <v>199</v>
      </c>
      <c r="AX2201" s="295" t="s">
        <v>534</v>
      </c>
      <c r="AY2201" s="293">
        <v>10000007</v>
      </c>
      <c r="AZ2201" s="379" t="s">
        <v>5010</v>
      </c>
      <c r="BA2201" s="294" t="s">
        <v>200</v>
      </c>
      <c r="BB2201" s="295">
        <v>0</v>
      </c>
      <c r="BC2201" s="298">
        <v>0</v>
      </c>
      <c r="BD2201" s="298">
        <v>1</v>
      </c>
      <c r="BE2201" s="308" t="s">
        <v>1306</v>
      </c>
      <c r="BF2201" s="308" t="s">
        <v>1307</v>
      </c>
      <c r="BG2201" s="295">
        <v>0</v>
      </c>
      <c r="BH2201" s="295">
        <v>0</v>
      </c>
      <c r="BI2201" s="295">
        <v>0</v>
      </c>
      <c r="BJ2201" s="295">
        <v>0</v>
      </c>
      <c r="BK2201" s="295">
        <v>0</v>
      </c>
      <c r="BL2201" s="295">
        <v>0</v>
      </c>
      <c r="BM2201" s="310">
        <v>0</v>
      </c>
      <c r="BN2201" s="301">
        <v>0</v>
      </c>
      <c r="BO2201" s="301">
        <v>0</v>
      </c>
      <c r="BP2201" s="301">
        <v>0</v>
      </c>
      <c r="BQ2201" s="301">
        <v>0</v>
      </c>
      <c r="BR2201" s="301">
        <v>0</v>
      </c>
      <c r="BS2201" s="301">
        <v>0</v>
      </c>
      <c r="BT2201" s="301">
        <v>77001508</v>
      </c>
      <c r="BU2201" s="49">
        <v>0</v>
      </c>
      <c r="BV2201" s="49"/>
      <c r="BW2201" s="49"/>
    </row>
    <row r="2202" spans="3:75" ht="19.5" customHeight="1">
      <c r="C2202" s="293">
        <v>77001506</v>
      </c>
      <c r="D2202" s="294" t="s">
        <v>5011</v>
      </c>
      <c r="E2202" s="294" t="s">
        <v>5012</v>
      </c>
      <c r="F2202" s="293">
        <v>1</v>
      </c>
      <c r="G2202" s="293">
        <v>0</v>
      </c>
      <c r="H2202" s="293">
        <v>0</v>
      </c>
      <c r="I2202" s="298">
        <v>0</v>
      </c>
      <c r="J2202" s="293">
        <v>1</v>
      </c>
      <c r="K2202" s="293">
        <v>0</v>
      </c>
      <c r="L2202" s="293">
        <v>0</v>
      </c>
      <c r="M2202" s="295">
        <v>0</v>
      </c>
      <c r="N2202" s="295">
        <v>0</v>
      </c>
      <c r="O2202" s="295">
        <v>2</v>
      </c>
      <c r="P2202" s="295">
        <v>2</v>
      </c>
      <c r="Q2202" s="295">
        <v>0.3</v>
      </c>
      <c r="R2202" s="295">
        <v>1</v>
      </c>
      <c r="S2202" s="301">
        <v>0</v>
      </c>
      <c r="T2202" s="295">
        <v>0</v>
      </c>
      <c r="U2202" s="295">
        <v>1</v>
      </c>
      <c r="V2202" s="295">
        <v>2</v>
      </c>
      <c r="W2202" s="295">
        <v>0</v>
      </c>
      <c r="X2202" s="295">
        <v>2.5</v>
      </c>
      <c r="Y2202" s="13">
        <v>0</v>
      </c>
      <c r="Z2202" s="295">
        <v>0</v>
      </c>
      <c r="AA2202" s="295">
        <v>1</v>
      </c>
      <c r="AB2202" s="295">
        <v>0</v>
      </c>
      <c r="AC2202" s="295">
        <v>0</v>
      </c>
      <c r="AD2202" s="295">
        <v>1</v>
      </c>
      <c r="AE2202" s="295">
        <v>0</v>
      </c>
      <c r="AF2202" s="295">
        <v>0</v>
      </c>
      <c r="AG2202" s="295">
        <v>1</v>
      </c>
      <c r="AH2202" s="295">
        <v>5</v>
      </c>
      <c r="AI2202" s="301">
        <v>0</v>
      </c>
      <c r="AJ2202" s="301">
        <v>1</v>
      </c>
      <c r="AK2202" s="301">
        <v>0</v>
      </c>
      <c r="AL2202" s="301">
        <v>1.5</v>
      </c>
      <c r="AM2202" s="295">
        <v>0</v>
      </c>
      <c r="AN2202" s="295">
        <v>0</v>
      </c>
      <c r="AO2202" s="295">
        <v>0</v>
      </c>
      <c r="AP2202" s="295">
        <v>1.5</v>
      </c>
      <c r="AQ2202" s="295">
        <v>2000</v>
      </c>
      <c r="AR2202" s="295">
        <v>1.5</v>
      </c>
      <c r="AS2202" s="295">
        <v>0</v>
      </c>
      <c r="AT2202" s="301">
        <v>97005007</v>
      </c>
      <c r="AU2202" s="378" t="s">
        <v>5009</v>
      </c>
      <c r="AV2202" s="302"/>
      <c r="AW2202" s="305" t="s">
        <v>617</v>
      </c>
      <c r="AX2202" s="295" t="s">
        <v>534</v>
      </c>
      <c r="AY2202" s="293">
        <v>0</v>
      </c>
      <c r="AZ2202" s="293">
        <v>77001506</v>
      </c>
      <c r="BA2202" s="294" t="s">
        <v>200</v>
      </c>
      <c r="BB2202" s="295">
        <v>0</v>
      </c>
      <c r="BC2202" s="298">
        <v>0</v>
      </c>
      <c r="BD2202" s="298">
        <v>0</v>
      </c>
      <c r="BE2202" s="308" t="s">
        <v>5013</v>
      </c>
      <c r="BF2202" s="308" t="s">
        <v>5014</v>
      </c>
      <c r="BG2202" s="295">
        <v>0</v>
      </c>
      <c r="BH2202" s="295">
        <v>0</v>
      </c>
      <c r="BI2202" s="295">
        <v>0</v>
      </c>
      <c r="BJ2202" s="295">
        <v>0</v>
      </c>
      <c r="BK2202" s="295">
        <v>0</v>
      </c>
      <c r="BL2202" s="295">
        <v>0</v>
      </c>
      <c r="BM2202" s="310">
        <v>0</v>
      </c>
      <c r="BN2202" s="301">
        <v>0</v>
      </c>
      <c r="BO2202" s="301">
        <v>0</v>
      </c>
      <c r="BP2202" s="301">
        <v>0</v>
      </c>
      <c r="BQ2202" s="301">
        <v>0</v>
      </c>
      <c r="BR2202" s="301">
        <v>0</v>
      </c>
      <c r="BS2202" s="301">
        <v>0</v>
      </c>
      <c r="BT2202" s="301">
        <v>0</v>
      </c>
      <c r="BU2202" s="49">
        <v>0</v>
      </c>
      <c r="BV2202" s="49"/>
      <c r="BW2202" s="49"/>
    </row>
    <row r="2203" spans="3:75" ht="19.5" customHeight="1">
      <c r="C2203" s="293">
        <v>77001507</v>
      </c>
      <c r="D2203" s="294" t="s">
        <v>5015</v>
      </c>
      <c r="E2203" s="294" t="s">
        <v>5016</v>
      </c>
      <c r="F2203" s="293">
        <v>1</v>
      </c>
      <c r="G2203" s="293">
        <v>0</v>
      </c>
      <c r="H2203" s="293">
        <v>0</v>
      </c>
      <c r="I2203" s="298">
        <v>0</v>
      </c>
      <c r="J2203" s="293">
        <v>1</v>
      </c>
      <c r="K2203" s="293">
        <v>0</v>
      </c>
      <c r="L2203" s="293">
        <v>0</v>
      </c>
      <c r="M2203" s="295">
        <v>0</v>
      </c>
      <c r="N2203" s="295">
        <v>0</v>
      </c>
      <c r="O2203" s="295">
        <v>2</v>
      </c>
      <c r="P2203" s="295">
        <v>3</v>
      </c>
      <c r="Q2203" s="295">
        <v>0.2</v>
      </c>
      <c r="R2203" s="295">
        <v>0</v>
      </c>
      <c r="S2203" s="301">
        <v>1</v>
      </c>
      <c r="T2203" s="295">
        <v>0</v>
      </c>
      <c r="U2203" s="295">
        <v>1</v>
      </c>
      <c r="V2203" s="295">
        <v>2</v>
      </c>
      <c r="W2203" s="295">
        <v>0</v>
      </c>
      <c r="X2203" s="295">
        <v>2</v>
      </c>
      <c r="Y2203" s="13">
        <v>0</v>
      </c>
      <c r="Z2203" s="295">
        <v>0</v>
      </c>
      <c r="AA2203" s="295">
        <v>1</v>
      </c>
      <c r="AB2203" s="295">
        <v>0</v>
      </c>
      <c r="AC2203" s="295">
        <v>0</v>
      </c>
      <c r="AD2203" s="295">
        <v>1</v>
      </c>
      <c r="AE2203" s="295">
        <v>1</v>
      </c>
      <c r="AF2203" s="295">
        <v>0</v>
      </c>
      <c r="AG2203" s="295">
        <v>1</v>
      </c>
      <c r="AH2203" s="295">
        <v>3</v>
      </c>
      <c r="AI2203" s="301">
        <v>0</v>
      </c>
      <c r="AJ2203" s="301">
        <v>1</v>
      </c>
      <c r="AK2203" s="301">
        <v>0</v>
      </c>
      <c r="AL2203" s="301">
        <v>3</v>
      </c>
      <c r="AM2203" s="295">
        <v>0</v>
      </c>
      <c r="AN2203" s="295">
        <v>0</v>
      </c>
      <c r="AO2203" s="295">
        <v>0</v>
      </c>
      <c r="AP2203" s="295">
        <v>0</v>
      </c>
      <c r="AQ2203" s="295">
        <v>500</v>
      </c>
      <c r="AR2203" s="295">
        <v>0.3</v>
      </c>
      <c r="AS2203" s="295">
        <v>0</v>
      </c>
      <c r="AT2203" s="301">
        <v>0</v>
      </c>
      <c r="AU2203" s="302">
        <v>0</v>
      </c>
      <c r="AV2203" s="302"/>
      <c r="AW2203" s="305" t="s">
        <v>198</v>
      </c>
      <c r="AX2203" s="295" t="s">
        <v>534</v>
      </c>
      <c r="AY2203" s="293">
        <v>0</v>
      </c>
      <c r="AZ2203" s="293">
        <v>77001507</v>
      </c>
      <c r="BA2203" s="294" t="s">
        <v>200</v>
      </c>
      <c r="BB2203" s="295">
        <v>0</v>
      </c>
      <c r="BC2203" s="298">
        <v>0</v>
      </c>
      <c r="BD2203" s="298">
        <v>0</v>
      </c>
      <c r="BE2203" s="308" t="s">
        <v>2226</v>
      </c>
      <c r="BF2203" s="308" t="s">
        <v>2227</v>
      </c>
      <c r="BG2203" s="295">
        <v>0</v>
      </c>
      <c r="BH2203" s="295">
        <v>0</v>
      </c>
      <c r="BI2203" s="295">
        <v>0</v>
      </c>
      <c r="BJ2203" s="295">
        <v>0</v>
      </c>
      <c r="BK2203" s="295">
        <v>0</v>
      </c>
      <c r="BL2203" s="295">
        <v>0</v>
      </c>
      <c r="BM2203" s="310">
        <v>0</v>
      </c>
      <c r="BN2203" s="301">
        <v>0</v>
      </c>
      <c r="BO2203" s="301">
        <v>0</v>
      </c>
      <c r="BP2203" s="301">
        <v>0</v>
      </c>
      <c r="BQ2203" s="301">
        <v>0</v>
      </c>
      <c r="BR2203" s="301">
        <v>0</v>
      </c>
      <c r="BS2203" s="301">
        <v>0</v>
      </c>
      <c r="BT2203" s="301">
        <v>0</v>
      </c>
      <c r="BU2203" s="49">
        <v>0</v>
      </c>
      <c r="BV2203" s="49"/>
      <c r="BW2203" s="49"/>
    </row>
    <row r="2204" spans="3:75" ht="19.5" customHeight="1">
      <c r="C2204" s="293">
        <v>77001508</v>
      </c>
      <c r="D2204" s="294" t="s">
        <v>562</v>
      </c>
      <c r="E2204" s="294" t="s">
        <v>563</v>
      </c>
      <c r="F2204" s="293">
        <v>1</v>
      </c>
      <c r="G2204" s="295">
        <v>0</v>
      </c>
      <c r="H2204" s="293">
        <v>0</v>
      </c>
      <c r="I2204" s="298">
        <v>0</v>
      </c>
      <c r="J2204" s="293">
        <v>1</v>
      </c>
      <c r="K2204" s="293">
        <v>0</v>
      </c>
      <c r="L2204" s="293">
        <v>0</v>
      </c>
      <c r="M2204" s="295">
        <v>0</v>
      </c>
      <c r="N2204" s="295">
        <v>0</v>
      </c>
      <c r="O2204" s="295">
        <v>2</v>
      </c>
      <c r="P2204" s="295">
        <v>1</v>
      </c>
      <c r="Q2204" s="295">
        <v>1</v>
      </c>
      <c r="R2204" s="295">
        <v>0</v>
      </c>
      <c r="S2204" s="301">
        <v>0</v>
      </c>
      <c r="T2204" s="295">
        <v>0</v>
      </c>
      <c r="U2204" s="295">
        <v>1</v>
      </c>
      <c r="V2204" s="295">
        <v>2</v>
      </c>
      <c r="W2204" s="295">
        <v>0</v>
      </c>
      <c r="X2204" s="295">
        <v>0.5</v>
      </c>
      <c r="Y2204" s="13">
        <v>0</v>
      </c>
      <c r="Z2204" s="295">
        <v>0</v>
      </c>
      <c r="AA2204" s="295">
        <v>1</v>
      </c>
      <c r="AB2204" s="295">
        <v>0</v>
      </c>
      <c r="AC2204" s="295">
        <v>0</v>
      </c>
      <c r="AD2204" s="295">
        <v>0</v>
      </c>
      <c r="AE2204" s="295">
        <v>0</v>
      </c>
      <c r="AF2204" s="295">
        <v>25</v>
      </c>
      <c r="AG2204" s="295">
        <v>1</v>
      </c>
      <c r="AH2204" s="295">
        <v>3</v>
      </c>
      <c r="AI2204" s="301">
        <v>0</v>
      </c>
      <c r="AJ2204" s="301">
        <v>0</v>
      </c>
      <c r="AK2204" s="301">
        <v>0</v>
      </c>
      <c r="AL2204" s="301">
        <v>0</v>
      </c>
      <c r="AM2204" s="295">
        <v>0</v>
      </c>
      <c r="AN2204" s="295">
        <v>0</v>
      </c>
      <c r="AO2204" s="295">
        <v>0</v>
      </c>
      <c r="AP2204" s="295">
        <v>0</v>
      </c>
      <c r="AQ2204" s="295">
        <v>300000</v>
      </c>
      <c r="AR2204" s="295">
        <v>0</v>
      </c>
      <c r="AS2204" s="295">
        <v>0</v>
      </c>
      <c r="AT2204" s="380" t="s">
        <v>5017</v>
      </c>
      <c r="AU2204" s="295">
        <v>97005002</v>
      </c>
      <c r="AV2204" s="295"/>
      <c r="AW2204" s="305" t="s">
        <v>198</v>
      </c>
      <c r="AX2204" s="295" t="s">
        <v>534</v>
      </c>
      <c r="AY2204" s="293">
        <v>10000007</v>
      </c>
      <c r="AZ2204" s="293">
        <v>77001503</v>
      </c>
      <c r="BA2204" s="305" t="s">
        <v>315</v>
      </c>
      <c r="BB2204" s="305" t="s">
        <v>371</v>
      </c>
      <c r="BC2204" s="298">
        <v>0</v>
      </c>
      <c r="BD2204" s="298">
        <v>0</v>
      </c>
      <c r="BE2204" s="308" t="s">
        <v>1226</v>
      </c>
      <c r="BF2204" s="308" t="s">
        <v>1227</v>
      </c>
      <c r="BG2204" s="295">
        <v>0</v>
      </c>
      <c r="BH2204" s="295">
        <v>0</v>
      </c>
      <c r="BI2204" s="295">
        <v>0</v>
      </c>
      <c r="BJ2204" s="295">
        <v>0</v>
      </c>
      <c r="BK2204" s="295">
        <v>0</v>
      </c>
      <c r="BL2204" s="295">
        <v>0</v>
      </c>
      <c r="BM2204" s="310">
        <v>0</v>
      </c>
      <c r="BN2204" s="301">
        <v>0</v>
      </c>
      <c r="BO2204" s="301">
        <v>0</v>
      </c>
      <c r="BP2204" s="301">
        <v>0</v>
      </c>
      <c r="BQ2204" s="301">
        <v>0</v>
      </c>
      <c r="BR2204" s="301">
        <v>0</v>
      </c>
      <c r="BS2204" s="301">
        <v>1</v>
      </c>
      <c r="BT2204" s="301">
        <v>0</v>
      </c>
      <c r="BU2204" s="49">
        <v>0</v>
      </c>
      <c r="BV2204" s="49"/>
      <c r="BW2204" s="49"/>
    </row>
    <row r="2205" spans="3:75" ht="20.100000000000001" customHeight="1">
      <c r="C2205" s="102">
        <v>77001601</v>
      </c>
      <c r="D2205" s="101" t="s">
        <v>5018</v>
      </c>
      <c r="E2205" s="101" t="s">
        <v>5019</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6" t="s">
        <v>5020</v>
      </c>
      <c r="AV2205" s="116"/>
      <c r="AW2205" s="104" t="s">
        <v>256</v>
      </c>
      <c r="AX2205" s="103" t="s">
        <v>534</v>
      </c>
      <c r="AY2205" s="102">
        <v>10000007</v>
      </c>
      <c r="AZ2205" s="344" t="s">
        <v>5021</v>
      </c>
      <c r="BA2205" s="101" t="s">
        <v>200</v>
      </c>
      <c r="BB2205" s="103" t="s">
        <v>5022</v>
      </c>
      <c r="BC2205" s="107">
        <v>0</v>
      </c>
      <c r="BD2205" s="107">
        <v>0</v>
      </c>
      <c r="BE2205" s="121" t="s">
        <v>5023</v>
      </c>
      <c r="BF2205" s="121" t="s">
        <v>5024</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spans="3:75" ht="20.100000000000001" customHeight="1">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5025</v>
      </c>
      <c r="BC2206" s="107">
        <v>0</v>
      </c>
      <c r="BD2206" s="107">
        <v>0</v>
      </c>
      <c r="BE2206" s="121" t="s">
        <v>5026</v>
      </c>
      <c r="BF2206" s="124" t="s">
        <v>5027</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spans="3:75" ht="19.5" customHeight="1">
      <c r="C2207" s="102">
        <v>77001603</v>
      </c>
      <c r="D2207" s="101" t="s">
        <v>5028</v>
      </c>
      <c r="E2207" s="101" t="s">
        <v>5029</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6" t="s">
        <v>5030</v>
      </c>
      <c r="AV2207" s="116"/>
      <c r="AW2207" s="104" t="s">
        <v>199</v>
      </c>
      <c r="AX2207" s="103" t="s">
        <v>534</v>
      </c>
      <c r="AY2207" s="102">
        <v>10000007</v>
      </c>
      <c r="AZ2207" s="102">
        <v>77001603</v>
      </c>
      <c r="BA2207" s="104" t="s">
        <v>315</v>
      </c>
      <c r="BB2207" s="104" t="s">
        <v>371</v>
      </c>
      <c r="BC2207" s="107">
        <v>0</v>
      </c>
      <c r="BD2207" s="107">
        <v>0</v>
      </c>
      <c r="BE2207" s="121" t="s">
        <v>5031</v>
      </c>
      <c r="BF2207" s="121" t="s">
        <v>5032</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spans="3:75" ht="20.100000000000001" customHeight="1">
      <c r="C2208" s="102">
        <v>77001604</v>
      </c>
      <c r="D2208" s="101" t="s">
        <v>5033</v>
      </c>
      <c r="E2208" s="101" t="s">
        <v>5034</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5035</v>
      </c>
      <c r="BF2208" s="139" t="s">
        <v>5036</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spans="1:75" ht="20.100000000000001" customHeight="1">
      <c r="C2209" s="102">
        <v>77001605</v>
      </c>
      <c r="D2209" s="101" t="s">
        <v>5037</v>
      </c>
      <c r="E2209" s="296" t="s">
        <v>5038</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2" t="s">
        <v>5039</v>
      </c>
      <c r="AU2209" s="116">
        <v>0</v>
      </c>
      <c r="AV2209" s="116"/>
      <c r="AW2209" s="101" t="s">
        <v>287</v>
      </c>
      <c r="AX2209" s="103" t="s">
        <v>215</v>
      </c>
      <c r="AY2209" s="102">
        <v>0</v>
      </c>
      <c r="AZ2209" s="102">
        <v>0</v>
      </c>
      <c r="BA2209" s="101" t="s">
        <v>200</v>
      </c>
      <c r="BB2209" s="103">
        <v>0</v>
      </c>
      <c r="BC2209" s="107">
        <v>0</v>
      </c>
      <c r="BD2209" s="107">
        <v>0</v>
      </c>
      <c r="BE2209" s="121" t="s">
        <v>5040</v>
      </c>
      <c r="BF2209" s="121" t="s">
        <v>5041</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spans="1:75" ht="20.100000000000001" customHeight="1">
      <c r="C2210" s="102">
        <v>77001606</v>
      </c>
      <c r="D2210" s="101" t="s">
        <v>5042</v>
      </c>
      <c r="E2210" s="101" t="s">
        <v>5043</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6" t="s">
        <v>5044</v>
      </c>
      <c r="AV2210" s="116"/>
      <c r="AW2210" s="104" t="s">
        <v>199</v>
      </c>
      <c r="AX2210" s="103" t="s">
        <v>534</v>
      </c>
      <c r="AY2210" s="102">
        <v>10000007</v>
      </c>
      <c r="AZ2210" s="344" t="s">
        <v>5021</v>
      </c>
      <c r="BA2210" s="101" t="s">
        <v>200</v>
      </c>
      <c r="BB2210" s="103" t="s">
        <v>5045</v>
      </c>
      <c r="BC2210" s="107">
        <v>0</v>
      </c>
      <c r="BD2210" s="107">
        <v>0</v>
      </c>
      <c r="BE2210" s="121" t="s">
        <v>5046</v>
      </c>
      <c r="BF2210" s="121" t="s">
        <v>5047</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spans="1:75" ht="20.100000000000001" customHeight="1">
      <c r="C2211" s="102">
        <v>77001607</v>
      </c>
      <c r="D2211" s="101" t="s">
        <v>5048</v>
      </c>
      <c r="E2211" s="101" t="s">
        <v>5049</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5050</v>
      </c>
      <c r="BF2211" s="139" t="s">
        <v>5051</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19.5" customHeight="1">
      <c r="C2212" s="102">
        <v>77001608</v>
      </c>
      <c r="D2212" s="101" t="s">
        <v>5052</v>
      </c>
      <c r="E2212" s="101" t="s">
        <v>5053</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7" t="s">
        <v>5054</v>
      </c>
      <c r="BC2212" s="107">
        <v>0</v>
      </c>
      <c r="BD2212" s="107">
        <v>0</v>
      </c>
      <c r="BE2212" s="121" t="s">
        <v>5055</v>
      </c>
      <c r="BF2212" s="121" t="s">
        <v>5056</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pans="1:75" s="2" customFormat="1" ht="19.5" customHeight="1">
      <c r="A2213" s="6"/>
      <c r="B2213" s="6"/>
      <c r="C2213" s="102">
        <v>77001609</v>
      </c>
      <c r="D2213" s="101" t="s">
        <v>5057</v>
      </c>
      <c r="E2213" s="101" t="s">
        <v>5058</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6" t="s">
        <v>5044</v>
      </c>
      <c r="AV2213" s="116"/>
      <c r="AW2213" s="101" t="s">
        <v>198</v>
      </c>
      <c r="AX2213" s="103" t="s">
        <v>534</v>
      </c>
      <c r="AY2213" s="102">
        <v>10000007</v>
      </c>
      <c r="AZ2213" s="344" t="s">
        <v>5059</v>
      </c>
      <c r="BA2213" s="101" t="s">
        <v>586</v>
      </c>
      <c r="BB2213" s="103" t="s">
        <v>4947</v>
      </c>
      <c r="BC2213" s="107">
        <v>0</v>
      </c>
      <c r="BD2213" s="107">
        <v>0</v>
      </c>
      <c r="BE2213" s="121" t="s">
        <v>5060</v>
      </c>
      <c r="BF2213" s="121" t="s">
        <v>5061</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spans="1:75" ht="20.100000000000001" customHeight="1">
      <c r="C2214" s="66">
        <v>77001701</v>
      </c>
      <c r="D2214" s="61" t="s">
        <v>5062</v>
      </c>
      <c r="E2214" s="149" t="s">
        <v>5063</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49" t="s">
        <v>198</v>
      </c>
      <c r="AU2214" s="362" t="s">
        <v>5064</v>
      </c>
      <c r="AV2214" s="62"/>
      <c r="AW2214" s="61" t="s">
        <v>256</v>
      </c>
      <c r="AX2214" s="62" t="s">
        <v>215</v>
      </c>
      <c r="AY2214" s="66">
        <v>10000011</v>
      </c>
      <c r="AZ2214" s="66">
        <v>77001706</v>
      </c>
      <c r="BA2214" s="61" t="s">
        <v>216</v>
      </c>
      <c r="BB2214" s="62">
        <v>0</v>
      </c>
      <c r="BC2214" s="68">
        <v>0</v>
      </c>
      <c r="BD2214" s="68">
        <v>0</v>
      </c>
      <c r="BE2214" s="92" t="s">
        <v>5065</v>
      </c>
      <c r="BF2214" s="92" t="s">
        <v>5066</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spans="1:75" ht="20.100000000000001" customHeight="1">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2" t="s">
        <v>5064</v>
      </c>
      <c r="AV2215" s="62"/>
      <c r="AW2215" s="61" t="s">
        <v>198</v>
      </c>
      <c r="AX2215" s="62" t="s">
        <v>534</v>
      </c>
      <c r="AY2215" s="66">
        <v>10000001</v>
      </c>
      <c r="AZ2215" s="66">
        <v>77001701</v>
      </c>
      <c r="BA2215" s="61" t="s">
        <v>771</v>
      </c>
      <c r="BB2215" s="62">
        <v>0</v>
      </c>
      <c r="BC2215" s="68">
        <v>0</v>
      </c>
      <c r="BD2215" s="68">
        <v>0</v>
      </c>
      <c r="BE2215" s="123" t="s">
        <v>5067</v>
      </c>
      <c r="BF2215" s="123" t="s">
        <v>5068</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spans="1:75" ht="20.100000000000001" customHeight="1">
      <c r="C2216" s="66">
        <v>77001703</v>
      </c>
      <c r="D2216" s="61" t="s">
        <v>5062</v>
      </c>
      <c r="E2216" s="61" t="s">
        <v>5063</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49" t="s">
        <v>5069</v>
      </c>
      <c r="AU2216" s="62">
        <v>0</v>
      </c>
      <c r="AV2216" s="62"/>
      <c r="AW2216" s="61" t="s">
        <v>199</v>
      </c>
      <c r="AX2216" s="62" t="s">
        <v>534</v>
      </c>
      <c r="AY2216" s="66">
        <v>0</v>
      </c>
      <c r="AZ2216" s="66">
        <v>0</v>
      </c>
      <c r="BA2216" s="61" t="s">
        <v>771</v>
      </c>
      <c r="BB2216" s="62">
        <v>0</v>
      </c>
      <c r="BC2216" s="68">
        <v>0</v>
      </c>
      <c r="BD2216" s="68">
        <v>0</v>
      </c>
      <c r="BE2216" s="123" t="s">
        <v>5070</v>
      </c>
      <c r="BF2216" s="123" t="s">
        <v>5071</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spans="1:75" ht="19.5" customHeight="1">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5072</v>
      </c>
      <c r="BF2217" s="92" t="s">
        <v>5073</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spans="1:75" ht="19.5" customHeight="1">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39" t="s">
        <v>5064</v>
      </c>
      <c r="AV2218" s="66"/>
      <c r="AW2218" s="65" t="s">
        <v>287</v>
      </c>
      <c r="AX2218" s="66" t="s">
        <v>545</v>
      </c>
      <c r="AY2218" s="66">
        <v>10001005</v>
      </c>
      <c r="AZ2218" s="66">
        <v>77001701</v>
      </c>
      <c r="BA2218" s="65" t="s">
        <v>200</v>
      </c>
      <c r="BB2218" s="65">
        <v>0</v>
      </c>
      <c r="BC2218" s="68">
        <v>0</v>
      </c>
      <c r="BD2218" s="68">
        <v>0</v>
      </c>
      <c r="BE2218" s="207" t="s">
        <v>1269</v>
      </c>
      <c r="BF2218" s="207"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spans="1:75" ht="20.100000000000001" customHeight="1">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7" t="s">
        <v>2371</v>
      </c>
      <c r="BF2219" s="207"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spans="1:75" ht="20.100000000000001" customHeight="1">
      <c r="C2220" s="66">
        <v>77001707</v>
      </c>
      <c r="D2220" s="61" t="s">
        <v>5074</v>
      </c>
      <c r="E2220" s="149" t="s">
        <v>5075</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49" t="s">
        <v>5076</v>
      </c>
      <c r="AU2220" s="341" t="s">
        <v>5064</v>
      </c>
      <c r="AV2220" s="81"/>
      <c r="AW2220" s="61" t="s">
        <v>617</v>
      </c>
      <c r="AX2220" s="62" t="s">
        <v>215</v>
      </c>
      <c r="AY2220" s="66">
        <v>10000011</v>
      </c>
      <c r="AZ2220" s="66">
        <v>77001703</v>
      </c>
      <c r="BA2220" s="65" t="s">
        <v>200</v>
      </c>
      <c r="BB2220" s="62">
        <v>0</v>
      </c>
      <c r="BC2220" s="68">
        <v>0</v>
      </c>
      <c r="BD2220" s="68">
        <v>0</v>
      </c>
      <c r="BE2220" s="92" t="s">
        <v>5077</v>
      </c>
      <c r="BF2220" s="92" t="s">
        <v>5078</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spans="1:75" ht="19.5" customHeight="1">
      <c r="C2221" s="66">
        <v>77001708</v>
      </c>
      <c r="D2221" s="61" t="s">
        <v>5079</v>
      </c>
      <c r="E2221" s="61" t="s">
        <v>5080</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2" t="s">
        <v>5081</v>
      </c>
      <c r="BC2221" s="68">
        <v>0</v>
      </c>
      <c r="BD2221" s="68">
        <v>0</v>
      </c>
      <c r="BE2221" s="92" t="s">
        <v>5082</v>
      </c>
      <c r="BF2221" s="92" t="s">
        <v>5083</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spans="1:75" ht="19.5" customHeight="1">
      <c r="C2222" s="66">
        <v>77001709</v>
      </c>
      <c r="D2222" s="61" t="s">
        <v>5084</v>
      </c>
      <c r="E2222" s="61" t="s">
        <v>5085</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1" t="s">
        <v>5086</v>
      </c>
      <c r="AV2222" s="81"/>
      <c r="AW2222" s="65" t="s">
        <v>199</v>
      </c>
      <c r="AX2222" s="62" t="s">
        <v>534</v>
      </c>
      <c r="AY2222" s="66">
        <v>0</v>
      </c>
      <c r="AZ2222" s="339" t="s">
        <v>5087</v>
      </c>
      <c r="BA2222" s="61" t="s">
        <v>200</v>
      </c>
      <c r="BB2222" s="62" t="s">
        <v>5088</v>
      </c>
      <c r="BC2222" s="68">
        <v>0</v>
      </c>
      <c r="BD2222" s="68">
        <v>0</v>
      </c>
      <c r="BE2222" s="92" t="s">
        <v>5089</v>
      </c>
      <c r="BF2222" s="92" t="s">
        <v>5090</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5091</v>
      </c>
      <c r="BF2223" s="123" t="s">
        <v>5092</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spans="1:75" ht="19.5" customHeight="1">
      <c r="C2224" s="66">
        <v>77001711</v>
      </c>
      <c r="D2224" s="61" t="s">
        <v>5084</v>
      </c>
      <c r="E2224" s="61" t="s">
        <v>5085</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1" t="s">
        <v>5086</v>
      </c>
      <c r="AV2224" s="81"/>
      <c r="AW2224" s="65" t="s">
        <v>199</v>
      </c>
      <c r="AX2224" s="62" t="s">
        <v>534</v>
      </c>
      <c r="AY2224" s="66">
        <v>0</v>
      </c>
      <c r="AZ2224" s="339" t="s">
        <v>5087</v>
      </c>
      <c r="BA2224" s="61" t="s">
        <v>200</v>
      </c>
      <c r="BB2224" s="62" t="s">
        <v>5093</v>
      </c>
      <c r="BC2224" s="68">
        <v>0</v>
      </c>
      <c r="BD2224" s="68">
        <v>0</v>
      </c>
      <c r="BE2224" s="92" t="s">
        <v>5094</v>
      </c>
      <c r="BF2224" s="92" t="s">
        <v>5095</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8.75" customHeight="1">
      <c r="C2225" s="293">
        <v>77001801</v>
      </c>
      <c r="D2225" s="294" t="s">
        <v>5096</v>
      </c>
      <c r="E2225" s="294" t="s">
        <v>5097</v>
      </c>
      <c r="F2225" s="293">
        <v>1</v>
      </c>
      <c r="G2225" s="295">
        <v>0</v>
      </c>
      <c r="H2225" s="293">
        <v>0</v>
      </c>
      <c r="I2225" s="298">
        <v>0</v>
      </c>
      <c r="J2225" s="293">
        <v>1</v>
      </c>
      <c r="K2225" s="293">
        <v>0</v>
      </c>
      <c r="L2225" s="293">
        <v>0</v>
      </c>
      <c r="M2225" s="295">
        <v>0</v>
      </c>
      <c r="N2225" s="295">
        <v>0</v>
      </c>
      <c r="O2225" s="295">
        <v>2</v>
      </c>
      <c r="P2225" s="295">
        <v>2</v>
      </c>
      <c r="Q2225" s="295">
        <v>0.99</v>
      </c>
      <c r="R2225" s="295">
        <v>0</v>
      </c>
      <c r="S2225" s="301">
        <v>0</v>
      </c>
      <c r="T2225" s="295">
        <v>0</v>
      </c>
      <c r="U2225" s="295">
        <v>1</v>
      </c>
      <c r="V2225" s="295">
        <v>2</v>
      </c>
      <c r="W2225" s="295">
        <v>0</v>
      </c>
      <c r="X2225" s="295">
        <v>1.5</v>
      </c>
      <c r="Y2225" s="13">
        <v>0</v>
      </c>
      <c r="Z2225" s="295">
        <v>0</v>
      </c>
      <c r="AA2225" s="295">
        <v>1</v>
      </c>
      <c r="AB2225" s="295">
        <v>0</v>
      </c>
      <c r="AC2225" s="295">
        <v>0</v>
      </c>
      <c r="AD2225" s="295">
        <v>1</v>
      </c>
      <c r="AE2225" s="295">
        <v>0</v>
      </c>
      <c r="AF2225" s="295">
        <v>8</v>
      </c>
      <c r="AG2225" s="295">
        <v>1</v>
      </c>
      <c r="AH2225" s="295">
        <v>3</v>
      </c>
      <c r="AI2225" s="301">
        <v>3</v>
      </c>
      <c r="AJ2225" s="301">
        <v>1</v>
      </c>
      <c r="AK2225" s="301">
        <v>0</v>
      </c>
      <c r="AL2225" s="301">
        <v>1.5</v>
      </c>
      <c r="AM2225" s="295">
        <v>0</v>
      </c>
      <c r="AN2225" s="295">
        <v>0</v>
      </c>
      <c r="AO2225" s="295">
        <v>0</v>
      </c>
      <c r="AP2225" s="295">
        <v>0.8</v>
      </c>
      <c r="AQ2225" s="295">
        <v>6000</v>
      </c>
      <c r="AR2225" s="295">
        <v>0.8</v>
      </c>
      <c r="AS2225" s="295">
        <v>0</v>
      </c>
      <c r="AT2225" s="301">
        <v>0</v>
      </c>
      <c r="AU2225" s="378" t="s">
        <v>5098</v>
      </c>
      <c r="AV2225" s="302"/>
      <c r="AW2225" s="305" t="s">
        <v>199</v>
      </c>
      <c r="AX2225" s="295" t="s">
        <v>534</v>
      </c>
      <c r="AY2225" s="293">
        <v>0</v>
      </c>
      <c r="AZ2225" s="293">
        <v>77001801</v>
      </c>
      <c r="BA2225" s="294" t="s">
        <v>200</v>
      </c>
      <c r="BB2225" s="295" t="s">
        <v>5099</v>
      </c>
      <c r="BC2225" s="298">
        <v>0</v>
      </c>
      <c r="BD2225" s="298">
        <v>0</v>
      </c>
      <c r="BE2225" s="308" t="s">
        <v>5100</v>
      </c>
      <c r="BF2225" s="308" t="s">
        <v>5101</v>
      </c>
      <c r="BG2225" s="295">
        <v>0</v>
      </c>
      <c r="BH2225" s="295">
        <v>0</v>
      </c>
      <c r="BI2225" s="295">
        <v>0</v>
      </c>
      <c r="BJ2225" s="295">
        <v>0</v>
      </c>
      <c r="BK2225" s="295">
        <v>0</v>
      </c>
      <c r="BL2225" s="295">
        <v>0</v>
      </c>
      <c r="BM2225" s="310">
        <v>0</v>
      </c>
      <c r="BN2225" s="301">
        <v>0</v>
      </c>
      <c r="BO2225" s="301">
        <v>0</v>
      </c>
      <c r="BP2225" s="301">
        <v>0</v>
      </c>
      <c r="BQ2225" s="301">
        <v>0</v>
      </c>
      <c r="BR2225" s="301">
        <v>0</v>
      </c>
      <c r="BS2225" s="301">
        <v>0</v>
      </c>
      <c r="BT2225" s="301">
        <v>0</v>
      </c>
      <c r="BU2225" s="49">
        <v>0</v>
      </c>
      <c r="BV2225" s="49"/>
      <c r="BW2225" s="49"/>
    </row>
    <row r="2226" spans="3:75" ht="19.5" customHeight="1">
      <c r="C2226" s="293">
        <v>77001802</v>
      </c>
      <c r="D2226" s="294" t="s">
        <v>5102</v>
      </c>
      <c r="E2226" s="294" t="s">
        <v>5103</v>
      </c>
      <c r="F2226" s="293">
        <v>1</v>
      </c>
      <c r="G2226" s="295">
        <v>0</v>
      </c>
      <c r="H2226" s="293">
        <v>0</v>
      </c>
      <c r="I2226" s="298">
        <v>0</v>
      </c>
      <c r="J2226" s="293">
        <v>1</v>
      </c>
      <c r="K2226" s="293">
        <v>0</v>
      </c>
      <c r="L2226" s="293">
        <v>0</v>
      </c>
      <c r="M2226" s="295">
        <v>0</v>
      </c>
      <c r="N2226" s="295">
        <v>0</v>
      </c>
      <c r="O2226" s="310">
        <v>2</v>
      </c>
      <c r="P2226" s="295">
        <v>2</v>
      </c>
      <c r="Q2226" s="295">
        <v>0.7</v>
      </c>
      <c r="R2226" s="295">
        <v>0</v>
      </c>
      <c r="S2226" s="301">
        <v>0</v>
      </c>
      <c r="T2226" s="295">
        <v>0</v>
      </c>
      <c r="U2226" s="295">
        <v>1</v>
      </c>
      <c r="V2226" s="295">
        <v>1</v>
      </c>
      <c r="W2226" s="295">
        <v>0</v>
      </c>
      <c r="X2226" s="295">
        <v>0</v>
      </c>
      <c r="Y2226" s="13">
        <v>0</v>
      </c>
      <c r="Z2226" s="295">
        <v>0</v>
      </c>
      <c r="AA2226" s="295">
        <v>0</v>
      </c>
      <c r="AB2226" s="295">
        <v>0</v>
      </c>
      <c r="AC2226" s="295">
        <v>0</v>
      </c>
      <c r="AD2226" s="310">
        <v>0</v>
      </c>
      <c r="AE2226" s="295">
        <v>1</v>
      </c>
      <c r="AF2226" s="295">
        <v>20</v>
      </c>
      <c r="AG2226" s="295">
        <v>1</v>
      </c>
      <c r="AH2226" s="295">
        <v>2</v>
      </c>
      <c r="AI2226" s="301">
        <v>0</v>
      </c>
      <c r="AJ2226" s="301">
        <v>1</v>
      </c>
      <c r="AK2226" s="301">
        <v>0</v>
      </c>
      <c r="AL2226" s="301">
        <v>0</v>
      </c>
      <c r="AM2226" s="295">
        <v>0</v>
      </c>
      <c r="AN2226" s="295">
        <v>0</v>
      </c>
      <c r="AO2226" s="295">
        <v>0</v>
      </c>
      <c r="AP2226" s="295">
        <v>0</v>
      </c>
      <c r="AQ2226" s="295">
        <v>1000</v>
      </c>
      <c r="AR2226" s="295">
        <v>0</v>
      </c>
      <c r="AS2226" s="295">
        <v>0</v>
      </c>
      <c r="AT2226" s="301">
        <v>0</v>
      </c>
      <c r="AU2226" s="295">
        <v>0</v>
      </c>
      <c r="AV2226" s="295"/>
      <c r="AW2226" s="305" t="s">
        <v>287</v>
      </c>
      <c r="AX2226" s="295" t="s">
        <v>545</v>
      </c>
      <c r="AY2226" s="293">
        <v>0</v>
      </c>
      <c r="AZ2226" s="293">
        <v>0</v>
      </c>
      <c r="BA2226" s="294" t="s">
        <v>528</v>
      </c>
      <c r="BB2226" s="295" t="s">
        <v>5104</v>
      </c>
      <c r="BC2226" s="298">
        <v>0</v>
      </c>
      <c r="BD2226" s="298">
        <v>0</v>
      </c>
      <c r="BE2226" s="308" t="s">
        <v>5105</v>
      </c>
      <c r="BF2226" s="308" t="s">
        <v>5106</v>
      </c>
      <c r="BG2226" s="295">
        <v>0</v>
      </c>
      <c r="BH2226" s="295">
        <v>0</v>
      </c>
      <c r="BI2226" s="295">
        <v>0</v>
      </c>
      <c r="BJ2226" s="295">
        <v>0</v>
      </c>
      <c r="BK2226" s="295">
        <v>0</v>
      </c>
      <c r="BL2226" s="295">
        <v>0</v>
      </c>
      <c r="BM2226" s="310">
        <v>0</v>
      </c>
      <c r="BN2226" s="301">
        <v>0</v>
      </c>
      <c r="BO2226" s="301">
        <v>0</v>
      </c>
      <c r="BP2226" s="301">
        <v>0</v>
      </c>
      <c r="BQ2226" s="301">
        <v>0</v>
      </c>
      <c r="BR2226" s="301">
        <v>0</v>
      </c>
      <c r="BS2226" s="301">
        <v>0</v>
      </c>
      <c r="BT2226" s="301">
        <v>0</v>
      </c>
      <c r="BU2226" s="49">
        <v>0</v>
      </c>
      <c r="BV2226" s="49"/>
      <c r="BW2226" s="49"/>
    </row>
    <row r="2227" spans="3:75" ht="19.5" customHeight="1">
      <c r="C2227" s="293">
        <v>77001803</v>
      </c>
      <c r="D2227" s="294" t="s">
        <v>5107</v>
      </c>
      <c r="E2227" s="294" t="s">
        <v>5108</v>
      </c>
      <c r="F2227" s="293">
        <v>1</v>
      </c>
      <c r="G2227" s="295">
        <v>0</v>
      </c>
      <c r="H2227" s="293">
        <v>0</v>
      </c>
      <c r="I2227" s="298">
        <v>0</v>
      </c>
      <c r="J2227" s="293">
        <v>1</v>
      </c>
      <c r="K2227" s="293">
        <v>0</v>
      </c>
      <c r="L2227" s="293">
        <v>0</v>
      </c>
      <c r="M2227" s="295">
        <v>0</v>
      </c>
      <c r="N2227" s="295">
        <v>0</v>
      </c>
      <c r="O2227" s="295">
        <v>2</v>
      </c>
      <c r="P2227" s="295" t="s">
        <v>4943</v>
      </c>
      <c r="Q2227" s="295" t="s">
        <v>4944</v>
      </c>
      <c r="R2227" s="295">
        <v>0</v>
      </c>
      <c r="S2227" s="301">
        <v>0</v>
      </c>
      <c r="T2227" s="295">
        <v>0</v>
      </c>
      <c r="U2227" s="295">
        <v>1</v>
      </c>
      <c r="V2227" s="295">
        <v>2</v>
      </c>
      <c r="W2227" s="295">
        <v>0</v>
      </c>
      <c r="X2227" s="295">
        <v>2</v>
      </c>
      <c r="Y2227" s="13">
        <v>0</v>
      </c>
      <c r="Z2227" s="295">
        <v>0</v>
      </c>
      <c r="AA2227" s="295">
        <v>0</v>
      </c>
      <c r="AB2227" s="295">
        <v>0</v>
      </c>
      <c r="AC2227" s="295">
        <v>0</v>
      </c>
      <c r="AD2227" s="295">
        <v>0</v>
      </c>
      <c r="AE2227" s="295">
        <v>1</v>
      </c>
      <c r="AF2227" s="295">
        <v>24</v>
      </c>
      <c r="AG2227" s="295">
        <v>1</v>
      </c>
      <c r="AH2227" s="295">
        <v>2</v>
      </c>
      <c r="AI2227" s="301">
        <v>0</v>
      </c>
      <c r="AJ2227" s="301">
        <v>2</v>
      </c>
      <c r="AK2227" s="301">
        <v>0</v>
      </c>
      <c r="AL2227" s="301">
        <v>2</v>
      </c>
      <c r="AM2227" s="295">
        <v>0</v>
      </c>
      <c r="AN2227" s="295">
        <v>0</v>
      </c>
      <c r="AO2227" s="295">
        <v>0</v>
      </c>
      <c r="AP2227" s="295">
        <v>3</v>
      </c>
      <c r="AQ2227" s="295">
        <v>12000</v>
      </c>
      <c r="AR2227" s="295">
        <v>1</v>
      </c>
      <c r="AS2227" s="295">
        <v>2</v>
      </c>
      <c r="AT2227" s="380" t="s">
        <v>5109</v>
      </c>
      <c r="AU2227" s="378" t="s">
        <v>5110</v>
      </c>
      <c r="AV2227" s="302"/>
      <c r="AW2227" s="294" t="s">
        <v>199</v>
      </c>
      <c r="AX2227" s="295" t="s">
        <v>534</v>
      </c>
      <c r="AY2227" s="293">
        <v>10000007</v>
      </c>
      <c r="AZ2227" s="379" t="s">
        <v>5111</v>
      </c>
      <c r="BA2227" s="294" t="s">
        <v>586</v>
      </c>
      <c r="BB2227" s="295" t="s">
        <v>5112</v>
      </c>
      <c r="BC2227" s="298">
        <v>0</v>
      </c>
      <c r="BD2227" s="298">
        <v>0</v>
      </c>
      <c r="BE2227" s="308" t="s">
        <v>5113</v>
      </c>
      <c r="BF2227" s="308" t="s">
        <v>5114</v>
      </c>
      <c r="BG2227" s="295">
        <v>0</v>
      </c>
      <c r="BH2227" s="295">
        <v>0</v>
      </c>
      <c r="BI2227" s="295">
        <v>0</v>
      </c>
      <c r="BJ2227" s="295">
        <v>0</v>
      </c>
      <c r="BK2227" s="295">
        <v>0</v>
      </c>
      <c r="BL2227" s="295">
        <v>0</v>
      </c>
      <c r="BM2227" s="310">
        <v>0</v>
      </c>
      <c r="BN2227" s="301">
        <v>0</v>
      </c>
      <c r="BO2227" s="301">
        <v>0</v>
      </c>
      <c r="BP2227" s="301">
        <v>0</v>
      </c>
      <c r="BQ2227" s="301">
        <v>0</v>
      </c>
      <c r="BR2227" s="301">
        <v>0</v>
      </c>
      <c r="BS2227" s="301">
        <v>0</v>
      </c>
      <c r="BT2227" s="301">
        <v>0</v>
      </c>
      <c r="BU2227" s="49">
        <v>0</v>
      </c>
      <c r="BV2227" s="49"/>
      <c r="BW2227" s="49"/>
    </row>
    <row r="2228" spans="3:75" ht="19.5" customHeight="1">
      <c r="C2228" s="293">
        <v>77001804</v>
      </c>
      <c r="D2228" s="294" t="s">
        <v>5115</v>
      </c>
      <c r="E2228" s="294" t="s">
        <v>5116</v>
      </c>
      <c r="F2228" s="293">
        <v>1</v>
      </c>
      <c r="G2228" s="295">
        <v>0</v>
      </c>
      <c r="H2228" s="293">
        <v>0</v>
      </c>
      <c r="I2228" s="298">
        <v>0</v>
      </c>
      <c r="J2228" s="293">
        <v>1</v>
      </c>
      <c r="K2228" s="293">
        <v>0</v>
      </c>
      <c r="L2228" s="293">
        <v>0</v>
      </c>
      <c r="M2228" s="295">
        <v>0</v>
      </c>
      <c r="N2228" s="295">
        <v>0</v>
      </c>
      <c r="O2228" s="295">
        <v>2</v>
      </c>
      <c r="P2228" s="295">
        <v>2</v>
      </c>
      <c r="Q2228" s="295">
        <v>0.5</v>
      </c>
      <c r="R2228" s="295">
        <v>1</v>
      </c>
      <c r="S2228" s="301">
        <v>1</v>
      </c>
      <c r="T2228" s="295">
        <v>0</v>
      </c>
      <c r="U2228" s="295">
        <v>1</v>
      </c>
      <c r="V2228" s="295">
        <v>2</v>
      </c>
      <c r="W2228" s="295">
        <v>0</v>
      </c>
      <c r="X2228" s="295">
        <v>2.5</v>
      </c>
      <c r="Y2228" s="13">
        <v>0</v>
      </c>
      <c r="Z2228" s="295">
        <v>0</v>
      </c>
      <c r="AA2228" s="295">
        <v>1</v>
      </c>
      <c r="AB2228" s="295">
        <v>0</v>
      </c>
      <c r="AC2228" s="295">
        <v>0</v>
      </c>
      <c r="AD2228" s="295">
        <v>0</v>
      </c>
      <c r="AE2228" s="295">
        <v>1</v>
      </c>
      <c r="AF2228" s="295">
        <v>0</v>
      </c>
      <c r="AG2228" s="295">
        <v>1</v>
      </c>
      <c r="AH2228" s="295">
        <v>4</v>
      </c>
      <c r="AI2228" s="301">
        <v>1</v>
      </c>
      <c r="AJ2228" s="301">
        <v>1</v>
      </c>
      <c r="AK2228" s="301">
        <v>0</v>
      </c>
      <c r="AL2228" s="301">
        <v>3</v>
      </c>
      <c r="AM2228" s="295">
        <v>0</v>
      </c>
      <c r="AN2228" s="295">
        <v>0</v>
      </c>
      <c r="AO2228" s="295">
        <v>0</v>
      </c>
      <c r="AP2228" s="295">
        <v>0</v>
      </c>
      <c r="AQ2228" s="295">
        <v>3000</v>
      </c>
      <c r="AR2228" s="295">
        <v>1</v>
      </c>
      <c r="AS2228" s="295">
        <v>0</v>
      </c>
      <c r="AT2228" s="301">
        <v>0</v>
      </c>
      <c r="AU2228" s="378" t="s">
        <v>5117</v>
      </c>
      <c r="AV2228" s="302"/>
      <c r="AW2228" s="305" t="s">
        <v>287</v>
      </c>
      <c r="AX2228" s="295" t="s">
        <v>534</v>
      </c>
      <c r="AY2228" s="293">
        <v>0</v>
      </c>
      <c r="AZ2228" s="293">
        <v>77001803</v>
      </c>
      <c r="BA2228" s="294" t="s">
        <v>200</v>
      </c>
      <c r="BB2228" s="295">
        <v>0</v>
      </c>
      <c r="BC2228" s="298">
        <v>0</v>
      </c>
      <c r="BD2228" s="298">
        <v>0</v>
      </c>
      <c r="BE2228" s="308" t="s">
        <v>5118</v>
      </c>
      <c r="BF2228" s="308" t="s">
        <v>5119</v>
      </c>
      <c r="BG2228" s="295">
        <v>0</v>
      </c>
      <c r="BH2228" s="295">
        <v>0</v>
      </c>
      <c r="BI2228" s="295">
        <v>0</v>
      </c>
      <c r="BJ2228" s="295">
        <v>0</v>
      </c>
      <c r="BK2228" s="295">
        <v>0</v>
      </c>
      <c r="BL2228" s="295">
        <v>0</v>
      </c>
      <c r="BM2228" s="310">
        <v>0</v>
      </c>
      <c r="BN2228" s="301">
        <v>0</v>
      </c>
      <c r="BO2228" s="301">
        <v>0</v>
      </c>
      <c r="BP2228" s="301">
        <v>0</v>
      </c>
      <c r="BQ2228" s="301">
        <v>0</v>
      </c>
      <c r="BR2228" s="301">
        <v>0</v>
      </c>
      <c r="BS2228" s="301">
        <v>0</v>
      </c>
      <c r="BT2228" s="301">
        <v>77001806</v>
      </c>
      <c r="BU2228" s="49">
        <v>0</v>
      </c>
      <c r="BV2228" s="49"/>
      <c r="BW2228" s="49"/>
    </row>
    <row r="2229" spans="3:75" ht="19.5" customHeight="1">
      <c r="C2229" s="293">
        <v>77001805</v>
      </c>
      <c r="D2229" s="294" t="s">
        <v>5107</v>
      </c>
      <c r="E2229" s="294" t="s">
        <v>5108</v>
      </c>
      <c r="F2229" s="293">
        <v>1</v>
      </c>
      <c r="G2229" s="295">
        <v>0</v>
      </c>
      <c r="H2229" s="293">
        <v>0</v>
      </c>
      <c r="I2229" s="298">
        <v>0</v>
      </c>
      <c r="J2229" s="293">
        <v>1</v>
      </c>
      <c r="K2229" s="293">
        <v>0</v>
      </c>
      <c r="L2229" s="293">
        <v>0</v>
      </c>
      <c r="M2229" s="295">
        <v>0</v>
      </c>
      <c r="N2229" s="295">
        <v>0</v>
      </c>
      <c r="O2229" s="295">
        <v>2</v>
      </c>
      <c r="P2229" s="295">
        <v>1</v>
      </c>
      <c r="Q2229" s="295">
        <v>1</v>
      </c>
      <c r="R2229" s="295">
        <v>1</v>
      </c>
      <c r="S2229" s="301">
        <v>0</v>
      </c>
      <c r="T2229" s="295">
        <v>0</v>
      </c>
      <c r="U2229" s="295">
        <v>1</v>
      </c>
      <c r="V2229" s="295">
        <v>2</v>
      </c>
      <c r="W2229" s="295">
        <v>0</v>
      </c>
      <c r="X2229" s="295">
        <v>1.5</v>
      </c>
      <c r="Y2229" s="13">
        <v>0</v>
      </c>
      <c r="Z2229" s="295">
        <v>0</v>
      </c>
      <c r="AA2229" s="295">
        <v>0</v>
      </c>
      <c r="AB2229" s="295">
        <v>0</v>
      </c>
      <c r="AC2229" s="295">
        <v>0</v>
      </c>
      <c r="AD2229" s="295">
        <v>0</v>
      </c>
      <c r="AE2229" s="295">
        <v>1</v>
      </c>
      <c r="AF2229" s="295">
        <v>35</v>
      </c>
      <c r="AG2229" s="295">
        <v>1</v>
      </c>
      <c r="AH2229" s="295">
        <v>2</v>
      </c>
      <c r="AI2229" s="301">
        <v>0</v>
      </c>
      <c r="AJ2229" s="301">
        <v>2</v>
      </c>
      <c r="AK2229" s="301">
        <v>0</v>
      </c>
      <c r="AL2229" s="301">
        <v>2</v>
      </c>
      <c r="AM2229" s="295">
        <v>0</v>
      </c>
      <c r="AN2229" s="295">
        <v>0</v>
      </c>
      <c r="AO2229" s="295">
        <v>0</v>
      </c>
      <c r="AP2229" s="295">
        <v>0</v>
      </c>
      <c r="AQ2229" s="295">
        <v>12000</v>
      </c>
      <c r="AR2229" s="295">
        <v>1</v>
      </c>
      <c r="AS2229" s="295">
        <v>2</v>
      </c>
      <c r="AT2229" s="303">
        <v>0</v>
      </c>
      <c r="AU2229" s="378" t="s">
        <v>5120</v>
      </c>
      <c r="AV2229" s="302"/>
      <c r="AW2229" s="294" t="s">
        <v>199</v>
      </c>
      <c r="AX2229" s="295" t="s">
        <v>534</v>
      </c>
      <c r="AY2229" s="293">
        <v>10000007</v>
      </c>
      <c r="AZ2229" s="379" t="s">
        <v>5111</v>
      </c>
      <c r="BA2229" s="294" t="s">
        <v>586</v>
      </c>
      <c r="BB2229" s="295" t="s">
        <v>5121</v>
      </c>
      <c r="BC2229" s="298">
        <v>0</v>
      </c>
      <c r="BD2229" s="298">
        <v>0</v>
      </c>
      <c r="BE2229" s="308" t="s">
        <v>5122</v>
      </c>
      <c r="BF2229" s="308" t="s">
        <v>5123</v>
      </c>
      <c r="BG2229" s="295">
        <v>0</v>
      </c>
      <c r="BH2229" s="295">
        <v>0</v>
      </c>
      <c r="BI2229" s="295">
        <v>0</v>
      </c>
      <c r="BJ2229" s="295">
        <v>0</v>
      </c>
      <c r="BK2229" s="295">
        <v>0</v>
      </c>
      <c r="BL2229" s="295">
        <v>0</v>
      </c>
      <c r="BM2229" s="310">
        <v>0</v>
      </c>
      <c r="BN2229" s="301">
        <v>0</v>
      </c>
      <c r="BO2229" s="301">
        <v>0</v>
      </c>
      <c r="BP2229" s="301">
        <v>0</v>
      </c>
      <c r="BQ2229" s="301">
        <v>0</v>
      </c>
      <c r="BR2229" s="301">
        <v>0</v>
      </c>
      <c r="BS2229" s="301">
        <v>0</v>
      </c>
      <c r="BT2229" s="301">
        <v>0</v>
      </c>
      <c r="BU2229" s="49">
        <v>0</v>
      </c>
      <c r="BV2229" s="49"/>
      <c r="BW2229" s="49"/>
    </row>
    <row r="2230" spans="3:75" ht="19.5" customHeight="1">
      <c r="C2230" s="293">
        <v>77001806</v>
      </c>
      <c r="D2230" s="294" t="s">
        <v>5124</v>
      </c>
      <c r="E2230" s="294" t="s">
        <v>5125</v>
      </c>
      <c r="F2230" s="293">
        <v>1</v>
      </c>
      <c r="G2230" s="295">
        <v>0</v>
      </c>
      <c r="H2230" s="293">
        <v>0</v>
      </c>
      <c r="I2230" s="298">
        <v>0</v>
      </c>
      <c r="J2230" s="293">
        <v>1</v>
      </c>
      <c r="K2230" s="293">
        <v>0</v>
      </c>
      <c r="L2230" s="293">
        <v>0</v>
      </c>
      <c r="M2230" s="295">
        <v>0</v>
      </c>
      <c r="N2230" s="295">
        <v>0</v>
      </c>
      <c r="O2230" s="310">
        <v>2</v>
      </c>
      <c r="P2230" s="295">
        <v>2</v>
      </c>
      <c r="Q2230" s="295">
        <v>0.7</v>
      </c>
      <c r="R2230" s="295">
        <v>0</v>
      </c>
      <c r="S2230" s="301">
        <v>0</v>
      </c>
      <c r="T2230" s="295">
        <v>0</v>
      </c>
      <c r="U2230" s="295">
        <v>1</v>
      </c>
      <c r="V2230" s="295">
        <v>1</v>
      </c>
      <c r="W2230" s="295">
        <v>0</v>
      </c>
      <c r="X2230" s="295">
        <v>0</v>
      </c>
      <c r="Y2230" s="13">
        <v>0</v>
      </c>
      <c r="Z2230" s="295">
        <v>0</v>
      </c>
      <c r="AA2230" s="295">
        <v>0</v>
      </c>
      <c r="AB2230" s="295">
        <v>0</v>
      </c>
      <c r="AC2230" s="295">
        <v>0</v>
      </c>
      <c r="AD2230" s="310">
        <v>0</v>
      </c>
      <c r="AE2230" s="295">
        <v>1</v>
      </c>
      <c r="AF2230" s="295">
        <v>40</v>
      </c>
      <c r="AG2230" s="295">
        <v>1</v>
      </c>
      <c r="AH2230" s="295">
        <v>2</v>
      </c>
      <c r="AI2230" s="301">
        <v>0</v>
      </c>
      <c r="AJ2230" s="301">
        <v>1</v>
      </c>
      <c r="AK2230" s="301">
        <v>0</v>
      </c>
      <c r="AL2230" s="301">
        <v>0</v>
      </c>
      <c r="AM2230" s="295">
        <v>0</v>
      </c>
      <c r="AN2230" s="295">
        <v>0</v>
      </c>
      <c r="AO2230" s="295">
        <v>0</v>
      </c>
      <c r="AP2230" s="295">
        <v>0</v>
      </c>
      <c r="AQ2230" s="295">
        <v>1000</v>
      </c>
      <c r="AR2230" s="295">
        <v>0</v>
      </c>
      <c r="AS2230" s="295">
        <v>0</v>
      </c>
      <c r="AT2230" s="301">
        <v>0</v>
      </c>
      <c r="AU2230" s="295" t="s">
        <v>198</v>
      </c>
      <c r="AV2230" s="295"/>
      <c r="AW2230" s="305" t="s">
        <v>287</v>
      </c>
      <c r="AX2230" s="295" t="s">
        <v>545</v>
      </c>
      <c r="AY2230" s="293">
        <v>0</v>
      </c>
      <c r="AZ2230" s="293">
        <v>0</v>
      </c>
      <c r="BA2230" s="294" t="s">
        <v>528</v>
      </c>
      <c r="BB2230" s="295" t="s">
        <v>5126</v>
      </c>
      <c r="BC2230" s="298">
        <v>0</v>
      </c>
      <c r="BD2230" s="298">
        <v>0</v>
      </c>
      <c r="BE2230" s="308" t="s">
        <v>5127</v>
      </c>
      <c r="BF2230" s="308" t="s">
        <v>5128</v>
      </c>
      <c r="BG2230" s="295">
        <v>0</v>
      </c>
      <c r="BH2230" s="295">
        <v>0</v>
      </c>
      <c r="BI2230" s="295">
        <v>0</v>
      </c>
      <c r="BJ2230" s="295">
        <v>0</v>
      </c>
      <c r="BK2230" s="295">
        <v>0</v>
      </c>
      <c r="BL2230" s="295">
        <v>0</v>
      </c>
      <c r="BM2230" s="310">
        <v>0</v>
      </c>
      <c r="BN2230" s="301">
        <v>0</v>
      </c>
      <c r="BO2230" s="301">
        <v>0</v>
      </c>
      <c r="BP2230" s="301">
        <v>0</v>
      </c>
      <c r="BQ2230" s="301">
        <v>0</v>
      </c>
      <c r="BR2230" s="301">
        <v>0</v>
      </c>
      <c r="BS2230" s="301">
        <v>0</v>
      </c>
      <c r="BT2230" s="301">
        <v>0</v>
      </c>
      <c r="BU2230" s="49">
        <v>0</v>
      </c>
      <c r="BV2230" s="49"/>
      <c r="BW2230" s="49"/>
    </row>
    <row r="2231" spans="3:75" ht="19.5" customHeight="1">
      <c r="C2231" s="293">
        <v>77001807</v>
      </c>
      <c r="D2231" s="294" t="s">
        <v>5129</v>
      </c>
      <c r="E2231" s="294" t="s">
        <v>5130</v>
      </c>
      <c r="F2231" s="295">
        <v>1</v>
      </c>
      <c r="G2231" s="295">
        <v>0</v>
      </c>
      <c r="H2231" s="295">
        <v>0</v>
      </c>
      <c r="I2231" s="298">
        <v>0</v>
      </c>
      <c r="J2231" s="293">
        <v>1</v>
      </c>
      <c r="K2231" s="293">
        <v>0</v>
      </c>
      <c r="L2231" s="293">
        <v>0</v>
      </c>
      <c r="M2231" s="295">
        <v>0</v>
      </c>
      <c r="N2231" s="295">
        <v>0</v>
      </c>
      <c r="O2231" s="295">
        <v>2</v>
      </c>
      <c r="P2231" s="295" t="s">
        <v>5131</v>
      </c>
      <c r="Q2231" s="295" t="s">
        <v>5132</v>
      </c>
      <c r="R2231" s="295">
        <v>0</v>
      </c>
      <c r="S2231" s="301">
        <v>0</v>
      </c>
      <c r="T2231" s="295">
        <v>0</v>
      </c>
      <c r="U2231" s="295">
        <v>1</v>
      </c>
      <c r="V2231" s="295">
        <v>1</v>
      </c>
      <c r="W2231" s="295">
        <v>0</v>
      </c>
      <c r="X2231" s="295">
        <v>0</v>
      </c>
      <c r="Y2231" s="13">
        <v>0</v>
      </c>
      <c r="Z2231" s="295">
        <v>0</v>
      </c>
      <c r="AA2231" s="295">
        <v>0</v>
      </c>
      <c r="AB2231" s="295">
        <v>0</v>
      </c>
      <c r="AC2231" s="295">
        <v>0</v>
      </c>
      <c r="AD2231" s="295">
        <v>0</v>
      </c>
      <c r="AE2231" s="295">
        <v>1</v>
      </c>
      <c r="AF2231" s="295">
        <v>0</v>
      </c>
      <c r="AG2231" s="295">
        <v>2</v>
      </c>
      <c r="AH2231" s="295" t="s">
        <v>213</v>
      </c>
      <c r="AI2231" s="301">
        <v>0</v>
      </c>
      <c r="AJ2231" s="301">
        <v>2</v>
      </c>
      <c r="AK2231" s="301">
        <v>0</v>
      </c>
      <c r="AL2231" s="301">
        <v>1.5</v>
      </c>
      <c r="AM2231" s="295">
        <v>0</v>
      </c>
      <c r="AN2231" s="295">
        <v>0</v>
      </c>
      <c r="AO2231" s="295">
        <v>0</v>
      </c>
      <c r="AP2231" s="295">
        <v>0.3</v>
      </c>
      <c r="AQ2231" s="295">
        <v>300</v>
      </c>
      <c r="AR2231" s="295">
        <v>0</v>
      </c>
      <c r="AS2231" s="295">
        <v>15</v>
      </c>
      <c r="AT2231" s="301">
        <v>0</v>
      </c>
      <c r="AU2231" s="302">
        <v>0</v>
      </c>
      <c r="AV2231" s="302"/>
      <c r="AW2231" s="294" t="s">
        <v>199</v>
      </c>
      <c r="AX2231" s="295" t="s">
        <v>215</v>
      </c>
      <c r="AY2231" s="293">
        <v>0</v>
      </c>
      <c r="AZ2231" s="293">
        <v>0</v>
      </c>
      <c r="BA2231" s="314" t="s">
        <v>216</v>
      </c>
      <c r="BB2231" s="295">
        <v>1</v>
      </c>
      <c r="BC2231" s="298">
        <v>0</v>
      </c>
      <c r="BD2231" s="298">
        <v>0</v>
      </c>
      <c r="BE2231" s="308" t="s">
        <v>5133</v>
      </c>
      <c r="BF2231" s="308" t="s">
        <v>5134</v>
      </c>
      <c r="BG2231" s="295">
        <v>0</v>
      </c>
      <c r="BH2231" s="295">
        <v>0</v>
      </c>
      <c r="BI2231" s="295">
        <v>0</v>
      </c>
      <c r="BJ2231" s="295">
        <v>0</v>
      </c>
      <c r="BK2231" s="295">
        <v>0</v>
      </c>
      <c r="BL2231" s="295">
        <v>0</v>
      </c>
      <c r="BM2231" s="310">
        <v>0</v>
      </c>
      <c r="BN2231" s="301">
        <v>0</v>
      </c>
      <c r="BO2231" s="301">
        <v>0</v>
      </c>
      <c r="BP2231" s="301">
        <v>0</v>
      </c>
      <c r="BQ2231" s="301">
        <v>0</v>
      </c>
      <c r="BR2231" s="301">
        <v>0</v>
      </c>
      <c r="BS2231" s="301">
        <v>1</v>
      </c>
      <c r="BT2231" s="301">
        <v>77001808</v>
      </c>
      <c r="BU2231" s="49">
        <v>0</v>
      </c>
      <c r="BV2231" s="49"/>
      <c r="BW2231" s="49"/>
    </row>
    <row r="2232" spans="3:75" ht="20.100000000000001" customHeight="1">
      <c r="C2232" s="293">
        <v>77001808</v>
      </c>
      <c r="D2232" s="294" t="s">
        <v>5129</v>
      </c>
      <c r="E2232" s="294" t="s">
        <v>5130</v>
      </c>
      <c r="F2232" s="295">
        <v>1</v>
      </c>
      <c r="G2232" s="295">
        <v>0</v>
      </c>
      <c r="H2232" s="295">
        <v>0</v>
      </c>
      <c r="I2232" s="298">
        <v>0</v>
      </c>
      <c r="J2232" s="293">
        <v>1</v>
      </c>
      <c r="K2232" s="293">
        <v>0</v>
      </c>
      <c r="L2232" s="293">
        <v>0</v>
      </c>
      <c r="M2232" s="295">
        <v>0</v>
      </c>
      <c r="N2232" s="295">
        <v>0</v>
      </c>
      <c r="O2232" s="295">
        <v>2</v>
      </c>
      <c r="P2232" s="295">
        <v>3</v>
      </c>
      <c r="Q2232" s="295">
        <v>0.2</v>
      </c>
      <c r="R2232" s="295">
        <v>0</v>
      </c>
      <c r="S2232" s="301">
        <v>0</v>
      </c>
      <c r="T2232" s="295">
        <v>0</v>
      </c>
      <c r="U2232" s="295">
        <v>1</v>
      </c>
      <c r="V2232" s="295">
        <v>2</v>
      </c>
      <c r="W2232" s="295">
        <v>0</v>
      </c>
      <c r="X2232" s="295">
        <v>1.5</v>
      </c>
      <c r="Y2232" s="13">
        <v>0</v>
      </c>
      <c r="Z2232" s="295">
        <v>0</v>
      </c>
      <c r="AA2232" s="295">
        <v>1</v>
      </c>
      <c r="AB2232" s="295">
        <v>0</v>
      </c>
      <c r="AC2232" s="295">
        <v>0</v>
      </c>
      <c r="AD2232" s="295">
        <v>0</v>
      </c>
      <c r="AE2232" s="295">
        <v>1</v>
      </c>
      <c r="AF2232" s="295">
        <v>0</v>
      </c>
      <c r="AG2232" s="295">
        <v>1</v>
      </c>
      <c r="AH2232" s="295">
        <v>3</v>
      </c>
      <c r="AI2232" s="301">
        <v>0</v>
      </c>
      <c r="AJ2232" s="301">
        <v>1</v>
      </c>
      <c r="AK2232" s="301">
        <v>0</v>
      </c>
      <c r="AL2232" s="301">
        <v>3</v>
      </c>
      <c r="AM2232" s="295">
        <v>0</v>
      </c>
      <c r="AN2232" s="295">
        <v>0</v>
      </c>
      <c r="AO2232" s="295">
        <v>0</v>
      </c>
      <c r="AP2232" s="295">
        <v>0.8</v>
      </c>
      <c r="AQ2232" s="295">
        <v>2000</v>
      </c>
      <c r="AR2232" s="295">
        <v>0.8</v>
      </c>
      <c r="AS2232" s="295">
        <v>0</v>
      </c>
      <c r="AT2232" s="301">
        <v>0</v>
      </c>
      <c r="AU2232" s="378" t="s">
        <v>5135</v>
      </c>
      <c r="AV2232" s="302"/>
      <c r="AW2232" s="294" t="s">
        <v>198</v>
      </c>
      <c r="AX2232" s="295" t="s">
        <v>215</v>
      </c>
      <c r="AY2232" s="293">
        <v>10000011</v>
      </c>
      <c r="AZ2232" s="293">
        <v>77001801</v>
      </c>
      <c r="BA2232" s="305" t="s">
        <v>200</v>
      </c>
      <c r="BB2232" s="295">
        <v>0</v>
      </c>
      <c r="BC2232" s="298">
        <v>0</v>
      </c>
      <c r="BD2232" s="298">
        <v>0</v>
      </c>
      <c r="BE2232" s="308" t="s">
        <v>5136</v>
      </c>
      <c r="BF2232" s="308" t="s">
        <v>5137</v>
      </c>
      <c r="BG2232" s="295">
        <v>0</v>
      </c>
      <c r="BH2232" s="295">
        <v>0</v>
      </c>
      <c r="BI2232" s="295">
        <v>0</v>
      </c>
      <c r="BJ2232" s="295">
        <v>0</v>
      </c>
      <c r="BK2232" s="295">
        <v>0</v>
      </c>
      <c r="BL2232" s="295">
        <v>0</v>
      </c>
      <c r="BM2232" s="310">
        <v>0</v>
      </c>
      <c r="BN2232" s="301">
        <v>0</v>
      </c>
      <c r="BO2232" s="301">
        <v>0</v>
      </c>
      <c r="BP2232" s="301">
        <v>0</v>
      </c>
      <c r="BQ2232" s="301">
        <v>0</v>
      </c>
      <c r="BR2232" s="301">
        <v>0</v>
      </c>
      <c r="BS2232" s="301">
        <v>0</v>
      </c>
      <c r="BT2232" s="301">
        <v>0</v>
      </c>
      <c r="BU2232" s="49">
        <v>0</v>
      </c>
      <c r="BV2232" s="49"/>
      <c r="BW2232" s="49"/>
    </row>
    <row r="2233" spans="3:75" ht="19.5" customHeight="1">
      <c r="C2233" s="293">
        <v>77001809</v>
      </c>
      <c r="D2233" s="294" t="s">
        <v>5138</v>
      </c>
      <c r="E2233" s="294" t="s">
        <v>5139</v>
      </c>
      <c r="F2233" s="293">
        <v>1</v>
      </c>
      <c r="G2233" s="293">
        <v>80004009</v>
      </c>
      <c r="H2233" s="293">
        <v>0</v>
      </c>
      <c r="I2233" s="298">
        <v>0</v>
      </c>
      <c r="J2233" s="293">
        <v>1</v>
      </c>
      <c r="K2233" s="293">
        <v>0</v>
      </c>
      <c r="L2233" s="293">
        <v>0</v>
      </c>
      <c r="M2233" s="295">
        <v>0</v>
      </c>
      <c r="N2233" s="295">
        <v>0</v>
      </c>
      <c r="O2233" s="295">
        <v>2</v>
      </c>
      <c r="P2233" s="295">
        <v>16</v>
      </c>
      <c r="Q2233" s="295">
        <v>5</v>
      </c>
      <c r="R2233" s="295">
        <v>0</v>
      </c>
      <c r="S2233" s="301">
        <v>0</v>
      </c>
      <c r="T2233" s="295">
        <v>0</v>
      </c>
      <c r="U2233" s="295">
        <v>1</v>
      </c>
      <c r="V2233" s="295">
        <v>2</v>
      </c>
      <c r="W2233" s="295">
        <v>0</v>
      </c>
      <c r="X2233" s="295">
        <v>1</v>
      </c>
      <c r="Y2233" s="13">
        <v>0</v>
      </c>
      <c r="Z2233" s="295">
        <v>0</v>
      </c>
      <c r="AA2233" s="295">
        <v>0</v>
      </c>
      <c r="AB2233" s="295">
        <v>0</v>
      </c>
      <c r="AC2233" s="295">
        <v>0</v>
      </c>
      <c r="AD2233" s="295">
        <v>0</v>
      </c>
      <c r="AE2233" s="295">
        <v>1</v>
      </c>
      <c r="AF2233" s="295">
        <v>0</v>
      </c>
      <c r="AG2233" s="295">
        <v>1</v>
      </c>
      <c r="AH2233" s="295">
        <v>2</v>
      </c>
      <c r="AI2233" s="301">
        <v>0</v>
      </c>
      <c r="AJ2233" s="301">
        <v>2</v>
      </c>
      <c r="AK2233" s="301">
        <v>0</v>
      </c>
      <c r="AL2233" s="301">
        <v>2</v>
      </c>
      <c r="AM2233" s="295">
        <v>0</v>
      </c>
      <c r="AN2233" s="295">
        <v>0</v>
      </c>
      <c r="AO2233" s="295">
        <v>0</v>
      </c>
      <c r="AP2233" s="295">
        <v>3</v>
      </c>
      <c r="AQ2233" s="295">
        <v>5000</v>
      </c>
      <c r="AR2233" s="295">
        <v>1</v>
      </c>
      <c r="AS2233" s="295">
        <v>10</v>
      </c>
      <c r="AT2233" s="303">
        <v>0</v>
      </c>
      <c r="AU2233" s="378" t="s">
        <v>5140</v>
      </c>
      <c r="AV2233" s="302"/>
      <c r="AW2233" s="294" t="s">
        <v>199</v>
      </c>
      <c r="AX2233" s="295" t="s">
        <v>534</v>
      </c>
      <c r="AY2233" s="293">
        <v>10000007</v>
      </c>
      <c r="AZ2233" s="379" t="s">
        <v>5111</v>
      </c>
      <c r="BA2233" s="294" t="s">
        <v>586</v>
      </c>
      <c r="BB2233" s="295" t="s">
        <v>5141</v>
      </c>
      <c r="BC2233" s="298">
        <v>0</v>
      </c>
      <c r="BD2233" s="298">
        <v>1</v>
      </c>
      <c r="BE2233" s="308" t="s">
        <v>5142</v>
      </c>
      <c r="BF2233" s="308" t="s">
        <v>5143</v>
      </c>
      <c r="BG2233" s="295">
        <v>0</v>
      </c>
      <c r="BH2233" s="295">
        <v>0</v>
      </c>
      <c r="BI2233" s="295">
        <v>0</v>
      </c>
      <c r="BJ2233" s="295">
        <v>0</v>
      </c>
      <c r="BK2233" s="295">
        <v>0</v>
      </c>
      <c r="BL2233" s="295">
        <v>0</v>
      </c>
      <c r="BM2233" s="310">
        <v>0</v>
      </c>
      <c r="BN2233" s="301">
        <v>0</v>
      </c>
      <c r="BO2233" s="301">
        <v>0</v>
      </c>
      <c r="BP2233" s="301">
        <v>0</v>
      </c>
      <c r="BQ2233" s="301">
        <v>0</v>
      </c>
      <c r="BR2233" s="301">
        <v>0</v>
      </c>
      <c r="BS2233" s="301">
        <v>0</v>
      </c>
      <c r="BT2233" s="301">
        <v>0</v>
      </c>
      <c r="BU2233" s="49">
        <v>0</v>
      </c>
      <c r="BV2233" s="49"/>
      <c r="BW2233" s="49"/>
    </row>
    <row r="2234" spans="3:75" ht="19.5" customHeight="1">
      <c r="C2234" s="66">
        <v>77001901</v>
      </c>
      <c r="D2234" s="61" t="s">
        <v>5144</v>
      </c>
      <c r="E2234" s="61" t="s">
        <v>5145</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49" t="s">
        <v>5146</v>
      </c>
      <c r="AU2234" s="62">
        <v>0</v>
      </c>
      <c r="AV2234" s="62"/>
      <c r="AW2234" s="61" t="s">
        <v>198</v>
      </c>
      <c r="AX2234" s="62" t="s">
        <v>534</v>
      </c>
      <c r="AY2234" s="66">
        <v>0</v>
      </c>
      <c r="AZ2234" s="66">
        <v>77001901</v>
      </c>
      <c r="BA2234" s="61" t="s">
        <v>771</v>
      </c>
      <c r="BB2234" s="62">
        <v>0</v>
      </c>
      <c r="BC2234" s="68">
        <v>0</v>
      </c>
      <c r="BD2234" s="68">
        <v>0</v>
      </c>
      <c r="BE2234" s="123" t="s">
        <v>5147</v>
      </c>
      <c r="BF2234" s="123" t="s">
        <v>5148</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spans="3:75" ht="19.5" customHeight="1">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2" t="s">
        <v>5149</v>
      </c>
      <c r="BC2235" s="68">
        <v>0</v>
      </c>
      <c r="BD2235" s="68">
        <v>0</v>
      </c>
      <c r="BE2235" s="92" t="s">
        <v>5150</v>
      </c>
      <c r="BF2235" s="92" t="s">
        <v>5151</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spans="3:75" ht="19.5" customHeight="1">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1" t="s">
        <v>5152</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spans="3:75" ht="20.100000000000001" customHeight="1">
      <c r="C2237" s="66">
        <v>77001904</v>
      </c>
      <c r="D2237" s="61" t="s">
        <v>4973</v>
      </c>
      <c r="E2237" s="61" t="s">
        <v>4974</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1" t="s">
        <v>5153</v>
      </c>
      <c r="AV2237" s="81"/>
      <c r="AW2237" s="61" t="s">
        <v>287</v>
      </c>
      <c r="AX2237" s="62" t="s">
        <v>215</v>
      </c>
      <c r="AY2237" s="66">
        <v>0</v>
      </c>
      <c r="AZ2237" s="66">
        <v>77001902</v>
      </c>
      <c r="BA2237" s="65" t="s">
        <v>200</v>
      </c>
      <c r="BB2237" s="62">
        <v>0</v>
      </c>
      <c r="BC2237" s="68">
        <v>0</v>
      </c>
      <c r="BD2237" s="68">
        <v>0</v>
      </c>
      <c r="BE2237" s="92" t="s">
        <v>5154</v>
      </c>
      <c r="BF2237" s="92" t="s">
        <v>5155</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spans="3:75" ht="19.5" customHeight="1">
      <c r="C2238" s="66">
        <v>77001905</v>
      </c>
      <c r="D2238" s="61" t="s">
        <v>5156</v>
      </c>
      <c r="E2238" s="61" t="s">
        <v>5157</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1" t="s">
        <v>5158</v>
      </c>
      <c r="AV2238" s="81"/>
      <c r="AW2238" s="65" t="s">
        <v>287</v>
      </c>
      <c r="AX2238" s="62" t="s">
        <v>545</v>
      </c>
      <c r="AY2238" s="66">
        <v>0</v>
      </c>
      <c r="AZ2238" s="66">
        <v>0</v>
      </c>
      <c r="BA2238" s="61" t="s">
        <v>528</v>
      </c>
      <c r="BB2238" s="62" t="s">
        <v>5159</v>
      </c>
      <c r="BC2238" s="68">
        <v>0</v>
      </c>
      <c r="BD2238" s="68">
        <v>0</v>
      </c>
      <c r="BE2238" s="92" t="s">
        <v>5160</v>
      </c>
      <c r="BF2238" s="92" t="s">
        <v>5161</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spans="3:75" ht="20.100000000000001" customHeight="1">
      <c r="C2239" s="66">
        <v>77001906</v>
      </c>
      <c r="D2239" s="61" t="s">
        <v>5162</v>
      </c>
      <c r="E2239" s="61" t="s">
        <v>5163</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0" t="s">
        <v>5164</v>
      </c>
      <c r="AU2239" s="81">
        <v>0</v>
      </c>
      <c r="AV2239" s="81"/>
      <c r="AW2239" s="61" t="s">
        <v>198</v>
      </c>
      <c r="AX2239" s="62" t="s">
        <v>215</v>
      </c>
      <c r="AY2239" s="66">
        <v>0</v>
      </c>
      <c r="AZ2239" s="66">
        <v>77001901</v>
      </c>
      <c r="BA2239" s="65" t="s">
        <v>200</v>
      </c>
      <c r="BB2239" s="62">
        <v>0</v>
      </c>
      <c r="BC2239" s="68">
        <v>0</v>
      </c>
      <c r="BD2239" s="68">
        <v>0</v>
      </c>
      <c r="BE2239" s="92" t="s">
        <v>5165</v>
      </c>
      <c r="BF2239" s="92" t="s">
        <v>5166</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spans="3:75" ht="19.5" customHeight="1">
      <c r="C2240" s="66">
        <v>77001907</v>
      </c>
      <c r="D2240" s="61" t="s">
        <v>5167</v>
      </c>
      <c r="E2240" s="61" t="s">
        <v>5168</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5169</v>
      </c>
      <c r="BF2240" s="92" t="s">
        <v>5170</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spans="3:75" ht="20.100000000000001" customHeight="1">
      <c r="C2241" s="66">
        <v>77001908</v>
      </c>
      <c r="D2241" s="61" t="s">
        <v>5171</v>
      </c>
      <c r="E2241" s="61" t="s">
        <v>5172</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1" t="s">
        <v>5152</v>
      </c>
      <c r="AV2241" s="81"/>
      <c r="AW2241" s="61" t="s">
        <v>198</v>
      </c>
      <c r="AX2241" s="62" t="s">
        <v>215</v>
      </c>
      <c r="AY2241" s="66">
        <v>0</v>
      </c>
      <c r="AZ2241" s="66">
        <v>77001907</v>
      </c>
      <c r="BA2241" s="65" t="s">
        <v>200</v>
      </c>
      <c r="BB2241" s="62">
        <v>0</v>
      </c>
      <c r="BC2241" s="68">
        <v>0</v>
      </c>
      <c r="BD2241" s="68">
        <v>0</v>
      </c>
      <c r="BE2241" s="92" t="s">
        <v>4973</v>
      </c>
      <c r="BF2241" s="92" t="s">
        <v>4974</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77001909</v>
      </c>
      <c r="D2242" s="61" t="s">
        <v>5173</v>
      </c>
      <c r="E2242" s="61" t="s">
        <v>5174</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5175</v>
      </c>
      <c r="AI2242" s="70">
        <v>0</v>
      </c>
      <c r="AJ2242" s="70">
        <v>2</v>
      </c>
      <c r="AK2242" s="70">
        <v>0</v>
      </c>
      <c r="AL2242" s="70">
        <v>4</v>
      </c>
      <c r="AM2242" s="62">
        <v>0</v>
      </c>
      <c r="AN2242" s="62">
        <v>1</v>
      </c>
      <c r="AO2242" s="62">
        <v>0</v>
      </c>
      <c r="AP2242" s="62">
        <v>1</v>
      </c>
      <c r="AQ2242" s="62">
        <v>9000</v>
      </c>
      <c r="AR2242" s="62">
        <v>0</v>
      </c>
      <c r="AS2242" s="62">
        <v>10</v>
      </c>
      <c r="AT2242" s="80">
        <v>0</v>
      </c>
      <c r="AU2242" s="341" t="s">
        <v>5152</v>
      </c>
      <c r="AV2242" s="81"/>
      <c r="AW2242" s="61" t="s">
        <v>256</v>
      </c>
      <c r="AX2242" s="62" t="s">
        <v>534</v>
      </c>
      <c r="AY2242" s="66">
        <v>10000007</v>
      </c>
      <c r="AZ2242" s="66">
        <v>77001908</v>
      </c>
      <c r="BA2242" s="61" t="s">
        <v>586</v>
      </c>
      <c r="BB2242" s="62" t="s">
        <v>5176</v>
      </c>
      <c r="BC2242" s="68">
        <v>0</v>
      </c>
      <c r="BD2242" s="68">
        <v>1</v>
      </c>
      <c r="BE2242" s="92" t="s">
        <v>5177</v>
      </c>
      <c r="BF2242" s="92" t="s">
        <v>5178</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19.5" customHeight="1">
      <c r="C2243" s="66">
        <v>77001910</v>
      </c>
      <c r="D2243" s="61" t="s">
        <v>5179</v>
      </c>
      <c r="E2243" s="61" t="s">
        <v>5180</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1" t="s">
        <v>5152</v>
      </c>
      <c r="AV2243" s="81"/>
      <c r="AW2243" s="61" t="s">
        <v>199</v>
      </c>
      <c r="AX2243" s="62" t="s">
        <v>215</v>
      </c>
      <c r="AY2243" s="66">
        <v>0</v>
      </c>
      <c r="AZ2243" s="66">
        <v>0</v>
      </c>
      <c r="BA2243" s="313" t="s">
        <v>216</v>
      </c>
      <c r="BB2243" s="62">
        <v>0</v>
      </c>
      <c r="BC2243" s="68">
        <v>0</v>
      </c>
      <c r="BD2243" s="68">
        <v>0</v>
      </c>
      <c r="BE2243" s="92" t="s">
        <v>5181</v>
      </c>
      <c r="BF2243" s="92" t="s">
        <v>5182</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spans="3:75" ht="20.100000000000001" customHeight="1">
      <c r="C2244" s="66">
        <v>77001911</v>
      </c>
      <c r="D2244" s="61" t="s">
        <v>4973</v>
      </c>
      <c r="E2244" s="61" t="s">
        <v>4974</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1" t="s">
        <v>5183</v>
      </c>
      <c r="AV2244" s="81"/>
      <c r="AW2244" s="61" t="s">
        <v>198</v>
      </c>
      <c r="AX2244" s="62" t="s">
        <v>215</v>
      </c>
      <c r="AY2244" s="66">
        <v>0</v>
      </c>
      <c r="AZ2244" s="66">
        <v>77001903</v>
      </c>
      <c r="BA2244" s="65" t="s">
        <v>200</v>
      </c>
      <c r="BB2244" s="62">
        <v>0</v>
      </c>
      <c r="BC2244" s="68">
        <v>0</v>
      </c>
      <c r="BD2244" s="68">
        <v>0</v>
      </c>
      <c r="BE2244" s="92" t="s">
        <v>4973</v>
      </c>
      <c r="BF2244" s="92" t="s">
        <v>4974</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spans="3:75" ht="20.100000000000001" customHeight="1">
      <c r="C2245" s="66">
        <v>77001912</v>
      </c>
      <c r="D2245" s="61" t="s">
        <v>5184</v>
      </c>
      <c r="E2245" s="61" t="s">
        <v>5185</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5186</v>
      </c>
      <c r="BF2245" s="123" t="s">
        <v>5187</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spans="3:75" ht="20.100000000000001" customHeight="1">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5188</v>
      </c>
      <c r="BF2246" s="92" t="s">
        <v>5189</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1" t="s">
        <v>198</v>
      </c>
      <c r="AV2247" s="81"/>
      <c r="AW2247" s="61" t="s">
        <v>256</v>
      </c>
      <c r="AX2247" s="62" t="s">
        <v>534</v>
      </c>
      <c r="AY2247" s="66">
        <v>10000007</v>
      </c>
      <c r="AZ2247" s="339" t="s">
        <v>5190</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spans="3:75" ht="20.100000000000001" customHeight="1">
      <c r="C2248" s="102">
        <v>77002001</v>
      </c>
      <c r="D2248" s="312" t="s">
        <v>5191</v>
      </c>
      <c r="E2248" s="312" t="s">
        <v>5192</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2" t="s">
        <v>199</v>
      </c>
      <c r="AX2248" s="108" t="s">
        <v>1041</v>
      </c>
      <c r="AY2248" s="108">
        <v>10000007</v>
      </c>
      <c r="AZ2248" s="108">
        <v>77002001</v>
      </c>
      <c r="BA2248" s="312" t="s">
        <v>1553</v>
      </c>
      <c r="BB2248" s="108">
        <v>1</v>
      </c>
      <c r="BC2248" s="108">
        <v>0</v>
      </c>
      <c r="BD2248" s="108">
        <v>0</v>
      </c>
      <c r="BE2248" s="316" t="s">
        <v>5193</v>
      </c>
      <c r="BF2248" s="316" t="s">
        <v>5194</v>
      </c>
      <c r="BG2248" s="108">
        <v>0</v>
      </c>
      <c r="BH2248" s="108">
        <v>0</v>
      </c>
      <c r="BI2248" s="108">
        <v>0</v>
      </c>
      <c r="BJ2248" s="108">
        <v>0</v>
      </c>
      <c r="BK2248" s="108">
        <v>0</v>
      </c>
      <c r="BL2248" s="108">
        <v>0</v>
      </c>
      <c r="BM2248" s="317">
        <v>0</v>
      </c>
      <c r="BN2248" s="108">
        <v>0</v>
      </c>
      <c r="BO2248" s="108">
        <v>0</v>
      </c>
      <c r="BP2248" s="108">
        <v>1000</v>
      </c>
      <c r="BQ2248" s="108">
        <v>1</v>
      </c>
      <c r="BR2248" s="108">
        <v>200</v>
      </c>
      <c r="BS2248" s="108">
        <v>0</v>
      </c>
      <c r="BT2248" s="108">
        <v>0</v>
      </c>
      <c r="BU2248" s="49">
        <v>0</v>
      </c>
      <c r="BV2248" s="49"/>
      <c r="BW2248" s="49"/>
    </row>
    <row r="2249" spans="3:75" ht="19.5" customHeight="1">
      <c r="C2249" s="102">
        <v>77002002</v>
      </c>
      <c r="D2249" s="101" t="s">
        <v>5195</v>
      </c>
      <c r="E2249" s="101" t="s">
        <v>5196</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7" t="s">
        <v>5197</v>
      </c>
      <c r="BC2249" s="107">
        <v>0</v>
      </c>
      <c r="BD2249" s="107">
        <v>0</v>
      </c>
      <c r="BE2249" s="121" t="s">
        <v>5198</v>
      </c>
      <c r="BF2249" s="121" t="s">
        <v>5199</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spans="3:75" ht="19.5" customHeight="1">
      <c r="C2250" s="102">
        <v>77002003</v>
      </c>
      <c r="D2250" s="101" t="s">
        <v>5200</v>
      </c>
      <c r="E2250" s="101" t="s">
        <v>5201</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6" t="s">
        <v>5202</v>
      </c>
      <c r="AV2250" s="116"/>
      <c r="AW2250" s="101" t="s">
        <v>198</v>
      </c>
      <c r="AX2250" s="103">
        <v>0</v>
      </c>
      <c r="AY2250" s="102">
        <v>0</v>
      </c>
      <c r="AZ2250" s="102">
        <v>0</v>
      </c>
      <c r="BA2250" s="101" t="s">
        <v>528</v>
      </c>
      <c r="BB2250" s="347" t="s">
        <v>5203</v>
      </c>
      <c r="BC2250" s="107">
        <v>0</v>
      </c>
      <c r="BD2250" s="107">
        <v>0</v>
      </c>
      <c r="BE2250" s="121" t="s">
        <v>5204</v>
      </c>
      <c r="BF2250" s="121" t="s">
        <v>5205</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spans="3:75" ht="20.100000000000001" customHeight="1">
      <c r="C2251" s="102">
        <v>77002004</v>
      </c>
      <c r="D2251" s="101" t="s">
        <v>5206</v>
      </c>
      <c r="E2251" s="296" t="s">
        <v>5207</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6" t="s">
        <v>198</v>
      </c>
      <c r="AV2251" s="116"/>
      <c r="AW2251" s="101" t="s">
        <v>198</v>
      </c>
      <c r="AX2251" s="103" t="s">
        <v>215</v>
      </c>
      <c r="AY2251" s="102">
        <v>0</v>
      </c>
      <c r="AZ2251" s="102">
        <v>0</v>
      </c>
      <c r="BA2251" s="101" t="s">
        <v>216</v>
      </c>
      <c r="BB2251" s="103">
        <v>0</v>
      </c>
      <c r="BC2251" s="107">
        <v>0</v>
      </c>
      <c r="BD2251" s="107">
        <v>0</v>
      </c>
      <c r="BE2251" s="121" t="s">
        <v>5208</v>
      </c>
      <c r="BF2251" s="121" t="s">
        <v>5209</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spans="3:75" ht="20.100000000000001" customHeight="1">
      <c r="C2252" s="102">
        <v>77002005</v>
      </c>
      <c r="D2252" s="101" t="s">
        <v>5206</v>
      </c>
      <c r="E2252" s="296" t="s">
        <v>5207</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6" t="s">
        <v>198</v>
      </c>
      <c r="AV2252" s="116"/>
      <c r="AW2252" s="101" t="s">
        <v>198</v>
      </c>
      <c r="AX2252" s="103" t="s">
        <v>215</v>
      </c>
      <c r="AY2252" s="102">
        <v>0</v>
      </c>
      <c r="AZ2252" s="102">
        <v>0</v>
      </c>
      <c r="BA2252" s="101" t="s">
        <v>216</v>
      </c>
      <c r="BB2252" s="103">
        <v>0</v>
      </c>
      <c r="BC2252" s="107">
        <v>0</v>
      </c>
      <c r="BD2252" s="107">
        <v>0</v>
      </c>
      <c r="BE2252" s="121" t="s">
        <v>5208</v>
      </c>
      <c r="BF2252" s="121" t="s">
        <v>5209</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spans="3:75" ht="19.5" customHeight="1">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6" t="s">
        <v>5210</v>
      </c>
      <c r="AV2253" s="116"/>
      <c r="AW2253" s="101" t="s">
        <v>198</v>
      </c>
      <c r="AX2253" s="103" t="s">
        <v>534</v>
      </c>
      <c r="AY2253" s="102">
        <v>10000007</v>
      </c>
      <c r="AZ2253" s="344" t="s">
        <v>5211</v>
      </c>
      <c r="BA2253" s="101" t="s">
        <v>586</v>
      </c>
      <c r="BB2253" s="103" t="s">
        <v>1318</v>
      </c>
      <c r="BC2253" s="107">
        <v>0</v>
      </c>
      <c r="BD2253" s="107">
        <v>1</v>
      </c>
      <c r="BE2253" s="121" t="s">
        <v>5212</v>
      </c>
      <c r="BF2253" s="121" t="s">
        <v>5213</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77002007</v>
      </c>
      <c r="D2254" s="101" t="s">
        <v>5214</v>
      </c>
      <c r="E2254" s="101" t="s">
        <v>5215</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6" t="s">
        <v>5216</v>
      </c>
      <c r="AV2254" s="116"/>
      <c r="AW2254" s="104" t="s">
        <v>198</v>
      </c>
      <c r="AX2254" s="103" t="s">
        <v>534</v>
      </c>
      <c r="AY2254" s="102">
        <v>0</v>
      </c>
      <c r="AZ2254" s="344" t="s">
        <v>5217</v>
      </c>
      <c r="BA2254" s="101" t="s">
        <v>200</v>
      </c>
      <c r="BB2254" s="103">
        <v>0</v>
      </c>
      <c r="BC2254" s="107">
        <v>0</v>
      </c>
      <c r="BD2254" s="107">
        <v>0</v>
      </c>
      <c r="BE2254" s="121" t="s">
        <v>5218</v>
      </c>
      <c r="BF2254" s="121" t="s">
        <v>5219</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spans="3:75" ht="20.100000000000001" customHeight="1">
      <c r="C2255" s="102">
        <v>77002008</v>
      </c>
      <c r="D2255" s="101" t="s">
        <v>5220</v>
      </c>
      <c r="E2255" s="296" t="s">
        <v>5221</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2" t="s">
        <v>5222</v>
      </c>
      <c r="AU2255" s="346" t="s">
        <v>5202</v>
      </c>
      <c r="AV2255" s="116"/>
      <c r="AW2255" s="101" t="s">
        <v>256</v>
      </c>
      <c r="AX2255" s="103" t="s">
        <v>215</v>
      </c>
      <c r="AY2255" s="102">
        <v>10000011</v>
      </c>
      <c r="AZ2255" s="344" t="s">
        <v>5223</v>
      </c>
      <c r="BA2255" s="104" t="s">
        <v>200</v>
      </c>
      <c r="BB2255" s="103">
        <v>0</v>
      </c>
      <c r="BC2255" s="107">
        <v>0</v>
      </c>
      <c r="BD2255" s="107">
        <v>0</v>
      </c>
      <c r="BE2255" s="121" t="s">
        <v>5224</v>
      </c>
      <c r="BF2255" s="121" t="s">
        <v>5225</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spans="3:75" ht="19.5" customHeight="1">
      <c r="C2256" s="102">
        <v>77002009</v>
      </c>
      <c r="D2256" s="101" t="s">
        <v>5226</v>
      </c>
      <c r="E2256" s="101" t="s">
        <v>5227</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6" t="s">
        <v>5216</v>
      </c>
      <c r="AV2256" s="116"/>
      <c r="AW2256" s="104" t="s">
        <v>199</v>
      </c>
      <c r="AX2256" s="103" t="s">
        <v>534</v>
      </c>
      <c r="AY2256" s="102">
        <v>0</v>
      </c>
      <c r="AZ2256" s="344" t="s">
        <v>5228</v>
      </c>
      <c r="BA2256" s="101" t="s">
        <v>200</v>
      </c>
      <c r="BB2256" s="103" t="s">
        <v>5229</v>
      </c>
      <c r="BC2256" s="107">
        <v>0</v>
      </c>
      <c r="BD2256" s="107">
        <v>0</v>
      </c>
      <c r="BE2256" s="121" t="s">
        <v>4984</v>
      </c>
      <c r="BF2256" s="121" t="s">
        <v>4985</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spans="1:75" ht="20.100000000000001" customHeight="1">
      <c r="C2257" s="102">
        <v>77002010</v>
      </c>
      <c r="D2257" s="101" t="s">
        <v>5230</v>
      </c>
      <c r="E2257" s="101" t="s">
        <v>5231</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6" t="s">
        <v>5232</v>
      </c>
      <c r="AV2257" s="116"/>
      <c r="AW2257" s="104" t="s">
        <v>256</v>
      </c>
      <c r="AX2257" s="103" t="s">
        <v>534</v>
      </c>
      <c r="AY2257" s="102">
        <v>10000007</v>
      </c>
      <c r="AZ2257" s="344" t="s">
        <v>5233</v>
      </c>
      <c r="BA2257" s="101" t="s">
        <v>200</v>
      </c>
      <c r="BB2257" s="103" t="s">
        <v>5234</v>
      </c>
      <c r="BC2257" s="107">
        <v>0</v>
      </c>
      <c r="BD2257" s="107">
        <v>0</v>
      </c>
      <c r="BE2257" s="121" t="s">
        <v>5235</v>
      </c>
      <c r="BF2257" s="121" t="s">
        <v>5236</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spans="1:75" ht="19.5" customHeight="1">
      <c r="C2258" s="102">
        <v>77002011</v>
      </c>
      <c r="D2258" s="101" t="s">
        <v>5237</v>
      </c>
      <c r="E2258" s="101" t="s">
        <v>5238</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5239</v>
      </c>
      <c r="BF2258" s="121" t="s">
        <v>5240</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spans="1:75" ht="19.5" customHeight="1">
      <c r="C2259" s="102">
        <v>77002012</v>
      </c>
      <c r="D2259" s="104" t="s">
        <v>5241</v>
      </c>
      <c r="E2259" s="104" t="s">
        <v>5242</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4" t="s">
        <v>5243</v>
      </c>
      <c r="AV2259" s="102"/>
      <c r="AW2259" s="101" t="s">
        <v>287</v>
      </c>
      <c r="AX2259" s="102" t="s">
        <v>545</v>
      </c>
      <c r="AY2259" s="102">
        <v>10001005</v>
      </c>
      <c r="AZ2259" s="344" t="s">
        <v>5244</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77002013</v>
      </c>
      <c r="D2260" s="101" t="s">
        <v>5245</v>
      </c>
      <c r="E2260" s="101" t="s">
        <v>5246</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2" t="s">
        <v>5247</v>
      </c>
      <c r="AU2260" s="116">
        <v>0</v>
      </c>
      <c r="AV2260" s="116"/>
      <c r="AW2260" s="104" t="s">
        <v>256</v>
      </c>
      <c r="AX2260" s="103" t="s">
        <v>534</v>
      </c>
      <c r="AY2260" s="102">
        <v>0</v>
      </c>
      <c r="AZ2260" s="102">
        <v>0</v>
      </c>
      <c r="BA2260" s="101" t="s">
        <v>200</v>
      </c>
      <c r="BB2260" s="103">
        <v>0</v>
      </c>
      <c r="BC2260" s="107">
        <v>0</v>
      </c>
      <c r="BD2260" s="107">
        <v>0</v>
      </c>
      <c r="BE2260" s="121" t="s">
        <v>5248</v>
      </c>
      <c r="BF2260" s="121" t="s">
        <v>5249</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spans="1:75" ht="19.5" customHeight="1">
      <c r="C2261" s="102">
        <v>77002014</v>
      </c>
      <c r="D2261" s="101" t="s">
        <v>5250</v>
      </c>
      <c r="E2261" s="101" t="s">
        <v>5251</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6" t="s">
        <v>5252</v>
      </c>
      <c r="AV2261" s="116"/>
      <c r="AW2261" s="101" t="s">
        <v>287</v>
      </c>
      <c r="AX2261" s="103" t="s">
        <v>534</v>
      </c>
      <c r="AY2261" s="102">
        <v>10000007</v>
      </c>
      <c r="AZ2261" s="102">
        <v>77002008</v>
      </c>
      <c r="BA2261" s="101" t="s">
        <v>586</v>
      </c>
      <c r="BB2261" s="103" t="s">
        <v>2323</v>
      </c>
      <c r="BC2261" s="107">
        <v>0</v>
      </c>
      <c r="BD2261" s="107">
        <v>1</v>
      </c>
      <c r="BE2261" s="121" t="s">
        <v>5253</v>
      </c>
      <c r="BF2261" s="121" t="s">
        <v>5254</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77002015</v>
      </c>
      <c r="D2262" s="101" t="s">
        <v>5184</v>
      </c>
      <c r="E2262" s="101" t="s">
        <v>5185</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5255</v>
      </c>
      <c r="BF2262" s="139" t="s">
        <v>5256</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spans="1:75" ht="19.5" customHeight="1">
      <c r="C2263" s="102">
        <v>77002016</v>
      </c>
      <c r="D2263" s="101" t="s">
        <v>5257</v>
      </c>
      <c r="E2263" s="101" t="s">
        <v>5258</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6" t="s">
        <v>5259</v>
      </c>
      <c r="AV2263" s="116"/>
      <c r="AW2263" s="101" t="s">
        <v>287</v>
      </c>
      <c r="AX2263" s="103" t="s">
        <v>534</v>
      </c>
      <c r="AY2263" s="102">
        <v>10000007</v>
      </c>
      <c r="AZ2263" s="102">
        <v>77002008</v>
      </c>
      <c r="BA2263" s="101" t="s">
        <v>586</v>
      </c>
      <c r="BB2263" s="103" t="s">
        <v>2323</v>
      </c>
      <c r="BC2263" s="107">
        <v>0</v>
      </c>
      <c r="BD2263" s="107">
        <v>1</v>
      </c>
      <c r="BE2263" s="121" t="s">
        <v>5260</v>
      </c>
      <c r="BF2263" s="121" t="s">
        <v>5261</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77002017</v>
      </c>
      <c r="D2264" s="101" t="s">
        <v>5184</v>
      </c>
      <c r="E2264" s="101" t="s">
        <v>5185</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5255</v>
      </c>
      <c r="BF2264" s="139" t="s">
        <v>5256</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20.100000000000001" customHeight="1">
      <c r="A2265" s="140"/>
      <c r="B2265" s="140"/>
      <c r="C2265" s="102">
        <v>77002018</v>
      </c>
      <c r="D2265" s="101" t="s">
        <v>5262</v>
      </c>
      <c r="E2265" s="296" t="s">
        <v>5263</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6" t="s">
        <v>5202</v>
      </c>
      <c r="AV2265" s="116"/>
      <c r="AW2265" s="101" t="s">
        <v>256</v>
      </c>
      <c r="AX2265" s="103" t="s">
        <v>215</v>
      </c>
      <c r="AY2265" s="102">
        <v>10000011</v>
      </c>
      <c r="AZ2265" s="344" t="s">
        <v>5217</v>
      </c>
      <c r="BA2265" s="104" t="s">
        <v>200</v>
      </c>
      <c r="BB2265" s="103">
        <v>0</v>
      </c>
      <c r="BC2265" s="107">
        <v>0</v>
      </c>
      <c r="BD2265" s="107">
        <v>0</v>
      </c>
      <c r="BE2265" s="121" t="s">
        <v>5264</v>
      </c>
      <c r="BF2265" s="121" t="s">
        <v>5265</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spans="1:75" ht="19.5" customHeight="1">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5" t="s">
        <v>5266</v>
      </c>
      <c r="AU2266" s="346" t="s">
        <v>5243</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spans="1:75" ht="19.5" customHeight="1">
      <c r="A2267" s="140"/>
      <c r="B2267" s="140"/>
      <c r="C2267" s="102">
        <v>77002020</v>
      </c>
      <c r="D2267" s="101" t="s">
        <v>5184</v>
      </c>
      <c r="E2267" s="101" t="s">
        <v>5185</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6" t="s">
        <v>5202</v>
      </c>
      <c r="AV2267" s="116"/>
      <c r="AW2267" s="101" t="s">
        <v>198</v>
      </c>
      <c r="AX2267" s="103" t="s">
        <v>534</v>
      </c>
      <c r="AY2267" s="102">
        <v>10000001</v>
      </c>
      <c r="AZ2267" s="102">
        <v>77002009</v>
      </c>
      <c r="BA2267" s="101" t="s">
        <v>771</v>
      </c>
      <c r="BB2267" s="103">
        <v>0</v>
      </c>
      <c r="BC2267" s="107">
        <v>0</v>
      </c>
      <c r="BD2267" s="107">
        <v>0</v>
      </c>
      <c r="BE2267" s="139" t="s">
        <v>5186</v>
      </c>
      <c r="BF2267" s="139" t="s">
        <v>5187</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spans="1:75" ht="19.5" customHeight="1">
      <c r="A2268" s="140"/>
      <c r="B2268" s="140"/>
      <c r="C2268" s="102">
        <v>77002021</v>
      </c>
      <c r="D2268" s="101" t="s">
        <v>5267</v>
      </c>
      <c r="E2268" s="101" t="s">
        <v>5268</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6" t="s">
        <v>5269</v>
      </c>
      <c r="AV2268" s="116"/>
      <c r="AW2268" s="101" t="s">
        <v>256</v>
      </c>
      <c r="AX2268" s="103" t="s">
        <v>534</v>
      </c>
      <c r="AY2268" s="102">
        <v>10000007</v>
      </c>
      <c r="AZ2268" s="102">
        <v>77002008</v>
      </c>
      <c r="BA2268" s="101" t="s">
        <v>586</v>
      </c>
      <c r="BB2268" s="103" t="s">
        <v>5270</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spans="1:75" ht="19.5" customHeight="1">
      <c r="A2269" s="140"/>
      <c r="B2269" s="140"/>
      <c r="C2269" s="102">
        <v>77002022</v>
      </c>
      <c r="D2269" s="101" t="s">
        <v>5184</v>
      </c>
      <c r="E2269" s="101" t="s">
        <v>5185</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6" t="s">
        <v>5243</v>
      </c>
      <c r="AV2269" s="116"/>
      <c r="AW2269" s="101" t="s">
        <v>198</v>
      </c>
      <c r="AX2269" s="103" t="s">
        <v>534</v>
      </c>
      <c r="AY2269" s="102">
        <v>10000001</v>
      </c>
      <c r="AZ2269" s="102">
        <v>77002009</v>
      </c>
      <c r="BA2269" s="101" t="s">
        <v>771</v>
      </c>
      <c r="BB2269" s="103">
        <v>0</v>
      </c>
      <c r="BC2269" s="107">
        <v>0</v>
      </c>
      <c r="BD2269" s="107">
        <v>0</v>
      </c>
      <c r="BE2269" s="139" t="s">
        <v>5186</v>
      </c>
      <c r="BF2269" s="139" t="s">
        <v>5187</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spans="1:75" ht="19.5" customHeight="1">
      <c r="A2270" s="140"/>
      <c r="B2270" s="140"/>
      <c r="C2270" s="66">
        <v>77005001</v>
      </c>
      <c r="D2270" s="61" t="s">
        <v>5271</v>
      </c>
      <c r="E2270" s="61" t="s">
        <v>5272</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2" t="s">
        <v>5273</v>
      </c>
      <c r="AV2270" s="62"/>
      <c r="AW2270" s="61" t="s">
        <v>198</v>
      </c>
      <c r="AX2270" s="62" t="s">
        <v>534</v>
      </c>
      <c r="AY2270" s="66">
        <v>10000001</v>
      </c>
      <c r="AZ2270" s="66">
        <v>77005001</v>
      </c>
      <c r="BA2270" s="61" t="s">
        <v>200</v>
      </c>
      <c r="BB2270" s="62">
        <v>0</v>
      </c>
      <c r="BC2270" s="70">
        <v>0</v>
      </c>
      <c r="BD2270" s="70">
        <v>0</v>
      </c>
      <c r="BE2270" s="123" t="s">
        <v>5274</v>
      </c>
      <c r="BF2270" s="123" t="s">
        <v>5275</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spans="1:75" ht="19.5" customHeight="1">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1" t="s">
        <v>5276</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1" t="s">
        <v>5277</v>
      </c>
      <c r="BV2271" s="49"/>
      <c r="BW2271" s="49"/>
    </row>
    <row r="2272" spans="1:75" ht="19.5" customHeight="1">
      <c r="A2272" s="140"/>
      <c r="B2272" s="140"/>
      <c r="C2272" s="66">
        <v>77005003</v>
      </c>
      <c r="D2272" s="61" t="s">
        <v>5278</v>
      </c>
      <c r="E2272" s="149" t="s">
        <v>5279</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2" t="s">
        <v>5280</v>
      </c>
      <c r="BC2272" s="68">
        <v>0</v>
      </c>
      <c r="BD2272" s="68">
        <v>0</v>
      </c>
      <c r="BE2272" s="92" t="s">
        <v>5281</v>
      </c>
      <c r="BF2272" s="92" t="s">
        <v>5282</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spans="1:75" ht="20.100000000000001" customHeight="1">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1" t="s">
        <v>5276</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pans="1:75" s="1" customFormat="1" ht="20.100000000000001" customHeight="1">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spans="1:75" ht="20.100000000000001" customHeight="1">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1" t="s">
        <v>5276</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pans="1:75" s="1" customFormat="1" ht="20.100000000000001" customHeight="1">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spans="1:75" ht="20.100000000000001" customHeight="1">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1" t="s">
        <v>5276</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pans="1:75" s="1" customFormat="1" ht="20.100000000000001" customHeight="1">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spans="1:75" ht="20.100000000000001" customHeight="1">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1" t="s">
        <v>5276</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spans="1:75" ht="19.5" customHeight="1">
      <c r="A2280" s="140"/>
      <c r="B2280" s="140"/>
      <c r="C2280" s="102">
        <v>77006001</v>
      </c>
      <c r="D2280" s="101" t="s">
        <v>5283</v>
      </c>
      <c r="E2280" s="101" t="s">
        <v>5284</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7" t="s">
        <v>5273</v>
      </c>
      <c r="AV2280" s="103"/>
      <c r="AW2280" s="101" t="s">
        <v>198</v>
      </c>
      <c r="AX2280" s="103" t="s">
        <v>534</v>
      </c>
      <c r="AY2280" s="102">
        <v>10000001</v>
      </c>
      <c r="AZ2280" s="102">
        <v>77005003</v>
      </c>
      <c r="BA2280" s="101" t="s">
        <v>2201</v>
      </c>
      <c r="BB2280" s="103" t="s">
        <v>5285</v>
      </c>
      <c r="BC2280" s="108">
        <v>0</v>
      </c>
      <c r="BD2280" s="108">
        <v>0</v>
      </c>
      <c r="BE2280" s="139" t="s">
        <v>5286</v>
      </c>
      <c r="BF2280" s="139" t="s">
        <v>5287</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spans="1:75" ht="20.100000000000001" customHeight="1">
      <c r="A2281" s="140"/>
      <c r="B2281" s="140"/>
      <c r="C2281" s="102">
        <v>77006002</v>
      </c>
      <c r="D2281" s="101" t="s">
        <v>5288</v>
      </c>
      <c r="E2281" s="296" t="s">
        <v>5289</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5290</v>
      </c>
      <c r="BF2281" s="121" t="s">
        <v>5291</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1" t="s">
        <v>5292</v>
      </c>
      <c r="BV2281" s="49"/>
      <c r="BW2281" s="49"/>
    </row>
    <row r="2282" spans="1:75" ht="20.100000000000001" customHeight="1">
      <c r="A2282" s="140"/>
      <c r="B2282" s="140"/>
      <c r="C2282" s="102">
        <v>77006003</v>
      </c>
      <c r="D2282" s="101" t="s">
        <v>5293</v>
      </c>
      <c r="E2282" s="296" t="s">
        <v>5294</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7" t="s">
        <v>5273</v>
      </c>
      <c r="AV2282" s="103"/>
      <c r="AW2282" s="101" t="s">
        <v>198</v>
      </c>
      <c r="AX2282" s="103" t="s">
        <v>545</v>
      </c>
      <c r="AY2282" s="102">
        <v>0</v>
      </c>
      <c r="AZ2282" s="102">
        <v>77005005</v>
      </c>
      <c r="BA2282" s="101" t="s">
        <v>2217</v>
      </c>
      <c r="BB2282" s="103" t="s">
        <v>5295</v>
      </c>
      <c r="BC2282" s="107">
        <v>0</v>
      </c>
      <c r="BD2282" s="107">
        <v>0</v>
      </c>
      <c r="BE2282" s="121" t="s">
        <v>5296</v>
      </c>
      <c r="BF2282" s="121" t="s">
        <v>5297</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spans="1:75" ht="19.5" customHeight="1">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spans="1:75" ht="19.5" customHeight="1">
      <c r="A2284" s="140"/>
      <c r="B2284" s="140"/>
      <c r="C2284" s="318">
        <v>77007001</v>
      </c>
      <c r="D2284" s="319" t="s">
        <v>5298</v>
      </c>
      <c r="E2284" s="319" t="s">
        <v>5299</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2" t="s">
        <v>5300</v>
      </c>
      <c r="AV2284" s="320"/>
      <c r="AW2284" s="319" t="s">
        <v>198</v>
      </c>
      <c r="AX2284" s="320" t="s">
        <v>534</v>
      </c>
      <c r="AY2284" s="318">
        <v>10000001</v>
      </c>
      <c r="AZ2284" s="318">
        <v>77005101</v>
      </c>
      <c r="BA2284" s="319" t="s">
        <v>1371</v>
      </c>
      <c r="BB2284" s="320">
        <v>0</v>
      </c>
      <c r="BC2284" s="49">
        <v>0</v>
      </c>
      <c r="BD2284" s="49">
        <v>0</v>
      </c>
      <c r="BE2284" s="335" t="s">
        <v>5301</v>
      </c>
      <c r="BF2284" s="335" t="s">
        <v>5302</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spans="1:75" ht="19.5" customHeight="1">
      <c r="A2285" s="140"/>
      <c r="B2285" s="140"/>
      <c r="C2285" s="318">
        <v>77007002</v>
      </c>
      <c r="D2285" s="319" t="s">
        <v>5303</v>
      </c>
      <c r="E2285" s="319" t="s">
        <v>5304</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3" t="s">
        <v>5305</v>
      </c>
      <c r="AV2285" s="331"/>
      <c r="AW2285" s="319" t="s">
        <v>198</v>
      </c>
      <c r="AX2285" s="320" t="s">
        <v>534</v>
      </c>
      <c r="AY2285" s="318">
        <v>10000001</v>
      </c>
      <c r="AZ2285" s="318">
        <v>77005102</v>
      </c>
      <c r="BA2285" s="319" t="s">
        <v>200</v>
      </c>
      <c r="BB2285" s="320">
        <v>0</v>
      </c>
      <c r="BC2285" s="49">
        <v>0</v>
      </c>
      <c r="BD2285" s="49">
        <v>0</v>
      </c>
      <c r="BE2285" s="335" t="s">
        <v>5306</v>
      </c>
      <c r="BF2285" s="335" t="s">
        <v>5307</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spans="1:75" ht="20.100000000000001" customHeight="1">
      <c r="A2286" s="140"/>
      <c r="B2286" s="140"/>
      <c r="C2286" s="318">
        <v>77007003</v>
      </c>
      <c r="D2286" s="319" t="s">
        <v>5308</v>
      </c>
      <c r="E2286" s="321" t="s">
        <v>5309</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1" t="s">
        <v>5310</v>
      </c>
      <c r="AU2286" s="320">
        <v>0</v>
      </c>
      <c r="AV2286" s="320"/>
      <c r="AW2286" s="319" t="s">
        <v>198</v>
      </c>
      <c r="AX2286" s="320" t="s">
        <v>545</v>
      </c>
      <c r="AY2286" s="318">
        <v>0</v>
      </c>
      <c r="AZ2286" s="318">
        <v>77005103</v>
      </c>
      <c r="BA2286" s="319" t="s">
        <v>1174</v>
      </c>
      <c r="BB2286" s="382" t="s">
        <v>5311</v>
      </c>
      <c r="BC2286" s="327">
        <v>0</v>
      </c>
      <c r="BD2286" s="327">
        <v>0</v>
      </c>
      <c r="BE2286" s="336" t="s">
        <v>2260</v>
      </c>
      <c r="BF2286" s="336"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spans="1:75" ht="20.100000000000001" customHeight="1">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1" t="s">
        <v>5312</v>
      </c>
      <c r="AU2287" s="320" t="s">
        <v>198</v>
      </c>
      <c r="AV2287" s="320"/>
      <c r="AW2287" s="319" t="s">
        <v>198</v>
      </c>
      <c r="AX2287" s="320" t="s">
        <v>545</v>
      </c>
      <c r="AY2287" s="318">
        <v>0</v>
      </c>
      <c r="AZ2287" s="318">
        <v>77005104</v>
      </c>
      <c r="BA2287" s="319" t="s">
        <v>1165</v>
      </c>
      <c r="BB2287" s="320">
        <v>0</v>
      </c>
      <c r="BC2287" s="327">
        <v>0</v>
      </c>
      <c r="BD2287" s="327">
        <v>0</v>
      </c>
      <c r="BE2287" s="336" t="s">
        <v>5313</v>
      </c>
      <c r="BF2287" s="336" t="s">
        <v>5314</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spans="1:75" ht="19.5" customHeight="1">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3" t="s">
        <v>5273</v>
      </c>
      <c r="AV2288" s="331"/>
      <c r="AW2288" s="319" t="s">
        <v>199</v>
      </c>
      <c r="AX2288" s="320" t="s">
        <v>215</v>
      </c>
      <c r="AY2288" s="318">
        <v>0</v>
      </c>
      <c r="AZ2288" s="318">
        <v>0</v>
      </c>
      <c r="BA2288" s="333" t="s">
        <v>216</v>
      </c>
      <c r="BB2288" s="320">
        <v>0</v>
      </c>
      <c r="BC2288" s="327">
        <v>0</v>
      </c>
      <c r="BD2288" s="327">
        <v>0</v>
      </c>
      <c r="BE2288" s="336" t="s">
        <v>2271</v>
      </c>
      <c r="BF2288" s="336"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spans="1:75" ht="19.5" customHeight="1">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6" t="s">
        <v>2226</v>
      </c>
      <c r="BF2289" s="336"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pans="1:75" s="5" customFormat="1" ht="20.100000000000001" customHeight="1">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4" t="s">
        <v>5315</v>
      </c>
      <c r="AV2290" s="332"/>
      <c r="AW2290" s="323" t="s">
        <v>199</v>
      </c>
      <c r="AX2290" s="326" t="s">
        <v>215</v>
      </c>
      <c r="AY2290" s="329">
        <v>10000011</v>
      </c>
      <c r="AZ2290" s="329">
        <v>77005105</v>
      </c>
      <c r="BA2290" s="323" t="s">
        <v>216</v>
      </c>
      <c r="BB2290" s="326">
        <v>0</v>
      </c>
      <c r="BC2290" s="328">
        <v>0</v>
      </c>
      <c r="BD2290" s="328">
        <v>0</v>
      </c>
      <c r="BE2290" s="337" t="s">
        <v>2192</v>
      </c>
      <c r="BF2290" s="337"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spans="1:75" ht="19.5" customHeight="1">
      <c r="A2291" s="140"/>
      <c r="B2291" s="140"/>
      <c r="C2291" s="66">
        <v>77008001</v>
      </c>
      <c r="D2291" s="61" t="s">
        <v>5316</v>
      </c>
      <c r="E2291" s="61" t="s">
        <v>5317</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2" t="s">
        <v>5318</v>
      </c>
      <c r="AV2291" s="62"/>
      <c r="AW2291" s="61" t="s">
        <v>198</v>
      </c>
      <c r="AX2291" s="62" t="s">
        <v>534</v>
      </c>
      <c r="AY2291" s="66">
        <v>10000001</v>
      </c>
      <c r="AZ2291" s="66">
        <v>77005201</v>
      </c>
      <c r="BA2291" s="61" t="s">
        <v>586</v>
      </c>
      <c r="BB2291" s="62">
        <v>0</v>
      </c>
      <c r="BC2291" s="70">
        <v>0</v>
      </c>
      <c r="BD2291" s="70">
        <v>0</v>
      </c>
      <c r="BE2291" s="123" t="s">
        <v>5319</v>
      </c>
      <c r="BF2291" s="123" t="s">
        <v>5320</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spans="1:75" ht="20.100000000000001" customHeight="1">
      <c r="A2292" s="140"/>
      <c r="B2292" s="140"/>
      <c r="C2292" s="66">
        <v>77008002</v>
      </c>
      <c r="D2292" s="61" t="s">
        <v>5321</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1" t="s">
        <v>5273</v>
      </c>
      <c r="AV2292" s="81"/>
      <c r="AW2292" s="65" t="s">
        <v>198</v>
      </c>
      <c r="AX2292" s="62" t="s">
        <v>545</v>
      </c>
      <c r="AY2292" s="66">
        <v>10000001</v>
      </c>
      <c r="AZ2292" s="66">
        <v>77005203</v>
      </c>
      <c r="BA2292" s="61" t="s">
        <v>315</v>
      </c>
      <c r="BB2292" s="62">
        <v>1</v>
      </c>
      <c r="BC2292" s="68">
        <v>0</v>
      </c>
      <c r="BD2292" s="68">
        <v>0</v>
      </c>
      <c r="BE2292" s="92" t="s">
        <v>5322</v>
      </c>
      <c r="BF2292" s="92" t="s">
        <v>5323</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spans="1:75" ht="20.100000000000001" customHeight="1">
      <c r="A2293" s="140"/>
      <c r="B2293" s="140"/>
      <c r="C2293" s="66">
        <v>77008003</v>
      </c>
      <c r="D2293" s="61" t="s">
        <v>5324</v>
      </c>
      <c r="E2293" s="149" t="s">
        <v>5325</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5326</v>
      </c>
      <c r="BF2293" s="92" t="s">
        <v>5327</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49" t="s">
        <v>5328</v>
      </c>
      <c r="BV2293" s="49"/>
      <c r="BW2293" s="49"/>
    </row>
    <row r="2294" spans="1:75" ht="20.100000000000001" customHeight="1">
      <c r="A2294" s="140"/>
      <c r="B2294" s="140"/>
      <c r="C2294" s="66">
        <v>77008004</v>
      </c>
      <c r="D2294" s="61" t="s">
        <v>5329</v>
      </c>
      <c r="E2294" s="149" t="s">
        <v>5330</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2" t="s">
        <v>198</v>
      </c>
      <c r="AV2294" s="62"/>
      <c r="AW2294" s="61" t="s">
        <v>198</v>
      </c>
      <c r="AX2294" s="62" t="s">
        <v>545</v>
      </c>
      <c r="AY2294" s="66">
        <v>0</v>
      </c>
      <c r="AZ2294" s="66">
        <v>77005204</v>
      </c>
      <c r="BA2294" s="61" t="s">
        <v>200</v>
      </c>
      <c r="BB2294" s="62">
        <v>0</v>
      </c>
      <c r="BC2294" s="68">
        <v>0</v>
      </c>
      <c r="BD2294" s="68">
        <v>0</v>
      </c>
      <c r="BE2294" s="92" t="s">
        <v>5331</v>
      </c>
      <c r="BF2294" s="92" t="s">
        <v>5332</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spans="1:75" ht="19.5" customHeight="1">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1" t="s">
        <v>5273</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19.5" customHeight="1">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1" t="s">
        <v>5273</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s="1" customFormat="1" ht="19.5" customHeight="1">
      <c r="A2297" s="216"/>
      <c r="B2297" s="216"/>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1" t="s">
        <v>5333</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spans="1:75" ht="19.5" customHeight="1">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5334</v>
      </c>
      <c r="BC2298" s="108">
        <v>0</v>
      </c>
      <c r="BD2298" s="108">
        <v>0</v>
      </c>
      <c r="BE2298" s="139" t="s">
        <v>5335</v>
      </c>
      <c r="BF2298" s="139" t="s">
        <v>5336</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spans="1:75" ht="20.100000000000001" customHeight="1">
      <c r="A2299" s="140"/>
      <c r="B2299" s="140"/>
      <c r="C2299" s="102">
        <v>77009002</v>
      </c>
      <c r="D2299" s="101" t="s">
        <v>5337</v>
      </c>
      <c r="E2299" s="296" t="s">
        <v>5338</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6" t="s">
        <v>5339</v>
      </c>
      <c r="AV2299" s="116"/>
      <c r="AW2299" s="104" t="s">
        <v>198</v>
      </c>
      <c r="AX2299" s="103" t="s">
        <v>545</v>
      </c>
      <c r="AY2299" s="102">
        <v>10000001</v>
      </c>
      <c r="AZ2299" s="102">
        <v>77005302</v>
      </c>
      <c r="BA2299" s="101" t="s">
        <v>200</v>
      </c>
      <c r="BB2299" s="103" t="s">
        <v>5340</v>
      </c>
      <c r="BC2299" s="107">
        <v>0</v>
      </c>
      <c r="BD2299" s="107">
        <v>0</v>
      </c>
      <c r="BE2299" s="121" t="s">
        <v>5341</v>
      </c>
      <c r="BF2299" s="121" t="s">
        <v>5342</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spans="1:75" ht="20.100000000000001" customHeight="1">
      <c r="A2300" s="140"/>
      <c r="B2300" s="140"/>
      <c r="C2300" s="102">
        <v>77009003</v>
      </c>
      <c r="D2300" s="101" t="s">
        <v>2340</v>
      </c>
      <c r="E2300" s="296"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5343</v>
      </c>
      <c r="BB2300" s="103">
        <v>90005004</v>
      </c>
      <c r="BC2300" s="107">
        <v>0</v>
      </c>
      <c r="BD2300" s="107">
        <v>0</v>
      </c>
      <c r="BE2300" s="121" t="s">
        <v>5344</v>
      </c>
      <c r="BF2300" s="121" t="s">
        <v>5345</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spans="1:75" ht="20.100000000000001" customHeight="1">
      <c r="A2301" s="140"/>
      <c r="B2301" s="140"/>
      <c r="C2301" s="102">
        <v>77009004</v>
      </c>
      <c r="D2301" s="101" t="s">
        <v>2347</v>
      </c>
      <c r="E2301" s="296"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7" t="s">
        <v>5346</v>
      </c>
      <c r="BC2301" s="107">
        <v>0</v>
      </c>
      <c r="BD2301" s="107">
        <v>0</v>
      </c>
      <c r="BE2301" s="121" t="s">
        <v>5347</v>
      </c>
      <c r="BF2301" s="121" t="s">
        <v>5348</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spans="1:75" ht="20.100000000000001" customHeight="1">
      <c r="A2302" s="140"/>
      <c r="B2302" s="140"/>
      <c r="C2302" s="102">
        <v>77009005</v>
      </c>
      <c r="D2302" s="101" t="s">
        <v>600</v>
      </c>
      <c r="E2302" s="296"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7" t="s">
        <v>5349</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s="2" customFormat="1" ht="20.100000000000001" customHeight="1">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spans="1:75" ht="19.5" customHeight="1">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spans="1:75" ht="19.5" customHeight="1">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66">
        <v>77010001</v>
      </c>
      <c r="D2306" s="61" t="s">
        <v>2828</v>
      </c>
      <c r="E2306" s="149" t="s">
        <v>2829</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5350</v>
      </c>
      <c r="BF2306" s="92" t="s">
        <v>5351</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spans="1:75" ht="20.100000000000001" customHeight="1">
      <c r="C2307" s="66">
        <v>77010111</v>
      </c>
      <c r="D2307" s="61" t="s">
        <v>5352</v>
      </c>
      <c r="E2307" s="61" t="s">
        <v>5353</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5354</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sheetData>
  <autoFilter ref="BA1:BA2307" xr:uid="{00000000-0009-0000-0000-000000000000}"/>
  <phoneticPr fontId="50"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2025-08-07T11:40:50Z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2052-12.1.0.21541</vt:lpwstr>
  </property>
  <property fmtid="{D5CDD505-2E9C-101B-9397-08002B2CF9AE}" pid="4" name="ICV">
    <vt:lpwstr>FCFFDC0558BD49789FA1FADFEB6AAAE6_12</vt:lpwstr>
  </property>
</Properties>
</file>