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E327C2DD-79DD-4F3A-9B9F-5DFD67DE18D7}"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SkillProto!$BA$1:$BA$2403</definedName>
  </definedNames>
  <calcPr calcId="191029"/>
</workbook>
</file>

<file path=xl/calcChain.xml><?xml version="1.0" encoding="utf-8"?>
<calcChain xmlns="http://schemas.openxmlformats.org/spreadsheetml/2006/main">
  <c r="BE2401" i="1" l="1"/>
  <c r="BE2400" i="1"/>
  <c r="BE2258" i="1"/>
  <c r="BE2255" i="1"/>
  <c r="BE2249" i="1"/>
  <c r="BE2248" i="1"/>
  <c r="BE2247" i="1"/>
  <c r="H2247" i="1"/>
  <c r="J2230" i="1"/>
  <c r="BE2208" i="1"/>
  <c r="H1844" i="1"/>
  <c r="H1843" i="1"/>
  <c r="H1842" i="1"/>
  <c r="H1841" i="1"/>
  <c r="H1840" i="1"/>
  <c r="H1839" i="1"/>
  <c r="H1838" i="1"/>
  <c r="H1837" i="1"/>
  <c r="H1836" i="1"/>
  <c r="H1835" i="1"/>
  <c r="H1833" i="1"/>
  <c r="H1832" i="1"/>
  <c r="H1831" i="1"/>
  <c r="H1830" i="1"/>
  <c r="H1829" i="1"/>
  <c r="H1828" i="1"/>
  <c r="H1827" i="1"/>
  <c r="H1826" i="1"/>
  <c r="H1825" i="1"/>
  <c r="H1824" i="1"/>
  <c r="H1822" i="1"/>
  <c r="H1821" i="1"/>
  <c r="H1820" i="1"/>
  <c r="H1819" i="1"/>
  <c r="H1818" i="1"/>
  <c r="H1817" i="1"/>
  <c r="H1816" i="1"/>
  <c r="H1815" i="1"/>
  <c r="H1814" i="1"/>
  <c r="H1813" i="1"/>
  <c r="H1811" i="1"/>
  <c r="H1810" i="1"/>
  <c r="H1809" i="1"/>
  <c r="H1808" i="1"/>
  <c r="H1807" i="1"/>
  <c r="H1806" i="1"/>
  <c r="H1805" i="1"/>
  <c r="H1804" i="1"/>
  <c r="H1803" i="1"/>
  <c r="H1802" i="1"/>
  <c r="BE1790" i="1"/>
  <c r="BE1789" i="1"/>
  <c r="BE1788" i="1"/>
  <c r="BE1787" i="1"/>
  <c r="BE1786" i="1"/>
  <c r="BE1785" i="1"/>
  <c r="BE1784" i="1"/>
  <c r="BE1783" i="1"/>
  <c r="BE1782" i="1"/>
  <c r="BE1781" i="1"/>
  <c r="BE1780" i="1"/>
  <c r="BE1779" i="1"/>
  <c r="AL1556" i="1"/>
  <c r="BE1471" i="1"/>
  <c r="BE1470" i="1"/>
  <c r="BE1379" i="1"/>
  <c r="BE1378" i="1"/>
  <c r="BE1373"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1191" i="1"/>
  <c r="BE538" i="1" s="1"/>
  <c r="BE1190" i="1"/>
  <c r="BE1189" i="1"/>
  <c r="BE1188" i="1"/>
  <c r="BE1187" i="1"/>
  <c r="BE1186" i="1"/>
  <c r="BE1185" i="1"/>
  <c r="BE1184" i="1"/>
  <c r="BE1183" i="1"/>
  <c r="BE1182" i="1"/>
  <c r="BE1181" i="1"/>
  <c r="BE1180" i="1"/>
  <c r="BE1179" i="1"/>
  <c r="BE526" i="1" s="1"/>
  <c r="BE1178" i="1"/>
  <c r="BE1177" i="1"/>
  <c r="BE1176" i="1"/>
  <c r="BE1175" i="1"/>
  <c r="BE1174" i="1"/>
  <c r="BE1163" i="1"/>
  <c r="BE1162" i="1"/>
  <c r="BE1161" i="1"/>
  <c r="BE1160" i="1"/>
  <c r="BE1159" i="1"/>
  <c r="BE1158" i="1"/>
  <c r="BE1151" i="1"/>
  <c r="BE1150" i="1"/>
  <c r="BE1149" i="1"/>
  <c r="Z1148" i="1"/>
  <c r="BE1148" i="1" s="1"/>
  <c r="BE1147" i="1"/>
  <c r="Z1147" i="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H764" i="1"/>
  <c r="BE763" i="1"/>
  <c r="BE762" i="1"/>
  <c r="BE761" i="1"/>
  <c r="BE760" i="1"/>
  <c r="H760" i="1"/>
  <c r="BE759" i="1"/>
  <c r="H759" i="1"/>
  <c r="BE758" i="1"/>
  <c r="H758" i="1"/>
  <c r="BE757" i="1"/>
  <c r="BE756" i="1"/>
  <c r="BE755" i="1"/>
  <c r="BE476" i="1" s="1"/>
  <c r="BE754" i="1"/>
  <c r="H754" i="1"/>
  <c r="BE753" i="1"/>
  <c r="H753" i="1"/>
  <c r="BE752" i="1"/>
  <c r="H752" i="1"/>
  <c r="BE751" i="1"/>
  <c r="BE750" i="1"/>
  <c r="BE749" i="1"/>
  <c r="BE748" i="1"/>
  <c r="H748" i="1"/>
  <c r="BE747" i="1"/>
  <c r="BE468" i="1" s="1"/>
  <c r="H747" i="1"/>
  <c r="BE746" i="1"/>
  <c r="H746" i="1"/>
  <c r="BE745" i="1"/>
  <c r="BE744" i="1"/>
  <c r="BE743" i="1"/>
  <c r="BE742" i="1"/>
  <c r="H742" i="1"/>
  <c r="BE741" i="1"/>
  <c r="H741" i="1"/>
  <c r="BE740"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462" i="1" s="1"/>
  <c r="BE623" i="1"/>
  <c r="BE622" i="1"/>
  <c r="BE621" i="1"/>
  <c r="BE620" i="1"/>
  <c r="BE458" i="1" s="1"/>
  <c r="BE619" i="1"/>
  <c r="BE618" i="1"/>
  <c r="BE617" i="1"/>
  <c r="BE455" i="1" s="1"/>
  <c r="BE616" i="1"/>
  <c r="BE615" i="1"/>
  <c r="BE614" i="1"/>
  <c r="BE613" i="1"/>
  <c r="BE612" i="1"/>
  <c r="BE450" i="1" s="1"/>
  <c r="BE611" i="1"/>
  <c r="BE537" i="1"/>
  <c r="BE536" i="1"/>
  <c r="BE535" i="1"/>
  <c r="BE534" i="1"/>
  <c r="BE533" i="1"/>
  <c r="BE531" i="1"/>
  <c r="BE530" i="1"/>
  <c r="BE529" i="1"/>
  <c r="BE528" i="1"/>
  <c r="BE527" i="1"/>
  <c r="BE525" i="1"/>
  <c r="BE524" i="1"/>
  <c r="BE523" i="1"/>
  <c r="BE522" i="1"/>
  <c r="BE521" i="1"/>
  <c r="BE520" i="1"/>
  <c r="BE519" i="1"/>
  <c r="BE518" i="1"/>
  <c r="BE516" i="1"/>
  <c r="BE515" i="1"/>
  <c r="BE514" i="1"/>
  <c r="BE513" i="1"/>
  <c r="BE512" i="1"/>
  <c r="BE511" i="1"/>
  <c r="BE510" i="1"/>
  <c r="BE509" i="1"/>
  <c r="BE508" i="1"/>
  <c r="BE507"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79" i="1"/>
  <c r="BE478" i="1"/>
  <c r="BE477" i="1"/>
  <c r="BE475" i="1"/>
  <c r="BE474" i="1"/>
  <c r="BE473" i="1"/>
  <c r="BE472" i="1"/>
  <c r="BE471" i="1"/>
  <c r="BE470" i="1"/>
  <c r="BE469" i="1"/>
  <c r="BE467" i="1"/>
  <c r="BE466" i="1"/>
  <c r="BE465" i="1"/>
  <c r="BE464" i="1"/>
  <c r="BE463" i="1"/>
  <c r="BE461" i="1"/>
  <c r="BE460" i="1"/>
  <c r="BE459" i="1"/>
  <c r="BE457" i="1"/>
  <c r="BE456" i="1"/>
  <c r="BE454" i="1"/>
  <c r="BE453" i="1"/>
  <c r="BE452" i="1"/>
  <c r="BE451"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<sst xmlns="http://schemas.openxmlformats.org/spreadsheetml/2006/main" count="18780" uniqueCount="5777">
  <si>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</si>
  <si>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</si>
  <si>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</si>
  <si>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</si>
  <si>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</si>
  <si>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</si>
  <si>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</si>
  <si>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</si>
  <si>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</si>
  <si>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</si>
  <si>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</si>
  <si>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</si>
  <si>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</si>
  <si>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</si>
  <si>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</si>
  <si>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</si>
  <si>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</si>
  <si>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</si>
  <si>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</si>
  <si>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</si>
  <si>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</si>
  <si>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</si>
  <si>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</si>
  <si>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</si>
  <si>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</si>
  <si>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</si>
  <si>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</si>
  <si>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</si>
  <si>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</si>
  <si>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</si>
  <si>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</si>
  <si>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</si>
  <si>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</si>
  <si>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</si>
  <si>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</si>
  <si>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</si>
  <si>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</si>
  <si>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</si>
  <si>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</si>
  <si>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</si>
  <si>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</si>
  <si>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</si>
  <si>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</si>
  <si>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</si>
  <si>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</si>
  <si>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</si>
  <si>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</si>
  <si>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</si>
  <si>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</si>
  <si>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</si>
  <si>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</si>
  <si>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</si>
  <si>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</si>
  <si>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</si>
  <si>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</si>
  <si>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</si>
  <si>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</si>
  <si>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</si>
  <si>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</si>
  <si>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</si>
  <si>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</si>
  <si>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</si>
  <si>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</si>
  <si>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</si>
  <si>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</si>
  <si>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</si>
  <si>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</si>
  <si>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</si>
  <si>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</si>
  <si>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</si>
  <si>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</si>
  <si>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</si>
  <si>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</si>
  <si>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</si>
  <si>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</si>
  <si>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</si>
  <si>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</si>
  <si>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</si>
  <si>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</si>
  <si>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</si>
  <si>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</si>
  <si>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</si>
  <si>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</si>
  <si>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</si>
  <si>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</si>
  <si>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</si>
  <si>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</si>
  <si>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</si>
  <si>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</si>
  <si>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</si>
  <si>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</si>
  <si>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</si>
  <si>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</si>
  <si>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</si>
  <si>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</si>
  <si>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</si>
  <si>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</si>
  <si>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</si>
  <si>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</si>
  <si>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</si>
  <si>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</si>
  <si>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</si>
  <si>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</si>
  <si>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</si>
  <si>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</si>
  <si>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</si>
  <si>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</si>
  <si>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</si>
  <si>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</si>
  <si>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</si>
  <si>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</si>
  <si>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</si>
  <si>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</si>
  <si>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</si>
  <si>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</si>
  <si>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</si>
  <si>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</si>
  <si>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</si>
  <si>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</si>
  <si>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</si>
  <si>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</si>
  <si>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</si>
  <si>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</si>
  <si>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</si>
  <si>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</si>
  <si>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</si>
  <si>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</si>
  <si>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</si>
  <si>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</si>
  <si>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</si>
  <si>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</si>
  <si>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</si>
  <si>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</si>
  <si>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</si>
  <si>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</si>
  <si>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</si>
  <si>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</si>
  <si>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</si>
  <si>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</si>
  <si>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</si>
  <si>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</si>
  <si>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</si>
  <si>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</si>
  <si>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</si>
  <si>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</si>
  <si>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</si>
  <si>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</si>
  <si>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</si>
  <si>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</si>
  <si>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</si>
  <si>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</si>
  <si>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</si>
  <si>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</si>
  <si>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</si>
  <si>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</si>
  <si>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</si>
  <si>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</si>
  <si>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</si>
  <si>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</si>
  <si>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</si>
  <si>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</si>
  <si>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</si>
  <si>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</si>
  <si>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</si>
  <si>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</si>
  <si>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</si>
  <si>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</si>
  <si>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</si>
  <si>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</si>
  <si>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</si>
  <si>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</si>
  <si>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</si>
  <si>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</si>
  <si>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</si>
  <si>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</si>
  <si>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</si>
  <si>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</si>
  <si>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</si>
  <si>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</si>
  <si>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</si>
  <si>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</si>
  <si>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</si>
  <si>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</si>
  <si>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</si>
  <si>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</si>
  <si>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</si>
  <si>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</si>
  <si>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</si>
  <si>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</si>
  <si>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</si>
  <si>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</si>
  <si>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</si>
  <si>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</si>
  <si>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</si>
  <si>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</si>
  <si>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</si>
  <si>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</si>
  <si>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</si>
  <si>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</si>
  <si>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</si>
  <si>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</si>
  <si>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</si>
  <si>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</si>
  <si>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</si>
  <si>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</si>
  <si>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</si>
  <si>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</si>
  <si>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</si>
  <si>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</si>
  <si>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</si>
  <si>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</si>
  <si>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</si>
  <si>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</si>
  <si>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</si>
  <si>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</si>
  <si>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</si>
  <si>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</si>
  <si>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</si>
  <si>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</si>
  <si>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</si>
  <si>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</si>
  <si>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</si>
  <si>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</si>
  <si>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</si>
  <si>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</si>
  <si>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</si>
  <si>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</si>
  <si>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</si>
  <si>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</si>
  <si>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</si>
  <si>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</si>
  <si>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</si>
  <si>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</si>
  <si>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</si>
  <si>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</si>
  <si>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</si>
  <si>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</si>
  <si>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</si>
  <si>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</si>
  <si>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</si>
  <si>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</si>
  <si>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</si>
  <si>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</si>
  <si>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</si>
  <si>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</si>
  <si>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</si>
  <si>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</si>
  <si>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</si>
  <si>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</si>
  <si>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</si>
  <si>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</si>
  <si>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</si>
  <si>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</si>
  <si>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</si>
  <si>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</si>
  <si>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</si>
  <si>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</si>
  <si>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</si>
  <si>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</si>
  <si>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</si>
  <si>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</si>
  <si>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</si>
  <si>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</si>
  <si>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</si>
  <si>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</si>
  <si>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</si>
  <si>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</si>
  <si>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</si>
  <si>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</si>
  <si>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</si>
  <si>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</si>
  <si>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</si>
  <si>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</si>
  <si>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</si>
  <si>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</si>
  <si>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</si>
  <si>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</si>
  <si>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</si>
  <si>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</si>
  <si>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</si>
  <si>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</si>
  <si>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</si>
  <si>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</si>
  <si>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</si>
  <si>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</si>
  <si>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</si>
  <si>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</si>
  <si>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</si>
  <si>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</si>
  <si>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</si>
  <si>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</si>
  <si>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</si>
  <si>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</si>
  <si>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</si>
  <si>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</si>
  <si>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</si>
  <si>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</si>
  <si>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</si>
  <si>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</si>
  <si>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</si>
  <si>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</si>
  <si>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</si>
  <si>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</si>
  <si>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</si>
  <si>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</si>
  <si>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</si>
  <si>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</si>
  <si>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</si>
  <si>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</si>
  <si>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</si>
  <si>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</si>
  <si>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</si>
  <si>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</si>
  <si>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</si>
  <si>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</si>
  <si>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</si>
  <si>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</si>
  <si>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</si>
  <si>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</si>
  <si>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</si>
  <si>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</si>
  <si>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</si>
  <si>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</si>
  <si>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</si>
  <si>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</si>
  <si>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</si>
  <si>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</si>
  <si>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</si>
  <si>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</si>
  <si>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</si>
  <si>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</si>
  <si>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</si>
  <si>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</si>
  <si>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</si>
  <si>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</si>
  <si>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</si>
  <si>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</si>
  <si>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</si>
  <si>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</si>
  <si>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</si>
  <si>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</si>
  <si>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</si>
  <si>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</si>
  <si>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</si>
  <si>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</si>
  <si>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</si>
  <si>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</si>
  <si>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</si>
  <si>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</si>
  <si>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</si>
  <si>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</si>
  <si>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</si>
  <si>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</si>
  <si>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</si>
  <si>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</si>
  <si>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</si>
  <si>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</si>
  <si>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</si>
  <si>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</si>
  <si>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</si>
  <si>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</si>
  <si>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</si>
  <si>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</si>
  <si>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</si>
  <si>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</si>
  <si>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</si>
  <si>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</si>
  <si>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</si>
  <si>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</si>
  <si>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</si>
  <si>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</si>
  <si>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</si>
  <si>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</si>
  <si>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</si>
  <si>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</si>
  <si>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</si>
  <si>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</si>
  <si>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</si>
  <si>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</si>
  <si>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</si>
  <si>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</si>
  <si>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</si>
  <si>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</si>
  <si>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</si>
  <si>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</si>
  <si>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</si>
  <si>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</si>
  <si>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</si>
  <si>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</si>
  <si>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</si>
  <si>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</si>
  <si>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</si>
  <si>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</si>
  <si>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</si>
  <si>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</si>
  <si>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</si>
  <si>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</si>
  <si>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</si>
  <si>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</si>
  <si>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</si>
  <si>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</si>
  <si>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</si>
  <si>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</si>
  <si>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</si>
  <si>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</si>
  <si>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</si>
  <si>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</si>
  <si>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</si>
  <si>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</si>
  <si>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</si>
  <si>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</si>
  <si>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</si>
  <si>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</si>
  <si>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</si>
  <si>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</si>
  <si>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</si>
  <si>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</si>
  <si>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</si>
  <si>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</si>
  <si>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</si>
  <si>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</si>
  <si>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</si>
  <si>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</si>
  <si>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</si>
  <si>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</si>
  <si>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</si>
  <si>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</si>
  <si>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</si>
  <si>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</si>
  <si>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</si>
  <si>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</si>
  <si>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</si>
  <si>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</si>
  <si>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</si>
  <si>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</si>
  <si>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</si>
  <si>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</si>
  <si>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</si>
  <si>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</si>
  <si>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</si>
  <si>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</si>
  <si>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</si>
  <si>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</si>
  <si>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</si>
  <si>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</si>
  <si>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</si>
  <si>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</si>
  <si>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</si>
  <si>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</si>
  <si>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</si>
  <si>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</si>
  <si>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</si>
  <si>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</si>
  <si>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</si>
  <si>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</si>
  <si>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</si>
  <si>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</si>
  <si>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</si>
  <si>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</si>
  <si>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</si>
  <si>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</si>
  <si>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</si>
  <si>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</si>
  <si>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</si>
  <si>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</si>
  <si>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</si>
  <si>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</si>
  <si>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</si>
  <si>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</si>
  <si>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</si>
  <si>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</si>
  <si>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</si>
  <si>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</si>
  <si>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</si>
  <si>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</si>
  <si>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</si>
  <si>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</si>
  <si>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</si>
  <si>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</si>
  <si>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</si>
  <si>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</si>
  <si>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</si>
  <si>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</si>
  <si>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</si>
  <si>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</si>
  <si>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</si>
  <si>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</si>
  <si>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</si>
  <si>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</si>
  <si>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</si>
  <si>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</si>
  <si>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</si>
  <si>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</si>
  <si>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</si>
  <si>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</si>
  <si>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</si>
  <si>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</si>
  <si>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</si>
  <si>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</si>
  <si>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</si>
  <si>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</si>
  <si>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</si>
  <si>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</si>
  <si>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</si>
  <si>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</si>
  <si>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</si>
  <si>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</si>
  <si>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</si>
  <si>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</si>
  <si>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</si>
  <si>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</si>
  <si>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</si>
  <si>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</si>
  <si>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</si>
  <si>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</si>
  <si>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</si>
  <si>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</si>
  <si>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</si>
  <si>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</si>
  <si>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</si>
  <si>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</si>
  <si>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</si>
  <si>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</si>
  <si>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</si>
  <si>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</si>
  <si>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</si>
  <si>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</si>
  <si>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</si>
  <si>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</si>
  <si>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</si>
  <si>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</si>
  <si>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</si>
  <si>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</si>
  <si>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</si>
  <si>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</si>
  <si>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</si>
  <si>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</si>
  <si>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</si>
  <si>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</si>
  <si>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</si>
  <si>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</si>
  <si>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</si>
  <si>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</si>
  <si>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</si>
  <si>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</si>
  <si>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</si>
  <si>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</si>
  <si>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</si>
  <si>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</si>
  <si>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</si>
  <si>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</si>
  <si>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</si>
  <si>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</si>
  <si>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</si>
  <si>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</si>
  <si>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</si>
  <si>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</si>
  <si>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</si>
  <si>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</si>
  <si>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</si>
  <si>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</si>
  <si>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</si>
  <si>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</si>
  <si>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</si>
  <si>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</si>
  <si>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</si>
  <si>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</si>
  <si>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</si>
  <si>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</si>
  <si>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</si>
  <si>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</si>
  <si>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</si>
  <si>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</si>
  <si>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</si>
  <si>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</si>
  <si>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</si>
  <si>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</si>
  <si>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</si>
  <si>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</si>
  <si>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</si>
  <si>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</si>
  <si>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</si>
  <si>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</si>
  <si>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</si>
  <si>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</si>
  <si>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</si>
  <si>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</si>
  <si>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</si>
  <si>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</si>
  <si>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</si>
  <si>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</si>
  <si>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</si>
  <si>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</si>
  <si>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</si>
  <si>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</si>
  <si>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</si>
  <si>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</si>
  <si>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</si>
  <si>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</si>
  <si>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</si>
  <si>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</si>
  <si>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</si>
  <si>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</si>
  <si>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</si>
  <si>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</si>
  <si>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</si>
  <si>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</si>
  <si>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</si>
  <si>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</si>
  <si>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</si>
  <si>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</si>
  <si>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</si>
  <si>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</si>
  <si>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</si>
  <si>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</si>
  <si>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</si>
  <si>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</si>
  <si>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</si>
  <si>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</si>
  <si>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</si>
  <si>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</si>
  <si>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</si>
  <si>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</si>
  <si>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</si>
  <si>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</si>
  <si>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</si>
  <si>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</si>
  <si>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</si>
  <si>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</si>
  <si>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</si>
  <si>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</si>
  <si>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</si>
  <si>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</si>
  <si>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</si>
  <si>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</si>
  <si>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</si>
  <si>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</si>
  <si>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</si>
  <si>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</si>
  <si>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</si>
  <si>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</si>
  <si>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</si>
  <si>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</si>
  <si>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</si>
  <si>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</si>
  <si>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</si>
  <si>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</si>
  <si>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</si>
  <si>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</si>
  <si>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</si>
  <si>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</si>
  <si>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</si>
  <si>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</si>
  <si>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</si>
  <si>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</si>
  <si>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</si>
  <si>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</si>
  <si>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</si>
  <si>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</si>
  <si>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</si>
  <si>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</si>
  <si>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</si>
  <si>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</si>
  <si>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</si>
  <si>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</si>
  <si>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</si>
  <si>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</si>
  <si>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</si>
  <si>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</si>
  <si>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</si>
  <si>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</si>
  <si>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</si>
  <si>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</si>
  <si>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</si>
  <si>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</si>
  <si>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</si>
  <si>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</si>
  <si>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</si>
  <si>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</si>
  <si>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</si>
  <si>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</si>
  <si>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</si>
  <si>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</si>
  <si>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</si>
  <si>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</si>
  <si>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</si>
  <si>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</si>
  <si>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</si>
  <si>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</si>
  <si>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</si>
  <si>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</si>
  <si>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</si>
  <si>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</si>
  <si>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</si>
  <si>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</si>
  <si>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</si>
  <si>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</si>
  <si>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</si>
  <si>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</si>
  <si>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</si>
  <si>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</si>
  <si>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</si>
  <si>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</si>
  <si>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</si>
  <si>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</si>
  <si>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</si>
  <si>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</si>
  <si>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</si>
  <si>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</si>
  <si>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</si>
  <si>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</si>
  <si>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</si>
  <si>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</si>
  <si>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</si>
  <si>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</si>
  <si>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</si>
  <si>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</si>
  <si>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</si>
  <si>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</si>
  <si>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</si>
  <si>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</si>
  <si>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</si>
  <si>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</si>
  <si>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</si>
  <si>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</si>
  <si>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</si>
  <si>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</si>
  <si>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</si>
  <si>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</si>
  <si>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</si>
  <si>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</si>
  <si>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</si>
  <si>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</si>
  <si>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</si>
  <si>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</si>
  <si>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</si>
  <si>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</si>
  <si>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</si>
  <si>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</si>
  <si>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</si>
  <si>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</si>
  <si>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</si>
  <si>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</si>
  <si>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</si>
  <si>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</si>
  <si>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</si>
  <si>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</si>
  <si>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</si>
  <si>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</si>
  <si>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</si>
  <si>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</si>
  <si>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</si>
  <si>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</si>
  <si>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</si>
  <si>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</si>
  <si>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</si>
  <si>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</si>
  <si>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</si>
  <si>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</si>
  <si>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</si>
  <si>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</si>
  <si>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</si>
  <si>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</si>
  <si>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</si>
  <si>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</si>
  <si>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</si>
  <si>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</si>
  <si>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</si>
  <si>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</si>
  <si>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</si>
  <si>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</si>
  <si>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</si>
  <si>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</si>
  <si>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</si>
  <si>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</si>
  <si>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</si>
  <si>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</si>
  <si>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</si>
  <si>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</si>
  <si>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</si>
  <si>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</si>
  <si>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</si>
  <si>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</si>
  <si>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</si>
  <si>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</si>
  <si>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</si>
  <si>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</si>
  <si>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</si>
  <si>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</si>
  <si>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</si>
  <si>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</si>
  <si>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</si>
  <si>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</si>
  <si>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</si>
  <si>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</si>
  <si>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</si>
  <si>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</si>
  <si>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</si>
  <si>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</si>
  <si>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</si>
  <si>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</si>
  <si>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</si>
  <si>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</si>
  <si>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</si>
  <si>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</si>
  <si>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</si>
  <si>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</si>
  <si>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</si>
  <si>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</si>
  <si>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</si>
  <si>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</si>
  <si>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</si>
  <si>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</si>
  <si>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</si>
  <si>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</si>
  <si>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</si>
  <si>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</si>
  <si>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</si>
  <si>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</si>
  <si>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</si>
  <si>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</si>
  <si>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</si>
  <si>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</si>
  <si>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</si>
  <si>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</si>
  <si>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</si>
  <si>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</si>
  <si>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</si>
  <si>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</si>
  <si>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</si>
  <si>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</si>
  <si>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</si>
  <si>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</si>
  <si>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</si>
  <si>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</si>
  <si>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</si>
  <si>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</si>
  <si>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</si>
  <si>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</si>
  <si>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</si>
  <si>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</si>
  <si>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</si>
  <si>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</si>
  <si>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</si>
  <si>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</si>
  <si>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</si>
  <si>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</si>
  <si>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</si>
  <si>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</si>
  <si>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</si>
  <si>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</si>
  <si>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</si>
  <si>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</si>
  <si>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</si>
  <si>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</si>
  <si>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</si>
  <si>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</si>
  <si>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</si>
  <si>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</si>
  <si>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</si>
  <si>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</si>
  <si>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</si>
  <si>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</si>
  <si>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</si>
  <si>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</si>
  <si>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</si>
  <si>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</si>
  <si>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</si>
  <si>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</si>
  <si>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</si>
  <si>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</si>
  <si>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</si>
  <si>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</si>
  <si>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</si>
  <si>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</si>
  <si>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</si>
  <si>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</si>
  <si>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</si>
  <si>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</si>
  <si>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</si>
  <si>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</si>
  <si>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</si>
  <si>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</si>
  <si>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</si>
  <si>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</si>
  <si>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</si>
  <si>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</si>
  <si>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</si>
  <si>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</si>
  <si>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</si>
  <si>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</si>
  <si>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</si>
  <si>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</si>
  <si>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</si>
  <si>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</si>
  <si>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</si>
  <si>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</si>
  <si>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</si>
  <si>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</si>
  <si>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</si>
  <si>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</si>
  <si>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</si>
  <si>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</si>
  <si>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</si>
  <si>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</si>
  <si>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</si>
  <si>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</si>
  <si>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</si>
  <si>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</si>
  <si>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</si>
  <si>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</si>
  <si>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</si>
  <si>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</si>
  <si>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</si>
  <si>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</si>
  <si>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</si>
  <si>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</si>
  <si>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</si>
  <si>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</si>
  <si>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</si>
  <si>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</si>
  <si>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</si>
  <si>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</si>
  <si>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</si>
  <si>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</si>
  <si>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</si>
  <si>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</si>
  <si>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</si>
  <si>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</si>
  <si>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</si>
  <si>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</si>
  <si>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</si>
  <si>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</si>
  <si>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</si>
  <si>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</si>
  <si>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</si>
  <si>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</si>
  <si>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</si>
  <si>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</si>
  <si>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</si>
  <si>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</si>
  <si>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</si>
  <si>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</si>
  <si>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</si>
  <si>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</si>
  <si>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</si>
  <si>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</si>
  <si>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</si>
  <si>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</si>
  <si>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</si>
  <si>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</si>
  <si>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</si>
  <si>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</si>
  <si>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</si>
  <si>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</si>
  <si>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</si>
  <si>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</si>
  <si>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</si>
  <si>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</si>
  <si>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</si>
  <si>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</si>
  <si>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</si>
  <si>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</si>
  <si>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</si>
  <si>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</si>
  <si>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</si>
  <si>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</si>
  <si>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</si>
  <si>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</si>
  <si>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</si>
  <si>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</si>
  <si>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</si>
  <si>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</si>
  <si>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</si>
  <si>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</si>
  <si>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</si>
  <si>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</si>
  <si>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</si>
  <si>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</si>
  <si>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</si>
  <si>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</si>
  <si>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</si>
  <si>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</si>
  <si>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</si>
  <si>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</si>
  <si>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</si>
  <si>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</si>
  <si>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</si>
  <si>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</si>
  <si>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</si>
  <si>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</si>
  <si>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</si>
  <si>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</si>
  <si>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</si>
  <si>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</si>
  <si>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</si>
  <si>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</si>
  <si>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</si>
  <si>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</si>
  <si>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</si>
  <si>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</si>
  <si>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</si>
  <si>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</si>
  <si>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</si>
  <si>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</si>
  <si>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</si>
  <si>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</si>
  <si>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</si>
  <si>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</si>
  <si>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</si>
  <si>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</si>
  <si>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</si>
  <si>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</si>
  <si>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</si>
  <si>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</si>
  <si>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</si>
  <si>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</si>
  <si>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</si>
  <si>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</si>
  <si>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</si>
  <si>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</si>
  <si>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</si>
  <si>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</si>
  <si>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</si>
  <si>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</si>
  <si>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</si>
  <si>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</si>
  <si>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</si>
  <si>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</si>
  <si>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</si>
  <si>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</si>
  <si>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</si>
  <si>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</si>
  <si>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</si>
  <si>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</si>
  <si>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</si>
  <si>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</si>
  <si>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</si>
  <si>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</si>
  <si>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</si>
  <si>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</si>
  <si>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</si>
  <si>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</si>
  <si>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</si>
  <si>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</si>
  <si>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</si>
  <si>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</si>
  <si>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</si>
  <si>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</si>
  <si>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</si>
  <si>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</si>
  <si>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</si>
  <si>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</si>
  <si>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</si>
  <si>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</si>
  <si>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</si>
  <si>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</si>
  <si>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</si>
  <si>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</si>
  <si>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</si>
  <si>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</si>
  <si>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</si>
  <si>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</si>
  <si>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</si>
  <si>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</si>
  <si>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</si>
  <si>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</si>
  <si>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</si>
  <si>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</si>
  <si>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</si>
  <si>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</si>
  <si>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</si>
  <si>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</si>
  <si>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</si>
  <si>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</si>
  <si>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</si>
  <si>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</si>
  <si>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</si>
  <si>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</si>
  <si>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</si>
  <si>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</si>
  <si>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</si>
  <si>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</si>
  <si>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</si>
  <si>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</si>
  <si>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</si>
  <si>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</si>
  <si>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</si>
  <si>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</si>
  <si>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</si>
  <si>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</si>
  <si>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</si>
  <si>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</si>
  <si>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</si>
  <si>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</si>
  <si>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</si>
  <si>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</si>
  <si>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</si>
  <si>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</si>
  <si>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</si>
  <si>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</si>
  <si>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</si>
  <si>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</si>
  <si>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</si>
  <si>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</si>
  <si>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</si>
  <si>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</si>
  <si>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</si>
  <si>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</si>
  <si>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</si>
  <si>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</si>
  <si>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</si>
  <si>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</si>
  <si>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</si>
  <si>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</si>
  <si>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</si>
  <si>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</si>
  <si>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</si>
  <si>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</si>
  <si>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</si>
  <si>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</si>
  <si>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</si>
  <si>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</si>
  <si>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</si>
  <si>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</si>
  <si>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</si>
  <si>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</si>
  <si>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</si>
  <si>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</si>
  <si>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</si>
  <si>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</si>
  <si>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</si>
  <si>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</si>
  <si>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</si>
  <si>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</si>
  <si>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</si>
  <si>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</si>
  <si>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</si>
  <si>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</si>
  <si>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</si>
  <si>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</si>
  <si>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</si>
  <si>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</si>
  <si>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</si>
  <si>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</si>
  <si>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</si>
  <si>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</si>
  <si>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</si>
  <si>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</si>
  <si>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</si>
  <si>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</si>
  <si>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</si>
  <si>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</si>
  <si>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</si>
  <si>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</si>
  <si>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</si>
  <si>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</si>
  <si>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</si>
  <si>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</si>
  <si>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</si>
  <si>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</si>
  <si>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</si>
  <si>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</si>
  <si>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</si>
  <si>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</si>
  <si>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</si>
  <si>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</si>
  <si>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</si>
  <si>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</si>
  <si>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</si>
  <si>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</si>
  <si>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</si>
  <si>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</si>
  <si>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</si>
  <si>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</si>
  <si>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</si>
  <si>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</si>
  <si>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</si>
  <si>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</si>
  <si>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</si>
  <si>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</si>
  <si>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</si>
  <si>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</si>
  <si>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</si>
  <si>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</si>
  <si>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</si>
  <si>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</si>
  <si>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</si>
  <si>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</si>
  <si>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</si>
  <si>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</si>
  <si>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</si>
  <si>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</si>
  <si>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</si>
  <si>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</si>
  <si>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</si>
  <si>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</si>
  <si>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</si>
  <si>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</si>
  <si>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</si>
  <si>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</si>
  <si>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</si>
  <si>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</si>
  <si>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</si>
  <si>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</si>
  <si>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</si>
  <si>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</si>
  <si>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</si>
  <si>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</si>
  <si>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</si>
  <si>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</si>
  <si>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</si>
  <si>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</si>
  <si>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</si>
  <si>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</si>
  <si>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</si>
  <si>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</si>
  <si>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</si>
  <si>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</si>
  <si>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</si>
  <si>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</si>
  <si>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</si>
  <si>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</si>
  <si>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</si>
  <si>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</si>
  <si>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</si>
  <si>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</si>
  <si>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</si>
  <si>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</si>
  <si>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</si>
  <si>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</si>
  <si>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</si>
  <si>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</si>
  <si>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</si>
  <si>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</si>
  <si>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</si>
  <si>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</si>
  <si>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</si>
  <si>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</si>
  <si>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</si>
  <si>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</si>
  <si>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</si>
  <si>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</si>
  <si>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</si>
  <si>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</si>
  <si>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</si>
  <si>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</si>
  <si>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</si>
  <si>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</si>
  <si>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</si>
  <si>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</si>
  <si>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</si>
  <si>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</si>
  <si>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</si>
  <si>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</si>
  <si>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</si>
  <si>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</si>
  <si>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</si>
  <si>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</si>
  <si>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</si>
  <si>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</si>
  <si>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</si>
  <si>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</si>
  <si>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</si>
  <si>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</si>
  <si>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</si>
  <si>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</si>
  <si>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</si>
  <si>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</si>
  <si>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</si>
  <si>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</si>
  <si>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</si>
  <si>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</si>
  <si>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</si>
  <si>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</si>
  <si>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</si>
  <si>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</si>
  <si>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</si>
  <si>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</si>
  <si>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</si>
  <si>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</si>
  <si>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</si>
  <si>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</si>
  <si>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</si>
  <si>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</si>
  <si>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</si>
  <si>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</si>
  <si>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</si>
  <si>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</si>
  <si>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</si>
  <si>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</si>
  <si>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</si>
  <si>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</si>
  <si>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</si>
  <si>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</si>
  <si>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</si>
  <si>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</si>
  <si>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</si>
  <si>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</si>
  <si>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</si>
  <si>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</si>
  <si>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</si>
  <si>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</si>
  <si>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</si>
  <si>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</si>
  <si>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</si>
  <si>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</si>
  <si>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</si>
  <si>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</si>
  <si>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</si>
  <si>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</si>
  <si>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</si>
  <si>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</si>
  <si>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</si>
  <si>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</si>
  <si>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</si>
  <si>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</si>
  <si>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</si>
  <si>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</si>
  <si>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</si>
  <si>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</si>
  <si>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</si>
  <si>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</si>
  <si>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</si>
  <si>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</si>
  <si>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</si>
  <si>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</si>
  <si>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</si>
  <si>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</si>
  <si>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</si>
  <si>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</si>
  <si>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</si>
  <si>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</si>
  <si>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</si>
  <si>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</si>
  <si>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</si>
  <si>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</si>
  <si>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</si>
  <si>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</si>
  <si>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</si>
  <si>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</si>
  <si>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</si>
  <si>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</si>
  <si>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</si>
  <si>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</si>
  <si>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</si>
  <si>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</si>
  <si>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</si>
  <si>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</si>
  <si>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</si>
  <si>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</si>
  <si>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</si>
  <si>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</si>
  <si>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</si>
  <si>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</si>
  <si>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</si>
  <si>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</si>
  <si>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</si>
  <si>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</si>
  <si>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</si>
  <si>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</si>
  <si>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</si>
  <si>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</si>
  <si>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</si>
  <si>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</si>
  <si>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</si>
  <si>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</si>
  <si>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</si>
  <si>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</si>
  <si>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</si>
  <si>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</si>
  <si>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</si>
  <si>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</si>
  <si>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</si>
  <si>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</si>
  <si>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</si>
  <si>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</si>
  <si>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</si>
  <si>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</si>
  <si>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</si>
  <si>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</si>
  <si>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</si>
  <si>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</si>
  <si>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</si>
  <si>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</si>
  <si>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</si>
  <si>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</si>
  <si>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</si>
  <si>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</si>
  <si>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</si>
  <si>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</si>
  <si>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</si>
  <si>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</si>
  <si>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</si>
  <si>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</si>
  <si>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</si>
  <si>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</si>
  <si>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</si>
  <si>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</si>
  <si>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</si>
  <si>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</si>
  <si>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</si>
  <si>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</si>
  <si>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</si>
  <si>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</si>
  <si>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</si>
  <si>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</si>
  <si>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</si>
  <si>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</si>
  <si>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</si>
  <si>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</si>
  <si>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</si>
  <si>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</si>
  <si>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</si>
  <si>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</si>
  <si>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</si>
  <si>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</si>
  <si>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</si>
  <si>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</si>
  <si>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</si>
  <si>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</si>
  <si>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</si>
  <si>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</si>
  <si>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</si>
  <si>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</si>
  <si>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</si>
  <si>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</si>
  <si>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</si>
  <si>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</si>
  <si>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</si>
  <si>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</si>
  <si>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</si>
  <si>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</si>
  <si>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</si>
  <si>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</si>
  <si>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</si>
  <si>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</si>
  <si>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</si>
  <si>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</si>
  <si>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</si>
  <si>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</si>
  <si>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</si>
  <si>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</si>
  <si>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</si>
  <si>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</si>
  <si>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</si>
  <si>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</si>
  <si>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</si>
  <si>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</si>
  <si>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</si>
  <si>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</si>
  <si>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</si>
  <si>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</si>
  <si>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</si>
  <si>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</si>
  <si>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</si>
  <si>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</si>
  <si>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</si>
  <si>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</si>
  <si>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</si>
  <si>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</si>
  <si>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</si>
  <si>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</si>
  <si>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</si>
  <si>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</si>
  <si>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</si>
  <si>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</si>
  <si>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</si>
  <si>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</si>
  <si>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</si>
  <si>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</si>
  <si>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</si>
  <si>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</si>
  <si>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</si>
  <si>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</si>
  <si>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</si>
  <si>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</si>
  <si>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</si>
  <si>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</si>
  <si>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</si>
  <si>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</si>
  <si>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</si>
  <si>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</si>
  <si>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</si>
  <si>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</si>
  <si>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</si>
  <si>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</si>
  <si>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</si>
  <si>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</si>
  <si>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</si>
  <si>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</si>
  <si>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</si>
  <si>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</si>
  <si>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</si>
  <si>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</si>
  <si>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</si>
  <si>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</si>
  <si>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</si>
  <si>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</si>
  <si>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</si>
  <si>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</si>
  <si>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</si>
  <si>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</si>
  <si>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</si>
  <si>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</si>
  <si>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</si>
  <si>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</si>
  <si>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</si>
  <si>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</si>
  <si>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</si>
  <si>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</si>
  <si>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</si>
  <si>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</si>
  <si>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</si>
  <si>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</si>
  <si>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</si>
  <si>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</si>
  <si>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</si>
  <si>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</si>
  <si>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</si>
  <si>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</si>
  <si>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</si>
  <si>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</si>
  <si>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</si>
  <si>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</si>
  <si>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</si>
  <si>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</si>
  <si>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</si>
  <si>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</si>
  <si>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</si>
  <si>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</si>
  <si>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</si>
  <si>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</si>
  <si>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</si>
  <si>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</si>
  <si>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</si>
  <si>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</si>
  <si>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</si>
  <si>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</si>
  <si>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</si>
  <si>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</si>
  <si>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</si>
  <si>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</si>
  <si>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</si>
  <si>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</si>
  <si>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</si>
  <si>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</si>
  <si>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</si>
  <si>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</si>
  <si>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</si>
  <si>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</si>
  <si>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</si>
  <si>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</si>
  <si>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</si>
  <si>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</si>
  <si>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</si>
  <si>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</si>
  <si>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</si>
  <si>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</si>
  <si>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</si>
  <si>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</si>
  <si>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</si>
  <si>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</si>
  <si>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</si>
  <si>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</si>
  <si>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</si>
  <si>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</si>
  <si>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</si>
  <si>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</si>
  <si>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</si>
  <si>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</si>
  <si>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</si>
  <si>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</si>
  <si>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</si>
  <si>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</si>
  <si>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</si>
  <si>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</si>
  <si>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</si>
  <si>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</si>
  <si>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</si>
  <si>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</si>
  <si>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</si>
  <si>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</si>
  <si>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</si>
  <si>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</si>
  <si>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</si>
  <si>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</si>
  <si>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</si>
  <si>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</si>
  <si>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</si>
  <si>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</si>
  <si>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</si>
  <si>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</si>
  <si>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</si>
  <si>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</si>
  <si>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</si>
  <si>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</si>
  <si>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</si>
  <si>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</si>
  <si>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</si>
  <si>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</si>
  <si>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</si>
  <si>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</si>
  <si>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</si>
  <si>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</si>
  <si>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</si>
  <si>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</si>
  <si>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</si>
  <si>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</si>
  <si>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</si>
  <si>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</si>
  <si>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</si>
  <si>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</si>
  <si>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</si>
  <si>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</si>
  <si>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Using a recovery potion increases the recovery effect by an additional 30%.</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</si>
  <si>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</si>
  <si>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</si>
  <si>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</si>
  <si>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</si>
  <si>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</si>
  <si>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</si>
  <si>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</si>
  <si>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</si>
  <si>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</si>
  <si>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</si>
  <si>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</si>
  <si>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</si>
  <si>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</si>
  <si>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</si>
  <si>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</si>
  <si>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</si>
  <si>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</si>
  <si>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</si>
  <si>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</si>
  <si>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</si>
  <si>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</si>
  <si>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</si>
  <si>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</si>
  <si>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</si>
  <si>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</si>
  <si>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</si>
  <si>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</si>
  <si>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</si>
  <si>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</si>
  <si>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</si>
  <si>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</si>
  <si>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</si>
  <si>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</si>
  <si>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</si>
  <si>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</si>
  <si>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</si>
  <si>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</si>
  <si>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</si>
  <si>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</si>
  <si>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</si>
  <si>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</si>
  <si>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</si>
  <si>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</si>
  <si>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</si>
  <si>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</si>
  <si>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</si>
  <si>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</si>
  <si>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</si>
  <si>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</si>
  <si>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</si>
  <si>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</si>
  <si>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</si>
  <si>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</si>
  <si>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</si>
  <si>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</si>
  <si>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</si>
  <si>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</si>
  <si>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</si>
  <si>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</si>
  <si>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</si>
  <si>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</si>
  <si>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</si>
  <si>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</si>
  <si>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</si>
  <si>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</si>
  <si>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</si>
  <si>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</si>
  <si>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</si>
  <si>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</si>
  <si>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</si>
  <si>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</si>
  <si>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</si>
  <si>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</si>
  <si>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</si>
  <si>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</si>
  <si>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</si>
  <si>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</si>
  <si>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</si>
  <si>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</si>
  <si>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</si>
  <si>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</si>
  <si>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</si>
  <si>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</si>
  <si>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</si>
  <si>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</si>
  <si>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</si>
  <si>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</si>
  <si>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</si>
  <si>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</si>
  <si>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</si>
  <si>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</si>
  <si>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</si>
  <si>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</si>
  <si>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</si>
  <si>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</si>
  <si>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</si>
  <si>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</si>
  <si>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</si>
  <si>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</si>
  <si>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</si>
  <si>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</si>
  <si>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</si>
  <si>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</si>
  <si>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</si>
  <si>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</si>
  <si>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</si>
  <si>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</si>
  <si>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</si>
  <si>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</si>
  <si>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</si>
  <si>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</si>
  <si>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</si>
  <si>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</si>
  <si>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</si>
  <si>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</si>
  <si>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</si>
  <si>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</si>
  <si>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</si>
  <si>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</si>
  <si>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</si>
  <si>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</si>
  <si>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</si>
  <si>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</si>
  <si>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</si>
  <si>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</si>
  <si>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</si>
  <si>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</si>
  <si>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</si>
  <si>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</si>
  <si>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</si>
  <si>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</si>
  <si>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</si>
  <si>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</si>
  <si>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</si>
  <si>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</si>
  <si>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</si>
  <si>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</si>
  <si>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</si>
  <si>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</si>
  <si>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</si>
  <si>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</si>
  <si>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</si>
  <si>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</si>
  <si>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</si>
  <si>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</si>
  <si>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</si>
  <si>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</si>
  <si>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</si>
  <si>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</si>
  <si>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</si>
  <si>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</si>
  <si>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</si>
  <si>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</si>
  <si>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</si>
  <si>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</si>
  <si>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</si>
  <si>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</si>
  <si>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</si>
  <si>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</si>
  <si>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</si>
  <si>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</si>
  <si>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</si>
  <si>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</si>
  <si>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</si>
  <si>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</si>
  <si>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</si>
  <si>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</si>
  <si>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</si>
  <si>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</si>
  <si>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</si>
  <si>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</si>
  <si>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</si>
  <si>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</si>
  <si>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</si>
  <si>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</si>
  <si>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</si>
  <si>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</si>
  <si>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</si>
  <si>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</si>
  <si>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</si>
  <si>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</si>
  <si>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</si>
  <si>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</si>
  <si>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</si>
  <si>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</si>
  <si>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</si>
  <si>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</si>
  <si>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</si>
  <si>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</si>
  <si>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</si>
  <si>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</si>
  <si>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</si>
  <si>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</si>
  <si>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</si>
  <si>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</si>
  <si>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</si>
  <si>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</si>
  <si>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</si>
  <si>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</si>
  <si>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</si>
  <si>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</si>
  <si>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</si>
  <si>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</si>
  <si>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</si>
  <si>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</si>
  <si>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</si>
  <si>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</si>
  <si>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</si>
  <si>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</si>
  <si>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</si>
  <si>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</si>
  <si>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</si>
  <si>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</si>
  <si>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</si>
  <si>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</si>
  <si>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</si>
  <si>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</si>
  <si>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</si>
  <si>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</si>
  <si>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</si>
  <si>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</si>
  <si>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</si>
  <si>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</si>
  <si>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</si>
  <si>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</si>
  <si>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</si>
  <si>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</si>
  <si>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</si>
  <si>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</si>
  <si>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</si>
  <si>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</si>
  <si>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</si>
  <si>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</si>
  <si>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</si>
  <si>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</si>
  <si>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</si>
  <si>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</si>
  <si>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</si>
  <si>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</si>
  <si>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</si>
  <si>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</si>
  <si>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</si>
  <si>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</si>
  <si>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</si>
  <si>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</si>
  <si>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</si>
  <si>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</si>
  <si>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</si>
  <si>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</si>
  <si>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</si>
  <si>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</si>
  <si>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</si>
  <si>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</si>
  <si>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</si>
  <si>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</si>
  <si>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</si>
  <si>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</si>
  <si>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</si>
  <si>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</si>
  <si>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</si>
  <si>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</si>
  <si>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</si>
  <si>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</si>
  <si>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</si>
  <si>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</si>
  <si>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</si>
  <si>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</si>
  <si>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</si>
  <si>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</si>
  <si>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</si>
  <si>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</si>
  <si>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</si>
  <si>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</si>
  <si>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</si>
  <si>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</si>
  <si>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</si>
  <si>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</si>
  <si>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</si>
  <si>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</si>
  <si>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</si>
  <si>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</si>
  <si>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</si>
  <si>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</si>
  <si>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</si>
  <si>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</si>
  <si>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</si>
  <si>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</si>
  <si>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</si>
  <si>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</si>
  <si>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</si>
  <si>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</si>
  <si>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</si>
  <si>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</si>
  <si>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</si>
  <si>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</si>
  <si>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</si>
  <si>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</si>
  <si>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</si>
  <si>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</si>
  <si>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</si>
  <si>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</si>
  <si>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</si>
  <si>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</si>
  <si>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</si>
  <si>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</si>
  <si>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</si>
  <si>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</si>
  <si>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</si>
  <si>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</si>
  <si>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</si>
  <si>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</si>
  <si>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</si>
  <si>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</si>
  <si>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</si>
  <si>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</si>
  <si>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</si>
  <si>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</si>
  <si>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</si>
  <si>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</si>
  <si>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</si>
  <si>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</si>
  <si>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</si>
  <si>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</si>
  <si>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</si>
  <si>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</si>
  <si>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</si>
  <si>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</si>
  <si>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</si>
  <si>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</si>
  <si>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</si>
  <si>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</si>
  <si>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</si>
  <si>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</si>
  <si>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</si>
  <si>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</si>
  <si>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</si>
  <si>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</si>
  <si>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</si>
  <si>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</si>
  <si>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</si>
  <si>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</si>
  <si>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</si>
  <si>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</si>
  <si>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</si>
  <si>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</si>
  <si>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</si>
  <si>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</si>
  <si>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</si>
  <si>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</si>
  <si>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</si>
  <si>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</si>
  <si>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</si>
  <si>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</si>
  <si>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</si>
  <si>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</si>
  <si>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</si>
  <si>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</si>
  <si>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</si>
  <si>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</si>
  <si>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</si>
  <si>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</si>
  <si>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</si>
  <si>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</si>
  <si>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</si>
  <si>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</si>
  <si>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</si>
  <si>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</si>
  <si>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</si>
  <si>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</si>
  <si>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</si>
  <si>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</si>
  <si>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</si>
  <si>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</si>
  <si>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</si>
  <si>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</si>
  <si>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</si>
  <si>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</si>
  <si>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</si>
  <si>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</si>
  <si>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</si>
  <si>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</si>
  <si>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</si>
  <si>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</si>
  <si>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</si>
  <si>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</si>
  <si>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</si>
  <si>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</si>
  <si>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</si>
  <si>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</si>
  <si>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</si>
  <si>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</si>
  <si>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</si>
  <si>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</si>
  <si>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</si>
  <si>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</si>
  <si>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</si>
  <si>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</si>
  <si>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</si>
  <si>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</si>
  <si>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</si>
  <si>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</si>
  <si>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</si>
  <si>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</si>
  <si>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</si>
  <si>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</si>
  <si>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</si>
  <si>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</si>
  <si>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</si>
  <si>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</si>
  <si>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</si>
  <si>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</si>
  <si>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</si>
  <si>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</si>
  <si>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</si>
  <si>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</si>
  <si>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</si>
  <si>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</si>
  <si>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</si>
  <si>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</si>
  <si>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</si>
  <si>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</si>
  <si>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</si>
  <si>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</si>
  <si>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</si>
  <si>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</si>
  <si>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</si>
  <si>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</si>
  <si>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</si>
  <si>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</si>
  <si>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</si>
  <si>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</si>
  <si>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</si>
  <si>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</si>
  <si>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</si>
  <si>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</si>
  <si>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</si>
  <si>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</si>
  <si>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</si>
  <si>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</si>
  <si>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</si>
  <si>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</si>
  <si>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</si>
  <si>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</si>
  <si>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</si>
  <si>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</si>
  <si>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</si>
  <si>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</si>
  <si>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</si>
  <si>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</si>
  <si>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</si>
  <si>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</si>
  <si>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</si>
  <si>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</si>
  <si>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</si>
  <si>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</si>
  <si>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</si>
  <si>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</si>
  <si>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</si>
  <si>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</si>
  <si>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</si>
  <si>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</si>
  <si>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</si>
  <si>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</si>
  <si>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</si>
  <si>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</si>
  <si>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</si>
  <si>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</si>
  <si>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</si>
  <si>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</si>
  <si>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</si>
  <si>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</si>
  <si>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</si>
  <si>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</si>
  <si>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</si>
  <si>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</si>
  <si>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</si>
  <si>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</si>
  <si>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</si>
  <si>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</si>
  <si>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</si>
  <si>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</si>
  <si>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</si>
  <si>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</si>
  <si>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</si>
  <si>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</si>
  <si>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</si>
  <si>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</si>
  <si>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</si>
  <si>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</si>
  <si>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</si>
  <si>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</si>
  <si>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</si>
  <si>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</si>
  <si>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</si>
  <si>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</si>
  <si>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</si>
  <si>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</si>
  <si>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</si>
  <si>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</si>
  <si>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</si>
  <si>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</si>
  <si>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</si>
  <si>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</si>
  <si>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</si>
  <si>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</si>
  <si>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</si>
  <si>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</si>
  <si>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</si>
  <si>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</si>
  <si>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</si>
  <si>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</si>
  <si>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</si>
  <si>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</si>
  <si>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</si>
  <si>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</si>
  <si>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</si>
  <si>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</si>
  <si>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</si>
  <si>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</si>
  <si>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</si>
  <si>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</si>
  <si>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</si>
  <si>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</si>
  <si>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</si>
  <si>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</si>
  <si>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</si>
  <si>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</si>
  <si>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</si>
  <si>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</si>
  <si>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</si>
  <si>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</si>
  <si>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</si>
  <si>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</si>
  <si>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</si>
  <si>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</si>
  <si>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</si>
  <si>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</si>
  <si>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</si>
  <si>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</si>
  <si>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</si>
  <si>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</si>
  <si>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</si>
  <si>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</si>
  <si>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</si>
  <si>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</si>
  <si>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</si>
  <si>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</si>
  <si>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</si>
  <si>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</si>
  <si>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</si>
  <si>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</si>
  <si>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</si>
  <si>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</si>
  <si>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</si>
  <si>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</si>
  <si>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</si>
  <si>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</si>
  <si>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</si>
  <si>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</si>
  <si>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</si>
  <si>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</si>
  <si>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</si>
  <si>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</si>
  <si>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</si>
  <si>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</si>
  <si>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</si>
  <si>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</si>
  <si>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</si>
  <si>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</si>
  <si>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</si>
  <si>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</si>
  <si>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</si>
  <si>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</si>
  <si>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</si>
  <si>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</si>
  <si>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</si>
  <si>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</si>
  <si>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</si>
  <si>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</si>
  <si>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</si>
  <si>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</si>
  <si>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</si>
  <si>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</si>
  <si>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</si>
  <si>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</si>
  <si>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</si>
  <si>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</si>
  <si>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</si>
  <si>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</si>
  <si>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</si>
  <si>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</si>
  <si>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</si>
  <si>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</si>
  <si>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</si>
  <si>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</si>
  <si>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</si>
  <si>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</si>
  <si>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</si>
  <si>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</si>
  <si>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</si>
  <si>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</si>
  <si>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</si>
  <si>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</si>
  <si>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</si>
  <si>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</si>
  <si>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</si>
  <si>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</si>
  <si>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</si>
  <si>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</si>
  <si>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</si>
  <si>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</si>
  <si>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</si>
  <si>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</si>
  <si>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</si>
  <si>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</si>
  <si>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</si>
  <si>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</si>
  <si>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</si>
  <si>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</si>
  <si>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</si>
  <si>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</si>
  <si>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</si>
  <si>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</si>
  <si>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</si>
  <si>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</si>
  <si>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</si>
  <si>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</si>
  <si>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</si>
  <si>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</si>
  <si>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</si>
  <si>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</si>
  <si>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</si>
  <si>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</si>
  <si>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</si>
  <si>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</si>
  <si>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</si>
  <si>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</si>
  <si>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</si>
  <si>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</si>
  <si>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</si>
  <si>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</si>
  <si>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</si>
  <si>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</si>
  <si>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</si>
  <si>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</si>
  <si>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</si>
  <si>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</si>
  <si>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</si>
  <si>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</si>
  <si>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</si>
  <si>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</si>
  <si>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</si>
  <si>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</si>
  <si>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</si>
  <si>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</si>
  <si>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</si>
  <si>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</si>
  <si>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</si>
  <si>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</si>
  <si>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</si>
  <si>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</si>
  <si>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</si>
  <si>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</si>
  <si>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</si>
  <si>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</si>
  <si>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</si>
  <si>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</si>
  <si>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</si>
  <si>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</si>
  <si>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</si>
  <si>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</si>
  <si>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</si>
  <si>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</si>
  <si>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</si>
  <si>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</si>
  <si>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</si>
  <si>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</si>
  <si>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</si>
  <si>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</si>
  <si>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</si>
  <si>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</si>
  <si>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</si>
  <si>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</si>
  <si>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</si>
  <si>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</si>
  <si>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</si>
  <si>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</si>
  <si>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</si>
  <si>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</si>
  <si>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</si>
  <si>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</si>
  <si>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</si>
  <si>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</si>
  <si>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</si>
  <si>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</si>
  <si>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</si>
  <si>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</si>
  <si>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</si>
  <si>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</si>
  <si>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</si>
  <si>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</si>
  <si>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</si>
  <si>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</si>
  <si>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</si>
  <si>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</si>
  <si>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</si>
  <si>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</si>
  <si>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</si>
  <si>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</si>
  <si>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</si>
  <si>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</si>
  <si>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</si>
  <si>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</si>
  <si>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</si>
  <si>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</si>
  <si>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</si>
  <si>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</si>
  <si>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</si>
  <si>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</si>
  <si>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</si>
  <si>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</si>
  <si>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</si>
  <si>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</si>
  <si>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</si>
  <si>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</si>
  <si>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</si>
  <si>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</si>
  <si>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</si>
  <si>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</si>
  <si>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</si>
  <si>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</si>
  <si>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</si>
  <si>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</si>
  <si>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</si>
  <si>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</si>
  <si>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</si>
  <si>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</si>
  <si>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</si>
  <si>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</si>
  <si>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</si>
  <si>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</si>
  <si>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</si>
  <si>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</si>
  <si>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</si>
  <si>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</si>
  <si>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</si>
  <si>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</si>
  <si>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</si>
  <si>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</si>
  <si>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</si>
  <si>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</si>
  <si>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</si>
  <si>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</si>
  <si>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</si>
  <si>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</si>
  <si>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</si>
  <si>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</si>
  <si>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</si>
  <si>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</si>
  <si>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</si>
  <si>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</si>
  <si>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</si>
  <si>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</si>
  <si>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</si>
  <si>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</si>
  <si>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</si>
  <si>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</si>
  <si>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</si>
  <si>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</si>
  <si>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</si>
  <si>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</si>
  <si>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</si>
  <si>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</si>
  <si>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</si>
  <si>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</si>
  <si>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</si>
  <si>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</si>
  <si>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</si>
  <si>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</si>
  <si>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</si>
  <si>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</si>
  <si>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</si>
  <si>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</si>
  <si>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</si>
  <si>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</si>
  <si>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</si>
  <si>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</si>
  <si>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</si>
  <si>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</si>
  <si>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</si>
  <si>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</si>
  <si>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</si>
  <si>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</si>
  <si>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</si>
  <si>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</si>
  <si>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</si>
  <si>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</si>
  <si>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</si>
  <si>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</si>
  <si>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</si>
  <si>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</si>
  <si>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</si>
  <si>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</si>
  <si>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</si>
  <si>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</si>
  <si>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</si>
  <si>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</si>
  <si>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</si>
  <si>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</si>
  <si>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</si>
  <si>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</si>
  <si>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</si>
  <si>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</si>
  <si>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</si>
  <si>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</si>
  <si>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</si>
  <si>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</si>
  <si>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</si>
  <si>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</si>
  <si>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</si>
  <si>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</si>
  <si>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</si>
  <si>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</si>
  <si>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</si>
  <si>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</si>
  <si>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</si>
  <si>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</si>
  <si>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</si>
  <si>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</si>
  <si>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</si>
  <si>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</si>
  <si>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</si>
  <si>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</si>
  <si>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</si>
  <si>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</si>
  <si>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</si>
  <si>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</si>
  <si>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</si>
  <si>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</si>
  <si>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</si>
  <si>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</si>
  <si>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</si>
  <si>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</si>
  <si>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</si>
  <si>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</si>
  <si>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</si>
  <si>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</si>
  <si>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</si>
  <si>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</si>
  <si>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</si>
  <si>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</si>
  <si>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</si>
  <si>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</si>
  <si>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</si>
  <si>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</si>
  <si>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</si>
  <si>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</si>
  <si>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</si>
  <si>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</si>
  <si>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</si>
  <si>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</si>
  <si>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</si>
  <si>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</si>
  <si>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</si>
  <si>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</si>
  <si>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</si>
  <si>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</si>
  <si>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</si>
  <si>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</si>
  <si>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</si>
  <si>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</si>
  <si>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</si>
  <si>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</si>
  <si>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</si>
  <si>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</si>
  <si>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</si>
  <si>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</si>
  <si>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</si>
  <si>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</si>
  <si>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</si>
  <si>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</si>
  <si>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</si>
  <si>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</si>
  <si>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</si>
  <si>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</si>
  <si>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</si>
  <si>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</si>
  <si>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</si>
  <si>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</si>
  <si>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</si>
  <si>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</si>
  <si>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</si>
  <si>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</si>
  <si>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</si>
  <si>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</si>
  <si>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</si>
  <si>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</si>
  <si>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</si>
  <si>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</si>
  <si>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</si>
  <si>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</si>
  <si>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</si>
  <si>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</si>
  <si>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</si>
  <si>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</si>
  <si>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</si>
  <si>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</si>
  <si>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</si>
  <si>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</si>
  <si>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</si>
  <si>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</si>
  <si>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</si>
  <si>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</si>
  <si>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</si>
  <si>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</si>
  <si>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</si>
  <si>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</si>
  <si>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</si>
  <si>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</si>
  <si>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</si>
  <si>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</si>
  <si>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</si>
  <si>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</si>
  <si>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</si>
  <si>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</si>
  <si>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</si>
  <si>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</si>
  <si>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</si>
  <si>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</si>
  <si>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</si>
  <si>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</si>
  <si>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</si>
  <si>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</si>
  <si>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</si>
  <si>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</si>
  <si>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</si>
  <si>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</si>
  <si>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</si>
  <si>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</si>
  <si>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</si>
  <si>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</si>
  <si>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</si>
  <si>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</si>
  <si>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</si>
  <si>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</si>
  <si>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</si>
  <si>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</si>
  <si>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</si>
  <si>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</si>
  <si>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</si>
  <si>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</si>
  <si>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</si>
  <si>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</si>
  <si>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</si>
  <si>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</si>
  <si>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</si>
  <si>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</si>
  <si>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</si>
  <si>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</si>
  <si>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</si>
  <si>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</si>
  <si>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</si>
  <si>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</si>
  <si>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</si>
  <si>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</si>
  <si>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</si>
  <si>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</si>
  <si>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</si>
  <si>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</si>
  <si>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</si>
  <si>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</si>
  <si>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</si>
  <si>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</si>
  <si>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</si>
  <si>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</si>
  <si>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</si>
  <si>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</si>
  <si>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</si>
  <si>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</si>
  <si>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</si>
  <si>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</si>
  <si>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</si>
  <si>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</si>
  <si>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</si>
  <si>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</si>
  <si>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</si>
  <si>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</si>
  <si>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</si>
  <si>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</si>
  <si>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</si>
  <si>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</si>
  <si>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</si>
  <si>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</si>
  <si>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</si>
  <si>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</si>
  <si>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</si>
  <si>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</si>
  <si>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</si>
  <si>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</si>
  <si>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</si>
  <si>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</si>
  <si>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</si>
  <si>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</si>
  <si>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</si>
  <si>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</si>
  <si>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</si>
  <si>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</si>
  <si>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</si>
  <si>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</si>
  <si>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</si>
  <si>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</si>
  <si>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</si>
  <si>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</si>
  <si>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</si>
  <si>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</si>
  <si>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</si>
  <si>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</si>
  <si>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</si>
  <si>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</si>
  <si>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</si>
  <si>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</si>
  <si>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</si>
  <si>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</si>
  <si>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</si>
  <si>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</si>
  <si>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</si>
  <si>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</si>
  <si>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</si>
  <si>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</si>
  <si>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</si>
  <si>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</si>
  <si>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</si>
  <si>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</si>
  <si>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</si>
  <si>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</si>
  <si>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</si>
  <si>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</si>
  <si>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</si>
  <si>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</si>
  <si>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</si>
  <si>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</si>
  <si>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</si>
  <si>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</si>
  <si>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</si>
  <si>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</si>
  <si>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</si>
  <si>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</si>
  <si>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</si>
  <si>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</si>
  <si>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</si>
  <si>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</si>
  <si>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</si>
  <si>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</si>
  <si>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</si>
  <si>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</si>
  <si>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</si>
  <si>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</si>
  <si>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</si>
  <si>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</si>
  <si>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</si>
  <si>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</si>
  <si>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</si>
  <si>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</si>
  <si>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</si>
  <si>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</si>
  <si>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</si>
  <si>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</si>
  <si>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</si>
  <si>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</si>
  <si>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</si>
  <si>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</si>
  <si>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</si>
  <si>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</si>
  <si>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</si>
  <si>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</si>
  <si>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</si>
  <si>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</si>
  <si>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</si>
  <si>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</si>
  <si>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</si>
  <si>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</si>
  <si>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</si>
  <si>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</si>
  <si>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</si>
  <si>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</si>
  <si>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</si>
  <si>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</si>
  <si>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</si>
  <si>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</si>
  <si>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</si>
  <si>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</si>
  <si>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</si>
  <si>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</si>
  <si>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</si>
  <si>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</si>
  <si>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</si>
  <si>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</si>
  <si>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</si>
  <si>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</si>
  <si>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</si>
  <si>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</si>
  <si>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</si>
  <si>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</si>
  <si>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</si>
  <si>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</si>
  <si>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</si>
  <si>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</si>
  <si>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</si>
  <si>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</si>
  <si>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</si>
  <si>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</si>
  <si>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</si>
  <si>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</si>
  <si>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</si>
  <si>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</si>
  <si>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</si>
  <si>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</si>
  <si>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</si>
  <si>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</si>
  <si>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</si>
  <si>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</si>
  <si>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</si>
  <si>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</si>
  <si>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</si>
  <si>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</si>
  <si>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</si>
  <si>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</si>
  <si>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</si>
  <si>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</si>
  <si>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</si>
  <si>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</si>
  <si>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</si>
  <si>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</si>
  <si>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</si>
  <si>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</si>
  <si>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</si>
  <si>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</si>
  <si>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</si>
  <si>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</si>
  <si>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</si>
  <si>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</si>
  <si>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</si>
  <si>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</si>
  <si>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</si>
  <si>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</si>
  <si>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</si>
  <si>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</si>
  <si>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</si>
  <si>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</si>
  <si>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</si>
  <si>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</si>
  <si>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</si>
  <si>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</si>
  <si>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</si>
  <si>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</si>
  <si>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</si>
  <si>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</si>
  <si>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</si>
  <si>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</si>
  <si>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</si>
  <si>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</si>
  <si>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</si>
  <si>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</si>
  <si>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</si>
  <si>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</si>
  <si>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</si>
  <si>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</si>
  <si>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</si>
  <si>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</si>
  <si>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</si>
  <si>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</si>
  <si>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</si>
  <si>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</si>
  <si>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</si>
  <si>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</si>
  <si>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</si>
  <si>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</si>
  <si>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</si>
  <si>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</si>
  <si>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</si>
  <si>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</si>
  <si>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</si>
  <si>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</si>
  <si>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</si>
  <si>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</si>
  <si>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</si>
  <si>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</si>
  <si>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</si>
  <si>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</si>
  <si>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</si>
  <si>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</si>
  <si>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</si>
  <si>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</si>
  <si>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</si>
  <si>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</si>
  <si>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</si>
  <si>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</si>
  <si>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</si>
  <si>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</si>
  <si>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</si>
  <si>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</si>
  <si>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</si>
  <si>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</si>
  <si>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</si>
  <si>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</si>
  <si>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</si>
  <si>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</si>
  <si>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</si>
  <si>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</si>
  <si>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</si>
  <si>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</si>
  <si>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</si>
  <si>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</si>
  <si>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</si>
  <si>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</si>
  <si>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</si>
  <si>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</si>
  <si>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</si>
  <si>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</si>
  <si>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</si>
  <si>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</si>
  <si>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</si>
  <si>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</si>
  <si>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</si>
  <si>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</si>
  <si>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</si>
  <si>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</si>
  <si>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</si>
  <si>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</si>
  <si>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</si>
  <si>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</si>
  <si>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</si>
  <si>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</si>
  <si>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</si>
  <si>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</si>
  <si>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</si>
  <si>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</si>
  <si>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</si>
  <si>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</si>
  <si>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</si>
  <si>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</si>
  <si>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</si>
  <si>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</si>
  <si>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</si>
  <si>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</si>
  <si>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</si>
  <si>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</si>
  <si>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</si>
  <si>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</si>
  <si>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</si>
  <si>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</si>
  <si>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</si>
  <si>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</si>
  <si>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</si>
  <si>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</si>
  <si>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</si>
  <si>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</si>
  <si>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</si>
  <si>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</si>
  <si>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</si>
  <si>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</si>
  <si>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</si>
  <si>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</si>
  <si>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</si>
  <si>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</si>
  <si>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</si>
  <si>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</si>
  <si>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</si>
  <si>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</si>
  <si>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</si>
  <si>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</si>
  <si>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</si>
  <si>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</si>
  <si>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</si>
  <si>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</si>
  <si>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</si>
  <si>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</si>
  <si>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</si>
  <si>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</si>
  <si>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</si>
  <si>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</si>
  <si>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</si>
  <si>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</si>
  <si>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</si>
  <si>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</si>
  <si>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</si>
  <si>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</si>
  <si>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</si>
  <si>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</si>
  <si>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</si>
  <si>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</si>
  <si>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</si>
  <si>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</si>
  <si>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</si>
  <si>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</si>
  <si>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</si>
  <si>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</si>
  <si>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</si>
  <si>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</si>
  <si>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</si>
  <si>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</si>
  <si>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</si>
  <si>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</si>
  <si>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</si>
  <si>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</si>
  <si>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</si>
  <si>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</si>
  <si>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</si>
  <si>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</si>
  <si>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</si>
  <si>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</si>
  <si>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</si>
  <si>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</si>
  <si>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</si>
  <si>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</si>
  <si>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</si>
  <si>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</si>
  <si>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</si>
  <si>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</si>
  <si>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</si>
  <si>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</si>
  <si>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</si>
  <si>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</si>
  <si>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</si>
  <si>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</si>
  <si>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</si>
  <si>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</si>
  <si>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</si>
  <si>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</si>
  <si>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</si>
  <si>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</si>
  <si>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</si>
  <si>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</si>
  <si>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</si>
  <si>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</si>
  <si>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</si>
  <si>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</si>
  <si>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</si>
  <si>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</si>
  <si>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</si>
  <si>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</si>
  <si>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</si>
  <si>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</si>
  <si>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</si>
  <si>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</si>
  <si>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</si>
  <si>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</si>
  <si>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</si>
  <si>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</si>
  <si>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</si>
  <si>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</si>
  <si>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</si>
  <si>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</si>
  <si>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</si>
  <si>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</si>
  <si>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</si>
  <si>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</si>
  <si>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</si>
  <si>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</si>
  <si>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</si>
  <si>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</si>
  <si>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</si>
  <si>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</si>
  <si>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</si>
  <si>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</si>
  <si>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</si>
  <si>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</si>
  <si>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</si>
  <si>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</si>
  <si>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</si>
  <si>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</si>
  <si>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</si>
  <si>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</si>
  <si>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</si>
  <si>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</si>
  <si>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</si>
  <si>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</si>
  <si>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</si>
  <si>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</si>
  <si>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</si>
  <si>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</si>
  <si>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</si>
  <si>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</si>
  <si>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</si>
  <si>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</si>
  <si>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</si>
  <si>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</si>
  <si>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</si>
  <si>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</si>
  <si>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</si>
  <si>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</si>
  <si>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</si>
  <si>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</si>
  <si>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</si>
  <si>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</si>
  <si>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</si>
  <si>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</si>
  <si>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</si>
  <si>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</si>
  <si>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</si>
  <si>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</si>
  <si>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</si>
  <si>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</si>
  <si>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</si>
  <si>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</si>
  <si>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</si>
  <si>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</si>
  <si>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</si>
  <si>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</si>
  <si>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</si>
  <si>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</si>
  <si>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</si>
  <si>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</si>
  <si>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</si>
  <si>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</si>
  <si>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</si>
  <si>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</si>
  <si>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</si>
  <si>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</si>
  <si>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</si>
  <si>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</si>
  <si>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</si>
  <si>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</si>
  <si>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</si>
  <si>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</si>
  <si>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</si>
  <si>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</si>
  <si>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</si>
  <si>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</si>
  <si>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</si>
  <si>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</si>
  <si>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</si>
  <si>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</si>
  <si>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</si>
  <si>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</si>
  <si>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</si>
  <si>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</si>
  <si>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</si>
  <si>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</si>
  <si>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</si>
  <si>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</si>
  <si>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</si>
  <si>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</si>
  <si>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</si>
  <si>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</si>
  <si>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</si>
  <si>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</si>
  <si>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</si>
  <si>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</si>
  <si>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</si>
  <si>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</si>
  <si>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</si>
  <si>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</si>
  <si>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</si>
  <si>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</si>
  <si>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</si>
  <si>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</si>
  <si>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</si>
  <si>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</si>
  <si>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</si>
  <si>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</si>
  <si>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</si>
  <si>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</si>
  <si>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</si>
  <si>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</si>
  <si>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</si>
  <si>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</si>
  <si>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</si>
  <si>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</si>
  <si>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</si>
  <si>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</si>
  <si>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</si>
  <si>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</si>
  <si>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</si>
  <si>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</si>
  <si>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</si>
  <si>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</si>
  <si>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</si>
  <si>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</si>
  <si>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</si>
  <si>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</si>
  <si>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</si>
  <si>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</si>
  <si>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</si>
  <si>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</si>
  <si>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</si>
  <si>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</si>
  <si>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</si>
  <si>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</si>
  <si>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</si>
  <si>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</si>
  <si>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</si>
  <si>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</si>
  <si>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</si>
  <si>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</si>
  <si>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</si>
  <si>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</si>
  <si>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</si>
  <si>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</si>
  <si>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</si>
  <si>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</si>
  <si>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</si>
  <si>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</si>
  <si>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</si>
  <si>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</si>
  <si>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</si>
  <si>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</si>
  <si>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</si>
  <si>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</si>
  <si>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</si>
  <si>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</si>
  <si>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</si>
  <si>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</si>
  <si>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</si>
  <si>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</si>
  <si>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</si>
  <si>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</si>
  <si>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</si>
  <si>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</si>
  <si>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</si>
  <si>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</si>
  <si>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</si>
  <si>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</si>
  <si>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</si>
  <si>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</si>
  <si>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</si>
  <si>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</si>
  <si>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</si>
  <si>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</si>
  <si>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</si>
  <si>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</si>
  <si>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</si>
  <si>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</si>
  <si>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</si>
  <si>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</si>
  <si>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</si>
  <si>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</si>
  <si>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</si>
  <si>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</si>
  <si>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</si>
  <si>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</si>
  <si>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</si>
  <si>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</si>
  <si>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</si>
  <si>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</si>
  <si>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</si>
  <si>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</si>
  <si>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</si>
  <si>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</si>
  <si>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</si>
  <si>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</si>
  <si>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</si>
  <si>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</si>
  <si>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</si>
  <si>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</si>
  <si>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</si>
  <si>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</si>
  <si>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</si>
  <si>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</si>
  <si>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</si>
  <si>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</si>
  <si>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</si>
  <si>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</si>
  <si>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</si>
  <si>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</si>
  <si>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</si>
  <si>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</si>
  <si>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</si>
  <si>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</si>
  <si>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</si>
  <si>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</si>
  <si>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</si>
  <si>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</si>
  <si>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</si>
  <si>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</si>
  <si>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</si>
  <si>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</si>
  <si>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</si>
  <si>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</si>
  <si>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</si>
  <si>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</si>
  <si>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</si>
  <si>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</si>
  <si>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</si>
  <si>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</si>
  <si>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</si>
  <si>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</si>
  <si>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</si>
  <si>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</si>
  <si>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</si>
  <si>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</si>
  <si>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</si>
  <si>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</si>
  <si>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</si>
  <si>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</si>
  <si>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</si>
  <si>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</si>
  <si>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</si>
  <si>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</si>
  <si>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</si>
  <si>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</si>
  <si>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</si>
  <si>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</si>
  <si>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</si>
  <si>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</si>
  <si>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</si>
  <si>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</si>
  <si>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</si>
  <si>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</si>
  <si>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</si>
  <si>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</si>
  <si>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</si>
  <si>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</si>
  <si>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</si>
  <si>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</si>
  <si>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</si>
  <si>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</si>
  <si>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</si>
  <si>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</si>
  <si>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</si>
  <si>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</si>
  <si>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</si>
  <si>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</si>
  <si>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</si>
  <si>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</si>
  <si>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</si>
  <si>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</si>
  <si>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</si>
  <si>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</si>
  <si>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</si>
  <si>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</si>
  <si>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</si>
  <si>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</si>
  <si>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</si>
  <si>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</si>
  <si>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</si>
  <si>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</si>
  <si>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</si>
  <si>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</si>
  <si>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</si>
  <si>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</si>
  <si>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</si>
  <si>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</si>
  <si>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</si>
  <si>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</si>
  <si>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</si>
  <si>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</si>
  <si>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</si>
  <si>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</si>
  <si>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</si>
  <si>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</si>
  <si>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</si>
  <si>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</si>
  <si>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</si>
  <si>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</si>
  <si>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</si>
  <si>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</si>
  <si>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</si>
  <si>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</si>
  <si>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</si>
  <si>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</si>
  <si>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</si>
  <si>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</si>
  <si>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</si>
  <si>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</si>
  <si>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</si>
  <si>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</si>
  <si>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</si>
  <si>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</si>
  <si>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</si>
  <si>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</si>
  <si>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</si>
  <si>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</si>
  <si>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</si>
  <si>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</si>
  <si>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</si>
  <si>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</si>
  <si>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</si>
  <si>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</si>
  <si>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</si>
  <si>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</si>
  <si>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</si>
  <si>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</si>
  <si>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</si>
  <si>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</si>
  <si>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</si>
  <si>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</si>
  <si>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</si>
  <si>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</si>
  <si>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</si>
  <si>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</si>
  <si>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</si>
  <si>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</si>
  <si>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</si>
  <si>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</si>
  <si>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</si>
  <si>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</si>
  <si>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</si>
  <si>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</si>
  <si>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</si>
  <si>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</si>
  <si>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</si>
  <si>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</si>
  <si>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</si>
  <si>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</si>
  <si>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</si>
  <si>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</si>
  <si>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</si>
  <si>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</si>
  <si>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</si>
  <si>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</si>
  <si>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</si>
  <si>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</si>
  <si>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</si>
  <si>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</si>
  <si>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</si>
  <si>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</si>
  <si>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</si>
  <si>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</si>
  <si>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</si>
  <si>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</si>
  <si>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</si>
  <si>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</si>
  <si>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</si>
  <si>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</si>
  <si>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</si>
  <si>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</si>
  <si>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</si>
  <si>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</si>
  <si>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</si>
  <si>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</si>
  <si>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</si>
  <si>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</si>
  <si>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</si>
  <si>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</si>
  <si>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</si>
  <si>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</si>
  <si>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</si>
  <si>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</si>
  <si>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</si>
  <si>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</si>
  <si>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</si>
  <si>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</si>
  <si>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</si>
  <si>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</si>
  <si>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</si>
  <si>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</si>
  <si>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</si>
  <si>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</si>
  <si>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</si>
  <si>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</si>
  <si>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</si>
  <si>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</si>
  <si>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</si>
  <si>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</si>
  <si>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</si>
  <si>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</si>
  <si>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</si>
  <si>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</si>
  <si>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</si>
  <si>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</si>
  <si>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</si>
  <si>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</si>
  <si>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</si>
  <si>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</si>
  <si>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</si>
  <si>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</si>
  <si>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</si>
  <si>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</si>
  <si>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</si>
  <si>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</si>
  <si>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</si>
  <si>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</si>
  <si>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</si>
  <si>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</si>
  <si>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</si>
  <si>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</si>
  <si>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</si>
  <si>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</si>
  <si>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</si>
  <si>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</si>
  <si>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</si>
  <si>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</si>
  <si>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</si>
  <si>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</si>
  <si>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</si>
  <si>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</si>
  <si>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</si>
  <si>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</si>
  <si>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</si>
  <si>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</si>
  <si>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</si>
  <si>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</si>
  <si>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</si>
  <si>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</si>
  <si>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</si>
  <si>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</si>
  <si>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</si>
  <si>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</si>
  <si>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</si>
  <si>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</si>
  <si>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</si>
  <si>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</si>
  <si>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</si>
  <si>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</si>
  <si>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</si>
  <si>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</si>
  <si>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</si>
  <si>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</si>
  <si>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</si>
  <si>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</si>
  <si>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</si>
  <si>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</si>
  <si>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</si>
  <si>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</si>
  <si>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</si>
  <si>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</si>
  <si>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</si>
  <si>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</si>
  <si>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</si>
  <si>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</si>
  <si>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</si>
  <si>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</si>
  <si>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</si>
  <si>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</si>
  <si>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</si>
  <si>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</si>
  <si>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</si>
  <si>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</si>
  <si>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</si>
  <si>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</si>
  <si>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</si>
  <si>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</si>
  <si>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</si>
  <si>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</si>
  <si>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</si>
  <si>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</si>
  <si>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</si>
  <si>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</si>
  <si>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</si>
  <si>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</si>
  <si>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</si>
  <si>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</si>
  <si>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</si>
  <si>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</si>
  <si>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</si>
  <si>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</si>
  <si>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</si>
  <si>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</si>
  <si>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</si>
  <si>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</si>
  <si>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</si>
  <si>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</si>
  <si>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</si>
  <si>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</si>
  <si>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</si>
  <si>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</si>
  <si>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</si>
  <si>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</si>
  <si>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</si>
  <si>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</si>
  <si>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</si>
  <si>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</si>
  <si>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</si>
  <si>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</si>
  <si>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</si>
  <si>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</si>
  <si>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</si>
  <si>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</si>
  <si>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</si>
  <si>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</si>
  <si>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</si>
  <si>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</si>
  <si>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</si>
  <si>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</si>
  <si>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</si>
  <si>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</si>
  <si>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</si>
  <si>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</si>
  <si>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</si>
  <si>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</si>
  <si>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</si>
  <si>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</si>
  <si>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</si>
  <si>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</si>
  <si>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</si>
  <si>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</si>
  <si>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</si>
  <si>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</si>
  <si>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</si>
  <si>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</si>
  <si>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</si>
  <si>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</si>
  <si>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</si>
  <si>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</si>
  <si>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</si>
  <si>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</si>
  <si>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</si>
  <si>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</si>
  <si>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</si>
  <si>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</si>
  <si>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</si>
  <si>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</si>
  <si>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</si>
  <si>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</si>
  <si>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</si>
  <si>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</si>
  <si>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</si>
  <si>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</si>
  <si>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</si>
  <si>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</si>
  <si>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</si>
  <si>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</si>
  <si>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</si>
  <si>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</si>
  <si>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</si>
  <si>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</si>
  <si>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</si>
  <si>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</si>
  <si>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</si>
  <si>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</si>
  <si>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</si>
  <si>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</si>
  <si>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</si>
  <si>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</si>
  <si>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</si>
  <si>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</si>
  <si>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</si>
  <si>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</si>
  <si>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</si>
  <si>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</si>
  <si>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</si>
  <si>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</si>
  <si>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</si>
  <si>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</si>
  <si>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</si>
  <si>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</si>
  <si>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</si>
  <si>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</si>
  <si>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</si>
  <si>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</si>
  <si>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</si>
  <si>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</si>
  <si>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</si>
  <si>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</si>
  <si>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</si>
  <si>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</si>
  <si>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</si>
  <si>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</si>
  <si>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</si>
  <si>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</si>
  <si>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</si>
  <si>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</si>
  <si>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</si>
  <si>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</si>
  <si>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</si>
  <si>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</si>
  <si>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</si>
  <si>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</si>
  <si>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</si>
  <si>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</si>
  <si>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</si>
  <si>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</si>
  <si>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</si>
  <si>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</si>
  <si>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</si>
  <si>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</si>
  <si>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</si>
  <si>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</si>
  <si>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</si>
  <si>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</si>
  <si>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</si>
  <si>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</si>
  <si>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</si>
  <si>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</si>
  <si>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</si>
  <si>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</si>
  <si>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</si>
  <si>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</si>
  <si>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</si>
  <si>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</si>
  <si>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</si>
  <si>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</si>
  <si>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</si>
  <si>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</si>
  <si>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</si>
  <si>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</si>
  <si>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</si>
  <si>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</si>
  <si>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</si>
  <si>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</si>
  <si>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</si>
  <si>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</si>
  <si>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</si>
  <si>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</si>
  <si>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</si>
  <si>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</si>
  <si>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</si>
  <si>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</si>
  <si>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</si>
  <si>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</si>
  <si>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</si>
  <si>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</si>
  <si>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</si>
  <si>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</si>
  <si>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</si>
  <si>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</si>
  <si>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</si>
  <si>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</si>
  <si>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</si>
  <si>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</si>
  <si>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</si>
  <si>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</si>
  <si>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</si>
  <si>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</si>
  <si>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</si>
  <si>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</si>
  <si>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</si>
  <si>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</si>
  <si>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</si>
  <si>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</si>
  <si>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</si>
  <si>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</si>
  <si>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</si>
  <si>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</si>
  <si>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</si>
  <si>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</si>
  <si>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</si>
  <si>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</si>
  <si>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</si>
  <si>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</si>
  <si>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</si>
  <si>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</si>
  <si>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</si>
  <si>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</si>
  <si>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</si>
  <si>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</si>
  <si>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</si>
  <si>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</si>
  <si>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</si>
  <si>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</si>
  <si>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</si>
  <si>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</si>
  <si>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</si>
  <si>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</si>
  <si>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</si>
  <si>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</si>
  <si>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</si>
  <si>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</si>
  <si>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</si>
  <si>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</si>
  <si>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</si>
  <si>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</si>
  <si>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</si>
  <si>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</si>
  <si>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</si>
  <si>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</si>
  <si>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</si>
  <si>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</si>
  <si>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</si>
  <si>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</si>
  <si>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</si>
  <si>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</si>
  <si>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</si>
  <si>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</si>
  <si>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</si>
  <si>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</si>
  <si>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</si>
  <si>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</si>
  <si>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</si>
  <si>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</si>
  <si>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</si>
  <si>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</si>
  <si>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</si>
  <si>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</si>
  <si>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</si>
  <si>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</si>
  <si>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</si>
  <si>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</si>
  <si>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</si>
  <si>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</si>
  <si>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</si>
  <si>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</si>
  <si>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</si>
  <si>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</si>
  <si>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</si>
  <si>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</si>
  <si>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</si>
  <si>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</si>
  <si>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</si>
  <si>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</si>
  <si>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</si>
  <si>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</si>
  <si>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</si>
  <si>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</si>
  <si>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</si>
  <si>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</si>
  <si>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</si>
  <si>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</si>
  <si>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</si>
  <si>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</si>
  <si>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</si>
  <si>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</si>
  <si>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</si>
  <si>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</si>
  <si>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</si>
  <si>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</si>
  <si>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</si>
  <si>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</si>
  <si>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</si>
  <si>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</si>
  <si>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</si>
  <si>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</si>
  <si>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</si>
  <si>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</si>
  <si>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</si>
  <si>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</si>
  <si>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</si>
  <si>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</si>
  <si>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</si>
  <si>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</si>
  <si>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</si>
  <si>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</si>
  <si>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</si>
  <si>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</si>
  <si>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</si>
  <si>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</si>
  <si>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</si>
  <si>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</si>
  <si>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</si>
  <si>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</si>
  <si>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</si>
  <si>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</si>
  <si>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</si>
  <si>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</si>
  <si>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</si>
  <si>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</si>
  <si>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</si>
  <si>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</si>
  <si>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</si>
  <si>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</si>
  <si>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</si>
  <si>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</si>
  <si>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</si>
  <si>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</si>
  <si>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</si>
  <si>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</si>
  <si>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</si>
  <si>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</si>
  <si>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</si>
  <si>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</si>
  <si>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</si>
  <si>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</si>
  <si>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</si>
  <si>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</si>
  <si>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</si>
  <si>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</si>
  <si>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</si>
  <si>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</si>
  <si>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</si>
  <si>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</si>
  <si>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</si>
  <si>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</si>
  <si>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</si>
  <si>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</si>
  <si>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</si>
  <si>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</si>
  <si>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</si>
  <si>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</si>
  <si>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</si>
  <si>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</si>
  <si>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</si>
  <si>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</si>
  <si>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</si>
  <si>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</si>
  <si>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</si>
  <si>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</si>
  <si>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</si>
  <si>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</si>
  <si>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</si>
  <si>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</si>
  <si>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</si>
  <si>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</si>
  <si>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</si>
  <si>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</si>
  <si>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</si>
  <si>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</si>
  <si>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</si>
  <si>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</si>
  <si>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</si>
  <si>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</si>
  <si>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</si>
  <si>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</si>
  <si>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</si>
  <si>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</si>
  <si>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</si>
  <si>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</si>
  <si>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</si>
  <si>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</si>
  <si>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</si>
  <si>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</si>
  <si>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</si>
  <si>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</si>
  <si>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</si>
  <si>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</si>
  <si>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</si>
  <si>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</si>
  <si>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</si>
  <si>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</si>
  <si>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</si>
  <si>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</si>
  <si>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</si>
  <si>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</si>
  <si>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</si>
  <si>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</si>
  <si>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</si>
  <si>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</si>
  <si>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</si>
  <si>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</si>
  <si>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</si>
  <si>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</si>
  <si>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</si>
  <si>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</si>
  <si>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</si>
  <si>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</si>
  <si>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</si>
  <si>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</si>
  <si>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</si>
  <si>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</si>
  <si>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</si>
  <si>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</si>
  <si>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</si>
  <si>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</si>
  <si>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</si>
  <si>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</si>
  <si>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</si>
  <si>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</si>
  <si>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</si>
  <si>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</si>
  <si>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</si>
  <si>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</si>
  <si>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</si>
  <si>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</si>
  <si>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</si>
  <si>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</si>
  <si>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</si>
  <si>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</si>
  <si>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</si>
  <si>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</si>
  <si>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</si>
  <si>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</si>
  <si>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</si>
  <si>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</si>
  <si>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</si>
  <si>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</si>
  <si>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</si>
  <si>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</si>
  <si>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</si>
  <si>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</si>
  <si>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</si>
  <si>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</si>
  <si>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</si>
  <si>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</si>
  <si>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</si>
  <si>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</si>
  <si>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</si>
  <si>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</si>
  <si>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</si>
  <si>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</si>
  <si>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</si>
  <si>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</si>
  <si>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</si>
  <si>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</si>
  <si>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</si>
  <si>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</si>
  <si>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</si>
  <si>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</si>
  <si>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</si>
  <si>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</si>
  <si>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</si>
  <si>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</si>
  <si>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</si>
  <si>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</si>
  <si>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</si>
  <si>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</si>
  <si>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</si>
  <si>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</si>
  <si>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</si>
  <si>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</si>
  <si>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</si>
  <si>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</si>
  <si>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</si>
  <si>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</si>
  <si>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</si>
  <si>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</si>
  <si>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</si>
  <si>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</si>
  <si>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</si>
  <si>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</si>
  <si>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</si>
  <si>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</si>
  <si>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</si>
  <si>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</si>
  <si>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</si>
  <si>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</si>
  <si>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</si>
  <si>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</si>
  <si>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</si>
  <si>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</si>
  <si>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</si>
  <si>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</si>
  <si>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</si>
  <si>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</si>
  <si>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</si>
  <si>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</si>
  <si>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</si>
  <si>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</si>
  <si>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</si>
  <si>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</si>
  <si>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</si>
  <si>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</si>
  <si>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</si>
  <si>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</si>
  <si>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</si>
  <si>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</si>
  <si>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</si>
  <si>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</si>
  <si>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</si>
  <si>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</si>
  <si>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</si>
  <si>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</si>
  <si>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</si>
  <si>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</si>
  <si>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</si>
  <si>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</si>
  <si>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</si>
  <si>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</si>
  <si>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</si>
  <si>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</si>
  <si>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</si>
  <si>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</si>
  <si>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</si>
  <si>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</si>
  <si>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</si>
  <si>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</si>
  <si>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</si>
  <si>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</si>
  <si>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</si>
  <si>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</si>
  <si>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</si>
  <si>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</si>
  <si>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</si>
  <si>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</si>
  <si>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</si>
  <si>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</si>
  <si>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</si>
  <si>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</si>
  <si>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</si>
  <si>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</si>
  <si>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</si>
  <si>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</si>
  <si>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</si>
  <si>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</si>
  <si>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</si>
  <si>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</si>
  <si>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</si>
  <si>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</si>
  <si>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</si>
  <si>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</si>
  <si>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</si>
  <si>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</si>
  <si>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</si>
  <si>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</si>
  <si>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</si>
  <si>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</si>
  <si>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</si>
  <si>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</si>
  <si>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</si>
  <si>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</si>
  <si>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</si>
  <si>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</si>
  <si>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</si>
  <si>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</si>
  <si>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</si>
  <si>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</si>
  <si>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</si>
  <si>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</si>
  <si>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</si>
  <si>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</si>
  <si>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</si>
  <si>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</si>
  <si>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</si>
  <si>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</si>
  <si>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</si>
  <si>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</si>
  <si>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</si>
  <si>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</si>
  <si>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</si>
  <si>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</si>
  <si>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</si>
  <si>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</si>
  <si>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</si>
  <si>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</si>
  <si>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</si>
  <si>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</si>
  <si>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</si>
  <si>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</si>
  <si>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</si>
  <si>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</si>
  <si>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</si>
  <si>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</si>
  <si>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</si>
  <si>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</si>
  <si>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</si>
  <si>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</si>
  <si>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</si>
  <si>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</si>
  <si>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</si>
  <si>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</si>
  <si>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</si>
  <si>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</si>
  <si>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</si>
  <si>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</si>
  <si>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</si>
  <si>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</si>
  <si>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</si>
  <si>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</si>
  <si>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</si>
  <si>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</si>
  <si>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</si>
  <si>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</si>
  <si>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</si>
  <si>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</si>
  <si>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</si>
  <si>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</si>
  <si>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</si>
  <si>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</si>
  <si>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</si>
  <si>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</si>
  <si>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</si>
  <si>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</si>
  <si>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</si>
  <si>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</si>
  <si>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</si>
  <si>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</si>
  <si>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</si>
  <si>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</si>
  <si>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</si>
  <si>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</si>
  <si>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</si>
  <si>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</si>
  <si>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</si>
  <si>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</si>
  <si>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</si>
  <si>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</si>
  <si>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</si>
  <si>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</si>
  <si>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</si>
  <si>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</si>
  <si>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</si>
  <si>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</si>
  <si>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</si>
  <si>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</si>
  <si>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</si>
  <si>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</si>
  <si>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</si>
  <si>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</si>
  <si>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</si>
  <si>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</si>
  <si>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</si>
  <si>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</si>
  <si>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</si>
  <si>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</si>
  <si>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</si>
  <si>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</si>
  <si>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</si>
  <si>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</si>
  <si>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</si>
  <si>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</si>
  <si>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</si>
  <si>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</si>
  <si>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</si>
  <si>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</si>
  <si>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</si>
  <si>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</si>
  <si>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</si>
  <si>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</si>
  <si>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</si>
  <si>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</si>
  <si>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</si>
  <si>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</si>
  <si>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</si>
  <si>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</si>
  <si>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</si>
  <si>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</si>
  <si>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</si>
  <si>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</si>
  <si>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</si>
  <si>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</si>
  <si>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</si>
  <si>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</si>
  <si>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</si>
  <si>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</si>
  <si>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</si>
  <si>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</si>
  <si>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</si>
  <si>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</si>
  <si>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</si>
  <si>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</si>
  <si>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</si>
  <si>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</si>
  <si>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</si>
  <si>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</si>
  <si>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</si>
  <si>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</si>
  <si>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</si>
  <si>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</si>
  <si>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</si>
  <si>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</si>
  <si>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</si>
  <si>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</si>
  <si>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</si>
  <si>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</si>
  <si>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</si>
  <si>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</si>
  <si>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</si>
  <si>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</si>
  <si>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</si>
  <si>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</si>
  <si>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</si>
  <si>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</si>
  <si>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</si>
  <si>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</si>
  <si>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</si>
  <si>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</si>
  <si>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</si>
  <si>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</si>
  <si>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</si>
  <si>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</si>
  <si>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</si>
  <si>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</si>
  <si>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</si>
  <si>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</si>
  <si>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</si>
  <si>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</si>
  <si>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</si>
  <si>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</si>
  <si>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</si>
  <si>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</si>
  <si>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</si>
  <si>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</si>
  <si>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</si>
  <si>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</si>
  <si>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</si>
  <si>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</si>
  <si>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</si>
  <si>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</si>
  <si>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</si>
  <si>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</si>
  <si>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</si>
  <si>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</si>
  <si>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</si>
  <si>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</si>
  <si>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</si>
  <si>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</si>
  <si>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</si>
  <si>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</si>
  <si>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</si>
  <si>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</si>
  <si>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</si>
  <si>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</si>
  <si>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</si>
  <si>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</si>
  <si>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</si>
  <si>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</si>
  <si>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</si>
  <si>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</si>
  <si>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</si>
  <si>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</si>
  <si>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</si>
  <si>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</si>
  <si>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</si>
  <si>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</si>
  <si>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</si>
  <si>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</si>
  <si>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</si>
  <si>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</si>
  <si>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</si>
  <si>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</si>
  <si>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</si>
  <si>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</si>
  <si>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</si>
  <si>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</si>
  <si>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</si>
  <si>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</si>
  <si>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</si>
  <si>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</si>
  <si>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</si>
  <si>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</si>
  <si>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</si>
  <si>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</si>
  <si>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</si>
  <si>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</si>
  <si>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</si>
  <si>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</si>
  <si>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</si>
  <si>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</si>
  <si>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</si>
  <si>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</si>
  <si>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</si>
  <si>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</si>
  <si>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</si>
  <si>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</si>
  <si>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</si>
  <si>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</si>
  <si>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</si>
  <si>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</si>
  <si>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</si>
  <si>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</si>
  <si>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</si>
  <si>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</si>
  <si>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</si>
  <si>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</si>
  <si>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</si>
  <si>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</si>
  <si>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</si>
  <si>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</si>
  <si>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</si>
  <si>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</si>
  <si>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</si>
  <si>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</si>
  <si>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</si>
  <si>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</si>
  <si>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</si>
  <si>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</si>
  <si>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</si>
  <si>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</si>
  <si>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</si>
  <si>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</si>
  <si>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</si>
  <si>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</si>
  <si>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</si>
  <si>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</si>
  <si>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</si>
  <si>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</si>
  <si>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</si>
  <si>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</si>
  <si>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</si>
  <si>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</si>
  <si>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</si>
  <si>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</si>
  <si>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</si>
  <si>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</si>
  <si>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</si>
  <si>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</si>
  <si>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</si>
  <si>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</si>
  <si>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</si>
  <si>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</si>
  <si>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</si>
  <si>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</si>
  <si>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</si>
  <si>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</si>
  <si>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</si>
  <si>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</si>
  <si>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</si>
  <si>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</si>
  <si>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</si>
  <si>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</si>
  <si>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</si>
  <si>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</si>
  <si>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</si>
  <si>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</si>
  <si>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</si>
  <si>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</si>
  <si>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</si>
  <si>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</si>
  <si>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</si>
  <si>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</si>
  <si>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</si>
  <si>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</si>
  <si>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</si>
  <si>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</si>
  <si>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</si>
  <si>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</si>
  <si>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</si>
  <si>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</si>
  <si>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</si>
  <si>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</si>
  <si>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</si>
  <si>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</si>
  <si>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</si>
  <si>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</si>
  <si>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</si>
  <si>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</si>
  <si>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</si>
  <si>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</si>
  <si>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</si>
  <si>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</si>
  <si>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</si>
  <si>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</si>
  <si>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</si>
  <si>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</si>
  <si>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</si>
  <si>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</si>
  <si>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</si>
  <si>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</si>
  <si>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</si>
  <si>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</si>
  <si>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</si>
  <si>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</si>
  <si>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</si>
  <si>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</si>
  <si>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</si>
  <si>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</si>
  <si>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</si>
  <si>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</si>
  <si>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</si>
  <si>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</si>
  <si>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</si>
  <si>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</si>
  <si>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</si>
  <si>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</si>
  <si>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</si>
  <si>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</si>
  <si>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</si>
  <si>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</si>
  <si>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</si>
  <si>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</si>
  <si>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</si>
  <si>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</si>
  <si>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</si>
  <si>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</si>
  <si>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</si>
  <si>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</si>
  <si>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</si>
  <si>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</si>
  <si>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</si>
  <si>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</si>
  <si>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</si>
  <si>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</si>
  <si>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</si>
  <si>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</si>
  <si>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</si>
  <si>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</si>
  <si>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</si>
  <si>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</si>
  <si>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</si>
  <si>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</si>
  <si>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</si>
  <si>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</si>
  <si>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</si>
  <si>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</si>
  <si>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</si>
  <si>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</si>
  <si>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</si>
  <si>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</si>
  <si>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</si>
  <si>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</si>
  <si>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</si>
  <si>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</si>
  <si>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</si>
  <si>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</si>
  <si>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</si>
  <si>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</si>
  <si>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</si>
  <si>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</si>
  <si>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</si>
  <si>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</si>
  <si>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</si>
  <si>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</si>
  <si>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</si>
  <si>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</si>
  <si>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</si>
  <si>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</si>
  <si>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</si>
  <si>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</si>
  <si>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</si>
  <si>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</si>
  <si>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</si>
  <si>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</si>
  <si>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</si>
  <si>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</si>
  <si>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</si>
  <si>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</si>
  <si>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</si>
  <si>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</si>
  <si>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</si>
  <si>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</si>
  <si>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</si>
  <si>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</si>
  <si>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</si>
  <si>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</si>
  <si>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</si>
  <si>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</si>
  <si>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</si>
  <si>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</si>
  <si>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</si>
  <si>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</si>
  <si>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</si>
  <si>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</si>
  <si>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</si>
  <si>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</si>
  <si>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</si>
  <si>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</si>
  <si>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</si>
  <si>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</si>
  <si>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</si>
  <si>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</si>
  <si>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</si>
  <si>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</si>
  <si>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</si>
  <si>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</si>
  <si>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</si>
  <si>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</si>
  <si>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</si>
  <si>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</si>
  <si>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</si>
  <si>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</si>
  <si>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</si>
  <si>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</si>
  <si>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</si>
  <si>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</si>
  <si>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</si>
  <si>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</si>
  <si>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</si>
  <si>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</si>
  <si>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</si>
  <si>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</si>
  <si>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</si>
  <si>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</si>
  <si>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</si>
  <si>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</si>
  <si>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</si>
  <si>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</si>
  <si>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</si>
  <si>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</si>
  <si>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</si>
  <si>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</si>
  <si>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</si>
  <si>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</si>
  <si>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</si>
  <si>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</si>
  <si>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</si>
  <si>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</si>
  <si>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</si>
  <si>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</si>
  <si>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</si>
  <si>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</si>
  <si>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</si>
  <si>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</si>
  <si>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</si>
  <si>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</si>
  <si>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</si>
  <si>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</si>
  <si>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</si>
  <si>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</si>
  <si>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</si>
  <si>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</si>
  <si>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</si>
  <si>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</si>
  <si>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</si>
  <si>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</si>
  <si>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</si>
  <si>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</si>
  <si>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</si>
  <si>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</si>
  <si>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</si>
  <si>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</si>
  <si>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</si>
  <si>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</si>
  <si>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</si>
  <si>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</si>
  <si>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</si>
  <si>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</si>
  <si>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</si>
  <si>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</si>
  <si>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</si>
  <si>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</si>
  <si>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</si>
  <si>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</si>
  <si>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</si>
  <si>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</si>
  <si>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</si>
  <si>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</si>
  <si>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</si>
  <si>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</si>
  <si>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</si>
  <si>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</si>
  <si>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</si>
  <si>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</si>
  <si>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</si>
  <si>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</si>
  <si>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</si>
  <si>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</si>
  <si>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</si>
  <si>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</si>
  <si>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</si>
  <si>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</si>
  <si>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</si>
  <si>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</si>
  <si>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</si>
  <si>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</si>
  <si>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</si>
  <si>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</si>
  <si>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</si>
  <si>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</si>
  <si>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</si>
  <si>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</si>
  <si>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</si>
  <si>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</si>
  <si>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</si>
  <si>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</si>
  <si>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</si>
  <si>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</si>
  <si>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</si>
  <si>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</si>
  <si>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</si>
  <si>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</si>
  <si>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</si>
  <si>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</si>
  <si>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</si>
  <si>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</si>
  <si>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</si>
  <si>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</si>
  <si>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</si>
  <si>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</si>
  <si>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</si>
  <si>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</si>
  <si>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</si>
  <si>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</si>
  <si>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</si>
  <si>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</si>
  <si>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</si>
  <si>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</si>
  <si>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</si>
  <si>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</si>
  <si>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</si>
  <si>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</si>
  <si>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</si>
  <si>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</si>
  <si>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</si>
  <si>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</si>
  <si>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</si>
  <si>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</si>
  <si>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</si>
  <si>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</si>
  <si>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</si>
  <si>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</si>
  <si>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</si>
  <si>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</si>
  <si>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</si>
  <si>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</si>
  <si>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</si>
  <si>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</si>
  <si>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</si>
  <si>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</si>
  <si>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</si>
  <si>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</si>
  <si>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</si>
  <si>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</si>
  <si>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</si>
  <si>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</si>
  <si>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</si>
  <si>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</si>
  <si>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</si>
  <si>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</si>
  <si>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</si>
  <si>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</si>
  <si>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</si>
  <si>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</si>
  <si>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</si>
  <si>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</si>
  <si>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</si>
  <si>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</si>
  <si>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</si>
  <si>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</si>
  <si>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</si>
  <si>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</si>
  <si>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</si>
  <si>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</si>
  <si>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</si>
  <si>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</si>
  <si>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</si>
  <si>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</si>
  <si>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</si>
  <si>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</si>
  <si>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</si>
  <si>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</si>
  <si>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</si>
  <si>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</si>
  <si>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</si>
  <si>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</si>
  <si>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</si>
  <si>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</si>
  <si>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</si>
  <si>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</si>
  <si>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</si>
  <si>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</si>
  <si>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</si>
  <si>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</si>
  <si>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</si>
  <si>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</si>
  <si>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</si>
  <si>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</si>
  <si>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</si>
  <si>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</si>
  <si>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</si>
  <si>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</si>
  <si>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</si>
  <si>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</si>
  <si>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</si>
  <si>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</si>
  <si>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</si>
  <si>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</si>
  <si>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</si>
  <si>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</si>
  <si>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</si>
  <si>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</si>
  <si>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</si>
  <si>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</si>
  <si>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</si>
  <si>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</si>
  <si>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</si>
  <si>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</si>
  <si>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</si>
  <si>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</si>
  <si>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</si>
  <si>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</si>
  <si>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</si>
  <si>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</si>
  <si>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</si>
  <si>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</si>
  <si>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</si>
  <si>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</si>
  <si>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</si>
  <si>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</si>
  <si>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</si>
  <si>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</si>
  <si>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</si>
  <si>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</si>
  <si>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</si>
  <si>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</si>
  <si>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</si>
  <si>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</si>
  <si>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</si>
  <si>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</si>
  <si>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</si>
  <si>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</si>
  <si>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</si>
  <si>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</si>
  <si>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</si>
  <si>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</si>
  <si>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</si>
  <si>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</si>
  <si>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</si>
  <si>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</si>
  <si>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</si>
  <si>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</si>
  <si>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</si>
  <si>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</si>
  <si>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</si>
  <si>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</si>
  <si>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</si>
  <si>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</si>
  <si>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</si>
  <si>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</si>
  <si>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</si>
  <si>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</si>
  <si>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</si>
  <si>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</si>
  <si>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</si>
  <si>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</si>
  <si>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</si>
  <si>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</si>
  <si>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</si>
  <si>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</si>
  <si>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</si>
  <si>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</si>
  <si>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</si>
  <si>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</si>
  <si>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</si>
  <si>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</si>
  <si>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</si>
  <si>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</si>
  <si>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</si>
  <si>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</si>
  <si>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</si>
  <si>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</si>
  <si>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</si>
  <si>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</si>
  <si>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</si>
  <si>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</si>
  <si>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</si>
  <si>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</si>
  <si>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</si>
  <si>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</si>
  <si>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</si>
  <si>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</si>
  <si>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</si>
  <si>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</si>
  <si>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</si>
  <si>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</si>
  <si>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</si>
  <si>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</si>
  <si>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</si>
  <si>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</si>
  <si>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</si>
  <si>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</si>
  <si>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</si>
  <si>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</si>
  <si>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</si>
  <si>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</si>
  <si>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</si>
  <si>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</si>
  <si>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</si>
  <si>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</si>
  <si>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</si>
  <si>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</si>
  <si>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</si>
  <si>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</si>
  <si>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</si>
  <si>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</si>
  <si>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</si>
  <si>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</si>
  <si>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</si>
  <si>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</si>
  <si>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</si>
  <si>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</si>
  <si>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</si>
  <si>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</si>
  <si>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</si>
  <si>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</si>
  <si>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</si>
  <si>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</si>
  <si>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</si>
  <si>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</si>
  <si>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</si>
  <si>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</si>
  <si>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</si>
  <si>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</si>
  <si>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</si>
  <si>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</si>
  <si>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</si>
  <si>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</si>
  <si>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</si>
  <si>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</si>
  <si>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</si>
  <si>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</si>
  <si>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</si>
  <si>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</si>
  <si>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</si>
  <si>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</si>
  <si>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</si>
  <si>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</si>
  <si>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</si>
  <si>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</si>
  <si>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</si>
  <si>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</si>
  <si>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</si>
  <si>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</si>
  <si>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</si>
  <si>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</si>
  <si>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</si>
  <si>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</si>
  <si>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</si>
  <si>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</si>
  <si>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</si>
  <si>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</si>
  <si>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</si>
  <si>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</si>
  <si>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</si>
  <si>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</si>
  <si>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</si>
  <si>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</si>
  <si>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</si>
  <si>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</si>
  <si>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</si>
  <si>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</si>
  <si>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</si>
  <si>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</si>
  <si>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</si>
  <si>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</si>
  <si>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</si>
  <si>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</si>
  <si>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</si>
  <si>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</si>
  <si>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</si>
  <si>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</si>
  <si>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</si>
  <si>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</si>
  <si>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</si>
  <si>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</si>
  <si>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</si>
  <si>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</si>
  <si>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</si>
  <si>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</si>
  <si>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</si>
  <si>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</si>
  <si>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</si>
  <si>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</si>
  <si>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</si>
  <si>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</si>
  <si>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</si>
  <si>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</si>
  <si>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</si>
  <si>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</si>
  <si>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</si>
  <si>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</si>
  <si>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</si>
  <si>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</si>
  <si>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</si>
  <si>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</si>
  <si>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</si>
  <si>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</si>
  <si>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</si>
  <si>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</si>
  <si>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</si>
  <si>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</si>
  <si>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</si>
  <si>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</si>
  <si>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</si>
  <si>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</si>
  <si>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</si>
  <si>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</si>
  <si>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</si>
  <si>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</si>
  <si>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</si>
  <si>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</si>
  <si>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</si>
  <si>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</si>
  <si>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</si>
  <si>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</si>
  <si>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</si>
  <si>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</si>
  <si>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</si>
  <si>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</si>
  <si>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</si>
  <si>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</si>
  <si>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</si>
  <si>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</si>
  <si>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</si>
  <si>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</si>
  <si>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</si>
  <si>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</si>
  <si>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</si>
  <si>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</si>
  <si>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</si>
  <si>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</si>
  <si>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</si>
  <si>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</si>
  <si>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</si>
  <si>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</si>
  <si>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</si>
  <si>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</si>
  <si>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</si>
  <si>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</si>
  <si>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</si>
  <si>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</si>
  <si>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</si>
  <si>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</si>
  <si>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</si>
  <si>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</si>
  <si>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</si>
  <si>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</si>
  <si>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</si>
  <si>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</si>
  <si>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</si>
  <si>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</si>
  <si>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</si>
  <si>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</si>
  <si>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</si>
  <si>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</si>
  <si>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</si>
  <si>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</si>
  <si>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</si>
  <si>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</si>
  <si>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</si>
  <si>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</si>
  <si>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</si>
  <si>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</si>
  <si>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</si>
  <si>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</si>
  <si>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</si>
  <si>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</si>
  <si>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</si>
  <si>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</si>
  <si>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</si>
  <si>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</si>
  <si>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</si>
  <si>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</si>
  <si>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</si>
  <si>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</si>
  <si>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</si>
  <si>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</si>
  <si>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</si>
  <si>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</si>
  <si>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</si>
  <si>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</si>
  <si>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</si>
  <si>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</si>
  <si>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</si>
  <si>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</si>
  <si>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</si>
  <si>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</si>
  <si>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</si>
  <si>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</si>
  <si>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</si>
  <si>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</si>
  <si>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</si>
  <si>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</si>
  <si>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</si>
  <si>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</si>
  <si>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</si>
  <si>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</si>
  <si>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</si>
  <si>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</si>
  <si>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</si>
  <si>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</si>
  <si>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</si>
  <si>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</si>
  <si>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</si>
  <si>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</si>
  <si>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</si>
  <si>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</si>
  <si>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</si>
  <si>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</si>
  <si>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</si>
  <si>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</si>
  <si>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</si>
  <si>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</si>
  <si>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</si>
  <si>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</si>
  <si>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</si>
  <si>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</si>
  <si>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</si>
  <si>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</si>
  <si>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</si>
  <si>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</si>
  <si>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</si>
  <si>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</si>
  <si>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</si>
  <si>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</si>
  <si>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</si>
  <si>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</si>
  <si>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</si>
  <si>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</si>
  <si>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</si>
  <si>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</si>
  <si>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</si>
  <si>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</si>
  <si>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</si>
  <si>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</si>
  <si>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</si>
  <si>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</si>
  <si>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</si>
  <si>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</si>
  <si>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</si>
  <si>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</si>
  <si>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</si>
  <si>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</si>
  <si>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</si>
  <si>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</si>
  <si>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</si>
  <si>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</si>
  <si>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</si>
  <si>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</si>
  <si>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</si>
  <si>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</si>
  <si>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</si>
  <si>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</si>
  <si>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</si>
  <si>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</si>
  <si>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</si>
  <si>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</si>
  <si>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</si>
  <si>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</si>
  <si>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</si>
  <si>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</si>
  <si>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</si>
  <si>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</si>
  <si>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</si>
  <si>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</si>
  <si>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</si>
  <si>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</si>
  <si>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</si>
  <si>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</si>
  <si>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</si>
  <si>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</si>
  <si>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</si>
  <si>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</si>
  <si>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</si>
  <si>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</si>
  <si>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</si>
  <si>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</si>
  <si>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</si>
  <si>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</si>
  <si>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</si>
  <si>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</si>
  <si>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</si>
  <si>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</si>
  <si>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</si>
  <si>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</si>
  <si>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</si>
  <si>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</si>
  <si>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</si>
  <si>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</si>
  <si>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</si>
  <si>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</si>
  <si>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</si>
  <si>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</si>
  <si>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</si>
  <si>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</si>
  <si>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</si>
  <si>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</si>
  <si>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</si>
  <si>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</si>
  <si>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</si>
  <si>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</si>
  <si>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</si>
  <si>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</si>
  <si>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</si>
  <si>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</si>
  <si>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</si>
  <si>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</si>
  <si>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</si>
  <si>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</si>
  <si>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</si>
  <si>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</si>
  <si>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</si>
  <si>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</si>
  <si>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</si>
  <si>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</si>
  <si>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</si>
  <si>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</si>
  <si>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</si>
  <si>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</si>
  <si>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</si>
  <si>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</si>
  <si>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</si>
  <si>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</si>
  <si>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</si>
  <si>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</si>
  <si>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</si>
  <si>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</si>
  <si>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</si>
  <si>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</si>
  <si>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</si>
  <si>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</si>
  <si>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</si>
  <si>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</si>
  <si>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</si>
  <si>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</si>
  <si>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</si>
  <si>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</si>
  <si>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</si>
  <si>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</si>
  <si>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</si>
  <si>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</si>
  <si>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</si>
  <si>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</si>
  <si>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</si>
  <si>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</si>
  <si>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</si>
  <si>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</si>
  <si>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</si>
  <si>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</si>
  <si>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</si>
  <si>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</si>
  <si>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</si>
  <si>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</si>
  <si>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</si>
  <si>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</si>
  <si>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</si>
  <si>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</si>
  <si>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</si>
  <si>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</si>
  <si>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</si>
  <si>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</si>
  <si>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</si>
  <si>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</si>
  <si>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</si>
  <si>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</si>
  <si>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</si>
  <si>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</si>
  <si>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</si>
  <si>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</si>
  <si>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</si>
  <si>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</si>
  <si>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</si>
  <si>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</si>
  <si>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</si>
  <si>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</si>
  <si>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</si>
  <si>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</si>
  <si>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</si>
  <si>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</si>
  <si>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</si>
  <si>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</si>
  <si>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</si>
  <si>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</si>
  <si>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</si>
  <si>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</si>
  <si>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</si>
  <si>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</si>
  <si>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</si>
  <si>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</si>
  <si>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</si>
  <si>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</si>
  <si>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</si>
  <si>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</si>
  <si>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</si>
  <si>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</si>
  <si>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</si>
  <si>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</si>
  <si>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</si>
  <si>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</si>
  <si>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</si>
  <si>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</si>
  <si>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</si>
  <si>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</si>
  <si>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</si>
  <si>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</si>
  <si>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</si>
  <si>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</si>
  <si>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</si>
  <si>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</si>
  <si>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</si>
  <si>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</si>
  <si>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</si>
  <si>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</si>
  <si>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</si>
  <si>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</si>
  <si>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</si>
  <si>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</si>
  <si>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</si>
  <si>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</si>
  <si>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</si>
  <si>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</si>
  <si>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</si>
  <si>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</si>
  <si>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</si>
  <si>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</si>
  <si>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</si>
  <si>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</si>
  <si>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</si>
  <si>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</si>
  <si>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</si>
  <si>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</si>
  <si>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</si>
  <si>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</si>
  <si>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</si>
  <si>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</si>
  <si>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</si>
  <si>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</si>
  <si>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</si>
  <si>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</si>
  <si>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</si>
  <si>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</si>
  <si>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</si>
  <si>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</si>
  <si>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</si>
  <si>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</si>
  <si>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</si>
  <si>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</si>
  <si>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</si>
  <si>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</si>
  <si>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</si>
  <si>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</si>
  <si>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</si>
  <si>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</si>
  <si>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</si>
  <si>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</si>
  <si>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</si>
  <si>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</si>
  <si>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</si>
  <si>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</si>
  <si>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</si>
  <si>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</si>
  <si>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</si>
  <si>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</si>
  <si>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</si>
  <si>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</si>
  <si>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</si>
  <si>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</si>
  <si>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</si>
  <si>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</si>
  <si>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</si>
  <si>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</si>
  <si>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</si>
  <si>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</si>
  <si>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</si>
  <si>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</si>
  <si>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</si>
  <si>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</si>
  <si>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</si>
  <si>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</si>
  <si>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</si>
  <si>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</si>
  <si>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</si>
  <si>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</si>
  <si>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</si>
  <si>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</si>
  <si>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</si>
  <si>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</si>
  <si>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</si>
  <si>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</si>
  <si>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</si>
  <si>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</si>
  <si>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</si>
  <si>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</si>
  <si>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</si>
  <si>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</si>
  <si>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</si>
  <si>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</si>
  <si>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</si>
  <si>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</si>
  <si>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</si>
  <si>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</si>
  <si>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</si>
  <si>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</si>
  <si>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</si>
  <si>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</si>
  <si>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</si>
  <si>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</si>
  <si>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</si>
  <si>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</si>
  <si>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</si>
  <si>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</si>
  <si>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</si>
  <si>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</si>
  <si>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</si>
  <si>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</si>
  <si>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</si>
  <si>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</si>
  <si>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</si>
  <si>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</si>
  <si>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</si>
  <si>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</si>
  <si>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</si>
  <si>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</si>
  <si>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</si>
  <si>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</si>
  <si>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</si>
  <si>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</si>
  <si>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</si>
  <si>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</si>
  <si>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</si>
  <si>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</si>
  <si>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</si>
  <si>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</si>
  <si>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</si>
  <si>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</si>
  <si>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</si>
  <si>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</si>
  <si>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</si>
  <si>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</si>
  <si>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</si>
  <si>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</si>
  <si>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</si>
  <si>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</si>
  <si>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</si>
  <si>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</si>
  <si>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</si>
  <si>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</si>
  <si>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</si>
  <si>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</si>
  <si>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</si>
  <si>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</si>
  <si>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</si>
  <si>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</si>
  <si>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</si>
  <si>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</si>
  <si>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</si>
  <si>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</si>
  <si>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</si>
  <si>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</si>
  <si>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</si>
  <si>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</si>
  <si>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</si>
  <si>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</si>
  <si>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</si>
  <si>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</si>
  <si>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</si>
  <si>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</si>
  <si>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</si>
  <si>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</si>
  <si>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</si>
  <si>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</si>
  <si>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</si>
  <si>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</si>
  <si>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</si>
  <si>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</si>
  <si>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</si>
  <si>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</si>
  <si>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</si>
  <si>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</si>
  <si>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</si>
  <si>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</si>
  <si>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</si>
  <si>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</si>
  <si>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</si>
  <si>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</si>
  <si>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</si>
  <si>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</si>
  <si>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</si>
  <si>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</si>
  <si>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</si>
  <si>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</si>
  <si>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</si>
  <si>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</si>
  <si>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</si>
  <si>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</si>
  <si>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</si>
  <si>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</si>
  <si>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</si>
  <si>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</si>
  <si>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</si>
  <si>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</si>
  <si>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</si>
  <si>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</si>
  <si>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</si>
  <si>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</si>
  <si>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</si>
  <si>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</si>
  <si>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</si>
  <si>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</si>
  <si>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</si>
  <si>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</si>
  <si>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</si>
  <si>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</si>
  <si>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</si>
  <si>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</si>
  <si>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</si>
  <si>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</si>
  <si>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</si>
  <si>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</si>
  <si>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</si>
  <si>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</si>
  <si>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</si>
  <si>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</si>
  <si>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</si>
  <si>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</si>
  <si>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</si>
  <si>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</si>
  <si>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</si>
  <si>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</si>
  <si>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</si>
  <si>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</si>
  <si>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</si>
  <si>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</si>
  <si>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</si>
  <si>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</si>
  <si>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</si>
  <si>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</si>
  <si>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</si>
  <si>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</si>
  <si>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</si>
  <si>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</si>
  <si>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</si>
  <si>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</si>
  <si>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</si>
  <si>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</si>
  <si>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</si>
  <si>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</si>
  <si>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</si>
  <si>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</si>
  <si>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</si>
  <si>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</si>
  <si>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</si>
  <si>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</si>
  <si>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</si>
  <si>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</si>
  <si>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</si>
  <si>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</si>
  <si>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</si>
  <si>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</si>
  <si>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</si>
  <si>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</si>
  <si>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</si>
  <si>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</si>
  <si>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</si>
  <si>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</si>
  <si>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</si>
  <si>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</si>
  <si>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</si>
  <si>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</si>
  <si>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</si>
  <si>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</si>
  <si>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</si>
  <si>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</si>
  <si>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</si>
  <si>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</si>
  <si>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</si>
  <si>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</si>
  <si>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</si>
  <si>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</si>
  <si>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</si>
  <si>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</si>
  <si>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</si>
  <si>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</si>
  <si>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</si>
  <si>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</si>
  <si>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</si>
  <si>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</si>
  <si>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</si>
  <si>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</si>
  <si>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</si>
  <si>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</si>
  <si>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</si>
  <si>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</si>
  <si>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</si>
  <si>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</si>
  <si>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</si>
  <si>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</si>
  <si>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</si>
  <si>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</si>
  <si>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</si>
  <si>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</si>
  <si>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</si>
  <si>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</si>
  <si>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</si>
  <si>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</si>
  <si>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</si>
  <si>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</si>
  <si>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</si>
  <si>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</si>
  <si>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</si>
  <si>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</si>
  <si>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</si>
  <si>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</si>
  <si>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</si>
  <si>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</si>
  <si>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</si>
  <si>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</si>
  <si>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</si>
  <si>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</si>
  <si>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</si>
  <si>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</si>
  <si>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</si>
  <si>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</si>
  <si>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</si>
  <si>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</si>
  <si>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</si>
  <si>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</si>
  <si>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</si>
  <si>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</si>
  <si>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</si>
  <si>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</si>
  <si>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</si>
  <si>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</si>
  <si>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</si>
  <si>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</si>
  <si>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</si>
  <si>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</si>
  <si>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</si>
  <si>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</si>
  <si>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</si>
  <si>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</si>
  <si>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</si>
  <si>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</si>
  <si>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</si>
  <si>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</si>
  <si>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</si>
  <si>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</si>
  <si>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</si>
  <si>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</si>
  <si>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</si>
  <si>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</si>
  <si>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</si>
  <si>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</si>
  <si>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</si>
  <si>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</si>
  <si>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</si>
  <si>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</si>
  <si>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</si>
  <si>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</si>
  <si>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</si>
  <si>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</si>
  <si>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</si>
  <si>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</si>
  <si>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</si>
  <si>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</si>
  <si>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</si>
  <si>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</si>
  <si>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</si>
  <si>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</si>
  <si>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</si>
  <si>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</si>
  <si>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</si>
  <si>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</si>
  <si>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</si>
  <si>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</si>
  <si>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</si>
  <si>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</si>
  <si>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</si>
  <si>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</si>
  <si>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</si>
  <si>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</si>
  <si>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</si>
  <si>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</si>
  <si>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</si>
  <si>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</si>
  <si>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</si>
  <si>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</si>
  <si>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</si>
  <si>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</si>
  <si>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</si>
  <si>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</si>
  <si>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</si>
  <si>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</si>
  <si>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</si>
  <si>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</si>
  <si>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</si>
  <si>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</si>
  <si>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</si>
  <si>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</si>
  <si>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</si>
  <si>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</si>
  <si>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</si>
  <si>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</si>
  <si>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</si>
  <si>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</si>
  <si>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</si>
  <si>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</si>
  <si>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</si>
  <si>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</si>
  <si>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</si>
  <si>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</si>
  <si>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</si>
  <si>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</si>
  <si>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</si>
  <si>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</si>
  <si>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</si>
  <si>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</si>
  <si>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</si>
  <si>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</si>
  <si>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</si>
  <si>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</si>
  <si>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</si>
  <si>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</si>
  <si>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</si>
  <si>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</si>
  <si>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</si>
  <si>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</si>
  <si>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</si>
  <si>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</si>
  <si>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</si>
  <si>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</si>
  <si>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</si>
  <si>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</si>
  <si>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</si>
  <si>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</si>
  <si>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</si>
  <si>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</si>
  <si>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</si>
  <si>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</si>
  <si>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</si>
  <si>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</si>
  <si>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</si>
  <si>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</si>
  <si>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</si>
  <si>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</si>
  <si>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</si>
  <si>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</si>
  <si>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</si>
  <si>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</si>
  <si>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</si>
  <si>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</si>
  <si>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</si>
  <si>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</si>
  <si>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</si>
  <si>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</si>
  <si>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</si>
  <si>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</si>
  <si>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</si>
  <si>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</si>
  <si>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</si>
  <si>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</si>
  <si>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</si>
  <si>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</si>
  <si>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</si>
  <si>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</si>
  <si>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</si>
  <si>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</si>
  <si>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</si>
  <si>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</si>
  <si>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</si>
  <si>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</si>
  <si>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</si>
  <si>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</si>
  <si>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</si>
  <si>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</si>
  <si>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</si>
  <si>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</si>
  <si>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</si>
  <si>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</si>
  <si>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</si>
  <si>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</si>
  <si>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</si>
  <si>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</si>
  <si>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</si>
  <si>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</si>
  <si>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</si>
  <si>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</si>
  <si>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</si>
  <si>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</si>
  <si>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</si>
  <si>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</si>
  <si>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</si>
  <si>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</si>
  <si>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</si>
  <si>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</si>
  <si>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</si>
  <si>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</si>
  <si>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</si>
  <si>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</si>
  <si>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</si>
  <si>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</si>
  <si>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</si>
  <si>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</si>
  <si>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</si>
  <si>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</si>
  <si>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</si>
  <si>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</si>
  <si>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</si>
  <si>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</si>
  <si>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</si>
  <si>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</si>
  <si>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</si>
  <si>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</si>
  <si>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</si>
  <si>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</si>
  <si>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</si>
  <si>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</si>
  <si>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</si>
  <si>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</si>
  <si>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</si>
  <si>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</si>
  <si>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</si>
  <si>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</si>
  <si>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</si>
  <si>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</si>
  <si>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</si>
  <si>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</si>
  <si>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</si>
  <si>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</si>
  <si>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</si>
  <si>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</si>
  <si>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</si>
  <si>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</si>
  <si>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</si>
  <si>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</si>
  <si>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</si>
  <si>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</si>
  <si>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</si>
  <si>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</si>
  <si>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</si>
  <si>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</si>
  <si>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</si>
  <si>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</si>
  <si>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</si>
  <si>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</si>
  <si>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</si>
  <si>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</si>
  <si>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</si>
  <si>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</si>
  <si>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</si>
  <si>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</si>
  <si>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</si>
  <si>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</si>
  <si>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</si>
  <si>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</si>
  <si>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</si>
  <si>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</si>
  <si>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</si>
  <si>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</si>
  <si>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</si>
  <si>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</si>
  <si>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</si>
  <si>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</si>
  <si>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</si>
  <si>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</si>
  <si>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</si>
  <si>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</si>
  <si>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</si>
  <si>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</si>
  <si>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</si>
  <si>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</si>
  <si>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</si>
  <si>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</si>
  <si>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</si>
  <si>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</si>
  <si>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</si>
  <si>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</si>
  <si>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</si>
  <si>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</si>
  <si>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</si>
  <si>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</si>
  <si>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</si>
  <si>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</si>
  <si>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</si>
  <si>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</si>
  <si>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</si>
  <si>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</si>
  <si>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</si>
  <si>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</si>
  <si>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</si>
  <si>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</si>
  <si>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</si>
  <si>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</si>
  <si>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</si>
  <si>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</si>
  <si>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</si>
  <si>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</si>
  <si>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</si>
  <si>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</si>
  <si>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</si>
  <si>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</si>
  <si>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</si>
  <si>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</si>
  <si>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</si>
  <si>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</si>
  <si>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</si>
  <si>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</si>
  <si>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</si>
  <si>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</si>
  <si>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</si>
  <si>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</si>
  <si>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</si>
  <si>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</si>
  <si>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</si>
  <si>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</si>
  <si>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</si>
  <si>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</si>
  <si>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</si>
  <si>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</si>
  <si>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</si>
  <si>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</si>
  <si>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</si>
  <si>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</si>
  <si>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</si>
  <si>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</si>
  <si>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</si>
  <si>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</si>
  <si>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</si>
  <si>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</si>
  <si>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</si>
  <si>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</si>
  <si>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</si>
  <si>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</si>
  <si>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</si>
  <si>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</si>
  <si>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</si>
  <si>
    <t>0&amp;100411;50000@100203;50@100603;10</t>
    <phoneticPr fontId="44" type="noConversion"/>
  </si>
  <si>
    <t>使用恢复药剂,恢复效果额外提升30%。</t>
    <phoneticPr fontId="44" type="noConversion"/>
  </si>
  <si>
    <t>244303,0.4</t>
    <phoneticPr fontId="44" type="noConversion"/>
  </si>
  <si>
    <t>244303,0.3</t>
    <phoneticPr fontId="44" type="noConversion"/>
  </si>
  <si>
    <t>唤灵之契</t>
    <phoneticPr fontId="44" type="noConversion"/>
  </si>
  <si>
    <t>90000102;0;1,1,1;0.7,0.7;0.5,0.8,0.5,0.5,0.5,0,0,0,0;0,0,0,0,0</t>
    <phoneticPr fontId="44" type="noConversion"/>
  </si>
  <si>
    <t>72009037;0;1;1</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</si>
</sst>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3"/>
  <sheetViews>
    <sheetView showGridLines="0" tabSelected="1" workbookViewId="0">
      <pane xSplit="4" ySplit="5" topLeftCell="AV419" activePane="bottomRight" state="frozen"/>
      <selection pane="topRight"/>
      <selection pane="bottomLeft"/>
      <selection pane="bottomRight" activeCell="BB431" sqref="BB43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5776</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1345</v>
      </c>
      <c r="E432" s="30" t="s">
        <v>1346</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1347</v>
      </c>
      <c r="BF432" s="33" t="s">
        <v>1348</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1349</v>
      </c>
      <c r="E433" s="30" t="s">
        <v>1350</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1351</v>
      </c>
      <c r="BF433" s="33" t="s">
        <v>1352</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1353</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1354</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1355</v>
      </c>
      <c r="E437" s="30" t="s">
        <v>1356</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1357</v>
      </c>
      <c r="E438" s="30" t="s">
        <v>1358</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1359</v>
      </c>
      <c r="E439" s="30" t="s">
        <v>1360</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1361</v>
      </c>
      <c r="BF445" s="60" t="s">
        <v>1362</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1355</v>
      </c>
      <c r="E446" s="30" t="s">
        <v>1356</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1357</v>
      </c>
      <c r="E447" s="30" t="s">
        <v>1358</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1359</v>
      </c>
      <c r="E448" s="30" t="s">
        <v>1360</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9" s="171" t="s">
        <v>1363</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50" s="171" t="s">
        <v>1364</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1" s="171" t="s">
        <v>1365</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2" s="171" t="s">
        <v>1366</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3" s="171" t="s">
        <v>1367</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4" s="171" t="s">
        <v>1368</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1369</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1370</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1371</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1372</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1373</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1374</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1375</v>
      </c>
      <c r="E461" s="30" t="s">
        <v>1376</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1375</v>
      </c>
      <c r="E462" s="30" t="s">
        <v>1376</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2" s="171" t="s">
        <v>1378</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1375</v>
      </c>
      <c r="E463" s="30" t="s">
        <v>1376</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3" s="171" t="s">
        <v>1379</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1375</v>
      </c>
      <c r="E464" s="30" t="s">
        <v>1376</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4" s="171" t="s">
        <v>1380</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1375</v>
      </c>
      <c r="E465" s="30" t="s">
        <v>1376</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5" s="171" t="s">
        <v>1381</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1375</v>
      </c>
      <c r="E466" s="30" t="s">
        <v>1376</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1377</v>
      </c>
      <c r="BB466" s="21">
        <v>0</v>
      </c>
      <c r="BC466" s="31">
        <v>0</v>
      </c>
      <c r="BD466" s="31">
        <v>0</v>
      </c>
      <c r="BE466"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6" s="171" t="s">
        <v>1382</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1383</v>
      </c>
      <c r="E467" s="30" t="s">
        <v>1384</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1383</v>
      </c>
      <c r="E468" s="30" t="s">
        <v>1384</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8" s="171" t="s">
        <v>1385</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1383</v>
      </c>
      <c r="E469" s="30" t="s">
        <v>1384</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9" s="171" t="s">
        <v>1386</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1383</v>
      </c>
      <c r="E470" s="30" t="s">
        <v>1384</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70" s="171" t="s">
        <v>1387</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1383</v>
      </c>
      <c r="E471" s="30" t="s">
        <v>1384</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1" s="171" t="s">
        <v>1388</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1383</v>
      </c>
      <c r="E472" s="30" t="s">
        <v>1384</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2" s="171" t="s">
        <v>1389</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1390</v>
      </c>
      <c r="E473" s="30" t="s">
        <v>1391</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1390</v>
      </c>
      <c r="E474" s="30" t="s">
        <v>1391</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1392</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1390</v>
      </c>
      <c r="E475" s="30" t="s">
        <v>1391</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1393</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1390</v>
      </c>
      <c r="E476" s="30" t="s">
        <v>1391</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1394</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1390</v>
      </c>
      <c r="E477" s="30" t="s">
        <v>1391</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1395</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1390</v>
      </c>
      <c r="E478" s="30" t="s">
        <v>1391</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1396</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1397</v>
      </c>
      <c r="E479" s="30" t="s">
        <v>1398</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1397</v>
      </c>
      <c r="E480" s="30" t="s">
        <v>1398</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1399</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1397</v>
      </c>
      <c r="E481" s="30" t="s">
        <v>1398</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1400</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1397</v>
      </c>
      <c r="E482" s="30" t="s">
        <v>1398</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1401</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1397</v>
      </c>
      <c r="E483" s="30" t="s">
        <v>1398</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1402</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1397</v>
      </c>
      <c r="E484" s="30" t="s">
        <v>1398</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1377</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1403</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1404</v>
      </c>
      <c r="E485" s="173" t="s">
        <v>1405</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1404</v>
      </c>
      <c r="E486" s="173" t="s">
        <v>1405</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6" s="177" t="s">
        <v>1407</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1404</v>
      </c>
      <c r="E487" s="173" t="s">
        <v>1405</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7" s="177" t="s">
        <v>1408</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1404</v>
      </c>
      <c r="E488" s="173" t="s">
        <v>1405</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8" s="177" t="s">
        <v>1409</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1404</v>
      </c>
      <c r="E489" s="173" t="s">
        <v>1405</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9" s="177" t="s">
        <v>1410</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1404</v>
      </c>
      <c r="E490" s="173" t="s">
        <v>1405</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1406</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90" s="177" t="s">
        <v>1411</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1412</v>
      </c>
      <c r="E491" s="173" t="s">
        <v>1413</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1412</v>
      </c>
      <c r="E492" s="173" t="s">
        <v>1413</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1415</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1412</v>
      </c>
      <c r="E493" s="173" t="s">
        <v>1413</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1416</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1412</v>
      </c>
      <c r="E494" s="173" t="s">
        <v>1413</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1417</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1412</v>
      </c>
      <c r="E495" s="173" t="s">
        <v>1413</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1418</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1412</v>
      </c>
      <c r="E496" s="173" t="s">
        <v>1413</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1414</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1419</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1420</v>
      </c>
      <c r="E497" s="173" t="s">
        <v>1421</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1420</v>
      </c>
      <c r="E498" s="173" t="s">
        <v>1421</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1423</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1420</v>
      </c>
      <c r="E499" s="173" t="s">
        <v>1421</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1424</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1420</v>
      </c>
      <c r="E500" s="173" t="s">
        <v>1421</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1425</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1420</v>
      </c>
      <c r="E501" s="173" t="s">
        <v>1421</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1426</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1420</v>
      </c>
      <c r="E502" s="173" t="s">
        <v>1421</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1422</v>
      </c>
      <c r="AY502" s="176">
        <v>10000015</v>
      </c>
      <c r="AZ502" s="176">
        <v>21000030</v>
      </c>
      <c r="BA502" s="173" t="s">
        <v>1377</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1427</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1428</v>
      </c>
      <c r="E503" s="71" t="s">
        <v>1429</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1428</v>
      </c>
      <c r="E504" s="71" t="s">
        <v>1429</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1430</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1428</v>
      </c>
      <c r="E505" s="71" t="s">
        <v>1429</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1431</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1428</v>
      </c>
      <c r="E506" s="71" t="s">
        <v>1429</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1432</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1428</v>
      </c>
      <c r="E507" s="71" t="s">
        <v>1429</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1433</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1428</v>
      </c>
      <c r="E508" s="71" t="s">
        <v>1429</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1377</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1434</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1435</v>
      </c>
      <c r="E509" s="110" t="s">
        <v>1436</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1435</v>
      </c>
      <c r="E510" s="110" t="s">
        <v>1436</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1437</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1435</v>
      </c>
      <c r="E511" s="110" t="s">
        <v>1436</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1438</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1435</v>
      </c>
      <c r="E512" s="110" t="s">
        <v>1436</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1439</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1435</v>
      </c>
      <c r="E513" s="110" t="s">
        <v>1436</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1440</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1435</v>
      </c>
      <c r="E514" s="110" t="s">
        <v>1436</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1441</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1442</v>
      </c>
      <c r="E515" s="71" t="s">
        <v>1443</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1442</v>
      </c>
      <c r="E516" s="71" t="s">
        <v>1443</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1444</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1442</v>
      </c>
      <c r="E517" s="71" t="s">
        <v>1443</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1445</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1442</v>
      </c>
      <c r="E518" s="71" t="s">
        <v>1443</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1446</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1442</v>
      </c>
      <c r="E519" s="71" t="s">
        <v>1443</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1447</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1442</v>
      </c>
      <c r="E520" s="71" t="s">
        <v>1443</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1377</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1448</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1449</v>
      </c>
      <c r="E521" s="30" t="s">
        <v>1450</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1449</v>
      </c>
      <c r="E522" s="30" t="s">
        <v>1450</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1451</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1449</v>
      </c>
      <c r="E523" s="30" t="s">
        <v>1450</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1452</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1449</v>
      </c>
      <c r="E524" s="30" t="s">
        <v>1450</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1453</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1449</v>
      </c>
      <c r="E525" s="30" t="s">
        <v>1450</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1454</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1449</v>
      </c>
      <c r="E526" s="30" t="s">
        <v>1450</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1455</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1456</v>
      </c>
      <c r="E527" s="30" t="s">
        <v>1457</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1456</v>
      </c>
      <c r="E528" s="30" t="s">
        <v>1457</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1458</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1456</v>
      </c>
      <c r="E529" s="30" t="s">
        <v>1457</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1459</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1456</v>
      </c>
      <c r="E530" s="30" t="s">
        <v>1457</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1460</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1456</v>
      </c>
      <c r="E531" s="30" t="s">
        <v>1457</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1461</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1456</v>
      </c>
      <c r="E532" s="30" t="s">
        <v>1457</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1462</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1463</v>
      </c>
      <c r="E533" s="30" t="s">
        <v>1464</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1463</v>
      </c>
      <c r="E534" s="30" t="s">
        <v>1464</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4" s="171" t="s">
        <v>1465</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1463</v>
      </c>
      <c r="E535" s="30" t="s">
        <v>1464</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5" s="171" t="s">
        <v>1466</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1463</v>
      </c>
      <c r="E536" s="30" t="s">
        <v>1464</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6" s="171" t="s">
        <v>1467</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1463</v>
      </c>
      <c r="E537" s="30" t="s">
        <v>1464</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7" s="171" t="s">
        <v>1468</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1463</v>
      </c>
      <c r="E538" s="30" t="s">
        <v>1464</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1377</v>
      </c>
      <c r="BB538" s="21">
        <v>0</v>
      </c>
      <c r="BC538" s="31">
        <v>0</v>
      </c>
      <c r="BD538" s="31">
        <v>0</v>
      </c>
      <c r="BE538"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8" s="171" t="s">
        <v>1469</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1</v>
      </c>
      <c r="BE539" s="171" t="s">
        <v>1473</v>
      </c>
      <c r="BF539" s="171" t="s">
        <v>1474</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59000102</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1</v>
      </c>
      <c r="BE540" s="171" t="s">
        <v>1475</v>
      </c>
      <c r="BF540" s="171" t="s">
        <v>1476</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59000103</v>
      </c>
      <c r="D541" s="30" t="s">
        <v>1470</v>
      </c>
      <c r="E541" s="30" t="s">
        <v>1471</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1472</v>
      </c>
      <c r="AY541" s="32">
        <v>10003002</v>
      </c>
      <c r="AZ541" s="32">
        <v>21020101</v>
      </c>
      <c r="BA541" s="30" t="s">
        <v>206</v>
      </c>
      <c r="BB541" s="21">
        <v>0</v>
      </c>
      <c r="BC541" s="31">
        <v>0</v>
      </c>
      <c r="BD541" s="31">
        <v>1</v>
      </c>
      <c r="BE541" s="171" t="s">
        <v>1477</v>
      </c>
      <c r="BF541" s="171" t="s">
        <v>1478</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59000201</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1481</v>
      </c>
      <c r="BF542" s="171" t="s">
        <v>1482</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59000202</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1483</v>
      </c>
      <c r="BF543" s="171" t="s">
        <v>1484</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59000203</v>
      </c>
      <c r="D544" s="30" t="s">
        <v>1479</v>
      </c>
      <c r="E544" s="30" t="s">
        <v>1480</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1485</v>
      </c>
      <c r="BF544" s="171" t="s">
        <v>1486</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59000301</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1</v>
      </c>
      <c r="BE545" s="171" t="s">
        <v>1489</v>
      </c>
      <c r="BF545" s="171" t="s">
        <v>1490</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59000302</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1</v>
      </c>
      <c r="BE546" s="171" t="s">
        <v>1491</v>
      </c>
      <c r="BF546" s="171" t="s">
        <v>1492</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59000303</v>
      </c>
      <c r="D547" s="30" t="s">
        <v>1487</v>
      </c>
      <c r="E547" s="30" t="s">
        <v>1488</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1472</v>
      </c>
      <c r="AY547" s="32">
        <v>10003002</v>
      </c>
      <c r="AZ547" s="32">
        <v>21020101</v>
      </c>
      <c r="BA547" s="30" t="s">
        <v>206</v>
      </c>
      <c r="BB547" s="21">
        <v>0</v>
      </c>
      <c r="BC547" s="31">
        <v>0</v>
      </c>
      <c r="BD547" s="31">
        <v>1</v>
      </c>
      <c r="BE547" s="171" t="s">
        <v>1493</v>
      </c>
      <c r="BF547" s="171" t="s">
        <v>1494</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row>
    <row r="548" spans="3:78" ht="20.100000000000001" customHeight="1">
      <c r="C548" s="21">
        <v>59000401</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1497</v>
      </c>
      <c r="BF548" s="171" t="s">
        <v>1498</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59000402</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1499</v>
      </c>
      <c r="BF549" s="171" t="s">
        <v>1500</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59000403</v>
      </c>
      <c r="D550" s="30" t="s">
        <v>1495</v>
      </c>
      <c r="E550" s="30" t="s">
        <v>1496</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1501</v>
      </c>
      <c r="BF550" s="171" t="s">
        <v>1502</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59000501</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1505</v>
      </c>
      <c r="BF551" s="171" t="s">
        <v>1506</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59000502</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1507</v>
      </c>
      <c r="BF552" s="171" t="s">
        <v>1508</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59000503</v>
      </c>
      <c r="D553" s="30" t="s">
        <v>1503</v>
      </c>
      <c r="E553" s="30" t="s">
        <v>1504</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1509</v>
      </c>
      <c r="BF553" s="171" t="s">
        <v>1510</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59000601</v>
      </c>
      <c r="D554" s="30" t="s">
        <v>1511</v>
      </c>
      <c r="E554" s="30" t="s">
        <v>1512</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1513</v>
      </c>
      <c r="BF554" s="171" t="s">
        <v>1514</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59000602</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1515</v>
      </c>
      <c r="BF555" s="171" t="s">
        <v>1516</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59000603</v>
      </c>
      <c r="D556" s="30" t="s">
        <v>1511</v>
      </c>
      <c r="E556" s="30" t="s">
        <v>1512</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1517</v>
      </c>
      <c r="BF556" s="171" t="s">
        <v>1518</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row>
    <row r="557" spans="3:78" ht="20.100000000000001" customHeight="1">
      <c r="C557" s="21">
        <v>59000701</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1521</v>
      </c>
      <c r="BF557" s="171" t="s">
        <v>1522</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59000702</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1523</v>
      </c>
      <c r="BF558" s="171" t="s">
        <v>1524</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59000703</v>
      </c>
      <c r="D559" s="30" t="s">
        <v>1519</v>
      </c>
      <c r="E559" s="30" t="s">
        <v>1520</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1525</v>
      </c>
      <c r="BF559" s="171" t="s">
        <v>1526</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row>
    <row r="560" spans="3:78" ht="20.100000000000001" customHeight="1">
      <c r="C560" s="21">
        <v>59000801</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1529</v>
      </c>
      <c r="BF560" s="171" t="s">
        <v>1530</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1531</v>
      </c>
      <c r="BY560" s="23"/>
      <c r="BZ560" s="23"/>
    </row>
    <row r="561" spans="3:78" ht="20.100000000000001" customHeight="1">
      <c r="C561" s="21">
        <v>59000802</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1532</v>
      </c>
      <c r="BF561" s="171" t="s">
        <v>1533</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1534</v>
      </c>
      <c r="BY561" s="23"/>
      <c r="BZ561" s="23"/>
    </row>
    <row r="562" spans="3:78" ht="20.100000000000001" customHeight="1">
      <c r="C562" s="21">
        <v>59000803</v>
      </c>
      <c r="D562" s="30" t="s">
        <v>1527</v>
      </c>
      <c r="E562" s="30" t="s">
        <v>1528</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1535</v>
      </c>
      <c r="BF562" s="171" t="s">
        <v>1536</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1537</v>
      </c>
      <c r="BY562" s="23"/>
      <c r="BZ562" s="23"/>
    </row>
    <row r="563" spans="3:78" ht="20.100000000000001" customHeight="1">
      <c r="C563" s="21">
        <v>59000901</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1540</v>
      </c>
      <c r="BF563" s="171" t="s">
        <v>1541</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1542</v>
      </c>
      <c r="BY563" s="23"/>
      <c r="BZ563" s="23"/>
    </row>
    <row r="564" spans="3:78" ht="20.100000000000001" customHeight="1">
      <c r="C564" s="21">
        <v>59000902</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1543</v>
      </c>
      <c r="BF564" s="171" t="s">
        <v>1544</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1545</v>
      </c>
      <c r="BY564" s="23"/>
      <c r="BZ564" s="23"/>
    </row>
    <row r="565" spans="3:78" ht="20.100000000000001" customHeight="1">
      <c r="C565" s="21">
        <v>59000903</v>
      </c>
      <c r="D565" s="30" t="s">
        <v>1538</v>
      </c>
      <c r="E565" s="30" t="s">
        <v>1539</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1546</v>
      </c>
      <c r="BF565" s="171" t="s">
        <v>1547</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1548</v>
      </c>
      <c r="BY565" s="23"/>
      <c r="BZ565" s="23"/>
    </row>
    <row r="566" spans="3:78" ht="20.100000000000001" customHeight="1">
      <c r="C566" s="21">
        <v>59100101</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1551</v>
      </c>
      <c r="BC566" s="31">
        <v>0</v>
      </c>
      <c r="BD566" s="31">
        <v>1</v>
      </c>
      <c r="BE566" s="171" t="s">
        <v>1552</v>
      </c>
      <c r="BF566" s="171" t="s">
        <v>1553</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59100102</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1554</v>
      </c>
      <c r="BC567" s="31">
        <v>0</v>
      </c>
      <c r="BD567" s="31">
        <v>1</v>
      </c>
      <c r="BE567" s="171" t="s">
        <v>1555</v>
      </c>
      <c r="BF567" s="171" t="s">
        <v>1556</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59100103</v>
      </c>
      <c r="D568" s="30" t="s">
        <v>1549</v>
      </c>
      <c r="E568" s="30" t="s">
        <v>1550</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1557</v>
      </c>
      <c r="BC568" s="31">
        <v>0</v>
      </c>
      <c r="BD568" s="31">
        <v>1</v>
      </c>
      <c r="BE568" s="171" t="s">
        <v>1558</v>
      </c>
      <c r="BF568" s="171" t="s">
        <v>1559</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59100201</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1562</v>
      </c>
      <c r="BC569" s="31">
        <v>0</v>
      </c>
      <c r="BD569" s="31">
        <v>1</v>
      </c>
      <c r="BE569" s="171" t="s">
        <v>1563</v>
      </c>
      <c r="BF569" s="171" t="s">
        <v>1564</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59100202</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1565</v>
      </c>
      <c r="BC570" s="31">
        <v>0</v>
      </c>
      <c r="BD570" s="31">
        <v>1</v>
      </c>
      <c r="BE570" s="171" t="s">
        <v>1566</v>
      </c>
      <c r="BF570" s="171" t="s">
        <v>1567</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59100203</v>
      </c>
      <c r="D571" s="30" t="s">
        <v>1560</v>
      </c>
      <c r="E571" s="30" t="s">
        <v>1561</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48" t="s">
        <v>1568</v>
      </c>
      <c r="BC571" s="31">
        <v>0</v>
      </c>
      <c r="BD571" s="31">
        <v>1</v>
      </c>
      <c r="BE571" s="171" t="s">
        <v>1569</v>
      </c>
      <c r="BF571" s="171" t="s">
        <v>1570</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59100301</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1573</v>
      </c>
      <c r="BF572" s="171" t="s">
        <v>1574</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59100302</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1575</v>
      </c>
      <c r="BF573" s="171" t="s">
        <v>1576</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59100303</v>
      </c>
      <c r="D574" s="30" t="s">
        <v>1571</v>
      </c>
      <c r="E574" s="30" t="s">
        <v>1572</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1577</v>
      </c>
      <c r="BF574" s="171" t="s">
        <v>1578</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row>
    <row r="575" spans="3:78" ht="20.100000000000001" customHeight="1">
      <c r="C575" s="21">
        <v>59100401</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1581</v>
      </c>
      <c r="AY575" s="180">
        <v>0</v>
      </c>
      <c r="AZ575" s="180">
        <v>0</v>
      </c>
      <c r="BA575" s="179" t="s">
        <v>206</v>
      </c>
      <c r="BB575" s="179" t="s">
        <v>204</v>
      </c>
      <c r="BC575" s="180">
        <v>0</v>
      </c>
      <c r="BD575" s="31">
        <v>1</v>
      </c>
      <c r="BE575" s="171" t="s">
        <v>1582</v>
      </c>
      <c r="BF575" s="181" t="s">
        <v>1583</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59100402</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1581</v>
      </c>
      <c r="AY576" s="180">
        <v>0</v>
      </c>
      <c r="AZ576" s="180">
        <v>0</v>
      </c>
      <c r="BA576" s="179" t="s">
        <v>206</v>
      </c>
      <c r="BB576" s="179" t="s">
        <v>204</v>
      </c>
      <c r="BC576" s="180">
        <v>0</v>
      </c>
      <c r="BD576" s="31">
        <v>1</v>
      </c>
      <c r="BE576" s="171" t="s">
        <v>1584</v>
      </c>
      <c r="BF576" s="181" t="s">
        <v>1585</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59100403</v>
      </c>
      <c r="D577" s="30" t="s">
        <v>1579</v>
      </c>
      <c r="E577" s="179" t="s">
        <v>1580</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1581</v>
      </c>
      <c r="AY577" s="180">
        <v>0</v>
      </c>
      <c r="AZ577" s="180">
        <v>0</v>
      </c>
      <c r="BA577" s="179" t="s">
        <v>206</v>
      </c>
      <c r="BB577" s="179" t="s">
        <v>204</v>
      </c>
      <c r="BC577" s="180">
        <v>0</v>
      </c>
      <c r="BD577" s="31">
        <v>1</v>
      </c>
      <c r="BE577" s="171" t="s">
        <v>1586</v>
      </c>
      <c r="BF577" s="181" t="s">
        <v>1587</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row>
    <row r="578" spans="3:78" ht="20.100000000000001" customHeight="1">
      <c r="C578" s="21">
        <v>59100501</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1590</v>
      </c>
      <c r="BC578" s="31">
        <v>0</v>
      </c>
      <c r="BD578" s="31">
        <v>1</v>
      </c>
      <c r="BE578" s="171" t="s">
        <v>1591</v>
      </c>
      <c r="BF578" s="171" t="s">
        <v>1592</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59100502</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1593</v>
      </c>
      <c r="BC579" s="31">
        <v>0</v>
      </c>
      <c r="BD579" s="31">
        <v>1</v>
      </c>
      <c r="BE579" s="171" t="s">
        <v>1594</v>
      </c>
      <c r="BF579" s="171" t="s">
        <v>1595</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59100503</v>
      </c>
      <c r="D580" s="30" t="s">
        <v>1588</v>
      </c>
      <c r="E580" s="30" t="s">
        <v>1589</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1596</v>
      </c>
      <c r="BC580" s="31">
        <v>0</v>
      </c>
      <c r="BD580" s="31">
        <v>1</v>
      </c>
      <c r="BE580" s="171" t="s">
        <v>1597</v>
      </c>
      <c r="BF580" s="171" t="s">
        <v>1598</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59100601</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1601</v>
      </c>
      <c r="BC581" s="31">
        <v>0</v>
      </c>
      <c r="BD581" s="31">
        <v>1</v>
      </c>
      <c r="BE581" s="171" t="s">
        <v>1602</v>
      </c>
      <c r="BF581" s="171" t="s">
        <v>1603</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59100602</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1604</v>
      </c>
      <c r="BC582" s="31">
        <v>0</v>
      </c>
      <c r="BD582" s="31">
        <v>1</v>
      </c>
      <c r="BE582" s="171" t="s">
        <v>1605</v>
      </c>
      <c r="BF582" s="171" t="s">
        <v>1606</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59100603</v>
      </c>
      <c r="D583" s="30" t="s">
        <v>1599</v>
      </c>
      <c r="E583" s="30" t="s">
        <v>1600</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1607</v>
      </c>
      <c r="BC583" s="31">
        <v>0</v>
      </c>
      <c r="BD583" s="31">
        <v>1</v>
      </c>
      <c r="BE583" s="171" t="s">
        <v>1608</v>
      </c>
      <c r="BF583" s="171" t="s">
        <v>1609</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59100701</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1612</v>
      </c>
      <c r="BC584" s="31">
        <v>0</v>
      </c>
      <c r="BD584" s="31">
        <v>1</v>
      </c>
      <c r="BE584" s="171" t="s">
        <v>1613</v>
      </c>
      <c r="BF584" s="171" t="s">
        <v>1614</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59100702</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5773</v>
      </c>
      <c r="BC585" s="31">
        <v>0</v>
      </c>
      <c r="BD585" s="31">
        <v>1</v>
      </c>
      <c r="BE585" s="171" t="s">
        <v>5771</v>
      </c>
      <c r="BF585" s="171" t="s">
        <v>1615</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20.100000000000001" customHeight="1">
      <c r="C586" s="21">
        <v>59100703</v>
      </c>
      <c r="D586" s="30" t="s">
        <v>1610</v>
      </c>
      <c r="E586" s="30" t="s">
        <v>1611</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5772</v>
      </c>
      <c r="BC586" s="31">
        <v>0</v>
      </c>
      <c r="BD586" s="31">
        <v>1</v>
      </c>
      <c r="BE586" s="171" t="s">
        <v>1616</v>
      </c>
      <c r="BF586" s="171" t="s">
        <v>1617</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row>
    <row r="587" spans="3:78" ht="19.5" customHeight="1">
      <c r="C587" s="32">
        <v>600000011</v>
      </c>
      <c r="D587" s="35" t="s">
        <v>1618</v>
      </c>
      <c r="E587" s="35" t="s">
        <v>1619</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1620</v>
      </c>
      <c r="E588" s="35" t="s">
        <v>1621</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1361</v>
      </c>
      <c r="BF588" s="60" t="s">
        <v>1362</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1622</v>
      </c>
      <c r="E596" s="30" t="s">
        <v>1623</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1624</v>
      </c>
      <c r="E603" s="35" t="s">
        <v>1625</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1626</v>
      </c>
      <c r="E604" s="88" t="s">
        <v>1627</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1626</v>
      </c>
      <c r="E605" s="35" t="s">
        <v>1627</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1626</v>
      </c>
      <c r="E606" s="88" t="s">
        <v>1627</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1628</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1626</v>
      </c>
      <c r="E607" s="35" t="s">
        <v>1627</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f>
        <v>立即对目标范围内的怪物造成200%攻击伤害+750点固定伤害</v>
      </c>
      <c r="BF611" s="171" t="s">
        <v>1629</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f>
        <v>立即对目标范围内的怪物造成250%攻击伤害+750点固定伤害</v>
      </c>
      <c r="BF612" s="171" t="s">
        <v>1630</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v>
      </c>
      <c r="BF613" s="171" t="s">
        <v>1631</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v>
      </c>
      <c r="BF614" s="171" t="s">
        <v>1632</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v>
      </c>
      <c r="BF615" s="171" t="s">
        <v>1633</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0</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v>
      </c>
      <c r="BF616" s="171" t="s">
        <v>1634</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1635</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1636</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1637</v>
      </c>
      <c r="AV618" s="21"/>
      <c r="AW618" s="30" t="s">
        <v>623</v>
      </c>
      <c r="AX618" s="21" t="s">
        <v>1635</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1636</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1637</v>
      </c>
      <c r="AV619" s="21"/>
      <c r="AW619" s="30" t="s">
        <v>623</v>
      </c>
      <c r="AX619" s="21" t="s">
        <v>1635</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1638</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1637</v>
      </c>
      <c r="AV620" s="21"/>
      <c r="AW620" s="30" t="s">
        <v>623</v>
      </c>
      <c r="AX620" s="21" t="s">
        <v>1635</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1639</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1637</v>
      </c>
      <c r="AV621" s="21"/>
      <c r="AW621" s="30" t="s">
        <v>623</v>
      </c>
      <c r="AX621" s="21" t="s">
        <v>1635</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1640</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1637</v>
      </c>
      <c r="AV622" s="21"/>
      <c r="AW622" s="30" t="s">
        <v>623</v>
      </c>
      <c r="AX622" s="21" t="s">
        <v>1635</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1641</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1375</v>
      </c>
      <c r="E623" s="30" t="s">
        <v>1642</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1643</v>
      </c>
      <c r="AY623" s="32">
        <v>10000015</v>
      </c>
      <c r="AZ623" s="32">
        <v>21000030</v>
      </c>
      <c r="BA623" s="30" t="s">
        <v>1377</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1644</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1375</v>
      </c>
      <c r="E624" s="30" t="s">
        <v>1642</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1643</v>
      </c>
      <c r="AY624" s="32">
        <v>10000015</v>
      </c>
      <c r="AZ624" s="32">
        <v>21000030</v>
      </c>
      <c r="BA624" s="30" t="s">
        <v>1377</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1644</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1375</v>
      </c>
      <c r="E625" s="30" t="s">
        <v>1642</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1643</v>
      </c>
      <c r="AY625" s="32">
        <v>10000015</v>
      </c>
      <c r="AZ625" s="32">
        <v>21000030</v>
      </c>
      <c r="BA625" s="30" t="s">
        <v>1377</v>
      </c>
      <c r="BB625" s="21">
        <v>0</v>
      </c>
      <c r="BC625" s="31">
        <v>0</v>
      </c>
      <c r="BD625" s="31">
        <v>0</v>
      </c>
      <c r="BE625" s="171" t="str">
        <f t="shared" si="22"/>
        <v>立即跳跃至目标区域并对其怪物造成225%攻击伤害+1500点固定伤害,并使目标眩晕1秒</v>
      </c>
      <c r="BF625" s="171" t="s">
        <v>1645</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1375</v>
      </c>
      <c r="E626" s="30" t="s">
        <v>1642</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1643</v>
      </c>
      <c r="AY626" s="32">
        <v>10000015</v>
      </c>
      <c r="AZ626" s="32">
        <v>21000030</v>
      </c>
      <c r="BA626" s="30" t="s">
        <v>1377</v>
      </c>
      <c r="BB626" s="21">
        <v>0</v>
      </c>
      <c r="BC626" s="31">
        <v>0</v>
      </c>
      <c r="BD626" s="31">
        <v>0</v>
      </c>
      <c r="BE626" s="171" t="str">
        <f t="shared" si="22"/>
        <v>立即跳跃至目标区域并对其怪物造成250%攻击伤害+2250点固定伤害,并使目标眩晕1秒</v>
      </c>
      <c r="BF626" s="171" t="s">
        <v>1646</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1375</v>
      </c>
      <c r="E627" s="30" t="s">
        <v>1642</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1643</v>
      </c>
      <c r="AY627" s="32">
        <v>10000015</v>
      </c>
      <c r="AZ627" s="32">
        <v>21000030</v>
      </c>
      <c r="BA627" s="30" t="s">
        <v>1377</v>
      </c>
      <c r="BB627" s="21">
        <v>0</v>
      </c>
      <c r="BC627" s="31">
        <v>0</v>
      </c>
      <c r="BD627" s="31">
        <v>0</v>
      </c>
      <c r="BE627" s="171" t="str">
        <f t="shared" si="22"/>
        <v>立即跳跃至目标区域并对其怪物造成275%攻击伤害+3250点固定伤害,并使目标眩晕1秒</v>
      </c>
      <c r="BF627" s="171" t="s">
        <v>1647</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1375</v>
      </c>
      <c r="E628" s="30" t="s">
        <v>1642</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1643</v>
      </c>
      <c r="AY628" s="32">
        <v>10000015</v>
      </c>
      <c r="AZ628" s="32">
        <v>21000030</v>
      </c>
      <c r="BA628" s="30" t="s">
        <v>1377</v>
      </c>
      <c r="BB628" s="21">
        <v>0</v>
      </c>
      <c r="BC628" s="31">
        <v>0</v>
      </c>
      <c r="BD628" s="31">
        <v>0</v>
      </c>
      <c r="BE628" s="171" t="str">
        <f t="shared" si="22"/>
        <v>立即跳跃至目标区域并对其怪物造成300%攻击伤害+4250点固定伤害,并使目标眩晕1秒</v>
      </c>
      <c r="BF628" s="171" t="s">
        <v>1648</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1649</v>
      </c>
      <c r="E629" s="30" t="s">
        <v>1650</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1651</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1652</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1653</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1649</v>
      </c>
      <c r="E630" s="30" t="s">
        <v>1650</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1651</v>
      </c>
      <c r="AI630" s="19">
        <v>2</v>
      </c>
      <c r="AJ630" s="19">
        <v>2</v>
      </c>
      <c r="AK630" s="19">
        <v>0</v>
      </c>
      <c r="AL630" s="19">
        <v>1.5</v>
      </c>
      <c r="AM630" s="21">
        <v>0</v>
      </c>
      <c r="AN630" s="21">
        <v>0</v>
      </c>
      <c r="AO630" s="21">
        <v>0</v>
      </c>
      <c r="AP630" s="21">
        <v>0.5</v>
      </c>
      <c r="AQ630" s="21">
        <v>2000</v>
      </c>
      <c r="AR630" s="21">
        <v>0.5</v>
      </c>
      <c r="AS630" s="21">
        <v>0</v>
      </c>
      <c r="AT630" s="19">
        <v>0</v>
      </c>
      <c r="AU630" s="21" t="s">
        <v>1654</v>
      </c>
      <c r="AV630" s="21"/>
      <c r="AW630" s="30" t="s">
        <v>293</v>
      </c>
      <c r="AX630" s="21" t="s">
        <v>1652</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1653</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1649</v>
      </c>
      <c r="E631" s="30" t="s">
        <v>1650</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1651</v>
      </c>
      <c r="AI631" s="19">
        <v>2</v>
      </c>
      <c r="AJ631" s="19">
        <v>2</v>
      </c>
      <c r="AK631" s="19">
        <v>0</v>
      </c>
      <c r="AL631" s="19">
        <v>1.5</v>
      </c>
      <c r="AM631" s="21">
        <v>0</v>
      </c>
      <c r="AN631" s="21">
        <v>0</v>
      </c>
      <c r="AO631" s="21">
        <v>0</v>
      </c>
      <c r="AP631" s="21">
        <v>0.5</v>
      </c>
      <c r="AQ631" s="21">
        <v>2000</v>
      </c>
      <c r="AR631" s="21">
        <v>0.5</v>
      </c>
      <c r="AS631" s="21">
        <v>0</v>
      </c>
      <c r="AT631" s="19">
        <v>0</v>
      </c>
      <c r="AU631" s="21" t="s">
        <v>1654</v>
      </c>
      <c r="AV631" s="21"/>
      <c r="AW631" s="30" t="s">
        <v>293</v>
      </c>
      <c r="AX631" s="21" t="s">
        <v>1652</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1655</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1649</v>
      </c>
      <c r="E632" s="30" t="s">
        <v>1650</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1651</v>
      </c>
      <c r="AI632" s="19">
        <v>2</v>
      </c>
      <c r="AJ632" s="19">
        <v>2</v>
      </c>
      <c r="AK632" s="19">
        <v>0</v>
      </c>
      <c r="AL632" s="19">
        <v>1.5</v>
      </c>
      <c r="AM632" s="21">
        <v>0</v>
      </c>
      <c r="AN632" s="21">
        <v>0</v>
      </c>
      <c r="AO632" s="21">
        <v>0</v>
      </c>
      <c r="AP632" s="21">
        <v>0.5</v>
      </c>
      <c r="AQ632" s="21">
        <v>2000</v>
      </c>
      <c r="AR632" s="21">
        <v>0.5</v>
      </c>
      <c r="AS632" s="21">
        <v>0</v>
      </c>
      <c r="AT632" s="19">
        <v>0</v>
      </c>
      <c r="AU632" s="21" t="s">
        <v>1654</v>
      </c>
      <c r="AV632" s="21"/>
      <c r="AW632" s="30" t="s">
        <v>293</v>
      </c>
      <c r="AX632" s="21" t="s">
        <v>1652</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1656</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1649</v>
      </c>
      <c r="E633" s="30" t="s">
        <v>1650</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1651</v>
      </c>
      <c r="AI633" s="19">
        <v>2</v>
      </c>
      <c r="AJ633" s="19">
        <v>2</v>
      </c>
      <c r="AK633" s="19">
        <v>0</v>
      </c>
      <c r="AL633" s="19">
        <v>1.5</v>
      </c>
      <c r="AM633" s="21">
        <v>0</v>
      </c>
      <c r="AN633" s="21">
        <v>0</v>
      </c>
      <c r="AO633" s="21">
        <v>0</v>
      </c>
      <c r="AP633" s="21">
        <v>0.5</v>
      </c>
      <c r="AQ633" s="21">
        <v>2000</v>
      </c>
      <c r="AR633" s="21">
        <v>0.5</v>
      </c>
      <c r="AS633" s="21">
        <v>0</v>
      </c>
      <c r="AT633" s="19">
        <v>0</v>
      </c>
      <c r="AU633" s="21" t="s">
        <v>1654</v>
      </c>
      <c r="AV633" s="21"/>
      <c r="AW633" s="30" t="s">
        <v>293</v>
      </c>
      <c r="AX633" s="21" t="s">
        <v>1652</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1657</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1649</v>
      </c>
      <c r="E634" s="30" t="s">
        <v>1650</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1651</v>
      </c>
      <c r="AI634" s="19">
        <v>2</v>
      </c>
      <c r="AJ634" s="19">
        <v>2</v>
      </c>
      <c r="AK634" s="19">
        <v>0</v>
      </c>
      <c r="AL634" s="19">
        <v>1.5</v>
      </c>
      <c r="AM634" s="21">
        <v>0</v>
      </c>
      <c r="AN634" s="21">
        <v>0</v>
      </c>
      <c r="AO634" s="21">
        <v>0</v>
      </c>
      <c r="AP634" s="21">
        <v>0.5</v>
      </c>
      <c r="AQ634" s="21">
        <v>2000</v>
      </c>
      <c r="AR634" s="21">
        <v>0.5</v>
      </c>
      <c r="AS634" s="21">
        <v>0</v>
      </c>
      <c r="AT634" s="19">
        <v>0</v>
      </c>
      <c r="AU634" s="21" t="s">
        <v>1654</v>
      </c>
      <c r="AV634" s="21"/>
      <c r="AW634" s="30" t="s">
        <v>293</v>
      </c>
      <c r="AX634" s="21" t="s">
        <v>1652</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1658</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1659</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1660</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1659</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1661</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1659</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1662</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1659</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1663</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1659</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1664</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1659</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1665</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1666</v>
      </c>
      <c r="E641" s="30" t="s">
        <v>1667</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1668</v>
      </c>
      <c r="AU641" s="21">
        <v>90001020</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1669</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1666</v>
      </c>
      <c r="E642" s="30" t="s">
        <v>1667</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1668</v>
      </c>
      <c r="AU642" s="21">
        <v>90001020</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f>
        <v>立即冲锋至目标区域并对其怪物造成160%攻击伤害+750点固定伤害,并使自身无敌1秒和将对方眩晕1秒</v>
      </c>
      <c r="BF642" s="171" t="s">
        <v>1669</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1666</v>
      </c>
      <c r="E643" s="30" t="s">
        <v>1667</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1668</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v>
      </c>
      <c r="BF643" s="171" t="s">
        <v>1670</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1666</v>
      </c>
      <c r="E644" s="30" t="s">
        <v>1667</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1668</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v>
      </c>
      <c r="BF644" s="171" t="s">
        <v>1671</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1666</v>
      </c>
      <c r="E645" s="30" t="s">
        <v>1667</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1668</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v>
      </c>
      <c r="BF645" s="171" t="s">
        <v>1672</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1666</v>
      </c>
      <c r="E646" s="30" t="s">
        <v>1667</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41" t="s">
        <v>1668</v>
      </c>
      <c r="AU646" s="21">
        <v>90001020</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v>
      </c>
      <c r="BF646" s="171" t="s">
        <v>1673</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1674</v>
      </c>
      <c r="E647" s="42" t="s">
        <v>1675</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1676</v>
      </c>
      <c r="AU647" s="38" t="s">
        <v>204</v>
      </c>
      <c r="AV647" s="38"/>
      <c r="AW647" s="42" t="s">
        <v>205</v>
      </c>
      <c r="AX647" s="38" t="s">
        <v>354</v>
      </c>
      <c r="AY647" s="38">
        <v>0</v>
      </c>
      <c r="AZ647" s="38">
        <v>0</v>
      </c>
      <c r="BA647" s="42" t="s">
        <v>206</v>
      </c>
      <c r="BB647" s="42" t="s">
        <v>204</v>
      </c>
      <c r="BC647" s="38">
        <v>0</v>
      </c>
      <c r="BD647" s="38">
        <v>0</v>
      </c>
      <c r="BE647" s="183" t="s">
        <v>1677</v>
      </c>
      <c r="BF647" s="183" t="s">
        <v>1678</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1674</v>
      </c>
      <c r="E648" s="42" t="s">
        <v>1675</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1676</v>
      </c>
      <c r="AU648" s="38" t="s">
        <v>204</v>
      </c>
      <c r="AV648" s="38"/>
      <c r="AW648" s="42" t="s">
        <v>205</v>
      </c>
      <c r="AX648" s="38" t="s">
        <v>354</v>
      </c>
      <c r="AY648" s="38">
        <v>0</v>
      </c>
      <c r="AZ648" s="38">
        <v>0</v>
      </c>
      <c r="BA648" s="42" t="s">
        <v>206</v>
      </c>
      <c r="BB648" s="42" t="s">
        <v>204</v>
      </c>
      <c r="BC648" s="38">
        <v>0</v>
      </c>
      <c r="BD648" s="38">
        <v>0</v>
      </c>
      <c r="BE648" s="183" t="s">
        <v>1677</v>
      </c>
      <c r="BF648" s="183" t="s">
        <v>1678</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1674</v>
      </c>
      <c r="E649" s="42" t="s">
        <v>1675</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1679</v>
      </c>
      <c r="AU649" s="38" t="s">
        <v>204</v>
      </c>
      <c r="AV649" s="38"/>
      <c r="AW649" s="42" t="s">
        <v>205</v>
      </c>
      <c r="AX649" s="38" t="s">
        <v>354</v>
      </c>
      <c r="AY649" s="38">
        <v>0</v>
      </c>
      <c r="AZ649" s="38">
        <v>0</v>
      </c>
      <c r="BA649" s="42" t="s">
        <v>206</v>
      </c>
      <c r="BB649" s="42" t="s">
        <v>204</v>
      </c>
      <c r="BC649" s="38">
        <v>0</v>
      </c>
      <c r="BD649" s="38">
        <v>0</v>
      </c>
      <c r="BE649" s="183" t="s">
        <v>1680</v>
      </c>
      <c r="BF649" s="183" t="s">
        <v>1681</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1674</v>
      </c>
      <c r="E650" s="42" t="s">
        <v>1675</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1682</v>
      </c>
      <c r="AU650" s="38" t="s">
        <v>204</v>
      </c>
      <c r="AV650" s="38"/>
      <c r="AW650" s="42" t="s">
        <v>205</v>
      </c>
      <c r="AX650" s="38" t="s">
        <v>354</v>
      </c>
      <c r="AY650" s="38">
        <v>0</v>
      </c>
      <c r="AZ650" s="38">
        <v>0</v>
      </c>
      <c r="BA650" s="42" t="s">
        <v>206</v>
      </c>
      <c r="BB650" s="42" t="s">
        <v>204</v>
      </c>
      <c r="BC650" s="38">
        <v>0</v>
      </c>
      <c r="BD650" s="38">
        <v>0</v>
      </c>
      <c r="BE650" s="183" t="s">
        <v>1683</v>
      </c>
      <c r="BF650" s="183" t="s">
        <v>1684</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1674</v>
      </c>
      <c r="E651" s="42" t="s">
        <v>1675</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1685</v>
      </c>
      <c r="AU651" s="38" t="s">
        <v>204</v>
      </c>
      <c r="AV651" s="38"/>
      <c r="AW651" s="42" t="s">
        <v>205</v>
      </c>
      <c r="AX651" s="38" t="s">
        <v>354</v>
      </c>
      <c r="AY651" s="38">
        <v>0</v>
      </c>
      <c r="AZ651" s="38">
        <v>0</v>
      </c>
      <c r="BA651" s="42" t="s">
        <v>206</v>
      </c>
      <c r="BB651" s="42" t="s">
        <v>204</v>
      </c>
      <c r="BC651" s="38">
        <v>0</v>
      </c>
      <c r="BD651" s="38">
        <v>0</v>
      </c>
      <c r="BE651" s="183" t="s">
        <v>1686</v>
      </c>
      <c r="BF651" s="183" t="s">
        <v>1687</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1674</v>
      </c>
      <c r="E652" s="42" t="s">
        <v>1675</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49" t="s">
        <v>1688</v>
      </c>
      <c r="AU652" s="38" t="s">
        <v>204</v>
      </c>
      <c r="AV652" s="38"/>
      <c r="AW652" s="42" t="s">
        <v>205</v>
      </c>
      <c r="AX652" s="38" t="s">
        <v>354</v>
      </c>
      <c r="AY652" s="38">
        <v>0</v>
      </c>
      <c r="AZ652" s="38">
        <v>0</v>
      </c>
      <c r="BA652" s="42" t="s">
        <v>206</v>
      </c>
      <c r="BB652" s="42" t="s">
        <v>204</v>
      </c>
      <c r="BC652" s="38">
        <v>0</v>
      </c>
      <c r="BD652" s="38">
        <v>0</v>
      </c>
      <c r="BE652" s="183" t="s">
        <v>1689</v>
      </c>
      <c r="BF652" s="183" t="s">
        <v>1690</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1691</v>
      </c>
      <c r="E653" s="42" t="s">
        <v>1692</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1637</v>
      </c>
      <c r="AV653" s="38"/>
      <c r="AW653" s="42" t="s">
        <v>768</v>
      </c>
      <c r="AX653" s="38" t="s">
        <v>221</v>
      </c>
      <c r="AY653" s="38">
        <v>10000015</v>
      </c>
      <c r="AZ653" s="38">
        <v>21101021</v>
      </c>
      <c r="BA653" s="42" t="s">
        <v>1377</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1693</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1691</v>
      </c>
      <c r="E654" s="42" t="s">
        <v>1692</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1637</v>
      </c>
      <c r="AV654" s="38"/>
      <c r="AW654" s="42" t="s">
        <v>768</v>
      </c>
      <c r="AX654" s="38" t="s">
        <v>221</v>
      </c>
      <c r="AY654" s="38">
        <v>10000015</v>
      </c>
      <c r="AZ654" s="38">
        <v>21101021</v>
      </c>
      <c r="BA654" s="42" t="s">
        <v>1377</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1693</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1691</v>
      </c>
      <c r="E655" s="42" t="s">
        <v>1692</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1637</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立即对当前脚下敌人目标造成200%攻击伤害+1400点固定伤害和使目标眩晕1秒,并迅速跳跃至目标区域</v>
      </c>
      <c r="BF655" s="183" t="s">
        <v>1694</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1691</v>
      </c>
      <c r="E656" s="42" t="s">
        <v>1692</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1637</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立即对当前脚下敌人目标造成200%攻击伤害+1750点固定伤害和使目标眩晕1秒,并迅速跳跃至目标区域</v>
      </c>
      <c r="BF656" s="183" t="s">
        <v>1695</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1691</v>
      </c>
      <c r="E657" s="42" t="s">
        <v>1692</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1637</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立即对当前脚下敌人目标造成200%攻击伤害+2100点固定伤害和使目标眩晕1秒,并迅速跳跃至目标区域</v>
      </c>
      <c r="BF657" s="183" t="s">
        <v>1696</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1691</v>
      </c>
      <c r="E658" s="42" t="s">
        <v>1692</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1637</v>
      </c>
      <c r="AV658" s="38"/>
      <c r="AW658" s="42" t="s">
        <v>768</v>
      </c>
      <c r="AX658" s="38" t="s">
        <v>221</v>
      </c>
      <c r="AY658" s="38">
        <v>10000015</v>
      </c>
      <c r="AZ658" s="38">
        <v>21101021</v>
      </c>
      <c r="BA658" s="42" t="s">
        <v>1377</v>
      </c>
      <c r="BB658" s="38">
        <v>1</v>
      </c>
      <c r="BC658" s="38">
        <v>0</v>
      </c>
      <c r="BD658" s="38">
        <v>0</v>
      </c>
      <c r="BE658" s="183" t="str">
        <f t="shared" si="26"/>
        <v>立即对当前脚下敌人目标造成200%攻击伤害+2450点固定伤害和使目标眩晕1秒,并迅速跳跃至目标区域</v>
      </c>
      <c r="BF658" s="183" t="s">
        <v>1697</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1698</v>
      </c>
      <c r="E659" s="35" t="s">
        <v>1699</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1700</v>
      </c>
      <c r="AV659" s="32"/>
      <c r="AW659" s="35" t="s">
        <v>1701</v>
      </c>
      <c r="AX659" s="32" t="s">
        <v>1702</v>
      </c>
      <c r="AY659" s="32">
        <v>10000006</v>
      </c>
      <c r="AZ659" s="32">
        <v>21010040</v>
      </c>
      <c r="BA659" s="30" t="s">
        <v>1703</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1704</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1698</v>
      </c>
      <c r="E660" s="35" t="s">
        <v>1699</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1700</v>
      </c>
      <c r="AV660" s="32"/>
      <c r="AW660" s="35" t="s">
        <v>1701</v>
      </c>
      <c r="AX660" s="32" t="s">
        <v>1702</v>
      </c>
      <c r="AY660" s="32">
        <v>10000006</v>
      </c>
      <c r="AZ660" s="32">
        <v>21010040</v>
      </c>
      <c r="BA660" s="30" t="s">
        <v>1703</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1704</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1698</v>
      </c>
      <c r="E661" s="35" t="s">
        <v>1699</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1700</v>
      </c>
      <c r="AV661" s="32"/>
      <c r="AW661" s="35" t="s">
        <v>1701</v>
      </c>
      <c r="AX661" s="32" t="s">
        <v>1702</v>
      </c>
      <c r="AY661" s="32">
        <v>10000006</v>
      </c>
      <c r="AZ661" s="32">
        <v>21010040</v>
      </c>
      <c r="BA661" s="30" t="s">
        <v>1703</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1705</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1698</v>
      </c>
      <c r="E662" s="35" t="s">
        <v>1699</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1700</v>
      </c>
      <c r="AV662" s="32"/>
      <c r="AW662" s="35" t="s">
        <v>1701</v>
      </c>
      <c r="AX662" s="32" t="s">
        <v>1702</v>
      </c>
      <c r="AY662" s="32">
        <v>10000006</v>
      </c>
      <c r="AZ662" s="32">
        <v>21010040</v>
      </c>
      <c r="BA662" s="30" t="s">
        <v>1703</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1706</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1698</v>
      </c>
      <c r="E663" s="35" t="s">
        <v>1699</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1700</v>
      </c>
      <c r="AV663" s="32"/>
      <c r="AW663" s="35" t="s">
        <v>1701</v>
      </c>
      <c r="AX663" s="32" t="s">
        <v>1702</v>
      </c>
      <c r="AY663" s="32">
        <v>10000006</v>
      </c>
      <c r="AZ663" s="32">
        <v>21010040</v>
      </c>
      <c r="BA663" s="30" t="s">
        <v>1703</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1707</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1698</v>
      </c>
      <c r="E664" s="35" t="s">
        <v>1699</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50" t="s">
        <v>1700</v>
      </c>
      <c r="AV664" s="32"/>
      <c r="AW664" s="35" t="s">
        <v>1701</v>
      </c>
      <c r="AX664" s="32" t="s">
        <v>1702</v>
      </c>
      <c r="AY664" s="32">
        <v>10000006</v>
      </c>
      <c r="AZ664" s="32">
        <v>21010040</v>
      </c>
      <c r="BA664" s="30" t="s">
        <v>1703</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1708</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1709</v>
      </c>
      <c r="E665" s="35" t="s">
        <v>1710</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1711</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1712</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1709</v>
      </c>
      <c r="E666" s="35" t="s">
        <v>1710</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1711</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1712</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1709</v>
      </c>
      <c r="E667" s="35" t="s">
        <v>1710</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1711</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1713</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1709</v>
      </c>
      <c r="E668" s="35" t="s">
        <v>1710</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1711</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1714</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1709</v>
      </c>
      <c r="E669" s="35" t="s">
        <v>1710</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1711</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1715</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1709</v>
      </c>
      <c r="E670" s="35" t="s">
        <v>1710</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1711</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1716</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1717</v>
      </c>
      <c r="E671" s="35" t="s">
        <v>1718</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1719</v>
      </c>
      <c r="AI671" s="19">
        <v>2</v>
      </c>
      <c r="AJ671" s="19">
        <v>3</v>
      </c>
      <c r="AK671" s="19">
        <v>0</v>
      </c>
      <c r="AL671" s="19">
        <v>3</v>
      </c>
      <c r="AM671" s="32">
        <v>0</v>
      </c>
      <c r="AN671" s="32">
        <v>0</v>
      </c>
      <c r="AO671" s="32">
        <v>0</v>
      </c>
      <c r="AP671" s="32">
        <v>0.25</v>
      </c>
      <c r="AQ671" s="32">
        <v>3000</v>
      </c>
      <c r="AR671" s="32">
        <v>0.1</v>
      </c>
      <c r="AS671" s="32">
        <v>0</v>
      </c>
      <c r="AT671" s="19">
        <v>0</v>
      </c>
      <c r="AU671" s="350" t="s">
        <v>1720</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1721</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1717</v>
      </c>
      <c r="E672" s="35" t="s">
        <v>1718</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1719</v>
      </c>
      <c r="AI672" s="19">
        <v>2</v>
      </c>
      <c r="AJ672" s="19">
        <v>3</v>
      </c>
      <c r="AK672" s="19">
        <v>0</v>
      </c>
      <c r="AL672" s="19">
        <v>3</v>
      </c>
      <c r="AM672" s="32">
        <v>0</v>
      </c>
      <c r="AN672" s="32">
        <v>0</v>
      </c>
      <c r="AO672" s="32">
        <v>0</v>
      </c>
      <c r="AP672" s="32">
        <v>0.25</v>
      </c>
      <c r="AQ672" s="32">
        <v>3000</v>
      </c>
      <c r="AR672" s="32">
        <v>0.1</v>
      </c>
      <c r="AS672" s="32">
        <v>0</v>
      </c>
      <c r="AT672" s="19">
        <v>0</v>
      </c>
      <c r="AU672" s="350" t="s">
        <v>1720</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1721</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1717</v>
      </c>
      <c r="E673" s="35" t="s">
        <v>1718</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1719</v>
      </c>
      <c r="AI673" s="19">
        <v>2</v>
      </c>
      <c r="AJ673" s="19">
        <v>3</v>
      </c>
      <c r="AK673" s="19">
        <v>0</v>
      </c>
      <c r="AL673" s="19">
        <v>3</v>
      </c>
      <c r="AM673" s="32">
        <v>0</v>
      </c>
      <c r="AN673" s="32">
        <v>0</v>
      </c>
      <c r="AO673" s="32">
        <v>0</v>
      </c>
      <c r="AP673" s="32">
        <v>0.25</v>
      </c>
      <c r="AQ673" s="32">
        <v>3000</v>
      </c>
      <c r="AR673" s="32">
        <v>0.1</v>
      </c>
      <c r="AS673" s="32">
        <v>0</v>
      </c>
      <c r="AT673" s="19">
        <v>0</v>
      </c>
      <c r="AU673" s="350" t="s">
        <v>1720</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1722</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1717</v>
      </c>
      <c r="E674" s="35" t="s">
        <v>1718</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1719</v>
      </c>
      <c r="AI674" s="19">
        <v>2</v>
      </c>
      <c r="AJ674" s="19">
        <v>3</v>
      </c>
      <c r="AK674" s="19">
        <v>0</v>
      </c>
      <c r="AL674" s="19">
        <v>3</v>
      </c>
      <c r="AM674" s="32">
        <v>0</v>
      </c>
      <c r="AN674" s="32">
        <v>0</v>
      </c>
      <c r="AO674" s="32">
        <v>0</v>
      </c>
      <c r="AP674" s="32">
        <v>0.25</v>
      </c>
      <c r="AQ674" s="32">
        <v>3000</v>
      </c>
      <c r="AR674" s="32">
        <v>0.1</v>
      </c>
      <c r="AS674" s="32">
        <v>0</v>
      </c>
      <c r="AT674" s="19">
        <v>0</v>
      </c>
      <c r="AU674" s="350" t="s">
        <v>1720</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1723</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1717</v>
      </c>
      <c r="E675" s="35" t="s">
        <v>1718</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1719</v>
      </c>
      <c r="AI675" s="19">
        <v>2</v>
      </c>
      <c r="AJ675" s="19">
        <v>3</v>
      </c>
      <c r="AK675" s="19">
        <v>0</v>
      </c>
      <c r="AL675" s="19">
        <v>3</v>
      </c>
      <c r="AM675" s="32">
        <v>0</v>
      </c>
      <c r="AN675" s="32">
        <v>0</v>
      </c>
      <c r="AO675" s="32">
        <v>0</v>
      </c>
      <c r="AP675" s="32">
        <v>0.25</v>
      </c>
      <c r="AQ675" s="32">
        <v>3000</v>
      </c>
      <c r="AR675" s="32">
        <v>0.1</v>
      </c>
      <c r="AS675" s="32">
        <v>0</v>
      </c>
      <c r="AT675" s="19">
        <v>0</v>
      </c>
      <c r="AU675" s="350" t="s">
        <v>1720</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1724</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1717</v>
      </c>
      <c r="E676" s="35" t="s">
        <v>1718</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1719</v>
      </c>
      <c r="AI676" s="19">
        <v>2</v>
      </c>
      <c r="AJ676" s="19">
        <v>3</v>
      </c>
      <c r="AK676" s="19">
        <v>0</v>
      </c>
      <c r="AL676" s="19">
        <v>3</v>
      </c>
      <c r="AM676" s="32">
        <v>0</v>
      </c>
      <c r="AN676" s="32">
        <v>0</v>
      </c>
      <c r="AO676" s="32">
        <v>0</v>
      </c>
      <c r="AP676" s="32">
        <v>0.25</v>
      </c>
      <c r="AQ676" s="32">
        <v>3000</v>
      </c>
      <c r="AR676" s="32">
        <v>0.1</v>
      </c>
      <c r="AS676" s="32">
        <v>0</v>
      </c>
      <c r="AT676" s="19">
        <v>0</v>
      </c>
      <c r="AU676" s="350" t="s">
        <v>1720</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1725</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1726</v>
      </c>
      <c r="E677" s="20" t="s">
        <v>1727</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1728</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1729</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1726</v>
      </c>
      <c r="E678" s="20" t="s">
        <v>1727</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1728</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1729</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1726</v>
      </c>
      <c r="E679" s="20" t="s">
        <v>1727</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1728</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1730</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1726</v>
      </c>
      <c r="E680" s="20" t="s">
        <v>1727</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1728</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1731</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1726</v>
      </c>
      <c r="E681" s="20" t="s">
        <v>1727</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1728</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1732</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1726</v>
      </c>
      <c r="E682" s="20" t="s">
        <v>1727</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1728</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1733</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1734</v>
      </c>
      <c r="E683" s="35" t="s">
        <v>1735</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1736</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1737</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1734</v>
      </c>
      <c r="E684" s="35" t="s">
        <v>1735</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1736</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1737</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1734</v>
      </c>
      <c r="E685" s="35" t="s">
        <v>1735</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1736</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1738</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1734</v>
      </c>
      <c r="E686" s="35" t="s">
        <v>1735</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1736</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1739</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1734</v>
      </c>
      <c r="E687" s="35" t="s">
        <v>1735</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1736</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1740</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1734</v>
      </c>
      <c r="E688" s="35" t="s">
        <v>1735</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50" t="s">
        <v>1736</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1741</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1742</v>
      </c>
      <c r="E689" s="20" t="s">
        <v>1743</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1744</v>
      </c>
      <c r="AU689" s="19" t="s">
        <v>204</v>
      </c>
      <c r="AV689" s="19"/>
      <c r="AW689" s="20" t="s">
        <v>205</v>
      </c>
      <c r="AX689" s="19" t="s">
        <v>1414</v>
      </c>
      <c r="AY689" s="19">
        <v>0</v>
      </c>
      <c r="AZ689" s="19">
        <v>21020020</v>
      </c>
      <c r="BA689" s="20" t="s">
        <v>206</v>
      </c>
      <c r="BB689" s="20">
        <v>0</v>
      </c>
      <c r="BC689" s="19">
        <v>0</v>
      </c>
      <c r="BD689" s="19">
        <v>0</v>
      </c>
      <c r="BE689" s="186" t="s">
        <v>1745</v>
      </c>
      <c r="BF689" s="186" t="s">
        <v>1746</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1742</v>
      </c>
      <c r="E690" s="20" t="s">
        <v>1743</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1744</v>
      </c>
      <c r="AU690" s="19" t="s">
        <v>204</v>
      </c>
      <c r="AV690" s="19"/>
      <c r="AW690" s="20" t="s">
        <v>205</v>
      </c>
      <c r="AX690" s="19" t="s">
        <v>1414</v>
      </c>
      <c r="AY690" s="19">
        <v>0</v>
      </c>
      <c r="AZ690" s="19">
        <v>21020020</v>
      </c>
      <c r="BA690" s="20" t="s">
        <v>206</v>
      </c>
      <c r="BB690" s="20">
        <v>0</v>
      </c>
      <c r="BC690" s="19">
        <v>0</v>
      </c>
      <c r="BD690" s="19">
        <v>0</v>
      </c>
      <c r="BE690" s="186" t="s">
        <v>1745</v>
      </c>
      <c r="BF690" s="186" t="s">
        <v>1746</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1742</v>
      </c>
      <c r="E691" s="20" t="s">
        <v>1743</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1747</v>
      </c>
      <c r="AU691" s="19" t="s">
        <v>204</v>
      </c>
      <c r="AV691" s="19"/>
      <c r="AW691" s="20" t="s">
        <v>205</v>
      </c>
      <c r="AX691" s="19" t="s">
        <v>1414</v>
      </c>
      <c r="AY691" s="19">
        <v>0</v>
      </c>
      <c r="AZ691" s="19">
        <v>21020020</v>
      </c>
      <c r="BA691" s="20" t="s">
        <v>206</v>
      </c>
      <c r="BB691" s="20">
        <v>0</v>
      </c>
      <c r="BC691" s="19">
        <v>0</v>
      </c>
      <c r="BD691" s="19">
        <v>0</v>
      </c>
      <c r="BE691" s="186" t="s">
        <v>1748</v>
      </c>
      <c r="BF691" s="186" t="s">
        <v>1749</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1742</v>
      </c>
      <c r="E692" s="20" t="s">
        <v>1743</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1750</v>
      </c>
      <c r="AU692" s="19" t="s">
        <v>204</v>
      </c>
      <c r="AV692" s="19"/>
      <c r="AW692" s="20" t="s">
        <v>205</v>
      </c>
      <c r="AX692" s="19" t="s">
        <v>1414</v>
      </c>
      <c r="AY692" s="19">
        <v>0</v>
      </c>
      <c r="AZ692" s="19">
        <v>21020020</v>
      </c>
      <c r="BA692" s="20" t="s">
        <v>206</v>
      </c>
      <c r="BB692" s="20">
        <v>0</v>
      </c>
      <c r="BC692" s="19">
        <v>0</v>
      </c>
      <c r="BD692" s="19">
        <v>0</v>
      </c>
      <c r="BE692" s="186" t="s">
        <v>1751</v>
      </c>
      <c r="BF692" s="186" t="s">
        <v>1752</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1742</v>
      </c>
      <c r="E693" s="20" t="s">
        <v>1743</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1753</v>
      </c>
      <c r="AU693" s="19" t="s">
        <v>204</v>
      </c>
      <c r="AV693" s="19"/>
      <c r="AW693" s="20" t="s">
        <v>205</v>
      </c>
      <c r="AX693" s="19" t="s">
        <v>1414</v>
      </c>
      <c r="AY693" s="19">
        <v>0</v>
      </c>
      <c r="AZ693" s="19">
        <v>21020020</v>
      </c>
      <c r="BA693" s="20" t="s">
        <v>206</v>
      </c>
      <c r="BB693" s="20">
        <v>0</v>
      </c>
      <c r="BC693" s="19">
        <v>0</v>
      </c>
      <c r="BD693" s="19">
        <v>0</v>
      </c>
      <c r="BE693" s="186" t="s">
        <v>1754</v>
      </c>
      <c r="BF693" s="186" t="s">
        <v>1755</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1742</v>
      </c>
      <c r="E694" s="20" t="s">
        <v>1743</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41" t="s">
        <v>1756</v>
      </c>
      <c r="AU694" s="19" t="s">
        <v>204</v>
      </c>
      <c r="AV694" s="19"/>
      <c r="AW694" s="20" t="s">
        <v>205</v>
      </c>
      <c r="AX694" s="19" t="s">
        <v>1414</v>
      </c>
      <c r="AY694" s="19">
        <v>0</v>
      </c>
      <c r="AZ694" s="19">
        <v>21020020</v>
      </c>
      <c r="BA694" s="20" t="s">
        <v>206</v>
      </c>
      <c r="BB694" s="20">
        <v>0</v>
      </c>
      <c r="BC694" s="19">
        <v>0</v>
      </c>
      <c r="BD694" s="19">
        <v>0</v>
      </c>
      <c r="BE694" s="186" t="s">
        <v>1757</v>
      </c>
      <c r="BF694" s="186" t="s">
        <v>1758</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1759</v>
      </c>
      <c r="E695" s="35" t="s">
        <v>1760</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50" t="s">
        <v>1761</v>
      </c>
      <c r="AV695" s="32"/>
      <c r="AW695" s="35" t="s">
        <v>204</v>
      </c>
      <c r="AX695" s="32" t="s">
        <v>1762</v>
      </c>
      <c r="AY695" s="32">
        <v>10000006</v>
      </c>
      <c r="AZ695" s="26">
        <v>60000004</v>
      </c>
      <c r="BA695" s="35" t="s">
        <v>1763</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1764</v>
      </c>
      <c r="E696" s="35" t="s">
        <v>1765</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1766</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1767</v>
      </c>
      <c r="AX696" s="32" t="s">
        <v>1768</v>
      </c>
      <c r="AY696" s="32">
        <v>10001006</v>
      </c>
      <c r="AZ696" s="32">
        <v>21020030</v>
      </c>
      <c r="BA696" s="35" t="s">
        <v>321</v>
      </c>
      <c r="BB696" s="35" t="s">
        <v>1769</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1770</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1764</v>
      </c>
      <c r="E697" s="35" t="s">
        <v>1765</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1766</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1767</v>
      </c>
      <c r="AX697" s="32" t="s">
        <v>1768</v>
      </c>
      <c r="AY697" s="32">
        <v>10001006</v>
      </c>
      <c r="AZ697" s="32">
        <v>21020030</v>
      </c>
      <c r="BA697" s="35" t="s">
        <v>321</v>
      </c>
      <c r="BB697" s="35" t="s">
        <v>1769</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1770</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1764</v>
      </c>
      <c r="E698" s="35" t="s">
        <v>1765</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1766</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1767</v>
      </c>
      <c r="AX698" s="32" t="s">
        <v>1768</v>
      </c>
      <c r="AY698" s="32">
        <v>10001006</v>
      </c>
      <c r="AZ698" s="32">
        <v>21020030</v>
      </c>
      <c r="BA698" s="35" t="s">
        <v>321</v>
      </c>
      <c r="BB698" s="35" t="s">
        <v>1769</v>
      </c>
      <c r="BC698" s="31">
        <v>0</v>
      </c>
      <c r="BD698" s="31">
        <v>0</v>
      </c>
      <c r="BE698" s="185" t="str">
        <f t="shared" si="36"/>
        <v>立即对目标范围内的怪物每秒多次造成120%攻击伤害+800点固定伤害,并使目标眩晕,持续2秒</v>
      </c>
      <c r="BF698" s="185" t="s">
        <v>1771</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1764</v>
      </c>
      <c r="E699" s="35" t="s">
        <v>1765</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1766</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1767</v>
      </c>
      <c r="AX699" s="32" t="s">
        <v>1768</v>
      </c>
      <c r="AY699" s="32">
        <v>10001006</v>
      </c>
      <c r="AZ699" s="32">
        <v>21020030</v>
      </c>
      <c r="BA699" s="35" t="s">
        <v>321</v>
      </c>
      <c r="BB699" s="35" t="s">
        <v>1769</v>
      </c>
      <c r="BC699" s="31">
        <v>0</v>
      </c>
      <c r="BD699" s="31">
        <v>0</v>
      </c>
      <c r="BE699" s="185" t="str">
        <f t="shared" si="36"/>
        <v>立即对目标范围内的怪物每秒多次造成130%攻击伤害+1150点固定伤害,并使目标眩晕,持续2秒</v>
      </c>
      <c r="BF699" s="185" t="s">
        <v>1772</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1764</v>
      </c>
      <c r="E700" s="35" t="s">
        <v>1765</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1766</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1767</v>
      </c>
      <c r="AX700" s="32" t="s">
        <v>1768</v>
      </c>
      <c r="AY700" s="32">
        <v>10001006</v>
      </c>
      <c r="AZ700" s="32">
        <v>21020030</v>
      </c>
      <c r="BA700" s="35" t="s">
        <v>321</v>
      </c>
      <c r="BB700" s="35" t="s">
        <v>1769</v>
      </c>
      <c r="BC700" s="31">
        <v>0</v>
      </c>
      <c r="BD700" s="31">
        <v>0</v>
      </c>
      <c r="BE700" s="185" t="str">
        <f t="shared" si="36"/>
        <v>立即对目标范围内的怪物每秒多次造成140%攻击伤害+1550点固定伤害,并使目标眩晕,持续2秒</v>
      </c>
      <c r="BF700" s="185" t="s">
        <v>1773</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1764</v>
      </c>
      <c r="E701" s="35" t="s">
        <v>1765</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1766</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1767</v>
      </c>
      <c r="AX701" s="32" t="s">
        <v>1768</v>
      </c>
      <c r="AY701" s="32">
        <v>10001006</v>
      </c>
      <c r="AZ701" s="32">
        <v>21020030</v>
      </c>
      <c r="BA701" s="35" t="s">
        <v>321</v>
      </c>
      <c r="BB701" s="35" t="s">
        <v>1769</v>
      </c>
      <c r="BC701" s="31">
        <v>0</v>
      </c>
      <c r="BD701" s="31">
        <v>0</v>
      </c>
      <c r="BE701" s="185" t="str">
        <f t="shared" si="36"/>
        <v>立即对目标范围内的怪物每秒多次造成150%攻击伤害+2050点固定伤害,并使目标眩晕,持续2秒</v>
      </c>
      <c r="BF701" s="185" t="s">
        <v>1774</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1775</v>
      </c>
      <c r="E702" s="35" t="s">
        <v>1735</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1776</v>
      </c>
      <c r="AV702" s="21"/>
      <c r="AW702" s="30" t="s">
        <v>1767</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1777</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1775</v>
      </c>
      <c r="E703" s="35" t="s">
        <v>1735</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1776</v>
      </c>
      <c r="AV703" s="21"/>
      <c r="AW703" s="30" t="s">
        <v>1767</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1777</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1775</v>
      </c>
      <c r="E704" s="35" t="s">
        <v>1735</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1776</v>
      </c>
      <c r="AV704" s="21"/>
      <c r="AW704" s="30" t="s">
        <v>1767</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1778</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1775</v>
      </c>
      <c r="E705" s="35" t="s">
        <v>1735</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1776</v>
      </c>
      <c r="AV705" s="21"/>
      <c r="AW705" s="30" t="s">
        <v>1767</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1779</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1775</v>
      </c>
      <c r="E706" s="35" t="s">
        <v>1735</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1776</v>
      </c>
      <c r="AV706" s="21"/>
      <c r="AW706" s="30" t="s">
        <v>1767</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1780</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1775</v>
      </c>
      <c r="E707" s="35" t="s">
        <v>1735</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51" t="s">
        <v>1776</v>
      </c>
      <c r="AV707" s="21"/>
      <c r="AW707" s="30" t="s">
        <v>1767</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1781</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1782</v>
      </c>
      <c r="E708" s="42" t="s">
        <v>1783</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1784</v>
      </c>
      <c r="AU708" s="42" t="s">
        <v>204</v>
      </c>
      <c r="AV708" s="42"/>
      <c r="AW708" s="42" t="s">
        <v>1701</v>
      </c>
      <c r="AX708" s="38" t="s">
        <v>1768</v>
      </c>
      <c r="AY708" s="38">
        <v>10000009</v>
      </c>
      <c r="AZ708" s="38">
        <v>21020050</v>
      </c>
      <c r="BA708" s="42" t="s">
        <v>1785</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1786</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1782</v>
      </c>
      <c r="E709" s="42" t="s">
        <v>1783</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1784</v>
      </c>
      <c r="AU709" s="42" t="s">
        <v>204</v>
      </c>
      <c r="AV709" s="42"/>
      <c r="AW709" s="42" t="s">
        <v>1701</v>
      </c>
      <c r="AX709" s="38" t="s">
        <v>1768</v>
      </c>
      <c r="AY709" s="38">
        <v>10000009</v>
      </c>
      <c r="AZ709" s="38">
        <v>21020050</v>
      </c>
      <c r="BA709" s="42" t="s">
        <v>1785</v>
      </c>
      <c r="BB709" s="42">
        <v>0</v>
      </c>
      <c r="BC709" s="38">
        <v>0</v>
      </c>
      <c r="BD709" s="38">
        <v>0</v>
      </c>
      <c r="BE709" s="183" t="str">
        <f t="shared" si="39"/>
        <v>立即对目标范围内的怪物造成250%攻击伤害+1500点固定伤害,并附带1秒眩晕效果</v>
      </c>
      <c r="BF709" s="183" t="s">
        <v>1786</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1782</v>
      </c>
      <c r="E710" s="42" t="s">
        <v>1783</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1784</v>
      </c>
      <c r="AU710" s="42" t="s">
        <v>204</v>
      </c>
      <c r="AV710" s="42"/>
      <c r="AW710" s="42" t="s">
        <v>1701</v>
      </c>
      <c r="AX710" s="38" t="s">
        <v>1768</v>
      </c>
      <c r="AY710" s="38">
        <v>10000009</v>
      </c>
      <c r="AZ710" s="38">
        <v>21020050</v>
      </c>
      <c r="BA710" s="42" t="s">
        <v>1785</v>
      </c>
      <c r="BB710" s="42">
        <v>0</v>
      </c>
      <c r="BC710" s="38">
        <v>0</v>
      </c>
      <c r="BD710" s="38">
        <v>0</v>
      </c>
      <c r="BE710" s="183" t="str">
        <f t="shared" si="39"/>
        <v>立即对目标范围内的怪物造成250%攻击伤害+2000点固定伤害,并附带1秒眩晕效果</v>
      </c>
      <c r="BF710" s="183" t="s">
        <v>1787</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1782</v>
      </c>
      <c r="E711" s="42" t="s">
        <v>1783</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1784</v>
      </c>
      <c r="AU711" s="42" t="s">
        <v>204</v>
      </c>
      <c r="AV711" s="42"/>
      <c r="AW711" s="42" t="s">
        <v>1701</v>
      </c>
      <c r="AX711" s="38" t="s">
        <v>1768</v>
      </c>
      <c r="AY711" s="38">
        <v>10000009</v>
      </c>
      <c r="AZ711" s="38">
        <v>21020050</v>
      </c>
      <c r="BA711" s="42" t="s">
        <v>1785</v>
      </c>
      <c r="BB711" s="42">
        <v>0</v>
      </c>
      <c r="BC711" s="38">
        <v>0</v>
      </c>
      <c r="BD711" s="38">
        <v>0</v>
      </c>
      <c r="BE711" s="183" t="str">
        <f t="shared" si="39"/>
        <v>立即对目标范围内的怪物造成250%攻击伤害+2500点固定伤害,并附带1秒眩晕效果</v>
      </c>
      <c r="BF711" s="183" t="s">
        <v>1788</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1782</v>
      </c>
      <c r="E712" s="42" t="s">
        <v>1783</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1784</v>
      </c>
      <c r="AU712" s="42" t="s">
        <v>204</v>
      </c>
      <c r="AV712" s="42"/>
      <c r="AW712" s="42" t="s">
        <v>1701</v>
      </c>
      <c r="AX712" s="38" t="s">
        <v>1768</v>
      </c>
      <c r="AY712" s="38">
        <v>10000009</v>
      </c>
      <c r="AZ712" s="38">
        <v>21020050</v>
      </c>
      <c r="BA712" s="42" t="s">
        <v>1785</v>
      </c>
      <c r="BB712" s="42">
        <v>0</v>
      </c>
      <c r="BC712" s="38">
        <v>0</v>
      </c>
      <c r="BD712" s="38">
        <v>0</v>
      </c>
      <c r="BE712" s="183" t="str">
        <f t="shared" si="39"/>
        <v>立即对目标范围内的怪物造成250%攻击伤害+3000点固定伤害,并附带1秒眩晕效果</v>
      </c>
      <c r="BF712" s="183" t="s">
        <v>1789</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1782</v>
      </c>
      <c r="E713" s="42" t="s">
        <v>1783</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1784</v>
      </c>
      <c r="AU713" s="42" t="s">
        <v>204</v>
      </c>
      <c r="AV713" s="42"/>
      <c r="AW713" s="42" t="s">
        <v>1701</v>
      </c>
      <c r="AX713" s="38" t="s">
        <v>1768</v>
      </c>
      <c r="AY713" s="38">
        <v>10000009</v>
      </c>
      <c r="AZ713" s="38">
        <v>21020050</v>
      </c>
      <c r="BA713" s="42" t="s">
        <v>1785</v>
      </c>
      <c r="BB713" s="42">
        <v>0</v>
      </c>
      <c r="BC713" s="38">
        <v>0</v>
      </c>
      <c r="BD713" s="38">
        <v>0</v>
      </c>
      <c r="BE713" s="183" t="str">
        <f t="shared" si="39"/>
        <v>立即对目标范围内的怪物造成250%攻击伤害+3500点固定伤害,并附带1秒眩晕效果</v>
      </c>
      <c r="BF713" s="183" t="s">
        <v>1790</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1791</v>
      </c>
      <c r="E714" s="35" t="s">
        <v>1792</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1793</v>
      </c>
      <c r="AV714" s="32"/>
      <c r="AW714" s="35" t="s">
        <v>1701</v>
      </c>
      <c r="AX714" s="32" t="s">
        <v>540</v>
      </c>
      <c r="AY714" s="32">
        <v>10000009</v>
      </c>
      <c r="AZ714" s="32">
        <v>21020050</v>
      </c>
      <c r="BA714" s="30" t="s">
        <v>1703</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1794</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1791</v>
      </c>
      <c r="E715" s="35" t="s">
        <v>1792</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1793</v>
      </c>
      <c r="AV715" s="32"/>
      <c r="AW715" s="35" t="s">
        <v>1701</v>
      </c>
      <c r="AX715" s="32" t="s">
        <v>540</v>
      </c>
      <c r="AY715" s="32">
        <v>10000009</v>
      </c>
      <c r="AZ715" s="32">
        <v>21030010</v>
      </c>
      <c r="BA715" s="30" t="s">
        <v>1703</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1794</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1791</v>
      </c>
      <c r="E716" s="35" t="s">
        <v>1792</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1793</v>
      </c>
      <c r="AV716" s="32"/>
      <c r="AW716" s="35" t="s">
        <v>1701</v>
      </c>
      <c r="AX716" s="32" t="s">
        <v>540</v>
      </c>
      <c r="AY716" s="32">
        <v>10000009</v>
      </c>
      <c r="AZ716" s="32">
        <v>21030010</v>
      </c>
      <c r="BA716" s="30" t="s">
        <v>1703</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1795</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1791</v>
      </c>
      <c r="E717" s="35" t="s">
        <v>1792</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1793</v>
      </c>
      <c r="AV717" s="32"/>
      <c r="AW717" s="35" t="s">
        <v>1701</v>
      </c>
      <c r="AX717" s="32" t="s">
        <v>540</v>
      </c>
      <c r="AY717" s="32">
        <v>10000009</v>
      </c>
      <c r="AZ717" s="32">
        <v>21030010</v>
      </c>
      <c r="BA717" s="30" t="s">
        <v>1703</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1796</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1791</v>
      </c>
      <c r="E718" s="35" t="s">
        <v>1792</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1793</v>
      </c>
      <c r="AV718" s="32"/>
      <c r="AW718" s="35" t="s">
        <v>1701</v>
      </c>
      <c r="AX718" s="32" t="s">
        <v>540</v>
      </c>
      <c r="AY718" s="32">
        <v>10000009</v>
      </c>
      <c r="AZ718" s="32">
        <v>21030010</v>
      </c>
      <c r="BA718" s="30" t="s">
        <v>1703</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1797</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1791</v>
      </c>
      <c r="E719" s="35" t="s">
        <v>1792</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50" t="s">
        <v>1793</v>
      </c>
      <c r="AV719" s="32"/>
      <c r="AW719" s="35" t="s">
        <v>1701</v>
      </c>
      <c r="AX719" s="32" t="s">
        <v>540</v>
      </c>
      <c r="AY719" s="32">
        <v>10000009</v>
      </c>
      <c r="AZ719" s="32">
        <v>21030010</v>
      </c>
      <c r="BA719" s="30" t="s">
        <v>1703</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1798</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1799</v>
      </c>
      <c r="E720" s="20" t="s">
        <v>1800</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1801</v>
      </c>
      <c r="AU720" s="19" t="s">
        <v>204</v>
      </c>
      <c r="AV720" s="19"/>
      <c r="AW720" s="20" t="s">
        <v>1802</v>
      </c>
      <c r="AX720" s="19" t="s">
        <v>1414</v>
      </c>
      <c r="AY720" s="19">
        <v>0</v>
      </c>
      <c r="AZ720" s="19">
        <v>21030020</v>
      </c>
      <c r="BA720" s="20" t="s">
        <v>206</v>
      </c>
      <c r="BB720" s="20" t="s">
        <v>204</v>
      </c>
      <c r="BC720" s="19">
        <v>0</v>
      </c>
      <c r="BD720" s="19">
        <v>0</v>
      </c>
      <c r="BE720" s="186" t="s">
        <v>1803</v>
      </c>
      <c r="BF720" s="186" t="s">
        <v>1804</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1799</v>
      </c>
      <c r="E721" s="20" t="s">
        <v>1800</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1805</v>
      </c>
      <c r="AU721" s="19" t="s">
        <v>204</v>
      </c>
      <c r="AV721" s="19"/>
      <c r="AW721" s="20" t="s">
        <v>1802</v>
      </c>
      <c r="AX721" s="19" t="s">
        <v>1414</v>
      </c>
      <c r="AY721" s="19">
        <v>0</v>
      </c>
      <c r="AZ721" s="19">
        <v>21030020</v>
      </c>
      <c r="BA721" s="20" t="s">
        <v>206</v>
      </c>
      <c r="BB721" s="20" t="s">
        <v>204</v>
      </c>
      <c r="BC721" s="19">
        <v>0</v>
      </c>
      <c r="BD721" s="19">
        <v>0</v>
      </c>
      <c r="BE721" s="186" t="s">
        <v>1806</v>
      </c>
      <c r="BF721" s="186" t="s">
        <v>1807</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1799</v>
      </c>
      <c r="E722" s="20" t="s">
        <v>1800</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1808</v>
      </c>
      <c r="AU722" s="19" t="s">
        <v>204</v>
      </c>
      <c r="AV722" s="19"/>
      <c r="AW722" s="20" t="s">
        <v>1802</v>
      </c>
      <c r="AX722" s="19" t="s">
        <v>1414</v>
      </c>
      <c r="AY722" s="19">
        <v>0</v>
      </c>
      <c r="AZ722" s="19">
        <v>21030020</v>
      </c>
      <c r="BA722" s="20" t="s">
        <v>206</v>
      </c>
      <c r="BB722" s="20" t="s">
        <v>204</v>
      </c>
      <c r="BC722" s="19">
        <v>0</v>
      </c>
      <c r="BD722" s="19">
        <v>0</v>
      </c>
      <c r="BE722" s="186" t="s">
        <v>1809</v>
      </c>
      <c r="BF722" s="186" t="s">
        <v>1810</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1799</v>
      </c>
      <c r="E723" s="20" t="s">
        <v>1800</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1811</v>
      </c>
      <c r="AU723" s="19" t="s">
        <v>204</v>
      </c>
      <c r="AV723" s="19"/>
      <c r="AW723" s="20" t="s">
        <v>1802</v>
      </c>
      <c r="AX723" s="19" t="s">
        <v>1414</v>
      </c>
      <c r="AY723" s="19">
        <v>0</v>
      </c>
      <c r="AZ723" s="19">
        <v>21030020</v>
      </c>
      <c r="BA723" s="20" t="s">
        <v>206</v>
      </c>
      <c r="BB723" s="20" t="s">
        <v>204</v>
      </c>
      <c r="BC723" s="19">
        <v>0</v>
      </c>
      <c r="BD723" s="19">
        <v>0</v>
      </c>
      <c r="BE723" s="186" t="s">
        <v>1812</v>
      </c>
      <c r="BF723" s="186" t="s">
        <v>1813</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1799</v>
      </c>
      <c r="E724" s="20" t="s">
        <v>1800</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1814</v>
      </c>
      <c r="AU724" s="19" t="s">
        <v>204</v>
      </c>
      <c r="AV724" s="19"/>
      <c r="AW724" s="20" t="s">
        <v>1802</v>
      </c>
      <c r="AX724" s="19" t="s">
        <v>1414</v>
      </c>
      <c r="AY724" s="19">
        <v>0</v>
      </c>
      <c r="AZ724" s="19">
        <v>21030020</v>
      </c>
      <c r="BA724" s="20" t="s">
        <v>206</v>
      </c>
      <c r="BB724" s="20" t="s">
        <v>204</v>
      </c>
      <c r="BC724" s="19">
        <v>0</v>
      </c>
      <c r="BD724" s="19">
        <v>0</v>
      </c>
      <c r="BE724" s="186" t="s">
        <v>1815</v>
      </c>
      <c r="BF724" s="186" t="s">
        <v>1816</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1799</v>
      </c>
      <c r="E725" s="20" t="s">
        <v>1800</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41" t="s">
        <v>1817</v>
      </c>
      <c r="AU725" s="19" t="s">
        <v>204</v>
      </c>
      <c r="AV725" s="19"/>
      <c r="AW725" s="20" t="s">
        <v>1802</v>
      </c>
      <c r="AX725" s="19" t="s">
        <v>1414</v>
      </c>
      <c r="AY725" s="19">
        <v>0</v>
      </c>
      <c r="AZ725" s="19">
        <v>21030020</v>
      </c>
      <c r="BA725" s="20" t="s">
        <v>206</v>
      </c>
      <c r="BB725" s="20" t="s">
        <v>204</v>
      </c>
      <c r="BC725" s="19">
        <v>0</v>
      </c>
      <c r="BD725" s="19">
        <v>0</v>
      </c>
      <c r="BE725" s="186" t="s">
        <v>1818</v>
      </c>
      <c r="BF725" s="186" t="s">
        <v>1819</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1820</v>
      </c>
      <c r="E726" s="35" t="s">
        <v>1821</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1822</v>
      </c>
      <c r="AV726" s="32">
        <v>90001079</v>
      </c>
      <c r="AW726" s="35" t="s">
        <v>205</v>
      </c>
      <c r="AX726" s="32" t="s">
        <v>1047</v>
      </c>
      <c r="AY726" s="32">
        <v>10004004</v>
      </c>
      <c r="AZ726" s="32">
        <v>21030030</v>
      </c>
      <c r="BA726" s="35" t="s">
        <v>1823</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1824</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1820</v>
      </c>
      <c r="E727" s="35" t="s">
        <v>1821</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1822</v>
      </c>
      <c r="AV727" s="32">
        <v>90001079</v>
      </c>
      <c r="AW727" s="35" t="s">
        <v>205</v>
      </c>
      <c r="AX727" s="32" t="s">
        <v>1047</v>
      </c>
      <c r="AY727" s="32">
        <v>10004004</v>
      </c>
      <c r="AZ727" s="32">
        <v>21030030</v>
      </c>
      <c r="BA727" s="35" t="s">
        <v>1823</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1824</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1820</v>
      </c>
      <c r="E728" s="35" t="s">
        <v>1821</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1822</v>
      </c>
      <c r="AV728" s="32">
        <v>90001079</v>
      </c>
      <c r="AW728" s="35" t="s">
        <v>205</v>
      </c>
      <c r="AX728" s="32" t="s">
        <v>1047</v>
      </c>
      <c r="AY728" s="32">
        <v>10004004</v>
      </c>
      <c r="AZ728" s="32">
        <v>21030030</v>
      </c>
      <c r="BA728" s="35" t="s">
        <v>1823</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1825</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1820</v>
      </c>
      <c r="E729" s="35" t="s">
        <v>1821</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1822</v>
      </c>
      <c r="AV729" s="32">
        <v>90001079</v>
      </c>
      <c r="AW729" s="35" t="s">
        <v>205</v>
      </c>
      <c r="AX729" s="32" t="s">
        <v>1047</v>
      </c>
      <c r="AY729" s="32">
        <v>10004004</v>
      </c>
      <c r="AZ729" s="32">
        <v>21030030</v>
      </c>
      <c r="BA729" s="35" t="s">
        <v>1823</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1826</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1820</v>
      </c>
      <c r="E730" s="35" t="s">
        <v>1821</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1822</v>
      </c>
      <c r="AV730" s="32">
        <v>90001079</v>
      </c>
      <c r="AW730" s="35" t="s">
        <v>205</v>
      </c>
      <c r="AX730" s="32" t="s">
        <v>1047</v>
      </c>
      <c r="AY730" s="32">
        <v>10004004</v>
      </c>
      <c r="AZ730" s="32">
        <v>21030030</v>
      </c>
      <c r="BA730" s="35" t="s">
        <v>1823</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1827</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1820</v>
      </c>
      <c r="E731" s="35" t="s">
        <v>1821</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50" t="s">
        <v>1822</v>
      </c>
      <c r="AV731" s="32">
        <v>90001079</v>
      </c>
      <c r="AW731" s="35" t="s">
        <v>205</v>
      </c>
      <c r="AX731" s="32" t="s">
        <v>1047</v>
      </c>
      <c r="AY731" s="32">
        <v>10004004</v>
      </c>
      <c r="AZ731" s="32">
        <v>21030030</v>
      </c>
      <c r="BA731" s="35" t="s">
        <v>1823</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1828</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1791</v>
      </c>
      <c r="E732" s="35" t="s">
        <v>1792</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50" t="s">
        <v>1829</v>
      </c>
      <c r="AV732" s="32"/>
      <c r="AW732" s="35" t="s">
        <v>204</v>
      </c>
      <c r="AX732" s="32">
        <v>0</v>
      </c>
      <c r="AY732" s="32">
        <v>0</v>
      </c>
      <c r="AZ732" s="32">
        <v>0</v>
      </c>
      <c r="BA732" s="35" t="s">
        <v>206</v>
      </c>
      <c r="BB732" s="35">
        <v>0</v>
      </c>
      <c r="BC732" s="31">
        <v>0</v>
      </c>
      <c r="BD732" s="31">
        <v>0</v>
      </c>
      <c r="BE732" s="185" t="s">
        <v>1830</v>
      </c>
      <c r="BF732" s="185" t="s">
        <v>1831</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1832</v>
      </c>
      <c r="E733" s="35" t="s">
        <v>1833</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1834</v>
      </c>
      <c r="AV733" s="32"/>
      <c r="AW733" s="35" t="s">
        <v>1711</v>
      </c>
      <c r="AX733" s="32" t="s">
        <v>1414</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1835</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1832</v>
      </c>
      <c r="E734" s="35" t="s">
        <v>1833</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1834</v>
      </c>
      <c r="AV734" s="32"/>
      <c r="AW734" s="35" t="s">
        <v>1711</v>
      </c>
      <c r="AX734" s="32" t="s">
        <v>1414</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1835</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1832</v>
      </c>
      <c r="E735" s="35" t="s">
        <v>1833</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1836</v>
      </c>
      <c r="AV735" s="32"/>
      <c r="AW735" s="35" t="s">
        <v>1711</v>
      </c>
      <c r="AX735" s="32" t="s">
        <v>1414</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1837</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1832</v>
      </c>
      <c r="E736" s="35" t="s">
        <v>1833</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1838</v>
      </c>
      <c r="AV736" s="32"/>
      <c r="AW736" s="35" t="s">
        <v>1711</v>
      </c>
      <c r="AX736" s="32" t="s">
        <v>1414</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1839</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1832</v>
      </c>
      <c r="E737" s="35" t="s">
        <v>1833</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1840</v>
      </c>
      <c r="AV737" s="32"/>
      <c r="AW737" s="35" t="s">
        <v>1711</v>
      </c>
      <c r="AX737" s="32" t="s">
        <v>1414</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1841</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1832</v>
      </c>
      <c r="E738" s="35" t="s">
        <v>1833</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50" t="s">
        <v>1842</v>
      </c>
      <c r="AV738" s="32"/>
      <c r="AW738" s="35" t="s">
        <v>1711</v>
      </c>
      <c r="AX738" s="32" t="s">
        <v>1414</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1843</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1844</v>
      </c>
      <c r="E739" s="35" t="s">
        <v>1845</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1846</v>
      </c>
      <c r="BF739" s="185" t="s">
        <v>1847</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1383</v>
      </c>
      <c r="E740" s="35" t="s">
        <v>1848</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1849</v>
      </c>
      <c r="AY740" s="32">
        <v>10000006</v>
      </c>
      <c r="AZ740" s="32">
        <v>21100010</v>
      </c>
      <c r="BA740" s="35" t="s">
        <v>206</v>
      </c>
      <c r="BB740" s="35">
        <v>0</v>
      </c>
      <c r="BC740" s="31">
        <v>0</v>
      </c>
      <c r="BD740" s="31">
        <v>0</v>
      </c>
      <c r="BE740" s="185" t="str">
        <f>"立即对目标范围内的怪物造成"&amp;X740*100&amp;"%攻击伤害+"&amp;Z740&amp;"点固定伤害"</f>
        <v>立即对目标范围内的怪物造成225%攻击伤害+900点固定伤害</v>
      </c>
      <c r="BF740" s="185" t="s">
        <v>1850</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1383</v>
      </c>
      <c r="E741" s="35" t="s">
        <v>1848</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1849</v>
      </c>
      <c r="AY741" s="32">
        <v>10000006</v>
      </c>
      <c r="AZ741" s="32">
        <v>21100010</v>
      </c>
      <c r="BA741" s="35" t="s">
        <v>206</v>
      </c>
      <c r="BB741" s="35">
        <v>0</v>
      </c>
      <c r="BC741" s="31">
        <v>0</v>
      </c>
      <c r="BD741" s="31">
        <v>0</v>
      </c>
      <c r="BE741" s="185" t="str">
        <f t="shared" ref="BE741:BE745" si="48">"立即对目标范围内的怪物造成"&amp;X741*100&amp;"%攻击伤害+"&amp;Z741&amp;"点固定伤害"</f>
        <v>立即对目标范围内的怪物造成225%攻击伤害+900点固定伤害</v>
      </c>
      <c r="BF741" s="185" t="s">
        <v>1850</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1383</v>
      </c>
      <c r="E742" s="35" t="s">
        <v>1848</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1849</v>
      </c>
      <c r="AY742" s="32">
        <v>10000006</v>
      </c>
      <c r="AZ742" s="32">
        <v>21100010</v>
      </c>
      <c r="BA742" s="35" t="s">
        <v>206</v>
      </c>
      <c r="BB742" s="35">
        <v>0</v>
      </c>
      <c r="BC742" s="31">
        <v>0</v>
      </c>
      <c r="BD742" s="31">
        <v>0</v>
      </c>
      <c r="BE742" s="185" t="str">
        <f t="shared" si="48"/>
        <v>立即对目标范围内的怪物造成250%攻击伤害+1800点固定伤害</v>
      </c>
      <c r="BF742" s="185" t="s">
        <v>1851</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1383</v>
      </c>
      <c r="E743" s="35" t="s">
        <v>1848</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1849</v>
      </c>
      <c r="AY743" s="32">
        <v>10000006</v>
      </c>
      <c r="AZ743" s="32">
        <v>21100010</v>
      </c>
      <c r="BA743" s="35" t="s">
        <v>206</v>
      </c>
      <c r="BB743" s="35">
        <v>0</v>
      </c>
      <c r="BC743" s="31">
        <v>0</v>
      </c>
      <c r="BD743" s="31">
        <v>0</v>
      </c>
      <c r="BE743" s="185" t="str">
        <f t="shared" si="48"/>
        <v>立即对目标范围内的怪物造成275%攻击伤害+2800点固定伤害</v>
      </c>
      <c r="BF743" s="185" t="s">
        <v>1852</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1383</v>
      </c>
      <c r="E744" s="35" t="s">
        <v>1848</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1849</v>
      </c>
      <c r="AY744" s="32">
        <v>10000006</v>
      </c>
      <c r="AZ744" s="32">
        <v>21100010</v>
      </c>
      <c r="BA744" s="35" t="s">
        <v>206</v>
      </c>
      <c r="BB744" s="35">
        <v>0</v>
      </c>
      <c r="BC744" s="31">
        <v>0</v>
      </c>
      <c r="BD744" s="31">
        <v>0</v>
      </c>
      <c r="BE744" s="185" t="str">
        <f t="shared" si="48"/>
        <v>立即对目标范围内的怪物造成300%攻击伤害+4000点固定伤害</v>
      </c>
      <c r="BF744" s="185" t="s">
        <v>1853</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1383</v>
      </c>
      <c r="E745" s="35" t="s">
        <v>1848</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0</v>
      </c>
      <c r="AV745" s="32"/>
      <c r="AW745" s="35" t="s">
        <v>205</v>
      </c>
      <c r="AX745" s="32" t="s">
        <v>1849</v>
      </c>
      <c r="AY745" s="32">
        <v>10000006</v>
      </c>
      <c r="AZ745" s="32">
        <v>21100010</v>
      </c>
      <c r="BA745" s="35" t="s">
        <v>206</v>
      </c>
      <c r="BB745" s="35">
        <v>0</v>
      </c>
      <c r="BC745" s="31">
        <v>0</v>
      </c>
      <c r="BD745" s="31">
        <v>0</v>
      </c>
      <c r="BE745" s="185" t="str">
        <f t="shared" si="48"/>
        <v>立即对目标范围内的怪物造成325%攻击伤害+5200点固定伤害</v>
      </c>
      <c r="BF745" s="185" t="s">
        <v>1854</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1855</v>
      </c>
      <c r="E746" s="35" t="s">
        <v>1856</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1857</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"立即对目标范围内的怪物造成"&amp;X746*100&amp;"%攻击伤害+"&amp;Z746&amp;"点固定伤害"&amp;",并使目标移动速度降低50%,持续3秒"</f>
        <v>立即对目标范围内的怪物造成200%攻击伤害+750点固定伤害,并使目标移动速度降低50%,持续3秒</v>
      </c>
      <c r="BF746" s="185" t="s">
        <v>1858</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1855</v>
      </c>
      <c r="E747" s="35" t="s">
        <v>1856</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1857</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"立即对目标范围内的怪物造成"&amp;X747*100&amp;"%攻击伤害+"&amp;Z747&amp;"点固定伤害"&amp;",并使目标移动速度降低50%,持续3秒"</f>
        <v>立即对目标范围内的怪物造成200%攻击伤害+750点固定伤害,并使目标移动速度降低50%,持续3秒</v>
      </c>
      <c r="BF747" s="185" t="s">
        <v>1858</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1855</v>
      </c>
      <c r="E748" s="35" t="s">
        <v>1856</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2.2000000000000002</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1857</v>
      </c>
      <c r="AY748" s="32">
        <v>10003002</v>
      </c>
      <c r="AZ748" s="32">
        <v>21100020</v>
      </c>
      <c r="BA748" s="35" t="s">
        <v>592</v>
      </c>
      <c r="BB748" s="35">
        <v>0</v>
      </c>
      <c r="BC748" s="31">
        <v>0</v>
      </c>
      <c r="BD748" s="31">
        <v>0</v>
      </c>
      <c r="BE748" s="185" t="str">
        <f t="shared" si="50"/>
        <v>立即对目标范围内的怪物造成220%攻击伤害+1500点固定伤害,并使目标移动速度降低50%,持续3秒</v>
      </c>
      <c r="BF748" s="185" t="s">
        <v>1859</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1855</v>
      </c>
      <c r="E749" s="35" t="s">
        <v>1856</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2.4</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1857</v>
      </c>
      <c r="AY749" s="32">
        <v>10003002</v>
      </c>
      <c r="AZ749" s="32">
        <v>21100020</v>
      </c>
      <c r="BA749" s="35" t="s">
        <v>592</v>
      </c>
      <c r="BB749" s="35">
        <v>0</v>
      </c>
      <c r="BC749" s="31">
        <v>0</v>
      </c>
      <c r="BD749" s="31">
        <v>0</v>
      </c>
      <c r="BE749" s="185" t="str">
        <f t="shared" si="50"/>
        <v>立即对目标范围内的怪物造成240%攻击伤害+2250点固定伤害,并使目标移动速度降低50%,持续3秒</v>
      </c>
      <c r="BF749" s="185" t="s">
        <v>1860</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1855</v>
      </c>
      <c r="E750" s="35" t="s">
        <v>1856</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2.6</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1857</v>
      </c>
      <c r="AY750" s="32">
        <v>10003002</v>
      </c>
      <c r="AZ750" s="32">
        <v>21100020</v>
      </c>
      <c r="BA750" s="35" t="s">
        <v>592</v>
      </c>
      <c r="BB750" s="35">
        <v>0</v>
      </c>
      <c r="BC750" s="31">
        <v>0</v>
      </c>
      <c r="BD750" s="31">
        <v>0</v>
      </c>
      <c r="BE750" s="185" t="str">
        <f t="shared" si="50"/>
        <v>立即对目标范围内的怪物造成260%攻击伤害+3250点固定伤害,并使目标移动速度降低50%,持续3秒</v>
      </c>
      <c r="BF750" s="185" t="s">
        <v>1861</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1855</v>
      </c>
      <c r="E751" s="35" t="s">
        <v>1856</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2.8</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1857</v>
      </c>
      <c r="AY751" s="32">
        <v>10003002</v>
      </c>
      <c r="AZ751" s="32">
        <v>21100020</v>
      </c>
      <c r="BA751" s="35" t="s">
        <v>592</v>
      </c>
      <c r="BB751" s="35">
        <v>0</v>
      </c>
      <c r="BC751" s="31">
        <v>0</v>
      </c>
      <c r="BD751" s="31">
        <v>0</v>
      </c>
      <c r="BE751" s="185" t="str">
        <f t="shared" si="50"/>
        <v>立即对目标范围内的怪物造成280%攻击伤害+4250点固定伤害,并使目标移动速度降低50%,持续3秒</v>
      </c>
      <c r="BF751" s="185" t="s">
        <v>1862</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1390</v>
      </c>
      <c r="E752" s="35" t="s">
        <v>1863</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1864</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1390</v>
      </c>
      <c r="E753" s="35" t="s">
        <v>1863</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1864</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1390</v>
      </c>
      <c r="E754" s="35" t="s">
        <v>1863</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1865</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1390</v>
      </c>
      <c r="E755" s="35" t="s">
        <v>1863</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1866</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1390</v>
      </c>
      <c r="E756" s="35" t="s">
        <v>1863</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1867</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1390</v>
      </c>
      <c r="E757" s="35" t="s">
        <v>1863</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1868</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1869</v>
      </c>
      <c r="E758" s="35" t="s">
        <v>1870</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1871</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1869</v>
      </c>
      <c r="E759" s="35" t="s">
        <v>1870</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1871</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1869</v>
      </c>
      <c r="E760" s="35" t="s">
        <v>1870</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1872</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1869</v>
      </c>
      <c r="E761" s="35" t="s">
        <v>1870</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1873</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1869</v>
      </c>
      <c r="E762" s="35" t="s">
        <v>1870</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1874</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1869</v>
      </c>
      <c r="E763" s="35" t="s">
        <v>1870</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1414</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1875</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1397</v>
      </c>
      <c r="E764" s="35" t="s">
        <v>1398</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1876</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1877</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1397</v>
      </c>
      <c r="E765" s="35" t="s">
        <v>1398</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1876</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1877</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1397</v>
      </c>
      <c r="E766" s="35" t="s">
        <v>1398</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1876</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1878</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1397</v>
      </c>
      <c r="E767" s="35" t="s">
        <v>1398</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1876</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1879</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1397</v>
      </c>
      <c r="E768" s="35" t="s">
        <v>1398</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1876</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1880</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1397</v>
      </c>
      <c r="E769" s="35" t="s">
        <v>1398</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50" t="s">
        <v>1876</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1881</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1882</v>
      </c>
      <c r="E770" s="35" t="s">
        <v>1883</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1884</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1882</v>
      </c>
      <c r="E771" s="35" t="s">
        <v>1883</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1884</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1882</v>
      </c>
      <c r="E772" s="35" t="s">
        <v>1883</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1885</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1882</v>
      </c>
      <c r="E773" s="35" t="s">
        <v>1883</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1886</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1882</v>
      </c>
      <c r="E774" s="35" t="s">
        <v>1883</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1887</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1882</v>
      </c>
      <c r="E775" s="35" t="s">
        <v>1883</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1888</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1691</v>
      </c>
      <c r="E776" s="42" t="s">
        <v>1692</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1637</v>
      </c>
      <c r="AV776" s="38"/>
      <c r="AW776" s="42" t="s">
        <v>768</v>
      </c>
      <c r="AX776" s="38" t="s">
        <v>221</v>
      </c>
      <c r="AY776" s="38">
        <v>10000015</v>
      </c>
      <c r="AZ776" s="38">
        <v>21101021</v>
      </c>
      <c r="BA776" s="42" t="s">
        <v>1377</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1693</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1691</v>
      </c>
      <c r="E777" s="42" t="s">
        <v>1692</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1637</v>
      </c>
      <c r="AV777" s="38"/>
      <c r="AW777" s="42" t="s">
        <v>768</v>
      </c>
      <c r="AX777" s="38" t="s">
        <v>221</v>
      </c>
      <c r="AY777" s="38">
        <v>10000015</v>
      </c>
      <c r="AZ777" s="38">
        <v>21101021</v>
      </c>
      <c r="BA777" s="42" t="s">
        <v>1377</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1693</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1691</v>
      </c>
      <c r="E778" s="42" t="s">
        <v>1692</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1637</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立即对当前脚下敌人目标造成200%攻击伤害+1400点固定伤害和使目标眩晕1秒,并迅速跳跃至目标区域</v>
      </c>
      <c r="BF778" s="183" t="s">
        <v>1694</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1691</v>
      </c>
      <c r="E779" s="42" t="s">
        <v>1692</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1637</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立即对当前脚下敌人目标造成200%攻击伤害+1750点固定伤害和使目标眩晕1秒,并迅速跳跃至目标区域</v>
      </c>
      <c r="BF779" s="183" t="s">
        <v>1695</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1691</v>
      </c>
      <c r="E780" s="42" t="s">
        <v>1692</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1637</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立即对当前脚下敌人目标造成200%攻击伤害+2100点固定伤害和使目标眩晕1秒,并迅速跳跃至目标区域</v>
      </c>
      <c r="BF780" s="183" t="s">
        <v>1696</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1691</v>
      </c>
      <c r="E781" s="42" t="s">
        <v>1692</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1637</v>
      </c>
      <c r="AV781" s="38"/>
      <c r="AW781" s="42" t="s">
        <v>768</v>
      </c>
      <c r="AX781" s="38" t="s">
        <v>221</v>
      </c>
      <c r="AY781" s="38">
        <v>10000015</v>
      </c>
      <c r="AZ781" s="38">
        <v>21101021</v>
      </c>
      <c r="BA781" s="42" t="s">
        <v>1377</v>
      </c>
      <c r="BB781" s="38">
        <v>1</v>
      </c>
      <c r="BC781" s="38">
        <v>0</v>
      </c>
      <c r="BD781" s="38">
        <v>0</v>
      </c>
      <c r="BE781" s="183" t="str">
        <f t="shared" si="59"/>
        <v>立即对当前脚下敌人目标造成200%攻击伤害+2450点固定伤害和使目标眩晕1秒,并迅速跳跃至目标区域</v>
      </c>
      <c r="BF781" s="183" t="s">
        <v>1697</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1889</v>
      </c>
      <c r="E782" s="80" t="s">
        <v>1890</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1891</v>
      </c>
      <c r="BF782" s="189" t="s">
        <v>1892</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1889</v>
      </c>
      <c r="E783" s="80" t="s">
        <v>1890</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1891</v>
      </c>
      <c r="BF783" s="189" t="s">
        <v>1892</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1889</v>
      </c>
      <c r="E784" s="80" t="s">
        <v>1890</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1893</v>
      </c>
      <c r="BF784" s="189" t="s">
        <v>1894</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1889</v>
      </c>
      <c r="E785" s="80" t="s">
        <v>1890</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1895</v>
      </c>
      <c r="BF785" s="189" t="s">
        <v>1896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1889</v>
      </c>
      <c r="E786" s="80" t="s">
        <v>1890</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1889</v>
      </c>
      <c r="E787" s="80" t="s">
        <v>1890</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1897</v>
      </c>
      <c r="BF787" s="189" t="s">
        <v>1898</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1674</v>
      </c>
      <c r="E788" s="190" t="s">
        <v>1675</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1700</v>
      </c>
      <c r="AV788" s="194"/>
      <c r="AW788" s="190" t="s">
        <v>1701</v>
      </c>
      <c r="AX788" s="194" t="s">
        <v>1702</v>
      </c>
      <c r="AY788" s="194">
        <v>10000006</v>
      </c>
      <c r="AZ788" s="194">
        <v>21101022</v>
      </c>
      <c r="BA788" s="196" t="s">
        <v>1703</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1899</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1674</v>
      </c>
      <c r="E789" s="190" t="s">
        <v>1675</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1700</v>
      </c>
      <c r="AV789" s="194"/>
      <c r="AW789" s="190" t="s">
        <v>1701</v>
      </c>
      <c r="AX789" s="194" t="s">
        <v>1702</v>
      </c>
      <c r="AY789" s="194">
        <v>10000006</v>
      </c>
      <c r="AZ789" s="194">
        <v>21101022</v>
      </c>
      <c r="BA789" s="196" t="s">
        <v>1703</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1899</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1674</v>
      </c>
      <c r="E790" s="190" t="s">
        <v>1675</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1700</v>
      </c>
      <c r="AV790" s="194"/>
      <c r="AW790" s="190" t="s">
        <v>1701</v>
      </c>
      <c r="AX790" s="194" t="s">
        <v>1702</v>
      </c>
      <c r="AY790" s="194">
        <v>10000006</v>
      </c>
      <c r="AZ790" s="194">
        <v>21101022</v>
      </c>
      <c r="BA790" s="196" t="s">
        <v>1703</v>
      </c>
      <c r="BB790" s="190">
        <v>0</v>
      </c>
      <c r="BC790" s="193">
        <v>0</v>
      </c>
      <c r="BD790" s="193">
        <v>0</v>
      </c>
      <c r="BE790" s="197" t="str">
        <f t="shared" si="60"/>
        <v>立即将目标周围的怪物强制拉到技能范围中,并对目标范围内的怪物造成275%攻击伤害+1800点固定伤害</v>
      </c>
      <c r="BF790" s="197" t="s">
        <v>1900</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1674</v>
      </c>
      <c r="E791" s="190" t="s">
        <v>1675</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1700</v>
      </c>
      <c r="AV791" s="194"/>
      <c r="AW791" s="190" t="s">
        <v>1701</v>
      </c>
      <c r="AX791" s="194" t="s">
        <v>1702</v>
      </c>
      <c r="AY791" s="194">
        <v>10000006</v>
      </c>
      <c r="AZ791" s="194">
        <v>21101022</v>
      </c>
      <c r="BA791" s="196" t="s">
        <v>1703</v>
      </c>
      <c r="BB791" s="190">
        <v>0</v>
      </c>
      <c r="BC791" s="193">
        <v>0</v>
      </c>
      <c r="BD791" s="193">
        <v>0</v>
      </c>
      <c r="BE791" s="197" t="str">
        <f t="shared" si="60"/>
        <v>立即将目标周围的怪物强制拉到技能范围中,并对目标范围内的怪物造成300%攻击伤害+2800点固定伤害</v>
      </c>
      <c r="BF791" s="197" t="s">
        <v>1901</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1674</v>
      </c>
      <c r="E792" s="190" t="s">
        <v>1675</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1700</v>
      </c>
      <c r="AV792" s="194"/>
      <c r="AW792" s="190" t="s">
        <v>1701</v>
      </c>
      <c r="AX792" s="194" t="s">
        <v>1702</v>
      </c>
      <c r="AY792" s="194">
        <v>10000006</v>
      </c>
      <c r="AZ792" s="194">
        <v>21101022</v>
      </c>
      <c r="BA792" s="196" t="s">
        <v>1703</v>
      </c>
      <c r="BB792" s="190">
        <v>0</v>
      </c>
      <c r="BC792" s="193">
        <v>0</v>
      </c>
      <c r="BD792" s="193">
        <v>0</v>
      </c>
      <c r="BE792" s="197" t="str">
        <f t="shared" si="60"/>
        <v>立即将目标周围的怪物强制拉到技能范围中,并对目标范围内的怪物造成325%攻击伤害+4000点固定伤害</v>
      </c>
      <c r="BF792" s="197" t="s">
        <v>1902</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1674</v>
      </c>
      <c r="E793" s="190" t="s">
        <v>1675</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52" t="s">
        <v>1700</v>
      </c>
      <c r="AV793" s="194"/>
      <c r="AW793" s="190" t="s">
        <v>1701</v>
      </c>
      <c r="AX793" s="194" t="s">
        <v>1702</v>
      </c>
      <c r="AY793" s="194">
        <v>10000006</v>
      </c>
      <c r="AZ793" s="194">
        <v>21101022</v>
      </c>
      <c r="BA793" s="196" t="s">
        <v>1703</v>
      </c>
      <c r="BB793" s="190">
        <v>0</v>
      </c>
      <c r="BC793" s="193">
        <v>0</v>
      </c>
      <c r="BD793" s="193">
        <v>0</v>
      </c>
      <c r="BE793" s="197" t="str">
        <f t="shared" si="60"/>
        <v>立即将目标周围的怪物强制拉到技能范围中,并对目标范围内的怪物造成350%攻击伤害+5200点固定伤害</v>
      </c>
      <c r="BF793" s="197" t="s">
        <v>1903</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1904</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1905</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1904</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1905</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1904</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1906</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1904</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1907</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1904</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1908</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50" t="s">
        <v>1904</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1909</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1910</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1911</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1910</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1911</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1910</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1912</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1910</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1913</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1910</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1914</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1910</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1915</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1916</v>
      </c>
      <c r="E806" s="30" t="s">
        <v>1917</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1918</v>
      </c>
      <c r="BC806" s="31">
        <v>0</v>
      </c>
      <c r="BD806" s="31">
        <v>0</v>
      </c>
      <c r="BE806" s="33" t="s">
        <v>1919</v>
      </c>
      <c r="BF806" s="33" t="s">
        <v>1920</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1916</v>
      </c>
      <c r="E807" s="30" t="s">
        <v>1917</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1918</v>
      </c>
      <c r="BC807" s="31">
        <v>0</v>
      </c>
      <c r="BD807" s="31">
        <v>0</v>
      </c>
      <c r="BE807" s="33" t="s">
        <v>1919</v>
      </c>
      <c r="BF807" s="33" t="s">
        <v>1920</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1916</v>
      </c>
      <c r="E808" s="30" t="s">
        <v>1917</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1921</v>
      </c>
      <c r="BC808" s="31">
        <v>0</v>
      </c>
      <c r="BD808" s="31">
        <v>0</v>
      </c>
      <c r="BE808" s="33" t="s">
        <v>1922</v>
      </c>
      <c r="BF808" s="33" t="s">
        <v>1923</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1916</v>
      </c>
      <c r="E809" s="30" t="s">
        <v>1917</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1924</v>
      </c>
      <c r="BC809" s="31">
        <v>0</v>
      </c>
      <c r="BD809" s="31">
        <v>0</v>
      </c>
      <c r="BE809" s="33" t="s">
        <v>1925</v>
      </c>
      <c r="BF809" s="33" t="s">
        <v>1926</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1916</v>
      </c>
      <c r="E810" s="30" t="s">
        <v>1917</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1927</v>
      </c>
      <c r="BC810" s="31">
        <v>0</v>
      </c>
      <c r="BD810" s="31">
        <v>0</v>
      </c>
      <c r="BE810" s="33" t="s">
        <v>1928</v>
      </c>
      <c r="BF810" s="33" t="s">
        <v>1929</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1916</v>
      </c>
      <c r="E811" s="30" t="s">
        <v>1917</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53" t="s">
        <v>1930</v>
      </c>
      <c r="BC811" s="31">
        <v>0</v>
      </c>
      <c r="BD811" s="31">
        <v>0</v>
      </c>
      <c r="BE811" s="33" t="s">
        <v>1931</v>
      </c>
      <c r="BF811" s="33" t="s">
        <v>1932</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1933</v>
      </c>
      <c r="E812" s="35" t="s">
        <v>1934</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1935</v>
      </c>
      <c r="E813" s="35" t="s">
        <v>1936</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1937</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1938</v>
      </c>
      <c r="E814" s="35" t="s">
        <v>1939</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1849</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1940</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1941</v>
      </c>
      <c r="E815" s="30" t="s">
        <v>1942</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1943</v>
      </c>
      <c r="BC815" s="31">
        <v>0</v>
      </c>
      <c r="BD815" s="31">
        <v>0</v>
      </c>
      <c r="BE815" s="33" t="s">
        <v>1944</v>
      </c>
      <c r="BF815" s="33" t="s">
        <v>1945</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1941</v>
      </c>
      <c r="E816" s="30" t="s">
        <v>1942</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1946</v>
      </c>
      <c r="BC816" s="31">
        <v>0</v>
      </c>
      <c r="BD816" s="31">
        <v>0</v>
      </c>
      <c r="BE816" s="33" t="s">
        <v>1947</v>
      </c>
      <c r="BF816" s="33" t="s">
        <v>1948</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1949</v>
      </c>
      <c r="E817" s="20" t="s">
        <v>1950</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1951</v>
      </c>
      <c r="AV817" s="19"/>
      <c r="AW817" s="20" t="s">
        <v>262</v>
      </c>
      <c r="AX817" s="19" t="s">
        <v>1849</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1952</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1949</v>
      </c>
      <c r="E818" s="20" t="s">
        <v>1950</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1951</v>
      </c>
      <c r="AV818" s="19"/>
      <c r="AW818" s="20" t="s">
        <v>262</v>
      </c>
      <c r="AX818" s="19" t="s">
        <v>1849</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1952</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1949</v>
      </c>
      <c r="E819" s="20" t="s">
        <v>1950</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1951</v>
      </c>
      <c r="AV819" s="19"/>
      <c r="AW819" s="20" t="s">
        <v>262</v>
      </c>
      <c r="AX819" s="19" t="s">
        <v>1849</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1953</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1949</v>
      </c>
      <c r="E820" s="20" t="s">
        <v>1950</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1951</v>
      </c>
      <c r="AV820" s="19"/>
      <c r="AW820" s="20" t="s">
        <v>262</v>
      </c>
      <c r="AX820" s="19" t="s">
        <v>1849</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1954</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1949</v>
      </c>
      <c r="E821" s="20" t="s">
        <v>1950</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1951</v>
      </c>
      <c r="AV821" s="19"/>
      <c r="AW821" s="20" t="s">
        <v>262</v>
      </c>
      <c r="AX821" s="19" t="s">
        <v>1849</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1955</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1949</v>
      </c>
      <c r="E822" s="20" t="s">
        <v>1950</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41" t="s">
        <v>1951</v>
      </c>
      <c r="AV822" s="19"/>
      <c r="AW822" s="20" t="s">
        <v>262</v>
      </c>
      <c r="AX822" s="19" t="s">
        <v>1849</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1956</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1957</v>
      </c>
      <c r="E823" s="35" t="s">
        <v>1958</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1959</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1957</v>
      </c>
      <c r="E824" s="35" t="s">
        <v>1958</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1959</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1957</v>
      </c>
      <c r="E825" s="35" t="s">
        <v>1958</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1960</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1957</v>
      </c>
      <c r="E826" s="35" t="s">
        <v>1958</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1961</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1957</v>
      </c>
      <c r="E827" s="35" t="s">
        <v>1958</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1962</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1957</v>
      </c>
      <c r="E828" s="35" t="s">
        <v>1958</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1414</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1963</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1964</v>
      </c>
      <c r="E829" s="20" t="s">
        <v>1965</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1966</v>
      </c>
      <c r="AV829" s="32"/>
      <c r="AW829" s="20" t="s">
        <v>262</v>
      </c>
      <c r="AX829" s="19" t="s">
        <v>1967</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1968</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1964</v>
      </c>
      <c r="E830" s="20" t="s">
        <v>1965</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1966</v>
      </c>
      <c r="AV830" s="32"/>
      <c r="AW830" s="20" t="s">
        <v>262</v>
      </c>
      <c r="AX830" s="19" t="s">
        <v>1967</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1969</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1964</v>
      </c>
      <c r="E831" s="20" t="s">
        <v>1965</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1970</v>
      </c>
      <c r="AV831" s="32"/>
      <c r="AW831" s="20" t="s">
        <v>262</v>
      </c>
      <c r="AX831" s="19" t="s">
        <v>1967</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1971</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1964</v>
      </c>
      <c r="E832" s="20" t="s">
        <v>1965</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1972</v>
      </c>
      <c r="AV832" s="32"/>
      <c r="AW832" s="20" t="s">
        <v>262</v>
      </c>
      <c r="AX832" s="19" t="s">
        <v>1967</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1973</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1964</v>
      </c>
      <c r="E833" s="20" t="s">
        <v>1965</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1974</v>
      </c>
      <c r="AV833" s="32"/>
      <c r="AW833" s="20" t="s">
        <v>262</v>
      </c>
      <c r="AX833" s="19" t="s">
        <v>1967</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1975</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1964</v>
      </c>
      <c r="E834" s="20" t="s">
        <v>1965</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50" t="s">
        <v>1976</v>
      </c>
      <c r="AV834" s="32"/>
      <c r="AW834" s="20" t="s">
        <v>262</v>
      </c>
      <c r="AX834" s="19" t="s">
        <v>1967</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1977</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1978</v>
      </c>
      <c r="E835" s="35" t="s">
        <v>1979</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1980</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1978</v>
      </c>
      <c r="E836" s="35" t="s">
        <v>1979</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1980</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1978</v>
      </c>
      <c r="E837" s="35" t="s">
        <v>1979</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1980</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1978</v>
      </c>
      <c r="E838" s="35" t="s">
        <v>1979</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1980</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1978</v>
      </c>
      <c r="E839" s="35" t="s">
        <v>1979</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1980</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1981</v>
      </c>
      <c r="E840" s="35" t="s">
        <v>1982</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50" t="s">
        <v>1983</v>
      </c>
      <c r="AV840" s="32"/>
      <c r="AW840" s="35" t="s">
        <v>205</v>
      </c>
      <c r="AX840" s="32" t="s">
        <v>1980</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1984</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1981</v>
      </c>
      <c r="E841" s="35" t="s">
        <v>1982</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1983</v>
      </c>
      <c r="AV841" s="32"/>
      <c r="AW841" s="35" t="s">
        <v>205</v>
      </c>
      <c r="AX841" s="32" t="s">
        <v>1980</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1984</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1981</v>
      </c>
      <c r="E842" s="35" t="s">
        <v>1982</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1983</v>
      </c>
      <c r="AV842" s="32"/>
      <c r="AW842" s="35" t="s">
        <v>205</v>
      </c>
      <c r="AX842" s="32" t="s">
        <v>1980</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1985</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1981</v>
      </c>
      <c r="E843" s="35" t="s">
        <v>1982</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1983</v>
      </c>
      <c r="AV843" s="32"/>
      <c r="AW843" s="35" t="s">
        <v>205</v>
      </c>
      <c r="AX843" s="32" t="s">
        <v>1980</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1986</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1981</v>
      </c>
      <c r="E844" s="35" t="s">
        <v>1982</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1983</v>
      </c>
      <c r="AV844" s="32"/>
      <c r="AW844" s="35" t="s">
        <v>205</v>
      </c>
      <c r="AX844" s="32" t="s">
        <v>1980</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1987</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1981</v>
      </c>
      <c r="E845" s="35" t="s">
        <v>1982</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50" t="s">
        <v>1983</v>
      </c>
      <c r="AV845" s="32"/>
      <c r="AW845" s="35" t="s">
        <v>205</v>
      </c>
      <c r="AX845" s="32" t="s">
        <v>1980</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1988</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1989</v>
      </c>
      <c r="E846" s="42" t="s">
        <v>1990</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1991</v>
      </c>
      <c r="BF846" s="183" t="s">
        <v>1992</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1989</v>
      </c>
      <c r="E847" s="42" t="s">
        <v>1990</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1991</v>
      </c>
      <c r="BF847" s="183" t="s">
        <v>1992</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1989</v>
      </c>
      <c r="E848" s="42" t="s">
        <v>1990</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1993</v>
      </c>
      <c r="BF848" s="183" t="s">
        <v>1994</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1989</v>
      </c>
      <c r="E849" s="42" t="s">
        <v>1990</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1995</v>
      </c>
      <c r="BF849" s="183" t="s">
        <v>1996</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1989</v>
      </c>
      <c r="E850" s="42" t="s">
        <v>1990</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1997</v>
      </c>
      <c r="BF850" s="183" t="s">
        <v>1998</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1989</v>
      </c>
      <c r="E851" s="42" t="s">
        <v>1990</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1581</v>
      </c>
      <c r="AY851" s="38">
        <v>0</v>
      </c>
      <c r="AZ851" s="38">
        <v>21103010</v>
      </c>
      <c r="BA851" s="42" t="s">
        <v>206</v>
      </c>
      <c r="BB851" s="42" t="s">
        <v>204</v>
      </c>
      <c r="BC851" s="38">
        <v>0</v>
      </c>
      <c r="BD851" s="38">
        <v>0</v>
      </c>
      <c r="BE851" s="183" t="s">
        <v>1999</v>
      </c>
      <c r="BF851" s="183" t="s">
        <v>2000</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2001</v>
      </c>
      <c r="BF852" s="60" t="s">
        <v>2002</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2001</v>
      </c>
      <c r="BF853" s="60" t="s">
        <v>2002</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2003</v>
      </c>
      <c r="BF854" s="60" t="s">
        <v>2004</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2005</v>
      </c>
      <c r="BF855" s="60" t="s">
        <v>2006</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2007</v>
      </c>
      <c r="BF856" s="60" t="s">
        <v>2008</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2009</v>
      </c>
      <c r="BF857" s="60" t="s">
        <v>2010</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2011</v>
      </c>
      <c r="E858" s="35" t="s">
        <v>2012</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2013</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2014</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2011</v>
      </c>
      <c r="E859" s="35" t="s">
        <v>2012</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2013</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2014</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2011</v>
      </c>
      <c r="E860" s="35" t="s">
        <v>2012</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2013</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2015</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2011</v>
      </c>
      <c r="E861" s="35" t="s">
        <v>2012</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2013</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2016</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2011</v>
      </c>
      <c r="E862" s="35" t="s">
        <v>2012</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2013</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2017</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2011</v>
      </c>
      <c r="E863" s="35" t="s">
        <v>2012</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2013</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2018</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2019</v>
      </c>
      <c r="E864" s="35" t="s">
        <v>2020</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2021</v>
      </c>
      <c r="AV864" s="19"/>
      <c r="AW864" s="35" t="s">
        <v>205</v>
      </c>
      <c r="AX864" s="32" t="s">
        <v>1472</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2022</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2019</v>
      </c>
      <c r="E865" s="35" t="s">
        <v>2020</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2021</v>
      </c>
      <c r="AV865" s="19"/>
      <c r="AW865" s="35" t="s">
        <v>205</v>
      </c>
      <c r="AX865" s="32" t="s">
        <v>1472</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2022</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2019</v>
      </c>
      <c r="E866" s="35" t="s">
        <v>2020</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2021</v>
      </c>
      <c r="AV866" s="19"/>
      <c r="AW866" s="35" t="s">
        <v>205</v>
      </c>
      <c r="AX866" s="32" t="s">
        <v>1472</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2023</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2019</v>
      </c>
      <c r="E867" s="35" t="s">
        <v>2020</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2021</v>
      </c>
      <c r="AV867" s="19"/>
      <c r="AW867" s="35" t="s">
        <v>205</v>
      </c>
      <c r="AX867" s="32" t="s">
        <v>1472</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2024</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2019</v>
      </c>
      <c r="E868" s="35" t="s">
        <v>2020</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2021</v>
      </c>
      <c r="AV868" s="19"/>
      <c r="AW868" s="35" t="s">
        <v>205</v>
      </c>
      <c r="AX868" s="32" t="s">
        <v>1472</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2025</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2019</v>
      </c>
      <c r="E869" s="35" t="s">
        <v>2020</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41" t="s">
        <v>2021</v>
      </c>
      <c r="AV869" s="19"/>
      <c r="AW869" s="35" t="s">
        <v>205</v>
      </c>
      <c r="AX869" s="32" t="s">
        <v>1472</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2026</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2027</v>
      </c>
      <c r="AV870" s="19"/>
      <c r="AW870" s="20" t="s">
        <v>262</v>
      </c>
      <c r="AX870" s="19" t="s">
        <v>2028</v>
      </c>
      <c r="AY870" s="19" t="s">
        <v>204</v>
      </c>
      <c r="AZ870" s="19">
        <v>21103040</v>
      </c>
      <c r="BA870" s="20" t="s">
        <v>206</v>
      </c>
      <c r="BB870" s="19">
        <v>0</v>
      </c>
      <c r="BC870" s="19">
        <v>0</v>
      </c>
      <c r="BD870" s="19">
        <v>0</v>
      </c>
      <c r="BE870" s="22" t="s">
        <v>2029</v>
      </c>
      <c r="BF870" s="22" t="s">
        <v>2030</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2027</v>
      </c>
      <c r="AV871" s="19"/>
      <c r="AW871" s="20" t="s">
        <v>262</v>
      </c>
      <c r="AX871" s="19" t="s">
        <v>2028</v>
      </c>
      <c r="AY871" s="19" t="s">
        <v>204</v>
      </c>
      <c r="AZ871" s="19">
        <v>21103040</v>
      </c>
      <c r="BA871" s="20" t="s">
        <v>206</v>
      </c>
      <c r="BB871" s="19">
        <v>0</v>
      </c>
      <c r="BC871" s="19">
        <v>0</v>
      </c>
      <c r="BD871" s="19">
        <v>0</v>
      </c>
      <c r="BE871" s="22" t="s">
        <v>2029</v>
      </c>
      <c r="BF871" s="22" t="s">
        <v>2030</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2031</v>
      </c>
      <c r="AV872" s="19"/>
      <c r="AW872" s="20" t="s">
        <v>262</v>
      </c>
      <c r="AX872" s="19" t="s">
        <v>2028</v>
      </c>
      <c r="AY872" s="19" t="s">
        <v>204</v>
      </c>
      <c r="AZ872" s="19">
        <v>21103040</v>
      </c>
      <c r="BA872" s="20" t="s">
        <v>206</v>
      </c>
      <c r="BB872" s="19">
        <v>0</v>
      </c>
      <c r="BC872" s="19">
        <v>0</v>
      </c>
      <c r="BD872" s="19">
        <v>0</v>
      </c>
      <c r="BE872" s="22" t="s">
        <v>2032</v>
      </c>
      <c r="BF872" s="22" t="s">
        <v>2033</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2034</v>
      </c>
      <c r="AV873" s="19"/>
      <c r="AW873" s="20" t="s">
        <v>262</v>
      </c>
      <c r="AX873" s="19" t="s">
        <v>2028</v>
      </c>
      <c r="AY873" s="19" t="s">
        <v>204</v>
      </c>
      <c r="AZ873" s="19">
        <v>21103040</v>
      </c>
      <c r="BA873" s="20" t="s">
        <v>206</v>
      </c>
      <c r="BB873" s="19">
        <v>0</v>
      </c>
      <c r="BC873" s="19">
        <v>0</v>
      </c>
      <c r="BD873" s="19">
        <v>0</v>
      </c>
      <c r="BE873" s="22" t="s">
        <v>2035</v>
      </c>
      <c r="BF873" s="22" t="s">
        <v>2036</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2037</v>
      </c>
      <c r="AV874" s="19"/>
      <c r="AW874" s="20" t="s">
        <v>262</v>
      </c>
      <c r="AX874" s="19" t="s">
        <v>2028</v>
      </c>
      <c r="AY874" s="19" t="s">
        <v>204</v>
      </c>
      <c r="AZ874" s="19">
        <v>21103040</v>
      </c>
      <c r="BA874" s="20" t="s">
        <v>206</v>
      </c>
      <c r="BB874" s="19">
        <v>0</v>
      </c>
      <c r="BC874" s="19">
        <v>0</v>
      </c>
      <c r="BD874" s="19">
        <v>0</v>
      </c>
      <c r="BE874" s="22" t="s">
        <v>2038</v>
      </c>
      <c r="BF874" s="22" t="s">
        <v>2039</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41" t="s">
        <v>2040</v>
      </c>
      <c r="AV875" s="19"/>
      <c r="AW875" s="20" t="s">
        <v>262</v>
      </c>
      <c r="AX875" s="19" t="s">
        <v>2028</v>
      </c>
      <c r="AY875" s="19" t="s">
        <v>204</v>
      </c>
      <c r="AZ875" s="19">
        <v>21103040</v>
      </c>
      <c r="BA875" s="20" t="s">
        <v>206</v>
      </c>
      <c r="BB875" s="19">
        <v>0</v>
      </c>
      <c r="BC875" s="19">
        <v>0</v>
      </c>
      <c r="BD875" s="19">
        <v>0</v>
      </c>
      <c r="BE875" s="22" t="s">
        <v>2041</v>
      </c>
      <c r="BF875" s="22" t="s">
        <v>2042</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1404</v>
      </c>
      <c r="E876" s="202" t="s">
        <v>2043</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2044</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1404</v>
      </c>
      <c r="E877" s="202" t="s">
        <v>2043</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1.75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向前方射出一支锋利的箭,对触碰的怪物造成175%攻击伤害+750点固定伤害,并使目标移动速度降低50%,持续3秒</v>
      </c>
      <c r="BF877" s="203" t="s">
        <v>2044</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1404</v>
      </c>
      <c r="E878" s="202" t="s">
        <v>2043</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向前方射出一支锋利的箭,对触碰的怪物造成200%攻击伤害+1500点固定伤害,并使目标移动速度降低50%,持续3秒</v>
      </c>
      <c r="BF878" s="203" t="s">
        <v>2045</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1404</v>
      </c>
      <c r="E879" s="202" t="s">
        <v>2043</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2.25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向前方射出一支锋利的箭,对触碰的怪物造成225%攻击伤害+2250点固定伤害,并使目标移动速度降低50%,持续3秒</v>
      </c>
      <c r="BF879" s="203" t="s">
        <v>2046</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1404</v>
      </c>
      <c r="E880" s="202" t="s">
        <v>2043</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2.5</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向前方射出一支锋利的箭,对触碰的怪物造成250%攻击伤害+3250点固定伤害,并使目标移动速度降低50%,持续3秒</v>
      </c>
      <c r="BF880" s="203" t="s">
        <v>2047</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1404</v>
      </c>
      <c r="E881" s="202" t="s">
        <v>2043</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2.75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1406</v>
      </c>
      <c r="AY881" s="175">
        <v>10003002</v>
      </c>
      <c r="AZ881" s="175">
        <v>21200010</v>
      </c>
      <c r="BA881" s="202" t="s">
        <v>592</v>
      </c>
      <c r="BB881" s="202">
        <v>0</v>
      </c>
      <c r="BC881" s="175">
        <v>0</v>
      </c>
      <c r="BD881" s="175">
        <v>0</v>
      </c>
      <c r="BE881" s="203" t="str">
        <f t="shared" si="79"/>
        <v>向前方射出一支锋利的箭,对触碰的怪物造成275%攻击伤害+4250点固定伤害,并使目标移动速度降低50%,持续3秒</v>
      </c>
      <c r="BF881" s="203" t="s">
        <v>2048</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2049</v>
      </c>
      <c r="E882" s="205" t="s">
        <v>2050</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1701</v>
      </c>
      <c r="AX882" s="176" t="s">
        <v>1857</v>
      </c>
      <c r="AY882" s="176">
        <v>10003002</v>
      </c>
      <c r="AZ882" s="176">
        <v>21200110</v>
      </c>
      <c r="BA882" s="205" t="s">
        <v>2051</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2052</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2049</v>
      </c>
      <c r="E883" s="205" t="s">
        <v>2050</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1.2</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1701</v>
      </c>
      <c r="AX883" s="176" t="s">
        <v>1857</v>
      </c>
      <c r="AY883" s="176">
        <v>10003002</v>
      </c>
      <c r="AZ883" s="176">
        <v>21200110</v>
      </c>
      <c r="BA883" s="205" t="s">
        <v>2051</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对目标方向投掷2个光球,对触碰的单位造成造成120%攻击伤害+600点固定伤害,此光球再移动到一定位置后会再原始路径返回</v>
      </c>
      <c r="BF883" s="203" t="s">
        <v>2052</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2049</v>
      </c>
      <c r="E884" s="205" t="s">
        <v>2050</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1.35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1701</v>
      </c>
      <c r="AX884" s="176" t="s">
        <v>1857</v>
      </c>
      <c r="AY884" s="176">
        <v>10003002</v>
      </c>
      <c r="AZ884" s="176">
        <v>21200110</v>
      </c>
      <c r="BA884" s="205" t="s">
        <v>2051</v>
      </c>
      <c r="BB884" s="205">
        <v>0</v>
      </c>
      <c r="BC884" s="175">
        <v>0</v>
      </c>
      <c r="BD884" s="175">
        <v>0</v>
      </c>
      <c r="BE884" s="203" t="str">
        <f t="shared" si="81"/>
        <v>对目标方向投掷2个光球,对触碰的单位造成造成135%攻击伤害+950点固定伤害,此光球再移动到一定位置后会再原始路径返回</v>
      </c>
      <c r="BF884" s="203" t="s">
        <v>2053</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2049</v>
      </c>
      <c r="E885" s="205" t="s">
        <v>2050</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1.5</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1701</v>
      </c>
      <c r="AX885" s="176" t="s">
        <v>1857</v>
      </c>
      <c r="AY885" s="176">
        <v>10003002</v>
      </c>
      <c r="AZ885" s="176">
        <v>21200110</v>
      </c>
      <c r="BA885" s="205" t="s">
        <v>2051</v>
      </c>
      <c r="BB885" s="205">
        <v>0</v>
      </c>
      <c r="BC885" s="175">
        <v>0</v>
      </c>
      <c r="BD885" s="175">
        <v>0</v>
      </c>
      <c r="BE885" s="203" t="str">
        <f t="shared" si="81"/>
        <v>对目标方向投掷2个光球,对触碰的单位造成造成150%攻击伤害+1500点固定伤害,此光球再移动到一定位置后会再原始路径返回</v>
      </c>
      <c r="BF885" s="203" t="s">
        <v>2054</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2049</v>
      </c>
      <c r="E886" s="205" t="s">
        <v>2050</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1.65</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1701</v>
      </c>
      <c r="AX886" s="176" t="s">
        <v>1857</v>
      </c>
      <c r="AY886" s="176">
        <v>10003002</v>
      </c>
      <c r="AZ886" s="176">
        <v>21200110</v>
      </c>
      <c r="BA886" s="205" t="s">
        <v>2051</v>
      </c>
      <c r="BB886" s="205">
        <v>0</v>
      </c>
      <c r="BC886" s="175">
        <v>0</v>
      </c>
      <c r="BD886" s="175">
        <v>0</v>
      </c>
      <c r="BE886" s="203" t="str">
        <f t="shared" si="81"/>
        <v>对目标方向投掷2个光球,对触碰的单位造成造成165%攻击伤害+2250点固定伤害,此光球再移动到一定位置后会再原始路径返回</v>
      </c>
      <c r="BF886" s="203" t="s">
        <v>2055</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2049</v>
      </c>
      <c r="E887" s="205" t="s">
        <v>2050</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1.8</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1701</v>
      </c>
      <c r="AX887" s="176" t="s">
        <v>1857</v>
      </c>
      <c r="AY887" s="176">
        <v>10003002</v>
      </c>
      <c r="AZ887" s="176">
        <v>21200110</v>
      </c>
      <c r="BA887" s="205" t="s">
        <v>2051</v>
      </c>
      <c r="BB887" s="205">
        <v>0</v>
      </c>
      <c r="BC887" s="175">
        <v>0</v>
      </c>
      <c r="BD887" s="175">
        <v>0</v>
      </c>
      <c r="BE887" s="203" t="str">
        <f t="shared" si="81"/>
        <v>对目标方向投掷2个光球,对触碰的单位造成造成180%攻击伤害+3000点固定伤害,此光球再移动到一定位置后会再原始路径返回</v>
      </c>
      <c r="BF887" s="203" t="s">
        <v>2056</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1412</v>
      </c>
      <c r="E888" s="173" t="s">
        <v>2057</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1802</v>
      </c>
      <c r="AX888" s="172" t="s">
        <v>2058</v>
      </c>
      <c r="AY888" s="176">
        <v>0</v>
      </c>
      <c r="AZ888" s="176">
        <v>21101051</v>
      </c>
      <c r="BA888" s="173" t="s">
        <v>1180</v>
      </c>
      <c r="BB888" s="354" t="s">
        <v>2059</v>
      </c>
      <c r="BC888" s="175">
        <v>0</v>
      </c>
      <c r="BD888" s="175">
        <v>0</v>
      </c>
      <c r="BE888" s="207" t="s">
        <v>2060</v>
      </c>
      <c r="BF888" s="207" t="s">
        <v>2061</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1412</v>
      </c>
      <c r="E889" s="173" t="s">
        <v>2057</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1802</v>
      </c>
      <c r="AX889" s="172" t="s">
        <v>2058</v>
      </c>
      <c r="AY889" s="176">
        <v>0</v>
      </c>
      <c r="AZ889" s="176">
        <v>21101051</v>
      </c>
      <c r="BA889" s="173" t="s">
        <v>1180</v>
      </c>
      <c r="BB889" s="354" t="s">
        <v>2059</v>
      </c>
      <c r="BC889" s="175">
        <v>0</v>
      </c>
      <c r="BD889" s="175">
        <v>0</v>
      </c>
      <c r="BE889" s="207" t="s">
        <v>2060</v>
      </c>
      <c r="BF889" s="207" t="s">
        <v>2061</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1412</v>
      </c>
      <c r="E890" s="173" t="s">
        <v>2057</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1802</v>
      </c>
      <c r="AX890" s="172" t="s">
        <v>2058</v>
      </c>
      <c r="AY890" s="176">
        <v>0</v>
      </c>
      <c r="AZ890" s="176">
        <v>21101051</v>
      </c>
      <c r="BA890" s="173" t="s">
        <v>1180</v>
      </c>
      <c r="BB890" s="354" t="s">
        <v>2062</v>
      </c>
      <c r="BC890" s="175">
        <v>0</v>
      </c>
      <c r="BD890" s="175">
        <v>0</v>
      </c>
      <c r="BE890" s="207" t="s">
        <v>2063</v>
      </c>
      <c r="BF890" s="207" t="s">
        <v>2064</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1412</v>
      </c>
      <c r="E891" s="173" t="s">
        <v>2057</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1802</v>
      </c>
      <c r="AX891" s="172" t="s">
        <v>2058</v>
      </c>
      <c r="AY891" s="176">
        <v>0</v>
      </c>
      <c r="AZ891" s="176">
        <v>21101051</v>
      </c>
      <c r="BA891" s="173" t="s">
        <v>1180</v>
      </c>
      <c r="BB891" s="354" t="s">
        <v>2065</v>
      </c>
      <c r="BC891" s="175">
        <v>0</v>
      </c>
      <c r="BD891" s="175">
        <v>0</v>
      </c>
      <c r="BE891" s="207" t="s">
        <v>2066</v>
      </c>
      <c r="BF891" s="207" t="s">
        <v>2067</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1412</v>
      </c>
      <c r="E892" s="173" t="s">
        <v>2057</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1802</v>
      </c>
      <c r="AX892" s="172" t="s">
        <v>2058</v>
      </c>
      <c r="AY892" s="176">
        <v>0</v>
      </c>
      <c r="AZ892" s="176">
        <v>21101051</v>
      </c>
      <c r="BA892" s="173" t="s">
        <v>1180</v>
      </c>
      <c r="BB892" s="354" t="s">
        <v>2068</v>
      </c>
      <c r="BC892" s="175">
        <v>0</v>
      </c>
      <c r="BD892" s="175">
        <v>0</v>
      </c>
      <c r="BE892" s="207" t="s">
        <v>2069</v>
      </c>
      <c r="BF892" s="207" t="s">
        <v>2070</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1412</v>
      </c>
      <c r="E893" s="173" t="s">
        <v>2057</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1802</v>
      </c>
      <c r="AX893" s="172" t="s">
        <v>2058</v>
      </c>
      <c r="AY893" s="176">
        <v>0</v>
      </c>
      <c r="AZ893" s="176">
        <v>21101051</v>
      </c>
      <c r="BA893" s="173" t="s">
        <v>1180</v>
      </c>
      <c r="BB893" s="354" t="s">
        <v>2071</v>
      </c>
      <c r="BC893" s="175">
        <v>0</v>
      </c>
      <c r="BD893" s="175">
        <v>0</v>
      </c>
      <c r="BE893" s="207" t="s">
        <v>2072</v>
      </c>
      <c r="BF893" s="207" t="s">
        <v>2073</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2074</v>
      </c>
      <c r="BF894" s="33" t="s">
        <v>2075</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2076</v>
      </c>
      <c r="E895" s="30" t="s">
        <v>2077</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2078</v>
      </c>
      <c r="BF895" s="33" t="s">
        <v>2079</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2080</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1849</v>
      </c>
      <c r="AY896" s="19" t="s">
        <v>204</v>
      </c>
      <c r="AZ896" s="19" t="s">
        <v>2081</v>
      </c>
      <c r="BA896" s="20" t="s">
        <v>206</v>
      </c>
      <c r="BB896" s="19">
        <v>0</v>
      </c>
      <c r="BC896" s="31">
        <v>0</v>
      </c>
      <c r="BD896" s="31">
        <v>0</v>
      </c>
      <c r="BE896" s="22" t="s">
        <v>2082</v>
      </c>
      <c r="BF896" s="22" t="s">
        <v>2083</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2084</v>
      </c>
      <c r="E897" s="30" t="s">
        <v>2085</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2086</v>
      </c>
      <c r="BC897" s="31">
        <v>0</v>
      </c>
      <c r="BD897" s="31">
        <v>0</v>
      </c>
      <c r="BE897" s="33" t="s">
        <v>2087</v>
      </c>
      <c r="BF897" s="33" t="s">
        <v>2088</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1414</v>
      </c>
      <c r="AY898" s="74">
        <v>10000009</v>
      </c>
      <c r="AZ898" s="74">
        <v>70405005</v>
      </c>
      <c r="BA898" s="88" t="s">
        <v>321</v>
      </c>
      <c r="BB898" s="88" t="s">
        <v>377</v>
      </c>
      <c r="BC898" s="75">
        <v>0</v>
      </c>
      <c r="BD898" s="75">
        <v>0</v>
      </c>
      <c r="BE898" s="208" t="s">
        <v>2089</v>
      </c>
      <c r="BF898" s="208" t="s">
        <v>2090</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1941</v>
      </c>
      <c r="E899" s="30" t="s">
        <v>1942</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2091</v>
      </c>
      <c r="BC899" s="31">
        <v>0</v>
      </c>
      <c r="BD899" s="31">
        <v>0</v>
      </c>
      <c r="BE899" s="33" t="s">
        <v>2092</v>
      </c>
      <c r="BF899" s="33" t="s">
        <v>2093</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1941</v>
      </c>
      <c r="E900" s="30" t="s">
        <v>1942</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2094</v>
      </c>
      <c r="BC900" s="31">
        <v>0</v>
      </c>
      <c r="BD900" s="31">
        <v>0</v>
      </c>
      <c r="BE900" s="33" t="s">
        <v>2095</v>
      </c>
      <c r="BF900" s="33" t="s">
        <v>2096</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1412</v>
      </c>
      <c r="E901" s="173" t="s">
        <v>2057</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2058</v>
      </c>
      <c r="AY901" s="176">
        <v>0</v>
      </c>
      <c r="AZ901" s="176">
        <v>21101051</v>
      </c>
      <c r="BA901" s="173" t="s">
        <v>1180</v>
      </c>
      <c r="BB901" s="354" t="s">
        <v>2097</v>
      </c>
      <c r="BC901" s="175">
        <v>0</v>
      </c>
      <c r="BD901" s="175">
        <v>0</v>
      </c>
      <c r="BE901" s="207" t="s">
        <v>2098</v>
      </c>
      <c r="BF901" s="207" t="s">
        <v>2099</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1412</v>
      </c>
      <c r="E902" s="173" t="s">
        <v>2057</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2058</v>
      </c>
      <c r="AY902" s="176">
        <v>0</v>
      </c>
      <c r="AZ902" s="176">
        <v>21101051</v>
      </c>
      <c r="BA902" s="173" t="s">
        <v>1180</v>
      </c>
      <c r="BB902" s="354" t="s">
        <v>2097</v>
      </c>
      <c r="BC902" s="175">
        <v>0</v>
      </c>
      <c r="BD902" s="175">
        <v>0</v>
      </c>
      <c r="BE902" s="207" t="s">
        <v>2098</v>
      </c>
      <c r="BF902" s="207" t="s">
        <v>2099</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1412</v>
      </c>
      <c r="E903" s="173" t="s">
        <v>2057</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2058</v>
      </c>
      <c r="AY903" s="176">
        <v>0</v>
      </c>
      <c r="AZ903" s="176">
        <v>21101051</v>
      </c>
      <c r="BA903" s="173" t="s">
        <v>1180</v>
      </c>
      <c r="BB903" s="354" t="s">
        <v>2100</v>
      </c>
      <c r="BC903" s="175">
        <v>0</v>
      </c>
      <c r="BD903" s="175">
        <v>0</v>
      </c>
      <c r="BE903" s="207" t="s">
        <v>2101</v>
      </c>
      <c r="BF903" s="207" t="s">
        <v>2102</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1412</v>
      </c>
      <c r="E904" s="173" t="s">
        <v>2057</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2058</v>
      </c>
      <c r="AY904" s="176">
        <v>0</v>
      </c>
      <c r="AZ904" s="176">
        <v>21101051</v>
      </c>
      <c r="BA904" s="173" t="s">
        <v>1180</v>
      </c>
      <c r="BB904" s="354" t="s">
        <v>2103</v>
      </c>
      <c r="BC904" s="175">
        <v>0</v>
      </c>
      <c r="BD904" s="175">
        <v>0</v>
      </c>
      <c r="BE904" s="207" t="s">
        <v>2104</v>
      </c>
      <c r="BF904" s="207" t="s">
        <v>2105</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1412</v>
      </c>
      <c r="E905" s="173" t="s">
        <v>2057</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2058</v>
      </c>
      <c r="AY905" s="176">
        <v>0</v>
      </c>
      <c r="AZ905" s="176">
        <v>21101051</v>
      </c>
      <c r="BA905" s="173" t="s">
        <v>1180</v>
      </c>
      <c r="BB905" s="354" t="s">
        <v>2106</v>
      </c>
      <c r="BC905" s="175">
        <v>0</v>
      </c>
      <c r="BD905" s="175">
        <v>0</v>
      </c>
      <c r="BE905" s="207" t="s">
        <v>2107</v>
      </c>
      <c r="BF905" s="207" t="s">
        <v>2108</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1412</v>
      </c>
      <c r="E906" s="173" t="s">
        <v>2057</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2058</v>
      </c>
      <c r="AY906" s="176">
        <v>0</v>
      </c>
      <c r="AZ906" s="176">
        <v>21101051</v>
      </c>
      <c r="BA906" s="173" t="s">
        <v>1180</v>
      </c>
      <c r="BB906" s="354" t="s">
        <v>2109</v>
      </c>
      <c r="BC906" s="175">
        <v>0</v>
      </c>
      <c r="BD906" s="175">
        <v>0</v>
      </c>
      <c r="BE906" s="207" t="s">
        <v>2110</v>
      </c>
      <c r="BF906" s="207" t="s">
        <v>2111</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2112</v>
      </c>
      <c r="E907" s="205" t="s">
        <v>2113</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2114</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2112</v>
      </c>
      <c r="E908" s="205" t="s">
        <v>2113</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2114</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2112</v>
      </c>
      <c r="E909" s="205" t="s">
        <v>2113</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2115</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2112</v>
      </c>
      <c r="E910" s="205" t="s">
        <v>2113</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2116</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2112</v>
      </c>
      <c r="E911" s="205" t="s">
        <v>2113</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2117</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2112</v>
      </c>
      <c r="E912" s="205" t="s">
        <v>2113</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2118</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1420</v>
      </c>
      <c r="E913" s="202" t="s">
        <v>2119</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2121</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2122</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1420</v>
      </c>
      <c r="E914" s="202" t="s">
        <v>2119</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2121</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2122</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1420</v>
      </c>
      <c r="E915" s="202" t="s">
        <v>2119</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2121</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2123</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1420</v>
      </c>
      <c r="E916" s="202" t="s">
        <v>2119</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2121</v>
      </c>
      <c r="BC916" s="175">
        <v>0</v>
      </c>
      <c r="BD916" s="175">
        <v>0</v>
      </c>
      <c r="BE916" s="203" t="str">
        <f t="shared" si="87"/>
        <v>对前方扇形范围进行散射,造成225%攻击伤害+2250点固定伤害,并对目标触发1秒眩晕</v>
      </c>
      <c r="BF916" s="203" t="s">
        <v>2124</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1420</v>
      </c>
      <c r="E917" s="202" t="s">
        <v>2119</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2121</v>
      </c>
      <c r="BC917" s="175">
        <v>0</v>
      </c>
      <c r="BD917" s="175">
        <v>0</v>
      </c>
      <c r="BE917" s="203" t="str">
        <f t="shared" si="87"/>
        <v>对前方扇形范围进行散射,造成250%攻击伤害+3250点固定伤害,并对目标触发1秒眩晕</v>
      </c>
      <c r="BF917" s="203" t="s">
        <v>2125</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1420</v>
      </c>
      <c r="E918" s="202" t="s">
        <v>2119</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2120</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1406</v>
      </c>
      <c r="AY918" s="176">
        <v>21200031</v>
      </c>
      <c r="AZ918" s="176">
        <v>21200030</v>
      </c>
      <c r="BA918" s="205" t="s">
        <v>592</v>
      </c>
      <c r="BB918" s="175" t="s">
        <v>2121</v>
      </c>
      <c r="BC918" s="175">
        <v>0</v>
      </c>
      <c r="BD918" s="175">
        <v>0</v>
      </c>
      <c r="BE918" s="203" t="str">
        <f t="shared" si="87"/>
        <v>对前方扇形范围进行散射,造成275%攻击伤害+4250点固定伤害,并对目标触发1秒眩晕</v>
      </c>
      <c r="BF918" s="203" t="s">
        <v>2126</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2127</v>
      </c>
      <c r="E919" s="205" t="s">
        <v>2128</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2129</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2127</v>
      </c>
      <c r="E920" s="205" t="s">
        <v>2128</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2129</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2127</v>
      </c>
      <c r="E921" s="205" t="s">
        <v>2128</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2130</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2127</v>
      </c>
      <c r="E922" s="205" t="s">
        <v>2128</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2131</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2127</v>
      </c>
      <c r="E923" s="205" t="s">
        <v>2128</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2132</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2127</v>
      </c>
      <c r="E924" s="205" t="s">
        <v>2128</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1422</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2133</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2134</v>
      </c>
      <c r="E925" s="205" t="s">
        <v>2135</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1701</v>
      </c>
      <c r="AX925" s="176" t="s">
        <v>1472</v>
      </c>
      <c r="AY925" s="176">
        <v>10002001</v>
      </c>
      <c r="AZ925" s="176">
        <v>21201010</v>
      </c>
      <c r="BA925" s="205" t="s">
        <v>1180</v>
      </c>
      <c r="BB925" s="205" t="s">
        <v>2136</v>
      </c>
      <c r="BC925" s="174">
        <v>0</v>
      </c>
      <c r="BD925" s="174">
        <v>0</v>
      </c>
      <c r="BE925" s="211" t="s">
        <v>2137</v>
      </c>
      <c r="BF925" s="211" t="s">
        <v>2138</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2134</v>
      </c>
      <c r="E926" s="205" t="s">
        <v>2135</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1701</v>
      </c>
      <c r="AX926" s="176" t="s">
        <v>1472</v>
      </c>
      <c r="AY926" s="176">
        <v>10002001</v>
      </c>
      <c r="AZ926" s="176">
        <v>21201010</v>
      </c>
      <c r="BA926" s="205" t="s">
        <v>1180</v>
      </c>
      <c r="BB926" s="205" t="s">
        <v>2136</v>
      </c>
      <c r="BC926" s="174">
        <v>0</v>
      </c>
      <c r="BD926" s="174">
        <v>0</v>
      </c>
      <c r="BE926" s="211" t="s">
        <v>2137</v>
      </c>
      <c r="BF926" s="211" t="s">
        <v>2138</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2134</v>
      </c>
      <c r="E927" s="205" t="s">
        <v>2135</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1701</v>
      </c>
      <c r="AX927" s="176" t="s">
        <v>1472</v>
      </c>
      <c r="AY927" s="176">
        <v>10002001</v>
      </c>
      <c r="AZ927" s="176">
        <v>21201010</v>
      </c>
      <c r="BA927" s="205" t="s">
        <v>1180</v>
      </c>
      <c r="BB927" s="205" t="s">
        <v>2139</v>
      </c>
      <c r="BC927" s="174">
        <v>0</v>
      </c>
      <c r="BD927" s="174">
        <v>0</v>
      </c>
      <c r="BE927" s="211" t="s">
        <v>2140</v>
      </c>
      <c r="BF927" s="211" t="s">
        <v>2141</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2134</v>
      </c>
      <c r="E928" s="205" t="s">
        <v>2135</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1701</v>
      </c>
      <c r="AX928" s="176" t="s">
        <v>1472</v>
      </c>
      <c r="AY928" s="176">
        <v>10002001</v>
      </c>
      <c r="AZ928" s="176">
        <v>21201010</v>
      </c>
      <c r="BA928" s="205" t="s">
        <v>1180</v>
      </c>
      <c r="BB928" s="205" t="s">
        <v>2142</v>
      </c>
      <c r="BC928" s="174">
        <v>0</v>
      </c>
      <c r="BD928" s="174">
        <v>0</v>
      </c>
      <c r="BE928" s="211" t="s">
        <v>2143</v>
      </c>
      <c r="BF928" s="211" t="s">
        <v>2144</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2134</v>
      </c>
      <c r="E929" s="205" t="s">
        <v>2135</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1701</v>
      </c>
      <c r="AX929" s="176" t="s">
        <v>1472</v>
      </c>
      <c r="AY929" s="176">
        <v>10002001</v>
      </c>
      <c r="AZ929" s="176">
        <v>21201010</v>
      </c>
      <c r="BA929" s="205" t="s">
        <v>1180</v>
      </c>
      <c r="BB929" s="205" t="s">
        <v>2145</v>
      </c>
      <c r="BC929" s="174">
        <v>0</v>
      </c>
      <c r="BD929" s="174">
        <v>0</v>
      </c>
      <c r="BE929" s="211" t="s">
        <v>2146</v>
      </c>
      <c r="BF929" s="211" t="s">
        <v>2147</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2134</v>
      </c>
      <c r="E930" s="205" t="s">
        <v>2135</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1701</v>
      </c>
      <c r="AX930" s="176" t="s">
        <v>1472</v>
      </c>
      <c r="AY930" s="176">
        <v>10002001</v>
      </c>
      <c r="AZ930" s="176">
        <v>21201010</v>
      </c>
      <c r="BA930" s="205" t="s">
        <v>1180</v>
      </c>
      <c r="BB930" s="205" t="s">
        <v>2148</v>
      </c>
      <c r="BC930" s="174">
        <v>0</v>
      </c>
      <c r="BD930" s="174">
        <v>0</v>
      </c>
      <c r="BE930" s="211" t="s">
        <v>2149</v>
      </c>
      <c r="BF930" s="211" t="s">
        <v>2150</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2151</v>
      </c>
      <c r="E931" s="35" t="s">
        <v>2152</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1849</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2153</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2151</v>
      </c>
      <c r="E932" s="35" t="s">
        <v>2152</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1849</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2154</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2151</v>
      </c>
      <c r="E933" s="35" t="s">
        <v>2152</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1849</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2155</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2151</v>
      </c>
      <c r="E934" s="35" t="s">
        <v>2152</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1849</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2156</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2151</v>
      </c>
      <c r="E935" s="35" t="s">
        <v>2152</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1849</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2157</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2158</v>
      </c>
      <c r="E936" s="205" t="s">
        <v>2159</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1701</v>
      </c>
      <c r="AX936" s="176" t="s">
        <v>1472</v>
      </c>
      <c r="AY936" s="176">
        <v>10002001</v>
      </c>
      <c r="AZ936" s="176">
        <v>21201020</v>
      </c>
      <c r="BA936" s="205" t="s">
        <v>1180</v>
      </c>
      <c r="BB936" s="205" t="s">
        <v>2160</v>
      </c>
      <c r="BC936" s="174">
        <v>0</v>
      </c>
      <c r="BD936" s="174">
        <v>0</v>
      </c>
      <c r="BE936" s="211" t="s">
        <v>2161</v>
      </c>
      <c r="BF936" s="211" t="s">
        <v>2162</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2158</v>
      </c>
      <c r="E937" s="205" t="s">
        <v>2159</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1701</v>
      </c>
      <c r="AX937" s="176" t="s">
        <v>1472</v>
      </c>
      <c r="AY937" s="176">
        <v>10002001</v>
      </c>
      <c r="AZ937" s="176">
        <v>21201020</v>
      </c>
      <c r="BA937" s="205" t="s">
        <v>1180</v>
      </c>
      <c r="BB937" s="205" t="s">
        <v>2160</v>
      </c>
      <c r="BC937" s="174">
        <v>0</v>
      </c>
      <c r="BD937" s="174">
        <v>0</v>
      </c>
      <c r="BE937" s="211" t="s">
        <v>2161</v>
      </c>
      <c r="BF937" s="211" t="s">
        <v>2162</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2158</v>
      </c>
      <c r="E938" s="205" t="s">
        <v>2159</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1701</v>
      </c>
      <c r="AX938" s="176" t="s">
        <v>1472</v>
      </c>
      <c r="AY938" s="176">
        <v>10002001</v>
      </c>
      <c r="AZ938" s="176">
        <v>21201020</v>
      </c>
      <c r="BA938" s="205" t="s">
        <v>1180</v>
      </c>
      <c r="BB938" s="205" t="s">
        <v>2163</v>
      </c>
      <c r="BC938" s="174">
        <v>0</v>
      </c>
      <c r="BD938" s="174">
        <v>0</v>
      </c>
      <c r="BE938" s="211" t="s">
        <v>2164</v>
      </c>
      <c r="BF938" s="211" t="s">
        <v>2165</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2158</v>
      </c>
      <c r="E939" s="205" t="s">
        <v>2159</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1701</v>
      </c>
      <c r="AX939" s="176" t="s">
        <v>1472</v>
      </c>
      <c r="AY939" s="176">
        <v>10002001</v>
      </c>
      <c r="AZ939" s="176">
        <v>21201020</v>
      </c>
      <c r="BA939" s="205" t="s">
        <v>1180</v>
      </c>
      <c r="BB939" s="205" t="s">
        <v>2166</v>
      </c>
      <c r="BC939" s="174">
        <v>0</v>
      </c>
      <c r="BD939" s="174">
        <v>0</v>
      </c>
      <c r="BE939" s="211" t="s">
        <v>2167</v>
      </c>
      <c r="BF939" s="211" t="s">
        <v>2168</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2158</v>
      </c>
      <c r="E940" s="205" t="s">
        <v>2159</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1701</v>
      </c>
      <c r="AX940" s="176" t="s">
        <v>1472</v>
      </c>
      <c r="AY940" s="176">
        <v>10002001</v>
      </c>
      <c r="AZ940" s="176">
        <v>21201020</v>
      </c>
      <c r="BA940" s="205" t="s">
        <v>1180</v>
      </c>
      <c r="BB940" s="205" t="s">
        <v>2169</v>
      </c>
      <c r="BC940" s="174">
        <v>0</v>
      </c>
      <c r="BD940" s="174">
        <v>0</v>
      </c>
      <c r="BE940" s="211" t="s">
        <v>2170</v>
      </c>
      <c r="BF940" s="211" t="s">
        <v>2171</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2158</v>
      </c>
      <c r="E941" s="205" t="s">
        <v>2159</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1701</v>
      </c>
      <c r="AX941" s="176" t="s">
        <v>1472</v>
      </c>
      <c r="AY941" s="176">
        <v>10002001</v>
      </c>
      <c r="AZ941" s="176">
        <v>21201020</v>
      </c>
      <c r="BA941" s="205" t="s">
        <v>1180</v>
      </c>
      <c r="BB941" s="205" t="s">
        <v>2172</v>
      </c>
      <c r="BC941" s="174">
        <v>0</v>
      </c>
      <c r="BD941" s="174">
        <v>0</v>
      </c>
      <c r="BE941" s="211" t="s">
        <v>2173</v>
      </c>
      <c r="BF941" s="211" t="s">
        <v>2174</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2175</v>
      </c>
      <c r="E942" s="35" t="s">
        <v>2176</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1849</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2177</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2175</v>
      </c>
      <c r="E943" s="35" t="s">
        <v>2176</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1849</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2178</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2175</v>
      </c>
      <c r="E944" s="35" t="s">
        <v>2176</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1849</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2179</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2175</v>
      </c>
      <c r="E945" s="35" t="s">
        <v>2176</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1849</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2180</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2175</v>
      </c>
      <c r="E946" s="35" t="s">
        <v>2176</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1849</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2181</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2182</v>
      </c>
      <c r="E947" s="205" t="s">
        <v>2183</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1711</v>
      </c>
      <c r="AX947" s="176" t="s">
        <v>1414</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2184</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2182</v>
      </c>
      <c r="E948" s="205" t="s">
        <v>2183</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1711</v>
      </c>
      <c r="AX948" s="176" t="s">
        <v>1414</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2184</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2182</v>
      </c>
      <c r="E949" s="205" t="s">
        <v>2183</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1711</v>
      </c>
      <c r="AX949" s="176" t="s">
        <v>1414</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2185</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2182</v>
      </c>
      <c r="E950" s="205" t="s">
        <v>2183</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1711</v>
      </c>
      <c r="AX950" s="176" t="s">
        <v>1414</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2186</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2182</v>
      </c>
      <c r="E951" s="205" t="s">
        <v>2183</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1711</v>
      </c>
      <c r="AX951" s="176" t="s">
        <v>1414</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2187</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2182</v>
      </c>
      <c r="E952" s="205" t="s">
        <v>2183</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1711</v>
      </c>
      <c r="AX952" s="176" t="s">
        <v>1414</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2188</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2189</v>
      </c>
      <c r="E953" s="205" t="s">
        <v>2190</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1802</v>
      </c>
      <c r="AX953" s="176" t="s">
        <v>1047</v>
      </c>
      <c r="AY953" s="176">
        <v>0</v>
      </c>
      <c r="AZ953" s="176">
        <v>21201040</v>
      </c>
      <c r="BA953" s="205" t="s">
        <v>2191</v>
      </c>
      <c r="BB953" s="355" t="s">
        <v>2192</v>
      </c>
      <c r="BC953" s="174">
        <v>0</v>
      </c>
      <c r="BD953" s="174">
        <v>0</v>
      </c>
      <c r="BE953" s="211" t="s">
        <v>2193</v>
      </c>
      <c r="BF953" s="211" t="s">
        <v>2194</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2189</v>
      </c>
      <c r="E954" s="205" t="s">
        <v>2190</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1802</v>
      </c>
      <c r="AX954" s="176" t="s">
        <v>1047</v>
      </c>
      <c r="AY954" s="176">
        <v>0</v>
      </c>
      <c r="AZ954" s="176">
        <v>21201040</v>
      </c>
      <c r="BA954" s="205" t="s">
        <v>2191</v>
      </c>
      <c r="BB954" s="355" t="s">
        <v>2192</v>
      </c>
      <c r="BC954" s="174">
        <v>0</v>
      </c>
      <c r="BD954" s="174">
        <v>0</v>
      </c>
      <c r="BE954" s="211" t="s">
        <v>2193</v>
      </c>
      <c r="BF954" s="211" t="s">
        <v>2194</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2189</v>
      </c>
      <c r="E955" s="205" t="s">
        <v>2190</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1802</v>
      </c>
      <c r="AX955" s="176" t="s">
        <v>1047</v>
      </c>
      <c r="AY955" s="176">
        <v>0</v>
      </c>
      <c r="AZ955" s="176">
        <v>21201040</v>
      </c>
      <c r="BA955" s="205" t="s">
        <v>2191</v>
      </c>
      <c r="BB955" s="355" t="s">
        <v>2195</v>
      </c>
      <c r="BC955" s="174">
        <v>0</v>
      </c>
      <c r="BD955" s="174">
        <v>0</v>
      </c>
      <c r="BE955" s="211" t="s">
        <v>2196</v>
      </c>
      <c r="BF955" s="211" t="s">
        <v>2197</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2189</v>
      </c>
      <c r="E956" s="205" t="s">
        <v>2190</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1802</v>
      </c>
      <c r="AX956" s="176" t="s">
        <v>1047</v>
      </c>
      <c r="AY956" s="176">
        <v>0</v>
      </c>
      <c r="AZ956" s="176">
        <v>21201040</v>
      </c>
      <c r="BA956" s="205" t="s">
        <v>2191</v>
      </c>
      <c r="BB956" s="355" t="s">
        <v>2198</v>
      </c>
      <c r="BC956" s="174">
        <v>0</v>
      </c>
      <c r="BD956" s="174">
        <v>0</v>
      </c>
      <c r="BE956" s="211" t="s">
        <v>2199</v>
      </c>
      <c r="BF956" s="211" t="s">
        <v>2200</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2189</v>
      </c>
      <c r="E957" s="205" t="s">
        <v>2190</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1802</v>
      </c>
      <c r="AX957" s="176" t="s">
        <v>1047</v>
      </c>
      <c r="AY957" s="176">
        <v>0</v>
      </c>
      <c r="AZ957" s="176">
        <v>21201040</v>
      </c>
      <c r="BA957" s="205" t="s">
        <v>2191</v>
      </c>
      <c r="BB957" s="355" t="s">
        <v>2201</v>
      </c>
      <c r="BC957" s="174">
        <v>0</v>
      </c>
      <c r="BD957" s="174">
        <v>0</v>
      </c>
      <c r="BE957" s="211" t="s">
        <v>2202</v>
      </c>
      <c r="BF957" s="211" t="s">
        <v>2203</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2189</v>
      </c>
      <c r="E958" s="205" t="s">
        <v>2190</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1802</v>
      </c>
      <c r="AX958" s="176" t="s">
        <v>1047</v>
      </c>
      <c r="AY958" s="176">
        <v>0</v>
      </c>
      <c r="AZ958" s="176">
        <v>21201040</v>
      </c>
      <c r="BA958" s="205" t="s">
        <v>2191</v>
      </c>
      <c r="BB958" s="355" t="s">
        <v>2204</v>
      </c>
      <c r="BC958" s="174">
        <v>0</v>
      </c>
      <c r="BD958" s="174">
        <v>0</v>
      </c>
      <c r="BE958" s="211" t="s">
        <v>2205</v>
      </c>
      <c r="BF958" s="211" t="s">
        <v>2206</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2207</v>
      </c>
      <c r="E959" s="30" t="s">
        <v>2208</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2209</v>
      </c>
      <c r="BC959" s="31">
        <v>0</v>
      </c>
      <c r="BD959" s="31">
        <v>0</v>
      </c>
      <c r="BE959" s="33" t="s">
        <v>2210</v>
      </c>
      <c r="BF959" s="33" t="s">
        <v>2211</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2212</v>
      </c>
      <c r="E960" s="30" t="s">
        <v>2213</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2214</v>
      </c>
      <c r="BC960" s="31">
        <v>0</v>
      </c>
      <c r="BD960" s="31">
        <v>0</v>
      </c>
      <c r="BE960" s="33" t="s">
        <v>2215</v>
      </c>
      <c r="BF960" s="33" t="s">
        <v>2216</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2217</v>
      </c>
      <c r="E961" s="30" t="s">
        <v>2218</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2219</v>
      </c>
      <c r="BC961" s="31">
        <v>0</v>
      </c>
      <c r="BD961" s="31">
        <v>0</v>
      </c>
      <c r="BE961" s="33" t="s">
        <v>2220</v>
      </c>
      <c r="BF961" s="33" t="s">
        <v>2221</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2222</v>
      </c>
      <c r="E962" s="212" t="s">
        <v>2223</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2224</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2222</v>
      </c>
      <c r="E963" s="212" t="s">
        <v>2223</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2224</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2222</v>
      </c>
      <c r="E964" s="212" t="s">
        <v>2223</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2225</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2222</v>
      </c>
      <c r="E965" s="212" t="s">
        <v>2223</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2226</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2222</v>
      </c>
      <c r="E966" s="212" t="s">
        <v>2223</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2227</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2222</v>
      </c>
      <c r="E967" s="212" t="s">
        <v>2223</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1406</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2228</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2229</v>
      </c>
      <c r="E968" s="202" t="s">
        <v>2230</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2231</v>
      </c>
      <c r="AY968" s="176">
        <v>10000007</v>
      </c>
      <c r="AZ968" s="176">
        <v>21202020</v>
      </c>
      <c r="BA968" s="205" t="s">
        <v>592</v>
      </c>
      <c r="BB968" s="175" t="s">
        <v>2121</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2232</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2229</v>
      </c>
      <c r="E969" s="202" t="s">
        <v>2230</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2231</v>
      </c>
      <c r="AY969" s="176">
        <v>10000007</v>
      </c>
      <c r="AZ969" s="176">
        <v>21202020</v>
      </c>
      <c r="BA969" s="205" t="s">
        <v>592</v>
      </c>
      <c r="BB969" s="175" t="s">
        <v>2121</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2232</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2229</v>
      </c>
      <c r="E970" s="202" t="s">
        <v>2230</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2231</v>
      </c>
      <c r="AY970" s="176">
        <v>10000007</v>
      </c>
      <c r="AZ970" s="176">
        <v>21202020</v>
      </c>
      <c r="BA970" s="205" t="s">
        <v>592</v>
      </c>
      <c r="BB970" s="175" t="s">
        <v>2121</v>
      </c>
      <c r="BC970" s="174">
        <v>0</v>
      </c>
      <c r="BD970" s="174">
        <v>0</v>
      </c>
      <c r="BE970" s="213" t="str">
        <f t="shared" si="100"/>
        <v>每次向前方释放5个烈焰飓风，每个飓风可以对目标造成225%攻击伤害+1500点固定伤害,并使目标造成眩晕效果,持续1秒</v>
      </c>
      <c r="BF970" s="213" t="s">
        <v>2233</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2229</v>
      </c>
      <c r="E971" s="202" t="s">
        <v>2230</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2231</v>
      </c>
      <c r="AY971" s="176">
        <v>10000007</v>
      </c>
      <c r="AZ971" s="176">
        <v>21202020</v>
      </c>
      <c r="BA971" s="205" t="s">
        <v>592</v>
      </c>
      <c r="BB971" s="175" t="s">
        <v>2121</v>
      </c>
      <c r="BC971" s="174">
        <v>0</v>
      </c>
      <c r="BD971" s="174">
        <v>0</v>
      </c>
      <c r="BE971" s="213" t="str">
        <f t="shared" si="100"/>
        <v>每次向前方释放5个烈焰飓风，每个飓风可以对目标造成250%攻击伤害+2250点固定伤害,并使目标造成眩晕效果,持续1秒</v>
      </c>
      <c r="BF971" s="213" t="s">
        <v>2234</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2229</v>
      </c>
      <c r="E972" s="202" t="s">
        <v>2230</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2231</v>
      </c>
      <c r="AY972" s="176">
        <v>10000007</v>
      </c>
      <c r="AZ972" s="176">
        <v>21202020</v>
      </c>
      <c r="BA972" s="205" t="s">
        <v>592</v>
      </c>
      <c r="BB972" s="175" t="s">
        <v>2121</v>
      </c>
      <c r="BC972" s="174">
        <v>0</v>
      </c>
      <c r="BD972" s="174">
        <v>0</v>
      </c>
      <c r="BE972" s="213" t="str">
        <f t="shared" si="100"/>
        <v>每次向前方释放5个烈焰飓风，每个飓风可以对目标造成275%攻击伤害+3250点固定伤害,并使目标造成眩晕效果,持续1秒</v>
      </c>
      <c r="BF972" s="213" t="s">
        <v>2235</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2229</v>
      </c>
      <c r="E973" s="202" t="s">
        <v>2230</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2231</v>
      </c>
      <c r="AY973" s="176">
        <v>10000007</v>
      </c>
      <c r="AZ973" s="176">
        <v>21202020</v>
      </c>
      <c r="BA973" s="205" t="s">
        <v>592</v>
      </c>
      <c r="BB973" s="175" t="s">
        <v>2121</v>
      </c>
      <c r="BC973" s="174">
        <v>0</v>
      </c>
      <c r="BD973" s="174">
        <v>0</v>
      </c>
      <c r="BE973" s="213" t="str">
        <f t="shared" si="100"/>
        <v>每次向前方释放5个烈焰飓风，每个飓风可以对目标造成300%攻击伤害+4250点固定伤害,并使目标造成眩晕效果,持续1秒</v>
      </c>
      <c r="BF973" s="213" t="s">
        <v>2236</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2237</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2237</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2238</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2239</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2240</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1406</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2241</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2242</v>
      </c>
      <c r="E980" s="205" t="s">
        <v>2243</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2244</v>
      </c>
      <c r="AV980" s="205"/>
      <c r="AW980" s="205" t="s">
        <v>623</v>
      </c>
      <c r="AX980" s="176" t="s">
        <v>1980</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2245</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2242</v>
      </c>
      <c r="E981" s="205" t="s">
        <v>2243</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2244</v>
      </c>
      <c r="AV981" s="205"/>
      <c r="AW981" s="205" t="s">
        <v>623</v>
      </c>
      <c r="AX981" s="176" t="s">
        <v>1980</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2245</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2242</v>
      </c>
      <c r="E982" s="205" t="s">
        <v>2243</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2244</v>
      </c>
      <c r="AV982" s="205"/>
      <c r="AW982" s="205" t="s">
        <v>623</v>
      </c>
      <c r="AX982" s="176" t="s">
        <v>1980</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2246</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2242</v>
      </c>
      <c r="E983" s="205" t="s">
        <v>2243</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2244</v>
      </c>
      <c r="AV983" s="205"/>
      <c r="AW983" s="205" t="s">
        <v>623</v>
      </c>
      <c r="AX983" s="176" t="s">
        <v>1980</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2247</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2242</v>
      </c>
      <c r="E984" s="205" t="s">
        <v>2243</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2244</v>
      </c>
      <c r="AV984" s="205"/>
      <c r="AW984" s="205" t="s">
        <v>623</v>
      </c>
      <c r="AX984" s="176" t="s">
        <v>1980</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2248</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2242</v>
      </c>
      <c r="E985" s="205" t="s">
        <v>2243</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2244</v>
      </c>
      <c r="AV985" s="205"/>
      <c r="AW985" s="205" t="s">
        <v>623</v>
      </c>
      <c r="AX985" s="176" t="s">
        <v>1980</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2249</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2250</v>
      </c>
      <c r="E986" s="202" t="s">
        <v>2251</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2252</v>
      </c>
      <c r="AU986" s="355" t="s">
        <v>2253</v>
      </c>
      <c r="AV986" s="205"/>
      <c r="AW986" s="205" t="s">
        <v>1701</v>
      </c>
      <c r="AX986" s="175" t="s">
        <v>2254</v>
      </c>
      <c r="AY986" s="175" t="s">
        <v>204</v>
      </c>
      <c r="AZ986" s="175">
        <v>21203010</v>
      </c>
      <c r="BA986" s="202" t="s">
        <v>206</v>
      </c>
      <c r="BB986" s="175">
        <v>0</v>
      </c>
      <c r="BC986" s="175">
        <v>0</v>
      </c>
      <c r="BD986" s="175">
        <v>0</v>
      </c>
      <c r="BE986" s="215" t="s">
        <v>2255</v>
      </c>
      <c r="BF986" s="215" t="s">
        <v>2256</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2250</v>
      </c>
      <c r="E987" s="202" t="s">
        <v>2251</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2252</v>
      </c>
      <c r="AU987" s="355" t="s">
        <v>2253</v>
      </c>
      <c r="AV987" s="205"/>
      <c r="AW987" s="205" t="s">
        <v>1701</v>
      </c>
      <c r="AX987" s="175" t="s">
        <v>2254</v>
      </c>
      <c r="AY987" s="175" t="s">
        <v>204</v>
      </c>
      <c r="AZ987" s="175">
        <v>21203010</v>
      </c>
      <c r="BA987" s="202" t="s">
        <v>206</v>
      </c>
      <c r="BB987" s="175">
        <v>0</v>
      </c>
      <c r="BC987" s="175">
        <v>0</v>
      </c>
      <c r="BD987" s="175">
        <v>0</v>
      </c>
      <c r="BE987" s="215" t="s">
        <v>2255</v>
      </c>
      <c r="BF987" s="215" t="s">
        <v>2256</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2250</v>
      </c>
      <c r="E988" s="202" t="s">
        <v>2251</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2257</v>
      </c>
      <c r="AU988" s="355" t="s">
        <v>2258</v>
      </c>
      <c r="AV988" s="205"/>
      <c r="AW988" s="205" t="s">
        <v>1701</v>
      </c>
      <c r="AX988" s="175" t="s">
        <v>2254</v>
      </c>
      <c r="AY988" s="175" t="s">
        <v>204</v>
      </c>
      <c r="AZ988" s="175">
        <v>21203010</v>
      </c>
      <c r="BA988" s="202" t="s">
        <v>206</v>
      </c>
      <c r="BB988" s="175">
        <v>0</v>
      </c>
      <c r="BC988" s="175">
        <v>0</v>
      </c>
      <c r="BD988" s="175">
        <v>0</v>
      </c>
      <c r="BE988" s="215" t="s">
        <v>2259</v>
      </c>
      <c r="BF988" s="215" t="s">
        <v>2260</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2250</v>
      </c>
      <c r="E989" s="202" t="s">
        <v>2251</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55" t="s">
        <v>2261</v>
      </c>
      <c r="AU989" s="355" t="s">
        <v>2262</v>
      </c>
      <c r="AV989" s="205"/>
      <c r="AW989" s="205" t="s">
        <v>1701</v>
      </c>
      <c r="AX989" s="175" t="s">
        <v>2254</v>
      </c>
      <c r="AY989" s="175" t="s">
        <v>204</v>
      </c>
      <c r="AZ989" s="175">
        <v>21203010</v>
      </c>
      <c r="BA989" s="202" t="s">
        <v>206</v>
      </c>
      <c r="BB989" s="175">
        <v>0</v>
      </c>
      <c r="BC989" s="175">
        <v>0</v>
      </c>
      <c r="BD989" s="175">
        <v>0</v>
      </c>
      <c r="BE989" s="215" t="s">
        <v>2263</v>
      </c>
      <c r="BF989" s="215" t="s">
        <v>2264</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2250</v>
      </c>
      <c r="E990" s="202" t="s">
        <v>2251</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2265</v>
      </c>
      <c r="AU990" s="355" t="s">
        <v>2266</v>
      </c>
      <c r="AV990" s="205"/>
      <c r="AW990" s="205" t="s">
        <v>1701</v>
      </c>
      <c r="AX990" s="175" t="s">
        <v>2254</v>
      </c>
      <c r="AY990" s="175" t="s">
        <v>204</v>
      </c>
      <c r="AZ990" s="175">
        <v>21203010</v>
      </c>
      <c r="BA990" s="202" t="s">
        <v>206</v>
      </c>
      <c r="BB990" s="175">
        <v>0</v>
      </c>
      <c r="BC990" s="175">
        <v>0</v>
      </c>
      <c r="BD990" s="175">
        <v>0</v>
      </c>
      <c r="BE990" s="215" t="s">
        <v>2267</v>
      </c>
      <c r="BF990" s="215" t="s">
        <v>2268</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2250</v>
      </c>
      <c r="E991" s="202" t="s">
        <v>2251</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2269</v>
      </c>
      <c r="AU991" s="355" t="s">
        <v>2270</v>
      </c>
      <c r="AV991" s="205"/>
      <c r="AW991" s="205" t="s">
        <v>1701</v>
      </c>
      <c r="AX991" s="175" t="s">
        <v>2254</v>
      </c>
      <c r="AY991" s="175" t="s">
        <v>204</v>
      </c>
      <c r="AZ991" s="175">
        <v>21203010</v>
      </c>
      <c r="BA991" s="202" t="s">
        <v>206</v>
      </c>
      <c r="BB991" s="175">
        <v>0</v>
      </c>
      <c r="BC991" s="175">
        <v>0</v>
      </c>
      <c r="BD991" s="175">
        <v>0</v>
      </c>
      <c r="BE991" s="215" t="s">
        <v>2271</v>
      </c>
      <c r="BF991" s="215" t="s">
        <v>2272</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2273</v>
      </c>
      <c r="E992" s="202" t="s">
        <v>2274</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1701</v>
      </c>
      <c r="AX992" s="175" t="s">
        <v>1849</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2275</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2273</v>
      </c>
      <c r="E993" s="202" t="s">
        <v>2274</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1701</v>
      </c>
      <c r="AX993" s="175" t="s">
        <v>1849</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2275</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2273</v>
      </c>
      <c r="E994" s="202" t="s">
        <v>2274</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1701</v>
      </c>
      <c r="AX994" s="175" t="s">
        <v>1849</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2276</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2273</v>
      </c>
      <c r="E995" s="202" t="s">
        <v>2274</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1701</v>
      </c>
      <c r="AX995" s="175" t="s">
        <v>1849</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2277</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2273</v>
      </c>
      <c r="E996" s="202" t="s">
        <v>2274</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1701</v>
      </c>
      <c r="AX996" s="175" t="s">
        <v>1849</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2278</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2273</v>
      </c>
      <c r="E997" s="202" t="s">
        <v>2274</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1701</v>
      </c>
      <c r="AX997" s="175" t="s">
        <v>1849</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2279</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2280</v>
      </c>
      <c r="E998" s="35" t="s">
        <v>2281</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2282</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2280</v>
      </c>
      <c r="E999" s="35" t="s">
        <v>2281</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2282</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2280</v>
      </c>
      <c r="E1000" s="35" t="s">
        <v>2281</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2283</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2280</v>
      </c>
      <c r="E1001" s="35" t="s">
        <v>2281</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2284</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2280</v>
      </c>
      <c r="E1002" s="35" t="s">
        <v>2281</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2285</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2280</v>
      </c>
      <c r="E1003" s="35" t="s">
        <v>2281</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2286</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2287</v>
      </c>
      <c r="E1004" s="173" t="s">
        <v>2288</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1802</v>
      </c>
      <c r="AX1004" s="172" t="s">
        <v>1047</v>
      </c>
      <c r="AY1004" s="176">
        <v>0</v>
      </c>
      <c r="AZ1004" s="176">
        <v>21201040</v>
      </c>
      <c r="BA1004" s="173" t="s">
        <v>1180</v>
      </c>
      <c r="BB1004" s="205" t="s">
        <v>2289</v>
      </c>
      <c r="BC1004" s="174">
        <v>0</v>
      </c>
      <c r="BD1004" s="174">
        <v>0</v>
      </c>
      <c r="BE1004" s="207" t="s">
        <v>2290</v>
      </c>
      <c r="BF1004" s="207" t="s">
        <v>2291</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2287</v>
      </c>
      <c r="E1005" s="173" t="s">
        <v>2288</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1802</v>
      </c>
      <c r="AX1005" s="172" t="s">
        <v>1047</v>
      </c>
      <c r="AY1005" s="176">
        <v>0</v>
      </c>
      <c r="AZ1005" s="176">
        <v>21201040</v>
      </c>
      <c r="BA1005" s="173" t="s">
        <v>1180</v>
      </c>
      <c r="BB1005" s="205" t="s">
        <v>2292</v>
      </c>
      <c r="BC1005" s="174">
        <v>0</v>
      </c>
      <c r="BD1005" s="174">
        <v>0</v>
      </c>
      <c r="BE1005" s="207" t="s">
        <v>2290</v>
      </c>
      <c r="BF1005" s="207" t="s">
        <v>2291</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2287</v>
      </c>
      <c r="E1006" s="173" t="s">
        <v>2288</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1802</v>
      </c>
      <c r="AX1006" s="172" t="s">
        <v>1047</v>
      </c>
      <c r="AY1006" s="176">
        <v>0</v>
      </c>
      <c r="AZ1006" s="176">
        <v>21201040</v>
      </c>
      <c r="BA1006" s="173" t="s">
        <v>1180</v>
      </c>
      <c r="BB1006" s="205" t="s">
        <v>2293</v>
      </c>
      <c r="BC1006" s="174">
        <v>0</v>
      </c>
      <c r="BD1006" s="174">
        <v>0</v>
      </c>
      <c r="BE1006" s="207" t="s">
        <v>2294</v>
      </c>
      <c r="BF1006" s="207" t="s">
        <v>2295</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2287</v>
      </c>
      <c r="E1007" s="173" t="s">
        <v>2288</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1802</v>
      </c>
      <c r="AX1007" s="172" t="s">
        <v>1047</v>
      </c>
      <c r="AY1007" s="176">
        <v>0</v>
      </c>
      <c r="AZ1007" s="176">
        <v>21201040</v>
      </c>
      <c r="BA1007" s="173" t="s">
        <v>1180</v>
      </c>
      <c r="BB1007" s="205" t="s">
        <v>2296</v>
      </c>
      <c r="BC1007" s="174">
        <v>0</v>
      </c>
      <c r="BD1007" s="174">
        <v>0</v>
      </c>
      <c r="BE1007" s="207" t="s">
        <v>2297</v>
      </c>
      <c r="BF1007" s="207" t="s">
        <v>2298</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2287</v>
      </c>
      <c r="E1008" s="173" t="s">
        <v>2288</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1802</v>
      </c>
      <c r="AX1008" s="172" t="s">
        <v>1047</v>
      </c>
      <c r="AY1008" s="176">
        <v>0</v>
      </c>
      <c r="AZ1008" s="176">
        <v>21201040</v>
      </c>
      <c r="BA1008" s="173" t="s">
        <v>1180</v>
      </c>
      <c r="BB1008" s="205" t="s">
        <v>2299</v>
      </c>
      <c r="BC1008" s="174">
        <v>0</v>
      </c>
      <c r="BD1008" s="174">
        <v>0</v>
      </c>
      <c r="BE1008" s="207" t="s">
        <v>2300</v>
      </c>
      <c r="BF1008" s="207" t="s">
        <v>2301</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2287</v>
      </c>
      <c r="E1009" s="173" t="s">
        <v>2288</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1802</v>
      </c>
      <c r="AX1009" s="172" t="s">
        <v>1047</v>
      </c>
      <c r="AY1009" s="176">
        <v>0</v>
      </c>
      <c r="AZ1009" s="176">
        <v>21201040</v>
      </c>
      <c r="BA1009" s="173" t="s">
        <v>1180</v>
      </c>
      <c r="BB1009" s="205" t="s">
        <v>2302</v>
      </c>
      <c r="BC1009" s="174">
        <v>0</v>
      </c>
      <c r="BD1009" s="174">
        <v>0</v>
      </c>
      <c r="BE1009" s="207" t="s">
        <v>2303</v>
      </c>
      <c r="BF1009" s="207" t="s">
        <v>2304</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1759</v>
      </c>
      <c r="E1010" s="35" t="s">
        <v>1760</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1763</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2305</v>
      </c>
      <c r="E1011" s="42" t="s">
        <v>2306</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2307</v>
      </c>
      <c r="BC1011" s="38">
        <v>0</v>
      </c>
      <c r="BD1011" s="38">
        <v>0</v>
      </c>
      <c r="BE1011" s="217" t="s">
        <v>2308</v>
      </c>
      <c r="BF1011" s="217" t="s">
        <v>2309</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2310</v>
      </c>
      <c r="E1012" s="30" t="s">
        <v>2311</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1849</v>
      </c>
      <c r="AY1012" s="32">
        <v>10000007</v>
      </c>
      <c r="AZ1012" s="32">
        <v>23000080</v>
      </c>
      <c r="BA1012" s="30" t="s">
        <v>206</v>
      </c>
      <c r="BB1012" s="35" t="s">
        <v>204</v>
      </c>
      <c r="BC1012" s="31">
        <v>0</v>
      </c>
      <c r="BD1012" s="31">
        <v>0</v>
      </c>
      <c r="BE1012" s="33" t="s">
        <v>2312</v>
      </c>
      <c r="BF1012" s="33" t="s">
        <v>2313</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2314</v>
      </c>
      <c r="E1013" s="30" t="s">
        <v>2315</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41" t="s">
        <v>2316</v>
      </c>
      <c r="AV1013" s="19"/>
      <c r="AW1013" s="30" t="s">
        <v>205</v>
      </c>
      <c r="AX1013" s="19" t="s">
        <v>1849</v>
      </c>
      <c r="AY1013" s="19" t="s">
        <v>204</v>
      </c>
      <c r="AZ1013" s="19">
        <v>0</v>
      </c>
      <c r="BA1013" s="20" t="s">
        <v>206</v>
      </c>
      <c r="BB1013" s="19">
        <v>0</v>
      </c>
      <c r="BC1013" s="31">
        <v>0</v>
      </c>
      <c r="BD1013" s="31">
        <v>0</v>
      </c>
      <c r="BE1013" s="33" t="s">
        <v>2317</v>
      </c>
      <c r="BF1013" s="33" t="s">
        <v>2318</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2319</v>
      </c>
      <c r="E1014" s="71" t="s">
        <v>2320</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2321</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2322</v>
      </c>
      <c r="BF1014" s="76" t="s">
        <v>2323</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1941</v>
      </c>
      <c r="E1015" s="30" t="s">
        <v>1942</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2091</v>
      </c>
      <c r="BC1015" s="31">
        <v>0</v>
      </c>
      <c r="BD1015" s="31">
        <v>0</v>
      </c>
      <c r="BE1015" s="33" t="s">
        <v>2092</v>
      </c>
      <c r="BF1015" s="33" t="s">
        <v>2093</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1941</v>
      </c>
      <c r="E1016" s="30" t="s">
        <v>1942</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2324</v>
      </c>
      <c r="BC1016" s="31">
        <v>0</v>
      </c>
      <c r="BD1016" s="31">
        <v>0</v>
      </c>
      <c r="BE1016" s="33" t="s">
        <v>2325</v>
      </c>
      <c r="BF1016" s="33" t="s">
        <v>2326</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1428</v>
      </c>
      <c r="E1017" s="71" t="s">
        <v>2327</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2120</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2328</v>
      </c>
      <c r="AW1017" s="35" t="s">
        <v>205</v>
      </c>
      <c r="AX1017" s="72" t="s">
        <v>540</v>
      </c>
      <c r="AY1017" s="74">
        <v>10000001</v>
      </c>
      <c r="AZ1017" s="74">
        <v>21300010</v>
      </c>
      <c r="BA1017" s="71" t="s">
        <v>592</v>
      </c>
      <c r="BB1017" s="72" t="s">
        <v>2329</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2330</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1428</v>
      </c>
      <c r="E1018" s="71" t="s">
        <v>2327</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2120</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2328</v>
      </c>
      <c r="AW1018" s="35" t="s">
        <v>205</v>
      </c>
      <c r="AX1018" s="72" t="s">
        <v>540</v>
      </c>
      <c r="AY1018" s="74">
        <v>10000001</v>
      </c>
      <c r="AZ1018" s="74">
        <v>21300010</v>
      </c>
      <c r="BA1018" s="71" t="s">
        <v>592</v>
      </c>
      <c r="BB1018" s="72" t="s">
        <v>2329</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2330</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1428</v>
      </c>
      <c r="E1019" s="71" t="s">
        <v>2327</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2120</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2328</v>
      </c>
      <c r="AW1019" s="35" t="s">
        <v>205</v>
      </c>
      <c r="AX1019" s="72" t="s">
        <v>540</v>
      </c>
      <c r="AY1019" s="74">
        <v>10000001</v>
      </c>
      <c r="AZ1019" s="74">
        <v>21300010</v>
      </c>
      <c r="BA1019" s="71" t="s">
        <v>592</v>
      </c>
      <c r="BB1019" s="72" t="s">
        <v>2329</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2331</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1428</v>
      </c>
      <c r="E1020" s="71" t="s">
        <v>2327</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2120</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2328</v>
      </c>
      <c r="AW1020" s="35" t="s">
        <v>205</v>
      </c>
      <c r="AX1020" s="72" t="s">
        <v>540</v>
      </c>
      <c r="AY1020" s="74">
        <v>10000001</v>
      </c>
      <c r="AZ1020" s="74">
        <v>21300010</v>
      </c>
      <c r="BA1020" s="71" t="s">
        <v>592</v>
      </c>
      <c r="BB1020" s="72" t="s">
        <v>2329</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2332</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1428</v>
      </c>
      <c r="E1021" s="71" t="s">
        <v>2327</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2120</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2328</v>
      </c>
      <c r="AW1021" s="35" t="s">
        <v>205</v>
      </c>
      <c r="AX1021" s="72" t="s">
        <v>540</v>
      </c>
      <c r="AY1021" s="74">
        <v>10000001</v>
      </c>
      <c r="AZ1021" s="74">
        <v>21300010</v>
      </c>
      <c r="BA1021" s="71" t="s">
        <v>592</v>
      </c>
      <c r="BB1021" s="72" t="s">
        <v>2329</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2333</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1428</v>
      </c>
      <c r="E1022" s="71" t="s">
        <v>2327</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2120</v>
      </c>
      <c r="AI1022" s="73">
        <v>0</v>
      </c>
      <c r="AJ1022" s="73">
        <v>3</v>
      </c>
      <c r="AK1022" s="73">
        <v>0</v>
      </c>
      <c r="AL1022" s="73">
        <v>2</v>
      </c>
      <c r="AM1022" s="72">
        <v>0</v>
      </c>
      <c r="AN1022" s="72">
        <v>0</v>
      </c>
      <c r="AO1022" s="72">
        <v>0</v>
      </c>
      <c r="AP1022" s="72">
        <v>0.2</v>
      </c>
      <c r="AQ1022" s="72">
        <v>1000</v>
      </c>
      <c r="AR1022" s="72">
        <v>0.2</v>
      </c>
      <c r="AS1022" s="72">
        <v>15</v>
      </c>
      <c r="AT1022" s="73">
        <v>0</v>
      </c>
      <c r="AU1022" s="72"/>
      <c r="AV1022" s="356" t="s">
        <v>2328</v>
      </c>
      <c r="AW1022" s="35" t="s">
        <v>205</v>
      </c>
      <c r="AX1022" s="72" t="s">
        <v>540</v>
      </c>
      <c r="AY1022" s="74">
        <v>10000001</v>
      </c>
      <c r="AZ1022" s="74">
        <v>21300010</v>
      </c>
      <c r="BA1022" s="71" t="s">
        <v>592</v>
      </c>
      <c r="BB1022" s="72" t="s">
        <v>2329</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2334</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1435</v>
      </c>
      <c r="E1023" s="110" t="s">
        <v>1436</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2335</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2336</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2337</v>
      </c>
      <c r="BV1023" s="23"/>
      <c r="BW1023" s="23"/>
      <c r="BX1023" s="23"/>
      <c r="BY1023" s="23"/>
      <c r="BZ1023" s="23"/>
    </row>
    <row r="1024" spans="1:78" s="2" customFormat="1" ht="19.5" customHeight="1">
      <c r="A1024" s="219"/>
      <c r="B1024" s="219"/>
      <c r="C1024" s="107">
        <v>64011202</v>
      </c>
      <c r="D1024" s="110" t="s">
        <v>1435</v>
      </c>
      <c r="E1024" s="110" t="s">
        <v>1436</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2335</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2336</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2337</v>
      </c>
      <c r="BV1024" s="23"/>
      <c r="BW1024" s="23"/>
      <c r="BX1024" s="23"/>
      <c r="BY1024" s="23"/>
      <c r="BZ1024" s="23"/>
    </row>
    <row r="1025" spans="1:78" s="2" customFormat="1" ht="19.5" customHeight="1">
      <c r="A1025" s="219"/>
      <c r="B1025" s="219"/>
      <c r="C1025" s="107">
        <v>64011203</v>
      </c>
      <c r="D1025" s="110" t="s">
        <v>1435</v>
      </c>
      <c r="E1025" s="110" t="s">
        <v>1436</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2335</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2338</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2337</v>
      </c>
      <c r="BV1025" s="23"/>
      <c r="BW1025" s="23"/>
      <c r="BX1025" s="23"/>
      <c r="BY1025" s="23"/>
      <c r="BZ1025" s="23"/>
    </row>
    <row r="1026" spans="1:78" s="2" customFormat="1" ht="19.5" customHeight="1">
      <c r="A1026" s="219"/>
      <c r="B1026" s="219"/>
      <c r="C1026" s="107">
        <v>64011204</v>
      </c>
      <c r="D1026" s="110" t="s">
        <v>1435</v>
      </c>
      <c r="E1026" s="110" t="s">
        <v>1436</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2335</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2339</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2337</v>
      </c>
      <c r="BV1026" s="23"/>
      <c r="BW1026" s="23"/>
      <c r="BX1026" s="23"/>
      <c r="BY1026" s="23"/>
      <c r="BZ1026" s="23"/>
    </row>
    <row r="1027" spans="1:78" s="2" customFormat="1" ht="19.5" customHeight="1">
      <c r="A1027" s="219"/>
      <c r="B1027" s="219"/>
      <c r="C1027" s="107">
        <v>64011205</v>
      </c>
      <c r="D1027" s="110" t="s">
        <v>1435</v>
      </c>
      <c r="E1027" s="110" t="s">
        <v>1436</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2335</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2340</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2337</v>
      </c>
      <c r="BV1027" s="23"/>
      <c r="BW1027" s="23"/>
      <c r="BX1027" s="23"/>
      <c r="BY1027" s="23"/>
      <c r="BZ1027" s="23"/>
    </row>
    <row r="1028" spans="1:78" s="2" customFormat="1" ht="19.5" customHeight="1">
      <c r="A1028" s="219"/>
      <c r="B1028" s="219"/>
      <c r="C1028" s="107">
        <v>64011206</v>
      </c>
      <c r="D1028" s="110" t="s">
        <v>1435</v>
      </c>
      <c r="E1028" s="110" t="s">
        <v>1436</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39" t="s">
        <v>2335</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2341</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35" t="s">
        <v>2337</v>
      </c>
      <c r="BV1028" s="23"/>
      <c r="BW1028" s="23"/>
      <c r="BX1028" s="23"/>
      <c r="BY1028" s="23"/>
      <c r="BZ1028" s="23"/>
    </row>
    <row r="1029" spans="1:78" s="1" customFormat="1" ht="19.5" customHeight="1">
      <c r="A1029" s="218"/>
      <c r="B1029" s="218"/>
      <c r="C1029" s="74">
        <v>64011301</v>
      </c>
      <c r="D1029" s="71" t="s">
        <v>2342</v>
      </c>
      <c r="E1029" s="71" t="s">
        <v>2343</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2344</v>
      </c>
      <c r="BC1029" s="75">
        <v>0</v>
      </c>
      <c r="BD1029" s="75">
        <v>0</v>
      </c>
      <c r="BE1029" s="76" t="s">
        <v>2345</v>
      </c>
      <c r="BF1029" s="76" t="s">
        <v>2346</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2342</v>
      </c>
      <c r="E1030" s="71" t="s">
        <v>2343</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2344</v>
      </c>
      <c r="BC1030" s="75">
        <v>0</v>
      </c>
      <c r="BD1030" s="75">
        <v>0</v>
      </c>
      <c r="BE1030" s="76" t="s">
        <v>2345</v>
      </c>
      <c r="BF1030" s="76" t="s">
        <v>2346</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2342</v>
      </c>
      <c r="E1031" s="71" t="s">
        <v>2343</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2347</v>
      </c>
      <c r="BC1031" s="75">
        <v>0</v>
      </c>
      <c r="BD1031" s="75">
        <v>0</v>
      </c>
      <c r="BE1031" s="76" t="s">
        <v>2348</v>
      </c>
      <c r="BF1031" s="76" t="s">
        <v>2349</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2342</v>
      </c>
      <c r="E1032" s="71" t="s">
        <v>2343</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2350</v>
      </c>
      <c r="BC1032" s="75">
        <v>0</v>
      </c>
      <c r="BD1032" s="75">
        <v>0</v>
      </c>
      <c r="BE1032" s="76" t="s">
        <v>2351</v>
      </c>
      <c r="BF1032" s="76" t="s">
        <v>2352</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2342</v>
      </c>
      <c r="E1033" s="71" t="s">
        <v>2343</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2353</v>
      </c>
      <c r="BC1033" s="75">
        <v>0</v>
      </c>
      <c r="BD1033" s="75">
        <v>0</v>
      </c>
      <c r="BE1033" s="76" t="s">
        <v>2354</v>
      </c>
      <c r="BF1033" s="76" t="s">
        <v>2355</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2342</v>
      </c>
      <c r="E1034" s="71" t="s">
        <v>2343</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56" t="s">
        <v>2356</v>
      </c>
      <c r="BC1034" s="75">
        <v>0</v>
      </c>
      <c r="BD1034" s="75">
        <v>0</v>
      </c>
      <c r="BE1034" s="76" t="s">
        <v>2357</v>
      </c>
      <c r="BF1034" s="76" t="s">
        <v>2358</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2359</v>
      </c>
      <c r="E1035" s="223" t="s">
        <v>2360</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57" t="s">
        <v>2335</v>
      </c>
      <c r="AV1035" s="228"/>
      <c r="AW1035" s="229" t="s">
        <v>204</v>
      </c>
      <c r="AX1035" s="225" t="s">
        <v>551</v>
      </c>
      <c r="AY1035" s="221">
        <v>10000001</v>
      </c>
      <c r="AZ1035" s="74">
        <v>77005002</v>
      </c>
      <c r="BA1035" s="222" t="s">
        <v>206</v>
      </c>
      <c r="BB1035" s="225">
        <v>0</v>
      </c>
      <c r="BC1035" s="226">
        <v>0</v>
      </c>
      <c r="BD1035" s="226">
        <v>0</v>
      </c>
      <c r="BE1035" s="230" t="s">
        <v>2361</v>
      </c>
      <c r="BF1035" s="230" t="s">
        <v>2362</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2363</v>
      </c>
      <c r="E1036" s="223" t="s">
        <v>2364</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2365</v>
      </c>
      <c r="BF1036" s="230" t="s">
        <v>2366</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2367</v>
      </c>
      <c r="E1037" s="223" t="s">
        <v>2368</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57" t="s">
        <v>2335</v>
      </c>
      <c r="AV1037" s="228"/>
      <c r="AW1037" s="229" t="s">
        <v>204</v>
      </c>
      <c r="AX1037" s="225" t="s">
        <v>551</v>
      </c>
      <c r="AY1037" s="221">
        <v>10000001</v>
      </c>
      <c r="AZ1037" s="74">
        <v>77005002</v>
      </c>
      <c r="BA1037" s="222" t="s">
        <v>206</v>
      </c>
      <c r="BB1037" s="225">
        <v>0</v>
      </c>
      <c r="BC1037" s="226">
        <v>0</v>
      </c>
      <c r="BD1037" s="226">
        <v>0</v>
      </c>
      <c r="BE1037" s="230" t="s">
        <v>2361</v>
      </c>
      <c r="BF1037" s="230" t="s">
        <v>2362</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2365</v>
      </c>
      <c r="BF1038" s="230" t="s">
        <v>2366</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2367</v>
      </c>
      <c r="E1039" s="223" t="s">
        <v>2368</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57" t="s">
        <v>2335</v>
      </c>
      <c r="AV1039" s="228"/>
      <c r="AW1039" s="229" t="s">
        <v>204</v>
      </c>
      <c r="AX1039" s="225" t="s">
        <v>551</v>
      </c>
      <c r="AY1039" s="221">
        <v>10000001</v>
      </c>
      <c r="AZ1039" s="74">
        <v>77005002</v>
      </c>
      <c r="BA1039" s="222" t="s">
        <v>206</v>
      </c>
      <c r="BB1039" s="225">
        <v>0</v>
      </c>
      <c r="BC1039" s="226">
        <v>0</v>
      </c>
      <c r="BD1039" s="226">
        <v>0</v>
      </c>
      <c r="BE1039" s="230" t="s">
        <v>2361</v>
      </c>
      <c r="BF1039" s="230" t="s">
        <v>2362</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2365</v>
      </c>
      <c r="BF1040" s="230" t="s">
        <v>2366</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2367</v>
      </c>
      <c r="E1041" s="223" t="s">
        <v>2368</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57" t="s">
        <v>2335</v>
      </c>
      <c r="AV1041" s="228"/>
      <c r="AW1041" s="229" t="s">
        <v>204</v>
      </c>
      <c r="AX1041" s="225" t="s">
        <v>551</v>
      </c>
      <c r="AY1041" s="221">
        <v>10000001</v>
      </c>
      <c r="AZ1041" s="74">
        <v>77005002</v>
      </c>
      <c r="BA1041" s="222" t="s">
        <v>206</v>
      </c>
      <c r="BB1041" s="225">
        <v>0</v>
      </c>
      <c r="BC1041" s="226">
        <v>0</v>
      </c>
      <c r="BD1041" s="226">
        <v>0</v>
      </c>
      <c r="BE1041" s="230" t="s">
        <v>2361</v>
      </c>
      <c r="BF1041" s="230" t="s">
        <v>2362</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2369</v>
      </c>
      <c r="E1042" s="71" t="s">
        <v>2370</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2120</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2329</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2330</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2371</v>
      </c>
      <c r="E1043" s="110" t="s">
        <v>2372</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2373</v>
      </c>
      <c r="AV1043" s="356" t="s">
        <v>2328</v>
      </c>
      <c r="AW1043" s="35" t="s">
        <v>205</v>
      </c>
      <c r="AX1043" s="100" t="s">
        <v>540</v>
      </c>
      <c r="AY1043" s="107">
        <v>10000001</v>
      </c>
      <c r="AZ1043" s="74">
        <v>21300110</v>
      </c>
      <c r="BA1043" s="110" t="s">
        <v>2374</v>
      </c>
      <c r="BB1043" s="100" t="s">
        <v>2375</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2376</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2371</v>
      </c>
      <c r="E1044" s="110" t="s">
        <v>2372</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2373</v>
      </c>
      <c r="AV1044" s="356" t="s">
        <v>2328</v>
      </c>
      <c r="AW1044" s="35" t="s">
        <v>205</v>
      </c>
      <c r="AX1044" s="100" t="s">
        <v>540</v>
      </c>
      <c r="AY1044" s="107">
        <v>10000001</v>
      </c>
      <c r="AZ1044" s="74">
        <v>21300110</v>
      </c>
      <c r="BA1044" s="110" t="s">
        <v>2374</v>
      </c>
      <c r="BB1044" s="100" t="s">
        <v>2375</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2376</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2371</v>
      </c>
      <c r="E1045" s="110" t="s">
        <v>2372</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2373</v>
      </c>
      <c r="AV1045" s="356" t="s">
        <v>2328</v>
      </c>
      <c r="AW1045" s="35" t="s">
        <v>205</v>
      </c>
      <c r="AX1045" s="100" t="s">
        <v>540</v>
      </c>
      <c r="AY1045" s="107">
        <v>10000001</v>
      </c>
      <c r="AZ1045" s="74">
        <v>21300110</v>
      </c>
      <c r="BA1045" s="110" t="s">
        <v>2374</v>
      </c>
      <c r="BB1045" s="100" t="s">
        <v>2375</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2377</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2371</v>
      </c>
      <c r="E1046" s="110" t="s">
        <v>2372</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2373</v>
      </c>
      <c r="AV1046" s="356" t="s">
        <v>2328</v>
      </c>
      <c r="AW1046" s="35" t="s">
        <v>205</v>
      </c>
      <c r="AX1046" s="100" t="s">
        <v>540</v>
      </c>
      <c r="AY1046" s="107">
        <v>10000001</v>
      </c>
      <c r="AZ1046" s="74">
        <v>21300110</v>
      </c>
      <c r="BA1046" s="110" t="s">
        <v>2374</v>
      </c>
      <c r="BB1046" s="100" t="s">
        <v>2375</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2378</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2371</v>
      </c>
      <c r="E1047" s="110" t="s">
        <v>2372</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2373</v>
      </c>
      <c r="AV1047" s="356" t="s">
        <v>2328</v>
      </c>
      <c r="AW1047" s="35" t="s">
        <v>205</v>
      </c>
      <c r="AX1047" s="100" t="s">
        <v>540</v>
      </c>
      <c r="AY1047" s="107">
        <v>10000001</v>
      </c>
      <c r="AZ1047" s="74">
        <v>21300110</v>
      </c>
      <c r="BA1047" s="110" t="s">
        <v>2374</v>
      </c>
      <c r="BB1047" s="100" t="s">
        <v>2375</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2379</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2371</v>
      </c>
      <c r="E1048" s="110" t="s">
        <v>2372</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40" t="s">
        <v>2373</v>
      </c>
      <c r="AV1048" s="356" t="s">
        <v>2328</v>
      </c>
      <c r="AW1048" s="35" t="s">
        <v>205</v>
      </c>
      <c r="AX1048" s="100" t="s">
        <v>540</v>
      </c>
      <c r="AY1048" s="107">
        <v>10000001</v>
      </c>
      <c r="AZ1048" s="74">
        <v>21300110</v>
      </c>
      <c r="BA1048" s="110" t="s">
        <v>2374</v>
      </c>
      <c r="BB1048" s="100" t="s">
        <v>2375</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2380</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2381</v>
      </c>
      <c r="E1049" s="71" t="s">
        <v>2382</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2383</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2337</v>
      </c>
      <c r="BV1049" s="23"/>
      <c r="BW1049" s="23"/>
      <c r="BX1049" s="23"/>
      <c r="BY1049" s="23"/>
      <c r="BZ1049" s="23"/>
    </row>
    <row r="1050" spans="1:78" s="1" customFormat="1" ht="20.100000000000001" customHeight="1">
      <c r="A1050" s="218"/>
      <c r="B1050" s="218"/>
      <c r="C1050" s="74">
        <v>64012202</v>
      </c>
      <c r="D1050" s="71" t="s">
        <v>2381</v>
      </c>
      <c r="E1050" s="71" t="s">
        <v>2382</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2383</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2337</v>
      </c>
      <c r="BV1050" s="23"/>
      <c r="BW1050" s="23"/>
      <c r="BX1050" s="23"/>
      <c r="BY1050" s="23"/>
      <c r="BZ1050" s="23"/>
    </row>
    <row r="1051" spans="1:78" s="1" customFormat="1" ht="20.100000000000001" customHeight="1">
      <c r="A1051" s="218"/>
      <c r="B1051" s="218"/>
      <c r="C1051" s="74">
        <v>64012203</v>
      </c>
      <c r="D1051" s="71" t="s">
        <v>2381</v>
      </c>
      <c r="E1051" s="71" t="s">
        <v>2382</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2384</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2337</v>
      </c>
      <c r="BV1051" s="23"/>
      <c r="BW1051" s="23"/>
      <c r="BX1051" s="23"/>
      <c r="BY1051" s="23"/>
      <c r="BZ1051" s="23"/>
    </row>
    <row r="1052" spans="1:78" s="1" customFormat="1" ht="20.100000000000001" customHeight="1">
      <c r="A1052" s="218"/>
      <c r="B1052" s="218"/>
      <c r="C1052" s="74">
        <v>64012204</v>
      </c>
      <c r="D1052" s="71" t="s">
        <v>2381</v>
      </c>
      <c r="E1052" s="71" t="s">
        <v>2382</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2385</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2337</v>
      </c>
      <c r="BV1052" s="23"/>
      <c r="BW1052" s="23"/>
      <c r="BX1052" s="23"/>
      <c r="BY1052" s="23"/>
      <c r="BZ1052" s="23"/>
    </row>
    <row r="1053" spans="1:78" s="1" customFormat="1" ht="20.100000000000001" customHeight="1">
      <c r="A1053" s="218"/>
      <c r="B1053" s="218"/>
      <c r="C1053" s="74">
        <v>64012205</v>
      </c>
      <c r="D1053" s="71" t="s">
        <v>2381</v>
      </c>
      <c r="E1053" s="71" t="s">
        <v>2382</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2386</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2337</v>
      </c>
      <c r="BV1053" s="23"/>
      <c r="BW1053" s="23"/>
      <c r="BX1053" s="23"/>
      <c r="BY1053" s="23"/>
      <c r="BZ1053" s="23"/>
    </row>
    <row r="1054" spans="1:78" s="1" customFormat="1" ht="20.100000000000001" customHeight="1">
      <c r="A1054" s="218"/>
      <c r="B1054" s="218"/>
      <c r="C1054" s="74">
        <v>64012206</v>
      </c>
      <c r="D1054" s="71" t="s">
        <v>2381</v>
      </c>
      <c r="E1054" s="71" t="s">
        <v>2382</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2387</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35" t="s">
        <v>2337</v>
      </c>
      <c r="BV1054" s="23"/>
      <c r="BW1054" s="23"/>
      <c r="BX1054" s="23"/>
      <c r="BY1054" s="23"/>
      <c r="BZ1054" s="23"/>
    </row>
    <row r="1055" spans="1:78" s="2" customFormat="1" ht="20.100000000000001" customHeight="1">
      <c r="A1055" s="219"/>
      <c r="B1055" s="219"/>
      <c r="C1055" s="107">
        <v>64012301</v>
      </c>
      <c r="D1055" s="110" t="s">
        <v>2388</v>
      </c>
      <c r="E1055" s="110" t="s">
        <v>2389</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2328</v>
      </c>
      <c r="AW1055" s="35" t="s">
        <v>205</v>
      </c>
      <c r="AX1055" s="100" t="s">
        <v>551</v>
      </c>
      <c r="AY1055" s="107">
        <v>0</v>
      </c>
      <c r="AZ1055" s="74">
        <v>21300130</v>
      </c>
      <c r="BA1055" s="110" t="s">
        <v>2390</v>
      </c>
      <c r="BB1055" s="100" t="s">
        <v>2391</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2392</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2388</v>
      </c>
      <c r="E1056" s="110" t="s">
        <v>2389</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2328</v>
      </c>
      <c r="AW1056" s="35" t="s">
        <v>205</v>
      </c>
      <c r="AX1056" s="100" t="s">
        <v>551</v>
      </c>
      <c r="AY1056" s="107">
        <v>0</v>
      </c>
      <c r="AZ1056" s="74">
        <v>21300130</v>
      </c>
      <c r="BA1056" s="110" t="s">
        <v>2390</v>
      </c>
      <c r="BB1056" s="100" t="s">
        <v>2391</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2392</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2388</v>
      </c>
      <c r="E1057" s="110" t="s">
        <v>2389</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2328</v>
      </c>
      <c r="AW1057" s="35" t="s">
        <v>205</v>
      </c>
      <c r="AX1057" s="100" t="s">
        <v>551</v>
      </c>
      <c r="AY1057" s="107">
        <v>0</v>
      </c>
      <c r="AZ1057" s="74">
        <v>21300130</v>
      </c>
      <c r="BA1057" s="110" t="s">
        <v>2390</v>
      </c>
      <c r="BB1057" s="100" t="s">
        <v>2391</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2393</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2388</v>
      </c>
      <c r="E1058" s="110" t="s">
        <v>2389</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2328</v>
      </c>
      <c r="AW1058" s="35" t="s">
        <v>205</v>
      </c>
      <c r="AX1058" s="100" t="s">
        <v>551</v>
      </c>
      <c r="AY1058" s="107">
        <v>0</v>
      </c>
      <c r="AZ1058" s="74">
        <v>21300130</v>
      </c>
      <c r="BA1058" s="110" t="s">
        <v>2390</v>
      </c>
      <c r="BB1058" s="100" t="s">
        <v>2391</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2394</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2388</v>
      </c>
      <c r="E1059" s="110" t="s">
        <v>2389</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2328</v>
      </c>
      <c r="AW1059" s="35" t="s">
        <v>205</v>
      </c>
      <c r="AX1059" s="100" t="s">
        <v>551</v>
      </c>
      <c r="AY1059" s="107">
        <v>0</v>
      </c>
      <c r="AZ1059" s="74">
        <v>21300130</v>
      </c>
      <c r="BA1059" s="110" t="s">
        <v>2390</v>
      </c>
      <c r="BB1059" s="100" t="s">
        <v>2391</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2395</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2388</v>
      </c>
      <c r="E1060" s="110" t="s">
        <v>2389</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56" t="s">
        <v>2328</v>
      </c>
      <c r="AW1060" s="35" t="s">
        <v>205</v>
      </c>
      <c r="AX1060" s="100" t="s">
        <v>551</v>
      </c>
      <c r="AY1060" s="107">
        <v>0</v>
      </c>
      <c r="AZ1060" s="74">
        <v>21300130</v>
      </c>
      <c r="BA1060" s="110" t="s">
        <v>2390</v>
      </c>
      <c r="BB1060" s="100" t="s">
        <v>2391</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2396</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2397</v>
      </c>
      <c r="E1061" s="222" t="s">
        <v>2398</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2399</v>
      </c>
      <c r="BF1061" s="230" t="s">
        <v>2400</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2397</v>
      </c>
      <c r="E1062" s="222" t="s">
        <v>2398</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2399</v>
      </c>
      <c r="BF1062" s="230" t="s">
        <v>2400</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2397</v>
      </c>
      <c r="E1063" s="222" t="s">
        <v>2398</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2399</v>
      </c>
      <c r="BF1063" s="230" t="s">
        <v>2400</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2397</v>
      </c>
      <c r="E1064" s="222" t="s">
        <v>2398</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2399</v>
      </c>
      <c r="BF1064" s="230" t="s">
        <v>2400</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2397</v>
      </c>
      <c r="E1065" s="222" t="s">
        <v>2398</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2399</v>
      </c>
      <c r="BF1065" s="230" t="s">
        <v>2400</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2397</v>
      </c>
      <c r="E1066" s="222" t="s">
        <v>2398</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2399</v>
      </c>
      <c r="BF1066" s="230" t="s">
        <v>2400</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2401</v>
      </c>
      <c r="E1067" s="71" t="s">
        <v>2402</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2403</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2401</v>
      </c>
      <c r="E1068" s="71" t="s">
        <v>2402</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2403</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2401</v>
      </c>
      <c r="E1069" s="71" t="s">
        <v>2402</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积蓄全身的力气,瞬移到目标区域并造成275%攻击伤害+1800点固定伤害,并附加1秒眩晕</v>
      </c>
      <c r="BF1069" s="185" t="s">
        <v>2404</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2401</v>
      </c>
      <c r="E1070" s="71" t="s">
        <v>2402</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积蓄全身的力气,瞬移到目标区域并造成300%攻击伤害+2800点固定伤害,并附加1秒眩晕</v>
      </c>
      <c r="BF1070" s="185" t="s">
        <v>2405</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2401</v>
      </c>
      <c r="E1071" s="71" t="s">
        <v>2402</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积蓄全身的力气,瞬移到目标区域并造成325%攻击伤害+4000点固定伤害,并附加1秒眩晕</v>
      </c>
      <c r="BF1071" s="185" t="s">
        <v>2406</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2401</v>
      </c>
      <c r="E1072" s="71" t="s">
        <v>2402</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1377</v>
      </c>
      <c r="BB1072" s="72">
        <v>0</v>
      </c>
      <c r="BC1072" s="73">
        <v>0</v>
      </c>
      <c r="BD1072" s="73">
        <v>0</v>
      </c>
      <c r="BE1072" s="185" t="str">
        <f t="shared" si="117"/>
        <v>积蓄全身的力气,瞬移到目标区域并造成350%攻击伤害+5200点固定伤害,并附加1秒眩晕</v>
      </c>
      <c r="BF1072" s="185" t="s">
        <v>2407</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2408</v>
      </c>
      <c r="E1073" s="110" t="s">
        <v>2409</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2328</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2410</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2408</v>
      </c>
      <c r="E1074" s="110" t="s">
        <v>2409</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2328</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2410</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2408</v>
      </c>
      <c r="E1075" s="110" t="s">
        <v>2409</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2328</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2411</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2408</v>
      </c>
      <c r="E1076" s="110" t="s">
        <v>2409</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2328</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2412</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2408</v>
      </c>
      <c r="E1077" s="110" t="s">
        <v>2409</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2328</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2413</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2408</v>
      </c>
      <c r="E1078" s="110" t="s">
        <v>2409</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56" t="s">
        <v>2328</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2414</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2415</v>
      </c>
      <c r="E1079" s="71" t="s">
        <v>2416</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2417</v>
      </c>
      <c r="AV1079" s="356" t="s">
        <v>2328</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2418</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2419</v>
      </c>
      <c r="BV1079" s="23"/>
      <c r="BW1079" s="23"/>
      <c r="BX1079" s="23"/>
      <c r="BY1079" s="23"/>
      <c r="BZ1079" s="23"/>
    </row>
    <row r="1080" spans="1:78" s="1" customFormat="1" ht="20.100000000000001" customHeight="1">
      <c r="A1080" s="218"/>
      <c r="B1080" s="218"/>
      <c r="C1080" s="74">
        <v>64013302</v>
      </c>
      <c r="D1080" s="71" t="s">
        <v>2415</v>
      </c>
      <c r="E1080" s="71" t="s">
        <v>2416</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2417</v>
      </c>
      <c r="AV1080" s="356" t="s">
        <v>2328</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2418</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2420</v>
      </c>
      <c r="BV1080" s="23"/>
      <c r="BW1080" s="23"/>
      <c r="BX1080" s="23"/>
      <c r="BY1080" s="23"/>
      <c r="BZ1080" s="23"/>
    </row>
    <row r="1081" spans="1:78" s="1" customFormat="1" ht="20.100000000000001" customHeight="1">
      <c r="A1081" s="218"/>
      <c r="B1081" s="218"/>
      <c r="C1081" s="74">
        <v>64013303</v>
      </c>
      <c r="D1081" s="71" t="s">
        <v>2415</v>
      </c>
      <c r="E1081" s="71" t="s">
        <v>2416</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2417</v>
      </c>
      <c r="AV1081" s="356" t="s">
        <v>2328</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2421</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2422</v>
      </c>
      <c r="BV1081" s="23"/>
      <c r="BW1081" s="23"/>
      <c r="BX1081" s="23"/>
      <c r="BY1081" s="23"/>
      <c r="BZ1081" s="23"/>
    </row>
    <row r="1082" spans="1:78" s="1" customFormat="1" ht="20.100000000000001" customHeight="1">
      <c r="A1082" s="218"/>
      <c r="B1082" s="218"/>
      <c r="C1082" s="74">
        <v>64013304</v>
      </c>
      <c r="D1082" s="71" t="s">
        <v>2415</v>
      </c>
      <c r="E1082" s="71" t="s">
        <v>2416</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2417</v>
      </c>
      <c r="AV1082" s="356" t="s">
        <v>2328</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2423</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2424</v>
      </c>
      <c r="BV1082" s="23"/>
      <c r="BW1082" s="23"/>
      <c r="BX1082" s="23"/>
      <c r="BY1082" s="23"/>
      <c r="BZ1082" s="23"/>
    </row>
    <row r="1083" spans="1:78" s="1" customFormat="1" ht="20.100000000000001" customHeight="1">
      <c r="A1083" s="218"/>
      <c r="B1083" s="218"/>
      <c r="C1083" s="74">
        <v>64013305</v>
      </c>
      <c r="D1083" s="71" t="s">
        <v>2415</v>
      </c>
      <c r="E1083" s="71" t="s">
        <v>2416</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2417</v>
      </c>
      <c r="AV1083" s="356" t="s">
        <v>2328</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2425</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2426</v>
      </c>
      <c r="BV1083" s="23"/>
      <c r="BW1083" s="23"/>
      <c r="BX1083" s="23"/>
      <c r="BY1083" s="23"/>
      <c r="BZ1083" s="23"/>
    </row>
    <row r="1084" spans="1:78" s="1" customFormat="1" ht="20.100000000000001" customHeight="1">
      <c r="A1084" s="218"/>
      <c r="B1084" s="218"/>
      <c r="C1084" s="74">
        <v>64013306</v>
      </c>
      <c r="D1084" s="71" t="s">
        <v>2415</v>
      </c>
      <c r="E1084" s="71" t="s">
        <v>2416</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56" t="s">
        <v>2417</v>
      </c>
      <c r="AV1084" s="356" t="s">
        <v>2328</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2427</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42" t="s">
        <v>2428</v>
      </c>
      <c r="BV1084" s="23"/>
      <c r="BW1084" s="23"/>
      <c r="BX1084" s="23"/>
      <c r="BY1084" s="23"/>
      <c r="BZ1084" s="23"/>
    </row>
    <row r="1085" spans="1:78" s="4" customFormat="1" ht="20.100000000000001" customHeight="1">
      <c r="A1085" s="231"/>
      <c r="B1085" s="231"/>
      <c r="C1085" s="50">
        <v>64013311</v>
      </c>
      <c r="D1085" s="49" t="s">
        <v>2429</v>
      </c>
      <c r="E1085" s="49" t="s">
        <v>2430</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2431</v>
      </c>
      <c r="AU1085" s="50">
        <v>0</v>
      </c>
      <c r="AV1085" s="50"/>
      <c r="AW1085" s="49" t="s">
        <v>204</v>
      </c>
      <c r="AX1085" s="50" t="s">
        <v>551</v>
      </c>
      <c r="AY1085" s="50">
        <v>0</v>
      </c>
      <c r="AZ1085" s="50">
        <v>77005103</v>
      </c>
      <c r="BA1085" s="49" t="s">
        <v>1180</v>
      </c>
      <c r="BB1085" s="358" t="s">
        <v>2432</v>
      </c>
      <c r="BC1085" s="50">
        <v>0</v>
      </c>
      <c r="BD1085" s="50">
        <v>0</v>
      </c>
      <c r="BE1085" s="52" t="s">
        <v>2433</v>
      </c>
      <c r="BF1085" s="52" t="s">
        <v>2434</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2429</v>
      </c>
      <c r="E1086" s="49" t="s">
        <v>2430</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2431</v>
      </c>
      <c r="AU1086" s="50">
        <v>0</v>
      </c>
      <c r="AV1086" s="50"/>
      <c r="AW1086" s="49" t="s">
        <v>204</v>
      </c>
      <c r="AX1086" s="50" t="s">
        <v>551</v>
      </c>
      <c r="AY1086" s="50">
        <v>0</v>
      </c>
      <c r="AZ1086" s="50">
        <v>77005103</v>
      </c>
      <c r="BA1086" s="49" t="s">
        <v>1180</v>
      </c>
      <c r="BB1086" s="358" t="s">
        <v>2432</v>
      </c>
      <c r="BC1086" s="50">
        <v>0</v>
      </c>
      <c r="BD1086" s="50">
        <v>0</v>
      </c>
      <c r="BE1086" s="52" t="s">
        <v>2433</v>
      </c>
      <c r="BF1086" s="52" t="s">
        <v>2434</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2429</v>
      </c>
      <c r="E1087" s="49" t="s">
        <v>2430</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2431</v>
      </c>
      <c r="AU1087" s="50">
        <v>0</v>
      </c>
      <c r="AV1087" s="50"/>
      <c r="AW1087" s="49" t="s">
        <v>204</v>
      </c>
      <c r="AX1087" s="50" t="s">
        <v>551</v>
      </c>
      <c r="AY1087" s="50">
        <v>0</v>
      </c>
      <c r="AZ1087" s="50">
        <v>77005103</v>
      </c>
      <c r="BA1087" s="49" t="s">
        <v>1180</v>
      </c>
      <c r="BB1087" s="358" t="s">
        <v>2432</v>
      </c>
      <c r="BC1087" s="50">
        <v>0</v>
      </c>
      <c r="BD1087" s="50">
        <v>0</v>
      </c>
      <c r="BE1087" s="52" t="s">
        <v>2433</v>
      </c>
      <c r="BF1087" s="52" t="s">
        <v>2434</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2429</v>
      </c>
      <c r="E1088" s="49" t="s">
        <v>2430</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2431</v>
      </c>
      <c r="AU1088" s="50">
        <v>0</v>
      </c>
      <c r="AV1088" s="50"/>
      <c r="AW1088" s="49" t="s">
        <v>204</v>
      </c>
      <c r="AX1088" s="50" t="s">
        <v>551</v>
      </c>
      <c r="AY1088" s="50">
        <v>0</v>
      </c>
      <c r="AZ1088" s="50">
        <v>77005103</v>
      </c>
      <c r="BA1088" s="49" t="s">
        <v>1180</v>
      </c>
      <c r="BB1088" s="358" t="s">
        <v>2432</v>
      </c>
      <c r="BC1088" s="50">
        <v>0</v>
      </c>
      <c r="BD1088" s="50">
        <v>0</v>
      </c>
      <c r="BE1088" s="52" t="s">
        <v>2433</v>
      </c>
      <c r="BF1088" s="52" t="s">
        <v>2434</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2429</v>
      </c>
      <c r="E1089" s="49" t="s">
        <v>2430</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2431</v>
      </c>
      <c r="AU1089" s="50">
        <v>0</v>
      </c>
      <c r="AV1089" s="50"/>
      <c r="AW1089" s="49" t="s">
        <v>204</v>
      </c>
      <c r="AX1089" s="50" t="s">
        <v>551</v>
      </c>
      <c r="AY1089" s="50">
        <v>0</v>
      </c>
      <c r="AZ1089" s="50">
        <v>77005103</v>
      </c>
      <c r="BA1089" s="49" t="s">
        <v>1180</v>
      </c>
      <c r="BB1089" s="358" t="s">
        <v>2432</v>
      </c>
      <c r="BC1089" s="50">
        <v>0</v>
      </c>
      <c r="BD1089" s="50">
        <v>0</v>
      </c>
      <c r="BE1089" s="52" t="s">
        <v>2433</v>
      </c>
      <c r="BF1089" s="52" t="s">
        <v>2434</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2429</v>
      </c>
      <c r="E1090" s="49" t="s">
        <v>2430</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58" t="s">
        <v>2431</v>
      </c>
      <c r="AU1090" s="50">
        <v>0</v>
      </c>
      <c r="AV1090" s="50"/>
      <c r="AW1090" s="49" t="s">
        <v>204</v>
      </c>
      <c r="AX1090" s="50" t="s">
        <v>551</v>
      </c>
      <c r="AY1090" s="50">
        <v>0</v>
      </c>
      <c r="AZ1090" s="50">
        <v>77005103</v>
      </c>
      <c r="BA1090" s="49" t="s">
        <v>1180</v>
      </c>
      <c r="BB1090" s="358" t="s">
        <v>2432</v>
      </c>
      <c r="BC1090" s="50">
        <v>0</v>
      </c>
      <c r="BD1090" s="50">
        <v>0</v>
      </c>
      <c r="BE1090" s="52" t="s">
        <v>2433</v>
      </c>
      <c r="BF1090" s="52" t="s">
        <v>2434</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2435</v>
      </c>
      <c r="E1091" s="110" t="s">
        <v>2436</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2437</v>
      </c>
      <c r="AU1091" s="100" t="s">
        <v>204</v>
      </c>
      <c r="AV1091" s="356" t="s">
        <v>2328</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2438</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2435</v>
      </c>
      <c r="E1092" s="110" t="s">
        <v>2436</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2437</v>
      </c>
      <c r="AU1092" s="100" t="s">
        <v>204</v>
      </c>
      <c r="AV1092" s="356" t="s">
        <v>2328</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2438</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2435</v>
      </c>
      <c r="E1093" s="110" t="s">
        <v>2436</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2437</v>
      </c>
      <c r="AU1093" s="100" t="s">
        <v>204</v>
      </c>
      <c r="AV1093" s="356" t="s">
        <v>2328</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2439</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2435</v>
      </c>
      <c r="E1094" s="110" t="s">
        <v>2436</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2437</v>
      </c>
      <c r="AU1094" s="100" t="s">
        <v>204</v>
      </c>
      <c r="AV1094" s="356" t="s">
        <v>2328</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2440</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2435</v>
      </c>
      <c r="E1095" s="110" t="s">
        <v>2436</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2437</v>
      </c>
      <c r="AU1095" s="100" t="s">
        <v>204</v>
      </c>
      <c r="AV1095" s="356" t="s">
        <v>2328</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2441</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2435</v>
      </c>
      <c r="E1096" s="110" t="s">
        <v>2436</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35" t="s">
        <v>2437</v>
      </c>
      <c r="AU1096" s="100" t="s">
        <v>204</v>
      </c>
      <c r="AV1096" s="356" t="s">
        <v>2328</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2442</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57" t="s">
        <v>2443</v>
      </c>
      <c r="AV1097" s="228"/>
      <c r="AW1097" s="222" t="s">
        <v>205</v>
      </c>
      <c r="AX1097" s="225" t="s">
        <v>221</v>
      </c>
      <c r="AY1097" s="221">
        <v>0</v>
      </c>
      <c r="AZ1097" s="221">
        <v>0</v>
      </c>
      <c r="BA1097" s="234" t="s">
        <v>222</v>
      </c>
      <c r="BB1097" s="225">
        <v>0</v>
      </c>
      <c r="BC1097" s="226">
        <v>0</v>
      </c>
      <c r="BD1097" s="226">
        <v>0</v>
      </c>
      <c r="BE1097" s="230" t="s">
        <v>2444</v>
      </c>
      <c r="BF1097" s="230" t="s">
        <v>2445</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2446</v>
      </c>
      <c r="E1098" s="222" t="s">
        <v>2447</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2448</v>
      </c>
      <c r="BF1098" s="230" t="s">
        <v>2449</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2446</v>
      </c>
      <c r="E1099" s="222" t="s">
        <v>2447</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2448</v>
      </c>
      <c r="BF1099" s="230" t="s">
        <v>2449</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2446</v>
      </c>
      <c r="E1100" s="222" t="s">
        <v>2447</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2448</v>
      </c>
      <c r="BF1100" s="230" t="s">
        <v>2449</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2446</v>
      </c>
      <c r="E1101" s="222" t="s">
        <v>2447</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2448</v>
      </c>
      <c r="BF1101" s="230" t="s">
        <v>2449</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2446</v>
      </c>
      <c r="E1102" s="222" t="s">
        <v>2447</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2448</v>
      </c>
      <c r="BF1102" s="230" t="s">
        <v>2449</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2446</v>
      </c>
      <c r="E1103" s="222" t="s">
        <v>2447</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2448</v>
      </c>
      <c r="BF1103" s="230" t="s">
        <v>2449</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2450</v>
      </c>
      <c r="E1104" s="71" t="s">
        <v>2451</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2328</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2452</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2450</v>
      </c>
      <c r="E1105" s="71" t="s">
        <v>2451</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2328</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2452</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2450</v>
      </c>
      <c r="E1106" s="71" t="s">
        <v>2451</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2328</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2453</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2450</v>
      </c>
      <c r="E1107" s="71" t="s">
        <v>2451</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2328</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2454</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2450</v>
      </c>
      <c r="E1108" s="71" t="s">
        <v>2451</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2328</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2455</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2450</v>
      </c>
      <c r="E1109" s="71" t="s">
        <v>2451</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56" t="s">
        <v>2328</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2456</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2457</v>
      </c>
      <c r="E1110" s="110" t="s">
        <v>2458</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2459</v>
      </c>
      <c r="AV1110" s="356" t="s">
        <v>2328</v>
      </c>
      <c r="AW1110" s="35" t="s">
        <v>205</v>
      </c>
      <c r="AX1110" s="100" t="s">
        <v>540</v>
      </c>
      <c r="AY1110" s="107">
        <v>10000001</v>
      </c>
      <c r="AZ1110" s="107">
        <v>77005201</v>
      </c>
      <c r="BA1110" s="110" t="s">
        <v>592</v>
      </c>
      <c r="BB1110" s="72" t="s">
        <v>2460</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2461</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2457</v>
      </c>
      <c r="E1111" s="110" t="s">
        <v>2458</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2459</v>
      </c>
      <c r="AV1111" s="356" t="s">
        <v>2328</v>
      </c>
      <c r="AW1111" s="35" t="s">
        <v>205</v>
      </c>
      <c r="AX1111" s="100" t="s">
        <v>540</v>
      </c>
      <c r="AY1111" s="107">
        <v>10000001</v>
      </c>
      <c r="AZ1111" s="107">
        <v>77005201</v>
      </c>
      <c r="BA1111" s="110" t="s">
        <v>592</v>
      </c>
      <c r="BB1111" s="72" t="s">
        <v>2460</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2461</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2457</v>
      </c>
      <c r="E1112" s="110" t="s">
        <v>2458</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2459</v>
      </c>
      <c r="AV1112" s="356" t="s">
        <v>2328</v>
      </c>
      <c r="AW1112" s="35" t="s">
        <v>205</v>
      </c>
      <c r="AX1112" s="100" t="s">
        <v>540</v>
      </c>
      <c r="AY1112" s="107">
        <v>10000001</v>
      </c>
      <c r="AZ1112" s="107">
        <v>77005201</v>
      </c>
      <c r="BA1112" s="110" t="s">
        <v>592</v>
      </c>
      <c r="BB1112" s="72" t="s">
        <v>2460</v>
      </c>
      <c r="BC1112" s="99">
        <v>0</v>
      </c>
      <c r="BD1112" s="99">
        <v>0</v>
      </c>
      <c r="BE1112" s="185" t="str">
        <f t="shared" si="122"/>
        <v>对目标区域释放移动的魔球，对敌方单位造成300%攻击伤害+1800点固定伤害,并附加1层魔法印记</v>
      </c>
      <c r="BF1112" s="185" t="s">
        <v>2462</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2457</v>
      </c>
      <c r="E1113" s="110" t="s">
        <v>2458</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2459</v>
      </c>
      <c r="AV1113" s="356" t="s">
        <v>2328</v>
      </c>
      <c r="AW1113" s="35" t="s">
        <v>205</v>
      </c>
      <c r="AX1113" s="100" t="s">
        <v>540</v>
      </c>
      <c r="AY1113" s="107">
        <v>10000001</v>
      </c>
      <c r="AZ1113" s="107">
        <v>77005201</v>
      </c>
      <c r="BA1113" s="110" t="s">
        <v>592</v>
      </c>
      <c r="BB1113" s="72" t="s">
        <v>2460</v>
      </c>
      <c r="BC1113" s="99">
        <v>0</v>
      </c>
      <c r="BD1113" s="99">
        <v>0</v>
      </c>
      <c r="BE1113" s="185" t="str">
        <f t="shared" si="122"/>
        <v>对目标区域释放移动的魔球，对敌方单位造成330%攻击伤害+2800点固定伤害,并附加1层魔法印记</v>
      </c>
      <c r="BF1113" s="185" t="s">
        <v>2463</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2457</v>
      </c>
      <c r="E1114" s="110" t="s">
        <v>2458</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2459</v>
      </c>
      <c r="AV1114" s="356" t="s">
        <v>2328</v>
      </c>
      <c r="AW1114" s="35" t="s">
        <v>205</v>
      </c>
      <c r="AX1114" s="100" t="s">
        <v>540</v>
      </c>
      <c r="AY1114" s="107">
        <v>10000001</v>
      </c>
      <c r="AZ1114" s="107">
        <v>77005201</v>
      </c>
      <c r="BA1114" s="110" t="s">
        <v>592</v>
      </c>
      <c r="BB1114" s="72" t="s">
        <v>2460</v>
      </c>
      <c r="BC1114" s="99">
        <v>0</v>
      </c>
      <c r="BD1114" s="99">
        <v>0</v>
      </c>
      <c r="BE1114" s="185" t="str">
        <f t="shared" si="122"/>
        <v>对目标区域释放移动的魔球，对敌方单位造成360%攻击伤害+4000点固定伤害,并附加1层魔法印记</v>
      </c>
      <c r="BF1114" s="185" t="s">
        <v>2464</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2457</v>
      </c>
      <c r="E1115" s="110" t="s">
        <v>2458</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40" t="s">
        <v>2459</v>
      </c>
      <c r="AV1115" s="356" t="s">
        <v>2328</v>
      </c>
      <c r="AW1115" s="35" t="s">
        <v>205</v>
      </c>
      <c r="AX1115" s="100" t="s">
        <v>540</v>
      </c>
      <c r="AY1115" s="107">
        <v>10000001</v>
      </c>
      <c r="AZ1115" s="107">
        <v>77005201</v>
      </c>
      <c r="BA1115" s="110" t="s">
        <v>592</v>
      </c>
      <c r="BB1115" s="72" t="s">
        <v>2460</v>
      </c>
      <c r="BC1115" s="99">
        <v>0</v>
      </c>
      <c r="BD1115" s="99">
        <v>0</v>
      </c>
      <c r="BE1115" s="185" t="str">
        <f t="shared" si="122"/>
        <v>对目标区域释放移动的魔球，对敌方单位造成400%攻击伤害+5200点固定伤害,并附加1层魔法印记</v>
      </c>
      <c r="BF1115" s="185" t="s">
        <v>2465</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2466</v>
      </c>
      <c r="E1116" s="110" t="s">
        <v>2467</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2468</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2469</v>
      </c>
      <c r="BV1116" s="23"/>
      <c r="BW1116" s="23"/>
      <c r="BX1116" s="23"/>
      <c r="BY1116" s="23"/>
      <c r="BZ1116" s="23"/>
    </row>
    <row r="1117" spans="1:78" s="2" customFormat="1" ht="20.100000000000001" customHeight="1">
      <c r="A1117" s="219"/>
      <c r="B1117" s="219"/>
      <c r="C1117" s="107">
        <v>64014302</v>
      </c>
      <c r="D1117" s="110" t="s">
        <v>2466</v>
      </c>
      <c r="E1117" s="110" t="s">
        <v>2467</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2468</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2470</v>
      </c>
      <c r="BV1117" s="23"/>
      <c r="BW1117" s="23"/>
      <c r="BX1117" s="23"/>
      <c r="BY1117" s="23"/>
      <c r="BZ1117" s="23"/>
    </row>
    <row r="1118" spans="1:78" s="2" customFormat="1" ht="20.100000000000001" customHeight="1">
      <c r="A1118" s="219"/>
      <c r="B1118" s="219"/>
      <c r="C1118" s="107">
        <v>64014303</v>
      </c>
      <c r="D1118" s="110" t="s">
        <v>2466</v>
      </c>
      <c r="E1118" s="110" t="s">
        <v>2467</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2471</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2472</v>
      </c>
      <c r="BV1118" s="23"/>
      <c r="BW1118" s="23"/>
      <c r="BX1118" s="23"/>
      <c r="BY1118" s="23"/>
      <c r="BZ1118" s="23"/>
    </row>
    <row r="1119" spans="1:78" s="2" customFormat="1" ht="20.100000000000001" customHeight="1">
      <c r="A1119" s="219"/>
      <c r="B1119" s="219"/>
      <c r="C1119" s="107">
        <v>64014304</v>
      </c>
      <c r="D1119" s="110" t="s">
        <v>2466</v>
      </c>
      <c r="E1119" s="110" t="s">
        <v>2467</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2473</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2474</v>
      </c>
      <c r="BV1119" s="23"/>
      <c r="BW1119" s="23"/>
      <c r="BX1119" s="23"/>
      <c r="BY1119" s="23"/>
      <c r="BZ1119" s="23"/>
    </row>
    <row r="1120" spans="1:78" s="2" customFormat="1" ht="20.100000000000001" customHeight="1">
      <c r="A1120" s="219"/>
      <c r="B1120" s="219"/>
      <c r="C1120" s="107">
        <v>64014305</v>
      </c>
      <c r="D1120" s="110" t="s">
        <v>2466</v>
      </c>
      <c r="E1120" s="110" t="s">
        <v>2467</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2475</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2476</v>
      </c>
      <c r="BV1120" s="23"/>
      <c r="BW1120" s="23"/>
      <c r="BX1120" s="23"/>
      <c r="BY1120" s="23"/>
      <c r="BZ1120" s="23"/>
    </row>
    <row r="1121" spans="1:78" s="2" customFormat="1" ht="20.100000000000001" customHeight="1">
      <c r="A1121" s="219"/>
      <c r="B1121" s="219"/>
      <c r="C1121" s="107">
        <v>64014306</v>
      </c>
      <c r="D1121" s="110" t="s">
        <v>2466</v>
      </c>
      <c r="E1121" s="110" t="s">
        <v>2467</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2477</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35" t="s">
        <v>2478</v>
      </c>
      <c r="BV1121" s="23"/>
      <c r="BW1121" s="23"/>
      <c r="BX1121" s="23"/>
      <c r="BY1121" s="23"/>
      <c r="BZ1121" s="23"/>
    </row>
    <row r="1122" spans="1:78" s="1" customFormat="1" ht="20.100000000000001" customHeight="1">
      <c r="A1122" s="218"/>
      <c r="B1122" s="218"/>
      <c r="C1122" s="74">
        <v>64014401</v>
      </c>
      <c r="D1122" s="71" t="s">
        <v>2479</v>
      </c>
      <c r="E1122" s="71" t="s">
        <v>2480</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2481</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2482</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2479</v>
      </c>
      <c r="E1123" s="71" t="s">
        <v>2480</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2481</v>
      </c>
      <c r="AU1123" s="356"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2482</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2479</v>
      </c>
      <c r="E1124" s="71" t="s">
        <v>2480</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2481</v>
      </c>
      <c r="AU1124" s="356"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2483</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2479</v>
      </c>
      <c r="E1125" s="71" t="s">
        <v>2480</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2481</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2484</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2479</v>
      </c>
      <c r="E1126" s="71" t="s">
        <v>2480</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2481</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2485</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2479</v>
      </c>
      <c r="E1127" s="71" t="s">
        <v>2480</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42" t="s">
        <v>2481</v>
      </c>
      <c r="AU1127" s="356"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2486</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2487</v>
      </c>
      <c r="E1128" s="110" t="s">
        <v>2488</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2459</v>
      </c>
      <c r="AV1128" s="356" t="s">
        <v>2443</v>
      </c>
      <c r="AW1128" s="35" t="s">
        <v>205</v>
      </c>
      <c r="AX1128" s="100" t="s">
        <v>540</v>
      </c>
      <c r="AY1128" s="107">
        <v>10000001</v>
      </c>
      <c r="AZ1128" s="107">
        <v>77005205</v>
      </c>
      <c r="BA1128" s="110" t="s">
        <v>592</v>
      </c>
      <c r="BB1128" s="72" t="s">
        <v>2329</v>
      </c>
      <c r="BC1128" s="99">
        <v>0</v>
      </c>
      <c r="BD1128" s="99">
        <v>0</v>
      </c>
      <c r="BE1128" s="136" t="s">
        <v>2489</v>
      </c>
      <c r="BF1128" s="136" t="s">
        <v>2490</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2491</v>
      </c>
      <c r="BW1128" s="23"/>
      <c r="BX1128" s="23"/>
      <c r="BY1128" s="23"/>
      <c r="BZ1128" s="23"/>
    </row>
    <row r="1129" spans="1:78" s="2" customFormat="1" ht="19.5" customHeight="1">
      <c r="A1129" s="219"/>
      <c r="B1129" s="219"/>
      <c r="C1129" s="107">
        <v>64014452</v>
      </c>
      <c r="D1129" s="110" t="s">
        <v>2487</v>
      </c>
      <c r="E1129" s="110" t="s">
        <v>2488</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2459</v>
      </c>
      <c r="AV1129" s="356" t="s">
        <v>2443</v>
      </c>
      <c r="AW1129" s="35" t="s">
        <v>205</v>
      </c>
      <c r="AX1129" s="100" t="s">
        <v>540</v>
      </c>
      <c r="AY1129" s="107">
        <v>10000001</v>
      </c>
      <c r="AZ1129" s="107">
        <v>77005205</v>
      </c>
      <c r="BA1129" s="110" t="s">
        <v>592</v>
      </c>
      <c r="BB1129" s="72" t="s">
        <v>2329</v>
      </c>
      <c r="BC1129" s="99">
        <v>0</v>
      </c>
      <c r="BD1129" s="99">
        <v>0</v>
      </c>
      <c r="BE1129" s="136" t="s">
        <v>2489</v>
      </c>
      <c r="BF1129" s="136" t="s">
        <v>2490</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2491</v>
      </c>
      <c r="BW1129" s="23"/>
      <c r="BX1129" s="23"/>
      <c r="BY1129" s="23"/>
      <c r="BZ1129" s="23"/>
    </row>
    <row r="1130" spans="1:78" s="2" customFormat="1" ht="19.5" customHeight="1">
      <c r="A1130" s="219"/>
      <c r="B1130" s="219"/>
      <c r="C1130" s="107">
        <v>64014453</v>
      </c>
      <c r="D1130" s="110" t="s">
        <v>2487</v>
      </c>
      <c r="E1130" s="110" t="s">
        <v>2488</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2459</v>
      </c>
      <c r="AV1130" s="356" t="s">
        <v>2443</v>
      </c>
      <c r="AW1130" s="35" t="s">
        <v>205</v>
      </c>
      <c r="AX1130" s="100" t="s">
        <v>540</v>
      </c>
      <c r="AY1130" s="107">
        <v>10000001</v>
      </c>
      <c r="AZ1130" s="107">
        <v>77005205</v>
      </c>
      <c r="BA1130" s="110" t="s">
        <v>592</v>
      </c>
      <c r="BB1130" s="72" t="s">
        <v>2329</v>
      </c>
      <c r="BC1130" s="99">
        <v>0</v>
      </c>
      <c r="BD1130" s="99">
        <v>0</v>
      </c>
      <c r="BE1130" s="136" t="s">
        <v>2489</v>
      </c>
      <c r="BF1130" s="136" t="s">
        <v>2490</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2491</v>
      </c>
      <c r="BW1130" s="23"/>
      <c r="BX1130" s="23"/>
      <c r="BY1130" s="23"/>
      <c r="BZ1130" s="23"/>
    </row>
    <row r="1131" spans="1:78" s="2" customFormat="1" ht="19.5" customHeight="1">
      <c r="A1131" s="219"/>
      <c r="B1131" s="219"/>
      <c r="C1131" s="107">
        <v>64014454</v>
      </c>
      <c r="D1131" s="110" t="s">
        <v>2487</v>
      </c>
      <c r="E1131" s="110" t="s">
        <v>2488</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2459</v>
      </c>
      <c r="AV1131" s="356" t="s">
        <v>2443</v>
      </c>
      <c r="AW1131" s="35" t="s">
        <v>205</v>
      </c>
      <c r="AX1131" s="100" t="s">
        <v>540</v>
      </c>
      <c r="AY1131" s="107">
        <v>10000001</v>
      </c>
      <c r="AZ1131" s="107">
        <v>77005205</v>
      </c>
      <c r="BA1131" s="110" t="s">
        <v>592</v>
      </c>
      <c r="BB1131" s="72" t="s">
        <v>2329</v>
      </c>
      <c r="BC1131" s="99">
        <v>0</v>
      </c>
      <c r="BD1131" s="99">
        <v>0</v>
      </c>
      <c r="BE1131" s="136" t="s">
        <v>2489</v>
      </c>
      <c r="BF1131" s="136" t="s">
        <v>2490</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2491</v>
      </c>
      <c r="BW1131" s="23"/>
      <c r="BX1131" s="23"/>
      <c r="BY1131" s="23"/>
      <c r="BZ1131" s="23"/>
    </row>
    <row r="1132" spans="1:78" s="2" customFormat="1" ht="19.5" customHeight="1">
      <c r="A1132" s="219"/>
      <c r="B1132" s="219"/>
      <c r="C1132" s="107">
        <v>64014455</v>
      </c>
      <c r="D1132" s="110" t="s">
        <v>2487</v>
      </c>
      <c r="E1132" s="110" t="s">
        <v>2488</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40" t="s">
        <v>2459</v>
      </c>
      <c r="AV1132" s="356" t="s">
        <v>2443</v>
      </c>
      <c r="AW1132" s="35" t="s">
        <v>205</v>
      </c>
      <c r="AX1132" s="100" t="s">
        <v>540</v>
      </c>
      <c r="AY1132" s="107">
        <v>10000001</v>
      </c>
      <c r="AZ1132" s="107">
        <v>77005205</v>
      </c>
      <c r="BA1132" s="110" t="s">
        <v>592</v>
      </c>
      <c r="BB1132" s="72" t="s">
        <v>2329</v>
      </c>
      <c r="BC1132" s="99">
        <v>0</v>
      </c>
      <c r="BD1132" s="99">
        <v>0</v>
      </c>
      <c r="BE1132" s="136" t="s">
        <v>2489</v>
      </c>
      <c r="BF1132" s="136" t="s">
        <v>2490</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2491</v>
      </c>
      <c r="BW1132" s="23"/>
      <c r="BX1132" s="23"/>
      <c r="BY1132" s="23"/>
      <c r="BZ1132" s="23"/>
    </row>
    <row r="1133" spans="1:78" s="3" customFormat="1" ht="19.5" customHeight="1">
      <c r="A1133" s="220"/>
      <c r="B1133" s="220"/>
      <c r="C1133" s="221">
        <v>64014501</v>
      </c>
      <c r="D1133" s="222" t="s">
        <v>2397</v>
      </c>
      <c r="E1133" s="222" t="s">
        <v>2398</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57" t="s">
        <v>2443</v>
      </c>
      <c r="AV1133" s="228"/>
      <c r="AW1133" s="229" t="s">
        <v>204</v>
      </c>
      <c r="AX1133" s="225" t="s">
        <v>540</v>
      </c>
      <c r="AY1133" s="221">
        <v>0</v>
      </c>
      <c r="AZ1133" s="221">
        <v>77005207</v>
      </c>
      <c r="BA1133" s="222" t="s">
        <v>206</v>
      </c>
      <c r="BB1133" s="225">
        <v>0</v>
      </c>
      <c r="BC1133" s="226">
        <v>0</v>
      </c>
      <c r="BD1133" s="226">
        <v>0</v>
      </c>
      <c r="BE1133" s="230" t="s">
        <v>2492</v>
      </c>
      <c r="BF1133" s="230" t="s">
        <v>2493</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2494</v>
      </c>
      <c r="E1134" s="222" t="s">
        <v>2495</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2443</v>
      </c>
      <c r="AV1134" s="228"/>
      <c r="AW1134" s="222" t="s">
        <v>204</v>
      </c>
      <c r="AX1134" s="225" t="s">
        <v>540</v>
      </c>
      <c r="AY1134" s="221">
        <v>10000007</v>
      </c>
      <c r="AZ1134" s="221">
        <v>77005205</v>
      </c>
      <c r="BA1134" s="222" t="s">
        <v>592</v>
      </c>
      <c r="BB1134" s="225" t="s">
        <v>2496</v>
      </c>
      <c r="BC1134" s="226">
        <v>0</v>
      </c>
      <c r="BD1134" s="226">
        <v>1</v>
      </c>
      <c r="BE1134" s="230" t="s">
        <v>2497</v>
      </c>
      <c r="BF1134" s="230" t="s">
        <v>2498</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2494</v>
      </c>
      <c r="E1135" s="222" t="s">
        <v>2495</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2443</v>
      </c>
      <c r="AV1135" s="228"/>
      <c r="AW1135" s="222" t="s">
        <v>204</v>
      </c>
      <c r="AX1135" s="225" t="s">
        <v>540</v>
      </c>
      <c r="AY1135" s="221">
        <v>10000007</v>
      </c>
      <c r="AZ1135" s="221">
        <v>77005205</v>
      </c>
      <c r="BA1135" s="222" t="s">
        <v>592</v>
      </c>
      <c r="BB1135" s="225" t="s">
        <v>2496</v>
      </c>
      <c r="BC1135" s="226">
        <v>0</v>
      </c>
      <c r="BD1135" s="226">
        <v>1</v>
      </c>
      <c r="BE1135" s="230" t="s">
        <v>2497</v>
      </c>
      <c r="BF1135" s="230" t="s">
        <v>2498</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2494</v>
      </c>
      <c r="E1136" s="222" t="s">
        <v>2495</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2443</v>
      </c>
      <c r="AV1136" s="228"/>
      <c r="AW1136" s="222" t="s">
        <v>204</v>
      </c>
      <c r="AX1136" s="225" t="s">
        <v>540</v>
      </c>
      <c r="AY1136" s="221">
        <v>10000007</v>
      </c>
      <c r="AZ1136" s="221">
        <v>77005205</v>
      </c>
      <c r="BA1136" s="222" t="s">
        <v>592</v>
      </c>
      <c r="BB1136" s="225" t="s">
        <v>2496</v>
      </c>
      <c r="BC1136" s="226">
        <v>0</v>
      </c>
      <c r="BD1136" s="226">
        <v>1</v>
      </c>
      <c r="BE1136" s="230" t="s">
        <v>2497</v>
      </c>
      <c r="BF1136" s="230" t="s">
        <v>2498</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2494</v>
      </c>
      <c r="E1137" s="222" t="s">
        <v>2495</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2443</v>
      </c>
      <c r="AV1137" s="228"/>
      <c r="AW1137" s="222" t="s">
        <v>204</v>
      </c>
      <c r="AX1137" s="225" t="s">
        <v>540</v>
      </c>
      <c r="AY1137" s="221">
        <v>10000007</v>
      </c>
      <c r="AZ1137" s="221">
        <v>77005205</v>
      </c>
      <c r="BA1137" s="222" t="s">
        <v>592</v>
      </c>
      <c r="BB1137" s="225" t="s">
        <v>2496</v>
      </c>
      <c r="BC1137" s="226">
        <v>0</v>
      </c>
      <c r="BD1137" s="226">
        <v>1</v>
      </c>
      <c r="BE1137" s="230" t="s">
        <v>2497</v>
      </c>
      <c r="BF1137" s="230" t="s">
        <v>2498</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2494</v>
      </c>
      <c r="E1138" s="222" t="s">
        <v>2495</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2443</v>
      </c>
      <c r="AV1138" s="228"/>
      <c r="AW1138" s="222" t="s">
        <v>204</v>
      </c>
      <c r="AX1138" s="225" t="s">
        <v>540</v>
      </c>
      <c r="AY1138" s="221">
        <v>10000007</v>
      </c>
      <c r="AZ1138" s="221">
        <v>77005205</v>
      </c>
      <c r="BA1138" s="222" t="s">
        <v>592</v>
      </c>
      <c r="BB1138" s="225" t="s">
        <v>2496</v>
      </c>
      <c r="BC1138" s="226">
        <v>0</v>
      </c>
      <c r="BD1138" s="226">
        <v>1</v>
      </c>
      <c r="BE1138" s="230" t="s">
        <v>2497</v>
      </c>
      <c r="BF1138" s="230" t="s">
        <v>2498</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2494</v>
      </c>
      <c r="E1139" s="222" t="s">
        <v>2495</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57" t="s">
        <v>2443</v>
      </c>
      <c r="AV1139" s="228"/>
      <c r="AW1139" s="222" t="s">
        <v>204</v>
      </c>
      <c r="AX1139" s="225" t="s">
        <v>540</v>
      </c>
      <c r="AY1139" s="221">
        <v>10000007</v>
      </c>
      <c r="AZ1139" s="221">
        <v>77005205</v>
      </c>
      <c r="BA1139" s="222" t="s">
        <v>592</v>
      </c>
      <c r="BB1139" s="225" t="s">
        <v>2496</v>
      </c>
      <c r="BC1139" s="226">
        <v>0</v>
      </c>
      <c r="BD1139" s="226">
        <v>1</v>
      </c>
      <c r="BE1139" s="230" t="s">
        <v>2497</v>
      </c>
      <c r="BF1139" s="230" t="s">
        <v>2498</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2499</v>
      </c>
      <c r="E1140" s="222" t="s">
        <v>2500</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2501</v>
      </c>
      <c r="AV1140" s="228"/>
      <c r="AW1140" s="229" t="s">
        <v>204</v>
      </c>
      <c r="AX1140" s="225" t="s">
        <v>540</v>
      </c>
      <c r="AY1140" s="221">
        <v>0</v>
      </c>
      <c r="AZ1140" s="221">
        <v>77005202</v>
      </c>
      <c r="BA1140" s="222" t="s">
        <v>206</v>
      </c>
      <c r="BB1140" s="225">
        <v>0</v>
      </c>
      <c r="BC1140" s="226">
        <v>0</v>
      </c>
      <c r="BD1140" s="226">
        <v>0</v>
      </c>
      <c r="BE1140" s="230" t="s">
        <v>2399</v>
      </c>
      <c r="BF1140" s="230" t="s">
        <v>2400</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2499</v>
      </c>
      <c r="E1141" s="222" t="s">
        <v>2500</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2501</v>
      </c>
      <c r="AV1141" s="228"/>
      <c r="AW1141" s="229" t="s">
        <v>204</v>
      </c>
      <c r="AX1141" s="225" t="s">
        <v>540</v>
      </c>
      <c r="AY1141" s="221">
        <v>0</v>
      </c>
      <c r="AZ1141" s="221">
        <v>77005202</v>
      </c>
      <c r="BA1141" s="222" t="s">
        <v>206</v>
      </c>
      <c r="BB1141" s="225">
        <v>0</v>
      </c>
      <c r="BC1141" s="226">
        <v>0</v>
      </c>
      <c r="BD1141" s="226">
        <v>0</v>
      </c>
      <c r="BE1141" s="230" t="s">
        <v>2399</v>
      </c>
      <c r="BF1141" s="230" t="s">
        <v>2400</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2499</v>
      </c>
      <c r="E1142" s="222" t="s">
        <v>2500</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2501</v>
      </c>
      <c r="AV1142" s="228"/>
      <c r="AW1142" s="229" t="s">
        <v>204</v>
      </c>
      <c r="AX1142" s="225" t="s">
        <v>540</v>
      </c>
      <c r="AY1142" s="221">
        <v>0</v>
      </c>
      <c r="AZ1142" s="221">
        <v>77005202</v>
      </c>
      <c r="BA1142" s="222" t="s">
        <v>206</v>
      </c>
      <c r="BB1142" s="225">
        <v>0</v>
      </c>
      <c r="BC1142" s="226">
        <v>0</v>
      </c>
      <c r="BD1142" s="226">
        <v>0</v>
      </c>
      <c r="BE1142" s="230" t="s">
        <v>2399</v>
      </c>
      <c r="BF1142" s="230" t="s">
        <v>2400</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2499</v>
      </c>
      <c r="E1143" s="222" t="s">
        <v>2500</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2501</v>
      </c>
      <c r="AV1143" s="228"/>
      <c r="AW1143" s="229" t="s">
        <v>204</v>
      </c>
      <c r="AX1143" s="225" t="s">
        <v>540</v>
      </c>
      <c r="AY1143" s="221">
        <v>0</v>
      </c>
      <c r="AZ1143" s="221">
        <v>77005202</v>
      </c>
      <c r="BA1143" s="222" t="s">
        <v>206</v>
      </c>
      <c r="BB1143" s="225">
        <v>0</v>
      </c>
      <c r="BC1143" s="226">
        <v>0</v>
      </c>
      <c r="BD1143" s="226">
        <v>0</v>
      </c>
      <c r="BE1143" s="230" t="s">
        <v>2399</v>
      </c>
      <c r="BF1143" s="230" t="s">
        <v>2400</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2499</v>
      </c>
      <c r="E1144" s="222" t="s">
        <v>2500</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2501</v>
      </c>
      <c r="AV1144" s="228"/>
      <c r="AW1144" s="229" t="s">
        <v>204</v>
      </c>
      <c r="AX1144" s="225" t="s">
        <v>540</v>
      </c>
      <c r="AY1144" s="221">
        <v>0</v>
      </c>
      <c r="AZ1144" s="221">
        <v>77005202</v>
      </c>
      <c r="BA1144" s="222" t="s">
        <v>206</v>
      </c>
      <c r="BB1144" s="225">
        <v>0</v>
      </c>
      <c r="BC1144" s="226">
        <v>0</v>
      </c>
      <c r="BD1144" s="226">
        <v>0</v>
      </c>
      <c r="BE1144" s="230" t="s">
        <v>2399</v>
      </c>
      <c r="BF1144" s="230" t="s">
        <v>2400</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2499</v>
      </c>
      <c r="E1145" s="222" t="s">
        <v>2500</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57" t="s">
        <v>2501</v>
      </c>
      <c r="AV1145" s="228"/>
      <c r="AW1145" s="229" t="s">
        <v>204</v>
      </c>
      <c r="AX1145" s="225" t="s">
        <v>540</v>
      </c>
      <c r="AY1145" s="221">
        <v>0</v>
      </c>
      <c r="AZ1145" s="221">
        <v>77005202</v>
      </c>
      <c r="BA1145" s="222" t="s">
        <v>206</v>
      </c>
      <c r="BB1145" s="225">
        <v>0</v>
      </c>
      <c r="BC1145" s="226">
        <v>0</v>
      </c>
      <c r="BD1145" s="226">
        <v>0</v>
      </c>
      <c r="BE1145" s="230" t="s">
        <v>2399</v>
      </c>
      <c r="BF1145" s="230" t="s">
        <v>2400</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2502</v>
      </c>
      <c r="E1146" s="110" t="s">
        <v>2503</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2504</v>
      </c>
      <c r="BB1146" s="100" t="s">
        <v>2505</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2506</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2502</v>
      </c>
      <c r="E1147" s="110" t="s">
        <v>2503</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2504</v>
      </c>
      <c r="BB1147" s="100" t="s">
        <v>2505</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2506</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2502</v>
      </c>
      <c r="E1148" s="110" t="s">
        <v>2503</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2504</v>
      </c>
      <c r="BB1148" s="100" t="s">
        <v>2505</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2507</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2502</v>
      </c>
      <c r="E1149" s="110" t="s">
        <v>2503</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2504</v>
      </c>
      <c r="BB1149" s="100" t="s">
        <v>2505</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2508</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2502</v>
      </c>
      <c r="E1150" s="110" t="s">
        <v>2503</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2504</v>
      </c>
      <c r="BB1150" s="100" t="s">
        <v>2505</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2509</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2502</v>
      </c>
      <c r="E1151" s="110" t="s">
        <v>2503</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2504</v>
      </c>
      <c r="BB1151" s="100" t="s">
        <v>2505</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2510</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2511</v>
      </c>
      <c r="E1152" s="202" t="s">
        <v>2512</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2252</v>
      </c>
      <c r="AU1152" s="355" t="s">
        <v>2253</v>
      </c>
      <c r="AV1152" s="205"/>
      <c r="AW1152" s="35" t="s">
        <v>205</v>
      </c>
      <c r="AX1152" s="175" t="s">
        <v>2254</v>
      </c>
      <c r="AY1152" s="175" t="s">
        <v>204</v>
      </c>
      <c r="AZ1152" s="175">
        <v>21203010</v>
      </c>
      <c r="BA1152" s="202" t="s">
        <v>206</v>
      </c>
      <c r="BB1152" s="175">
        <v>0</v>
      </c>
      <c r="BC1152" s="175">
        <v>0</v>
      </c>
      <c r="BD1152" s="175">
        <v>0</v>
      </c>
      <c r="BE1152" s="215" t="s">
        <v>2255</v>
      </c>
      <c r="BF1152" s="215" t="s">
        <v>2256</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2511</v>
      </c>
      <c r="E1153" s="202" t="s">
        <v>2512</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2252</v>
      </c>
      <c r="AU1153" s="355" t="s">
        <v>2253</v>
      </c>
      <c r="AV1153" s="205"/>
      <c r="AW1153" s="35" t="s">
        <v>205</v>
      </c>
      <c r="AX1153" s="175" t="s">
        <v>2254</v>
      </c>
      <c r="AY1153" s="175" t="s">
        <v>204</v>
      </c>
      <c r="AZ1153" s="175">
        <v>21203010</v>
      </c>
      <c r="BA1153" s="202" t="s">
        <v>206</v>
      </c>
      <c r="BB1153" s="175">
        <v>0</v>
      </c>
      <c r="BC1153" s="175">
        <v>0</v>
      </c>
      <c r="BD1153" s="175">
        <v>0</v>
      </c>
      <c r="BE1153" s="215" t="s">
        <v>2255</v>
      </c>
      <c r="BF1153" s="215" t="s">
        <v>2256</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2511</v>
      </c>
      <c r="E1154" s="202" t="s">
        <v>2512</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2257</v>
      </c>
      <c r="AU1154" s="355" t="s">
        <v>2258</v>
      </c>
      <c r="AV1154" s="205"/>
      <c r="AW1154" s="35" t="s">
        <v>205</v>
      </c>
      <c r="AX1154" s="175" t="s">
        <v>2254</v>
      </c>
      <c r="AY1154" s="175" t="s">
        <v>204</v>
      </c>
      <c r="AZ1154" s="175">
        <v>21203010</v>
      </c>
      <c r="BA1154" s="202" t="s">
        <v>206</v>
      </c>
      <c r="BB1154" s="175">
        <v>0</v>
      </c>
      <c r="BC1154" s="175">
        <v>0</v>
      </c>
      <c r="BD1154" s="175">
        <v>0</v>
      </c>
      <c r="BE1154" s="215" t="s">
        <v>2259</v>
      </c>
      <c r="BF1154" s="215" t="s">
        <v>2260</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2511</v>
      </c>
      <c r="E1155" s="202" t="s">
        <v>2512</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55" t="s">
        <v>2261</v>
      </c>
      <c r="AU1155" s="355" t="s">
        <v>2262</v>
      </c>
      <c r="AV1155" s="205"/>
      <c r="AW1155" s="35" t="s">
        <v>205</v>
      </c>
      <c r="AX1155" s="175" t="s">
        <v>2254</v>
      </c>
      <c r="AY1155" s="175" t="s">
        <v>204</v>
      </c>
      <c r="AZ1155" s="175">
        <v>21203010</v>
      </c>
      <c r="BA1155" s="202" t="s">
        <v>206</v>
      </c>
      <c r="BB1155" s="175">
        <v>0</v>
      </c>
      <c r="BC1155" s="175">
        <v>0</v>
      </c>
      <c r="BD1155" s="175">
        <v>0</v>
      </c>
      <c r="BE1155" s="215" t="s">
        <v>2263</v>
      </c>
      <c r="BF1155" s="215" t="s">
        <v>2264</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2511</v>
      </c>
      <c r="E1156" s="202" t="s">
        <v>2512</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2265</v>
      </c>
      <c r="AU1156" s="355" t="s">
        <v>2266</v>
      </c>
      <c r="AV1156" s="205"/>
      <c r="AW1156" s="35" t="s">
        <v>205</v>
      </c>
      <c r="AX1156" s="175" t="s">
        <v>2254</v>
      </c>
      <c r="AY1156" s="175" t="s">
        <v>204</v>
      </c>
      <c r="AZ1156" s="175">
        <v>21203010</v>
      </c>
      <c r="BA1156" s="202" t="s">
        <v>206</v>
      </c>
      <c r="BB1156" s="175">
        <v>0</v>
      </c>
      <c r="BC1156" s="175">
        <v>0</v>
      </c>
      <c r="BD1156" s="175">
        <v>0</v>
      </c>
      <c r="BE1156" s="215" t="s">
        <v>2267</v>
      </c>
      <c r="BF1156" s="215" t="s">
        <v>2268</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2511</v>
      </c>
      <c r="E1157" s="202" t="s">
        <v>2512</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2269</v>
      </c>
      <c r="AU1157" s="355" t="s">
        <v>2270</v>
      </c>
      <c r="AV1157" s="205"/>
      <c r="AW1157" s="35" t="s">
        <v>205</v>
      </c>
      <c r="AX1157" s="175" t="s">
        <v>2254</v>
      </c>
      <c r="AY1157" s="175" t="s">
        <v>204</v>
      </c>
      <c r="AZ1157" s="175">
        <v>21203010</v>
      </c>
      <c r="BA1157" s="202" t="s">
        <v>206</v>
      </c>
      <c r="BB1157" s="175">
        <v>0</v>
      </c>
      <c r="BC1157" s="175">
        <v>0</v>
      </c>
      <c r="BD1157" s="175">
        <v>0</v>
      </c>
      <c r="BE1157" s="215" t="s">
        <v>2271</v>
      </c>
      <c r="BF1157" s="215" t="s">
        <v>2272</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2513</v>
      </c>
      <c r="E1158" s="110" t="s">
        <v>2514</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2328</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2515</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2513</v>
      </c>
      <c r="E1159" s="110" t="s">
        <v>2514</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2328</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2515</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2513</v>
      </c>
      <c r="E1160" s="110" t="s">
        <v>2514</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2328</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2516</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2513</v>
      </c>
      <c r="E1161" s="110" t="s">
        <v>2514</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2328</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2517</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2513</v>
      </c>
      <c r="E1162" s="110" t="s">
        <v>2514</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2328</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2518</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2513</v>
      </c>
      <c r="E1163" s="110" t="s">
        <v>2514</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56" t="s">
        <v>2328</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2519</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2520</v>
      </c>
      <c r="E1164" s="71" t="s">
        <v>2521</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2522</v>
      </c>
      <c r="BB1164" s="356" t="s">
        <v>2523</v>
      </c>
      <c r="BC1164" s="75">
        <v>0</v>
      </c>
      <c r="BD1164" s="75">
        <v>0</v>
      </c>
      <c r="BE1164" s="76" t="s">
        <v>2524</v>
      </c>
      <c r="BF1164" s="76" t="s">
        <v>2525</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2520</v>
      </c>
      <c r="E1165" s="71" t="s">
        <v>2521</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2522</v>
      </c>
      <c r="BB1165" s="356" t="s">
        <v>2523</v>
      </c>
      <c r="BC1165" s="75">
        <v>0</v>
      </c>
      <c r="BD1165" s="75">
        <v>0</v>
      </c>
      <c r="BE1165" s="76" t="s">
        <v>2524</v>
      </c>
      <c r="BF1165" s="76" t="s">
        <v>2525</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2520</v>
      </c>
      <c r="E1166" s="71" t="s">
        <v>2521</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2522</v>
      </c>
      <c r="BB1166" s="356" t="s">
        <v>2526</v>
      </c>
      <c r="BC1166" s="75">
        <v>0</v>
      </c>
      <c r="BD1166" s="75">
        <v>0</v>
      </c>
      <c r="BE1166" s="76" t="s">
        <v>2527</v>
      </c>
      <c r="BF1166" s="76" t="s">
        <v>2528</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2520</v>
      </c>
      <c r="E1167" s="71" t="s">
        <v>2521</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2522</v>
      </c>
      <c r="BB1167" s="356" t="s">
        <v>2529</v>
      </c>
      <c r="BC1167" s="75">
        <v>0</v>
      </c>
      <c r="BD1167" s="75">
        <v>0</v>
      </c>
      <c r="BE1167" s="76" t="s">
        <v>2530</v>
      </c>
      <c r="BF1167" s="76" t="s">
        <v>2531</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2520</v>
      </c>
      <c r="E1168" s="71" t="s">
        <v>2521</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2522</v>
      </c>
      <c r="BB1168" s="356" t="s">
        <v>2532</v>
      </c>
      <c r="BC1168" s="75">
        <v>0</v>
      </c>
      <c r="BD1168" s="75">
        <v>0</v>
      </c>
      <c r="BE1168" s="76" t="s">
        <v>2533</v>
      </c>
      <c r="BF1168" s="76" t="s">
        <v>2534</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2520</v>
      </c>
      <c r="E1169" s="71" t="s">
        <v>2521</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2522</v>
      </c>
      <c r="BB1169" s="356" t="s">
        <v>2535</v>
      </c>
      <c r="BC1169" s="75">
        <v>0</v>
      </c>
      <c r="BD1169" s="75">
        <v>0</v>
      </c>
      <c r="BE1169" s="76" t="s">
        <v>2536</v>
      </c>
      <c r="BF1169" s="76" t="s">
        <v>2537</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2538</v>
      </c>
      <c r="BB1170" s="359" t="s">
        <v>2539</v>
      </c>
      <c r="BC1170" s="226">
        <v>0</v>
      </c>
      <c r="BD1170" s="226">
        <v>0</v>
      </c>
      <c r="BE1170" s="230" t="s">
        <v>2540</v>
      </c>
      <c r="BF1170" s="230" t="s">
        <v>2541</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2542</v>
      </c>
      <c r="E1171" s="229" t="s">
        <v>2543</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2544</v>
      </c>
      <c r="BF1171" s="236" t="s">
        <v>2545</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2546</v>
      </c>
      <c r="BF1172" s="230" t="s">
        <v>2547</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1449</v>
      </c>
      <c r="E1174" s="20" t="s">
        <v>1450</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1728</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2548</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1449</v>
      </c>
      <c r="E1175" s="20" t="s">
        <v>1450</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1728</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2548</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1449</v>
      </c>
      <c r="E1176" s="20" t="s">
        <v>1450</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1728</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2549</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1449</v>
      </c>
      <c r="E1177" s="20" t="s">
        <v>1450</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1728</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2550</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1449</v>
      </c>
      <c r="E1178" s="20" t="s">
        <v>1450</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1728</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2551</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1449</v>
      </c>
      <c r="E1179" s="20" t="s">
        <v>1450</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1728</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2552</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1456</v>
      </c>
      <c r="E1180" s="35" t="s">
        <v>1457</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1701</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2553</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1456</v>
      </c>
      <c r="E1181" s="35" t="s">
        <v>1457</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1701</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2553</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1456</v>
      </c>
      <c r="E1182" s="35" t="s">
        <v>1457</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1701</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2554</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1456</v>
      </c>
      <c r="E1183" s="35" t="s">
        <v>1457</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1701</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2555</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1456</v>
      </c>
      <c r="E1184" s="35" t="s">
        <v>1457</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1701</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2556</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1456</v>
      </c>
      <c r="E1185" s="35" t="s">
        <v>1457</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1701</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2557</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1463</v>
      </c>
      <c r="E1186" s="30" t="s">
        <v>1464</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2558</v>
      </c>
      <c r="AV1186" s="21"/>
      <c r="AW1186" s="30" t="s">
        <v>768</v>
      </c>
      <c r="AX1186" s="21" t="s">
        <v>1643</v>
      </c>
      <c r="AY1186" s="32">
        <v>10000015</v>
      </c>
      <c r="AZ1186" s="32">
        <v>21400030</v>
      </c>
      <c r="BA1186" s="30" t="s">
        <v>1377</v>
      </c>
      <c r="BB1186" s="21">
        <v>0</v>
      </c>
      <c r="BC1186" s="31">
        <v>0</v>
      </c>
      <c r="BD1186" s="31">
        <v>0</v>
      </c>
      <c r="BE1186" s="171" t="str">
        <f>"立即跳跃至目标区域并对其怪物造成"&amp;X1186*100&amp;"%攻击伤害+"&amp;Z1186&amp;"点固定伤害,并使目标击退并置空1秒"</f>
        <v>立即跳跃至目标区域并对其怪物造成200%攻击伤害+750点固定伤害,并使目标击退并置空1秒</v>
      </c>
      <c r="BF1186" s="171" t="s">
        <v>2559</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1463</v>
      </c>
      <c r="E1187" s="30" t="s">
        <v>1464</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2558</v>
      </c>
      <c r="AV1187" s="21"/>
      <c r="AW1187" s="30" t="s">
        <v>768</v>
      </c>
      <c r="AX1187" s="21" t="s">
        <v>1643</v>
      </c>
      <c r="AY1187" s="32">
        <v>10000015</v>
      </c>
      <c r="AZ1187" s="32">
        <v>21400030</v>
      </c>
      <c r="BA1187" s="30" t="s">
        <v>1377</v>
      </c>
      <c r="BB1187" s="21">
        <v>0</v>
      </c>
      <c r="BC1187" s="31">
        <v>0</v>
      </c>
      <c r="BD1187" s="31">
        <v>0</v>
      </c>
      <c r="BE1187" s="171" t="str">
        <f t="shared" ref="BE1187:BE1191" si="130">"立即跳跃至目标区域并对其怪物造成"&amp;X1187*100&amp;"%攻击伤害+"&amp;Z1187&amp;"点固定伤害,并使目标击退并置空1秒"</f>
        <v>立即跳跃至目标区域并对其怪物造成200%攻击伤害+750点固定伤害,并使目标击退并置空1秒</v>
      </c>
      <c r="BF1187" s="171" t="s">
        <v>2559</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1463</v>
      </c>
      <c r="E1188" s="30" t="s">
        <v>1464</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2558</v>
      </c>
      <c r="AV1188" s="21"/>
      <c r="AW1188" s="30" t="s">
        <v>768</v>
      </c>
      <c r="AX1188" s="21" t="s">
        <v>1643</v>
      </c>
      <c r="AY1188" s="32">
        <v>10000015</v>
      </c>
      <c r="AZ1188" s="32">
        <v>21400030</v>
      </c>
      <c r="BA1188" s="30" t="s">
        <v>1377</v>
      </c>
      <c r="BB1188" s="21">
        <v>0</v>
      </c>
      <c r="BC1188" s="31">
        <v>0</v>
      </c>
      <c r="BD1188" s="31">
        <v>0</v>
      </c>
      <c r="BE1188" s="171" t="str">
        <f t="shared" si="130"/>
        <v>立即跳跃至目标区域并对其怪物造成225%攻击伤害+1500点固定伤害,并使目标击退并置空1秒</v>
      </c>
      <c r="BF1188" s="171" t="s">
        <v>2560</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1463</v>
      </c>
      <c r="E1189" s="30" t="s">
        <v>1464</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2558</v>
      </c>
      <c r="AV1189" s="21"/>
      <c r="AW1189" s="30" t="s">
        <v>768</v>
      </c>
      <c r="AX1189" s="21" t="s">
        <v>1643</v>
      </c>
      <c r="AY1189" s="32">
        <v>10000015</v>
      </c>
      <c r="AZ1189" s="32">
        <v>21400030</v>
      </c>
      <c r="BA1189" s="30" t="s">
        <v>1377</v>
      </c>
      <c r="BB1189" s="21">
        <v>0</v>
      </c>
      <c r="BC1189" s="31">
        <v>0</v>
      </c>
      <c r="BD1189" s="31">
        <v>0</v>
      </c>
      <c r="BE1189" s="171" t="str">
        <f t="shared" si="130"/>
        <v>立即跳跃至目标区域并对其怪物造成250%攻击伤害+2250点固定伤害,并使目标击退并置空1秒</v>
      </c>
      <c r="BF1189" s="171" t="s">
        <v>2561</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1463</v>
      </c>
      <c r="E1190" s="30" t="s">
        <v>1464</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2558</v>
      </c>
      <c r="AV1190" s="21"/>
      <c r="AW1190" s="30" t="s">
        <v>768</v>
      </c>
      <c r="AX1190" s="21" t="s">
        <v>1643</v>
      </c>
      <c r="AY1190" s="32">
        <v>10000015</v>
      </c>
      <c r="AZ1190" s="32">
        <v>21400030</v>
      </c>
      <c r="BA1190" s="30" t="s">
        <v>1377</v>
      </c>
      <c r="BB1190" s="21">
        <v>0</v>
      </c>
      <c r="BC1190" s="31">
        <v>0</v>
      </c>
      <c r="BD1190" s="31">
        <v>0</v>
      </c>
      <c r="BE1190" s="171" t="str">
        <f t="shared" si="130"/>
        <v>立即跳跃至目标区域并对其怪物造成275%攻击伤害+3250点固定伤害,并使目标击退并置空1秒</v>
      </c>
      <c r="BF1190" s="171" t="s">
        <v>2562</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1463</v>
      </c>
      <c r="E1191" s="30" t="s">
        <v>1464</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51" t="s">
        <v>2558</v>
      </c>
      <c r="AV1191" s="21"/>
      <c r="AW1191" s="30" t="s">
        <v>768</v>
      </c>
      <c r="AX1191" s="21" t="s">
        <v>1643</v>
      </c>
      <c r="AY1191" s="32">
        <v>10000015</v>
      </c>
      <c r="AZ1191" s="32">
        <v>21400030</v>
      </c>
      <c r="BA1191" s="30" t="s">
        <v>1377</v>
      </c>
      <c r="BB1191" s="21">
        <v>0</v>
      </c>
      <c r="BC1191" s="31">
        <v>0</v>
      </c>
      <c r="BD1191" s="31">
        <v>0</v>
      </c>
      <c r="BE1191" s="171" t="str">
        <f t="shared" si="130"/>
        <v>立即跳跃至目标区域并对其怪物造成300%攻击伤害+4250点固定伤害,并使目标击退并置空1秒</v>
      </c>
      <c r="BF1191" s="171" t="s">
        <v>2563</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2564</v>
      </c>
      <c r="E1192" s="20" t="s">
        <v>2565</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2566</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2564</v>
      </c>
      <c r="E1193" s="20" t="s">
        <v>2565</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2566</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2564</v>
      </c>
      <c r="E1194" s="20" t="s">
        <v>2565</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2567</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2564</v>
      </c>
      <c r="E1195" s="20" t="s">
        <v>2565</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2568</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2564</v>
      </c>
      <c r="E1196" s="20" t="s">
        <v>2565</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2569</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2564</v>
      </c>
      <c r="E1197" s="20" t="s">
        <v>2565</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1406</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2570</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2571</v>
      </c>
      <c r="E1198" s="20" t="s">
        <v>2572</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1701</v>
      </c>
      <c r="AX1198" s="19" t="s">
        <v>1849</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2573</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2571</v>
      </c>
      <c r="E1199" s="20" t="s">
        <v>2572</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1701</v>
      </c>
      <c r="AX1199" s="19" t="s">
        <v>1849</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2573</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2571</v>
      </c>
      <c r="E1200" s="20" t="s">
        <v>2572</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1701</v>
      </c>
      <c r="AX1200" s="19" t="s">
        <v>1849</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2574</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2571</v>
      </c>
      <c r="E1201" s="20" t="s">
        <v>2572</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1701</v>
      </c>
      <c r="AX1201" s="19" t="s">
        <v>1849</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2575</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2571</v>
      </c>
      <c r="E1202" s="20" t="s">
        <v>2572</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1701</v>
      </c>
      <c r="AX1202" s="19" t="s">
        <v>1849</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2576</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2571</v>
      </c>
      <c r="E1203" s="20" t="s">
        <v>2572</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1701</v>
      </c>
      <c r="AX1203" s="19" t="s">
        <v>1849</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2577</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2578</v>
      </c>
      <c r="E1204" s="20" t="s">
        <v>2579</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2580</v>
      </c>
      <c r="AU1204" s="19" t="s">
        <v>204</v>
      </c>
      <c r="AV1204" s="19"/>
      <c r="AW1204" s="20" t="s">
        <v>205</v>
      </c>
      <c r="AX1204" s="19" t="s">
        <v>1581</v>
      </c>
      <c r="AY1204" s="19">
        <v>0</v>
      </c>
      <c r="AZ1204" s="19">
        <v>21400060</v>
      </c>
      <c r="BA1204" s="20" t="s">
        <v>206</v>
      </c>
      <c r="BB1204" s="19" t="s">
        <v>204</v>
      </c>
      <c r="BC1204" s="19">
        <v>0</v>
      </c>
      <c r="BD1204" s="19">
        <v>1</v>
      </c>
      <c r="BE1204" s="186" t="s">
        <v>2581</v>
      </c>
      <c r="BF1204" s="186" t="s">
        <v>2582</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2578</v>
      </c>
      <c r="E1205" s="20" t="s">
        <v>2579</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2580</v>
      </c>
      <c r="AU1205" s="19" t="s">
        <v>204</v>
      </c>
      <c r="AV1205" s="19"/>
      <c r="AW1205" s="20" t="s">
        <v>205</v>
      </c>
      <c r="AX1205" s="19" t="s">
        <v>1581</v>
      </c>
      <c r="AY1205" s="19">
        <v>0</v>
      </c>
      <c r="AZ1205" s="19">
        <v>21400060</v>
      </c>
      <c r="BA1205" s="20" t="s">
        <v>206</v>
      </c>
      <c r="BB1205" s="19" t="s">
        <v>204</v>
      </c>
      <c r="BC1205" s="19">
        <v>0</v>
      </c>
      <c r="BD1205" s="19">
        <v>1</v>
      </c>
      <c r="BE1205" s="186" t="s">
        <v>2581</v>
      </c>
      <c r="BF1205" s="186" t="s">
        <v>2582</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2578</v>
      </c>
      <c r="E1206" s="20" t="s">
        <v>2579</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2580</v>
      </c>
      <c r="AU1206" s="19" t="s">
        <v>204</v>
      </c>
      <c r="AV1206" s="19"/>
      <c r="AW1206" s="20" t="s">
        <v>205</v>
      </c>
      <c r="AX1206" s="19" t="s">
        <v>1581</v>
      </c>
      <c r="AY1206" s="19">
        <v>0</v>
      </c>
      <c r="AZ1206" s="19">
        <v>21400060</v>
      </c>
      <c r="BA1206" s="20" t="s">
        <v>206</v>
      </c>
      <c r="BB1206" s="19" t="s">
        <v>204</v>
      </c>
      <c r="BC1206" s="19">
        <v>0</v>
      </c>
      <c r="BD1206" s="19">
        <v>1</v>
      </c>
      <c r="BE1206" s="186" t="s">
        <v>2581</v>
      </c>
      <c r="BF1206" s="186" t="s">
        <v>2582</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2578</v>
      </c>
      <c r="E1207" s="20" t="s">
        <v>2579</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2580</v>
      </c>
      <c r="AU1207" s="19" t="s">
        <v>204</v>
      </c>
      <c r="AV1207" s="19"/>
      <c r="AW1207" s="20" t="s">
        <v>205</v>
      </c>
      <c r="AX1207" s="19" t="s">
        <v>1581</v>
      </c>
      <c r="AY1207" s="19">
        <v>0</v>
      </c>
      <c r="AZ1207" s="19">
        <v>21400060</v>
      </c>
      <c r="BA1207" s="20" t="s">
        <v>206</v>
      </c>
      <c r="BB1207" s="19" t="s">
        <v>204</v>
      </c>
      <c r="BC1207" s="19">
        <v>0</v>
      </c>
      <c r="BD1207" s="19">
        <v>1</v>
      </c>
      <c r="BE1207" s="186" t="s">
        <v>2581</v>
      </c>
      <c r="BF1207" s="186" t="s">
        <v>2582</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2578</v>
      </c>
      <c r="E1208" s="20" t="s">
        <v>2579</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2580</v>
      </c>
      <c r="AU1208" s="19" t="s">
        <v>204</v>
      </c>
      <c r="AV1208" s="19"/>
      <c r="AW1208" s="20" t="s">
        <v>205</v>
      </c>
      <c r="AX1208" s="19" t="s">
        <v>1581</v>
      </c>
      <c r="AY1208" s="19">
        <v>0</v>
      </c>
      <c r="AZ1208" s="19">
        <v>21400060</v>
      </c>
      <c r="BA1208" s="20" t="s">
        <v>206</v>
      </c>
      <c r="BB1208" s="19" t="s">
        <v>204</v>
      </c>
      <c r="BC1208" s="19">
        <v>0</v>
      </c>
      <c r="BD1208" s="19">
        <v>1</v>
      </c>
      <c r="BE1208" s="186" t="s">
        <v>2581</v>
      </c>
      <c r="BF1208" s="186" t="s">
        <v>2582</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2578</v>
      </c>
      <c r="E1209" s="20" t="s">
        <v>2579</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41" t="s">
        <v>2580</v>
      </c>
      <c r="AU1209" s="19" t="s">
        <v>204</v>
      </c>
      <c r="AV1209" s="19"/>
      <c r="AW1209" s="20" t="s">
        <v>205</v>
      </c>
      <c r="AX1209" s="19" t="s">
        <v>1581</v>
      </c>
      <c r="AY1209" s="19">
        <v>0</v>
      </c>
      <c r="AZ1209" s="19">
        <v>21400060</v>
      </c>
      <c r="BA1209" s="20" t="s">
        <v>206</v>
      </c>
      <c r="BB1209" s="19" t="s">
        <v>204</v>
      </c>
      <c r="BC1209" s="19">
        <v>0</v>
      </c>
      <c r="BD1209" s="19">
        <v>1</v>
      </c>
      <c r="BE1209" s="186" t="s">
        <v>2581</v>
      </c>
      <c r="BF1209" s="186" t="s">
        <v>2582</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2583</v>
      </c>
      <c r="E1210" s="35" t="s">
        <v>2584</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2585</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2586</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2583</v>
      </c>
      <c r="E1211" s="35" t="s">
        <v>2584</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2585</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2586</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2583</v>
      </c>
      <c r="E1212" s="35" t="s">
        <v>2584</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2585</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2587</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2583</v>
      </c>
      <c r="E1213" s="35" t="s">
        <v>2584</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2585</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2588</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2583</v>
      </c>
      <c r="E1214" s="35" t="s">
        <v>2584</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2585</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2589</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2583</v>
      </c>
      <c r="E1215" s="35" t="s">
        <v>2584</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50" t="s">
        <v>2585</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2590</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2591</v>
      </c>
      <c r="E1216" s="71" t="s">
        <v>2592</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2593</v>
      </c>
      <c r="AX1216" s="32" t="s">
        <v>1414</v>
      </c>
      <c r="AY1216" s="74">
        <v>0</v>
      </c>
      <c r="AZ1216" s="32">
        <v>21401020</v>
      </c>
      <c r="BA1216" s="71" t="s">
        <v>2594</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2595</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2591</v>
      </c>
      <c r="E1217" s="71" t="s">
        <v>2592</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2593</v>
      </c>
      <c r="AX1217" s="32" t="s">
        <v>1414</v>
      </c>
      <c r="AY1217" s="74">
        <v>0</v>
      </c>
      <c r="AZ1217" s="32">
        <v>21401020</v>
      </c>
      <c r="BA1217" s="71" t="s">
        <v>2594</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2595</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2591</v>
      </c>
      <c r="E1218" s="71" t="s">
        <v>2592</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2593</v>
      </c>
      <c r="AX1218" s="32" t="s">
        <v>1414</v>
      </c>
      <c r="AY1218" s="74">
        <v>0</v>
      </c>
      <c r="AZ1218" s="32">
        <v>21401020</v>
      </c>
      <c r="BA1218" s="71" t="s">
        <v>2594</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2596</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2591</v>
      </c>
      <c r="E1219" s="71" t="s">
        <v>2592</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2593</v>
      </c>
      <c r="AX1219" s="32" t="s">
        <v>1414</v>
      </c>
      <c r="AY1219" s="74">
        <v>0</v>
      </c>
      <c r="AZ1219" s="32">
        <v>21401020</v>
      </c>
      <c r="BA1219" s="71" t="s">
        <v>2594</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2597</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2591</v>
      </c>
      <c r="E1220" s="71" t="s">
        <v>2592</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2593</v>
      </c>
      <c r="AX1220" s="32" t="s">
        <v>1414</v>
      </c>
      <c r="AY1220" s="74">
        <v>0</v>
      </c>
      <c r="AZ1220" s="32">
        <v>21401020</v>
      </c>
      <c r="BA1220" s="71" t="s">
        <v>2594</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2598</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2591</v>
      </c>
      <c r="E1221" s="71" t="s">
        <v>2592</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2593</v>
      </c>
      <c r="AX1221" s="32" t="s">
        <v>1414</v>
      </c>
      <c r="AY1221" s="74">
        <v>0</v>
      </c>
      <c r="AZ1221" s="32">
        <v>21401020</v>
      </c>
      <c r="BA1221" s="71" t="s">
        <v>2594</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2599</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2600</v>
      </c>
      <c r="E1222" s="20" t="s">
        <v>2601</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2602</v>
      </c>
      <c r="AU1222" s="32">
        <v>0</v>
      </c>
      <c r="AV1222" s="32"/>
      <c r="AW1222" s="35" t="s">
        <v>1711</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2603</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2600</v>
      </c>
      <c r="E1223" s="20" t="s">
        <v>2601</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2602</v>
      </c>
      <c r="AU1223" s="32">
        <v>0</v>
      </c>
      <c r="AV1223" s="32"/>
      <c r="AW1223" s="35" t="s">
        <v>1711</v>
      </c>
      <c r="AX1223" s="32" t="s">
        <v>1414</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2603</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2600</v>
      </c>
      <c r="E1224" s="20" t="s">
        <v>2601</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2604</v>
      </c>
      <c r="AU1224" s="32">
        <v>0</v>
      </c>
      <c r="AV1224" s="32"/>
      <c r="AW1224" s="35" t="s">
        <v>1711</v>
      </c>
      <c r="AX1224" s="32" t="s">
        <v>1414</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2605</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2600</v>
      </c>
      <c r="E1225" s="20" t="s">
        <v>2601</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2606</v>
      </c>
      <c r="AU1225" s="32">
        <v>0</v>
      </c>
      <c r="AV1225" s="32"/>
      <c r="AW1225" s="35" t="s">
        <v>1711</v>
      </c>
      <c r="AX1225" s="32" t="s">
        <v>1414</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2607</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2600</v>
      </c>
      <c r="E1226" s="20" t="s">
        <v>2601</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2608</v>
      </c>
      <c r="AU1226" s="32">
        <v>0</v>
      </c>
      <c r="AV1226" s="32"/>
      <c r="AW1226" s="35" t="s">
        <v>1711</v>
      </c>
      <c r="AX1226" s="32" t="s">
        <v>1414</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2609</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2600</v>
      </c>
      <c r="E1227" s="20" t="s">
        <v>2601</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41" t="s">
        <v>2610</v>
      </c>
      <c r="AU1227" s="32">
        <v>0</v>
      </c>
      <c r="AV1227" s="32"/>
      <c r="AW1227" s="35" t="s">
        <v>1711</v>
      </c>
      <c r="AX1227" s="32" t="s">
        <v>1414</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2611</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2612</v>
      </c>
      <c r="E1228" s="35" t="s">
        <v>2584</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50" t="s">
        <v>2585</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2587</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2613</v>
      </c>
      <c r="E1229" s="35" t="s">
        <v>2614</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2615</v>
      </c>
      <c r="AV1229" s="32"/>
      <c r="AW1229" s="35" t="s">
        <v>1701</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2616</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2613</v>
      </c>
      <c r="E1230" s="35" t="s">
        <v>2614</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2615</v>
      </c>
      <c r="AV1230" s="32"/>
      <c r="AW1230" s="35" t="s">
        <v>1701</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2616</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2613</v>
      </c>
      <c r="E1231" s="35" t="s">
        <v>2614</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2615</v>
      </c>
      <c r="AV1231" s="32"/>
      <c r="AW1231" s="35" t="s">
        <v>1701</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2617</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2613</v>
      </c>
      <c r="E1232" s="35" t="s">
        <v>2614</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2615</v>
      </c>
      <c r="AV1232" s="32"/>
      <c r="AW1232" s="35" t="s">
        <v>1701</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2618</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2613</v>
      </c>
      <c r="E1233" s="35" t="s">
        <v>2614</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2615</v>
      </c>
      <c r="AV1233" s="32"/>
      <c r="AW1233" s="35" t="s">
        <v>1701</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2619</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2613</v>
      </c>
      <c r="E1234" s="35" t="s">
        <v>2614</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50" t="s">
        <v>2615</v>
      </c>
      <c r="AV1234" s="32"/>
      <c r="AW1234" s="35" t="s">
        <v>1701</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2620</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2621</v>
      </c>
      <c r="E1235" s="179" t="s">
        <v>2622</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2623</v>
      </c>
      <c r="BF1235" s="33" t="s">
        <v>2624</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2625</v>
      </c>
      <c r="E1236" s="20" t="s">
        <v>2626</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41" t="s">
        <v>2627</v>
      </c>
      <c r="AU1236" s="19" t="s">
        <v>204</v>
      </c>
      <c r="AV1236" s="19"/>
      <c r="AW1236" s="20" t="s">
        <v>205</v>
      </c>
      <c r="AX1236" s="19" t="s">
        <v>1414</v>
      </c>
      <c r="AY1236" s="19">
        <v>0</v>
      </c>
      <c r="AZ1236" s="19">
        <v>21402010</v>
      </c>
      <c r="BA1236" s="20" t="s">
        <v>206</v>
      </c>
      <c r="BB1236" s="20">
        <v>0</v>
      </c>
      <c r="BC1236" s="19">
        <v>0</v>
      </c>
      <c r="BD1236" s="19">
        <v>0</v>
      </c>
      <c r="BE1236" s="186" t="s">
        <v>2628</v>
      </c>
      <c r="BF1236" s="186" t="s">
        <v>2629</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2625</v>
      </c>
      <c r="E1237" s="20" t="s">
        <v>2626</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1414</v>
      </c>
      <c r="AY1237" s="19">
        <v>0</v>
      </c>
      <c r="AZ1237" s="19">
        <v>21402010</v>
      </c>
      <c r="BA1237" s="20" t="s">
        <v>206</v>
      </c>
      <c r="BB1237" s="20">
        <v>0</v>
      </c>
      <c r="BC1237" s="19">
        <v>0</v>
      </c>
      <c r="BD1237" s="19">
        <v>0</v>
      </c>
      <c r="BE1237" s="186" t="s">
        <v>2628</v>
      </c>
      <c r="BF1237" s="186" t="s">
        <v>2629</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2625</v>
      </c>
      <c r="E1238" s="20" t="s">
        <v>2626</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1414</v>
      </c>
      <c r="AY1238" s="19">
        <v>0</v>
      </c>
      <c r="AZ1238" s="19">
        <v>21402010</v>
      </c>
      <c r="BA1238" s="20" t="s">
        <v>206</v>
      </c>
      <c r="BB1238" s="20">
        <v>0</v>
      </c>
      <c r="BC1238" s="19">
        <v>0</v>
      </c>
      <c r="BD1238" s="19">
        <v>0</v>
      </c>
      <c r="BE1238" s="186" t="s">
        <v>2630</v>
      </c>
      <c r="BF1238" s="186" t="s">
        <v>2631</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2625</v>
      </c>
      <c r="E1239" s="20" t="s">
        <v>2626</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1414</v>
      </c>
      <c r="AY1239" s="19">
        <v>0</v>
      </c>
      <c r="AZ1239" s="19">
        <v>21402010</v>
      </c>
      <c r="BA1239" s="20" t="s">
        <v>206</v>
      </c>
      <c r="BB1239" s="20">
        <v>0</v>
      </c>
      <c r="BC1239" s="19">
        <v>0</v>
      </c>
      <c r="BD1239" s="19">
        <v>0</v>
      </c>
      <c r="BE1239" s="186" t="s">
        <v>2632</v>
      </c>
      <c r="BF1239" s="186" t="s">
        <v>2633</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2625</v>
      </c>
      <c r="E1240" s="20" t="s">
        <v>2626</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1414</v>
      </c>
      <c r="AY1240" s="19">
        <v>0</v>
      </c>
      <c r="AZ1240" s="19">
        <v>21402010</v>
      </c>
      <c r="BA1240" s="20" t="s">
        <v>206</v>
      </c>
      <c r="BB1240" s="20">
        <v>0</v>
      </c>
      <c r="BC1240" s="19">
        <v>0</v>
      </c>
      <c r="BD1240" s="19">
        <v>0</v>
      </c>
      <c r="BE1240" s="186" t="s">
        <v>2634</v>
      </c>
      <c r="BF1240" s="186" t="s">
        <v>2635</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2625</v>
      </c>
      <c r="E1241" s="20" t="s">
        <v>2626</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1414</v>
      </c>
      <c r="AY1241" s="19">
        <v>0</v>
      </c>
      <c r="AZ1241" s="19">
        <v>21402010</v>
      </c>
      <c r="BA1241" s="20" t="s">
        <v>206</v>
      </c>
      <c r="BB1241" s="20">
        <v>0</v>
      </c>
      <c r="BC1241" s="19">
        <v>0</v>
      </c>
      <c r="BD1241" s="19">
        <v>0</v>
      </c>
      <c r="BE1241" s="186" t="s">
        <v>2636</v>
      </c>
      <c r="BF1241" s="186" t="s">
        <v>2637</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2638</v>
      </c>
      <c r="E1242" s="71" t="s">
        <v>2639</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2640</v>
      </c>
      <c r="BB1242" s="356" t="s">
        <v>2641</v>
      </c>
      <c r="BC1242" s="75">
        <v>0</v>
      </c>
      <c r="BD1242" s="75">
        <v>0</v>
      </c>
      <c r="BE1242" s="186" t="s">
        <v>2642</v>
      </c>
      <c r="BF1242" s="114" t="s">
        <v>2643</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2638</v>
      </c>
      <c r="E1243" s="71" t="s">
        <v>2639</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2640</v>
      </c>
      <c r="BB1243" s="356" t="s">
        <v>2641</v>
      </c>
      <c r="BC1243" s="75">
        <v>0</v>
      </c>
      <c r="BD1243" s="75">
        <v>0</v>
      </c>
      <c r="BE1243" s="186" t="s">
        <v>2642</v>
      </c>
      <c r="BF1243" s="114" t="s">
        <v>2643</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2638</v>
      </c>
      <c r="E1244" s="71" t="s">
        <v>2639</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2640</v>
      </c>
      <c r="BB1244" s="356" t="s">
        <v>2644</v>
      </c>
      <c r="BC1244" s="75">
        <v>0</v>
      </c>
      <c r="BD1244" s="75">
        <v>0</v>
      </c>
      <c r="BE1244" s="186" t="s">
        <v>2645</v>
      </c>
      <c r="BF1244" s="114" t="s">
        <v>2646</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2638</v>
      </c>
      <c r="E1245" s="71" t="s">
        <v>2639</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2640</v>
      </c>
      <c r="BB1245" s="356" t="s">
        <v>2647</v>
      </c>
      <c r="BC1245" s="75">
        <v>0</v>
      </c>
      <c r="BD1245" s="75">
        <v>0</v>
      </c>
      <c r="BE1245" s="186" t="s">
        <v>2648</v>
      </c>
      <c r="BF1245" s="114" t="s">
        <v>2649</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2638</v>
      </c>
      <c r="E1246" s="71" t="s">
        <v>2639</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2640</v>
      </c>
      <c r="BB1246" s="356" t="s">
        <v>2650</v>
      </c>
      <c r="BC1246" s="75">
        <v>0</v>
      </c>
      <c r="BD1246" s="75">
        <v>0</v>
      </c>
      <c r="BE1246" s="186" t="s">
        <v>2651</v>
      </c>
      <c r="BF1246" s="114" t="s">
        <v>2652</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2638</v>
      </c>
      <c r="E1247" s="71" t="s">
        <v>2639</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2640</v>
      </c>
      <c r="BB1247" s="356" t="s">
        <v>2653</v>
      </c>
      <c r="BC1247" s="75">
        <v>0</v>
      </c>
      <c r="BD1247" s="75">
        <v>0</v>
      </c>
      <c r="BE1247" s="186" t="s">
        <v>2654</v>
      </c>
      <c r="BF1247" s="114" t="s">
        <v>2655</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5755</v>
      </c>
      <c r="E1248" s="110" t="s">
        <v>2657</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2658</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2659</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2656</v>
      </c>
      <c r="E1249" s="110" t="s">
        <v>2657</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2658</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2659</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2656</v>
      </c>
      <c r="E1250" s="110" t="s">
        <v>2657</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2658</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2660</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2656</v>
      </c>
      <c r="E1251" s="110" t="s">
        <v>2657</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2658</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2661</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2656</v>
      </c>
      <c r="E1252" s="110" t="s">
        <v>2657</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2658</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2662</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2656</v>
      </c>
      <c r="E1253" s="110" t="s">
        <v>2657</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35" t="s">
        <v>2658</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2663</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5774</v>
      </c>
      <c r="E1254" s="205" t="s">
        <v>2665</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1802</v>
      </c>
      <c r="AX1254" s="176" t="s">
        <v>1047</v>
      </c>
      <c r="AY1254" s="176">
        <v>0</v>
      </c>
      <c r="AZ1254" s="74">
        <f t="shared" ref="AZ1254:AZ1259" si="138">AZ1248+10</f>
        <v>21402040</v>
      </c>
      <c r="BA1254" s="205" t="s">
        <v>2191</v>
      </c>
      <c r="BB1254" s="355" t="s">
        <v>5775</v>
      </c>
      <c r="BC1254" s="174">
        <v>0</v>
      </c>
      <c r="BD1254" s="174">
        <v>0</v>
      </c>
      <c r="BE1254" s="211" t="s">
        <v>2667</v>
      </c>
      <c r="BF1254" s="211" t="s">
        <v>2668</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5774</v>
      </c>
      <c r="E1255" s="205" t="s">
        <v>2665</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1802</v>
      </c>
      <c r="AX1255" s="176" t="s">
        <v>1047</v>
      </c>
      <c r="AY1255" s="176">
        <v>0</v>
      </c>
      <c r="AZ1255" s="74">
        <f t="shared" si="138"/>
        <v>21402040</v>
      </c>
      <c r="BA1255" s="205" t="s">
        <v>2191</v>
      </c>
      <c r="BB1255" s="355" t="s">
        <v>2666</v>
      </c>
      <c r="BC1255" s="174">
        <v>0</v>
      </c>
      <c r="BD1255" s="174">
        <v>0</v>
      </c>
      <c r="BE1255" s="211" t="s">
        <v>2667</v>
      </c>
      <c r="BF1255" s="211" t="s">
        <v>2668</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2664</v>
      </c>
      <c r="E1256" s="205" t="s">
        <v>2665</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1802</v>
      </c>
      <c r="AX1256" s="176" t="s">
        <v>1047</v>
      </c>
      <c r="AY1256" s="176">
        <v>0</v>
      </c>
      <c r="AZ1256" s="74">
        <f t="shared" si="138"/>
        <v>21402040</v>
      </c>
      <c r="BA1256" s="205" t="s">
        <v>2191</v>
      </c>
      <c r="BB1256" s="355" t="s">
        <v>2669</v>
      </c>
      <c r="BC1256" s="174">
        <v>0</v>
      </c>
      <c r="BD1256" s="174">
        <v>0</v>
      </c>
      <c r="BE1256" s="211" t="s">
        <v>2670</v>
      </c>
      <c r="BF1256" s="211" t="s">
        <v>2671</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2664</v>
      </c>
      <c r="E1257" s="205" t="s">
        <v>2665</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1802</v>
      </c>
      <c r="AX1257" s="176" t="s">
        <v>1047</v>
      </c>
      <c r="AY1257" s="176">
        <v>0</v>
      </c>
      <c r="AZ1257" s="74">
        <f t="shared" si="138"/>
        <v>21402040</v>
      </c>
      <c r="BA1257" s="205" t="s">
        <v>2191</v>
      </c>
      <c r="BB1257" s="355" t="s">
        <v>2672</v>
      </c>
      <c r="BC1257" s="174">
        <v>0</v>
      </c>
      <c r="BD1257" s="174">
        <v>0</v>
      </c>
      <c r="BE1257" s="211" t="s">
        <v>2673</v>
      </c>
      <c r="BF1257" s="211" t="s">
        <v>2674</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2664</v>
      </c>
      <c r="E1258" s="205" t="s">
        <v>2665</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1802</v>
      </c>
      <c r="AX1258" s="176" t="s">
        <v>1047</v>
      </c>
      <c r="AY1258" s="176">
        <v>0</v>
      </c>
      <c r="AZ1258" s="74">
        <f t="shared" si="138"/>
        <v>21402040</v>
      </c>
      <c r="BA1258" s="205" t="s">
        <v>2191</v>
      </c>
      <c r="BB1258" s="355" t="s">
        <v>2675</v>
      </c>
      <c r="BC1258" s="174">
        <v>0</v>
      </c>
      <c r="BD1258" s="174">
        <v>0</v>
      </c>
      <c r="BE1258" s="211" t="s">
        <v>2676</v>
      </c>
      <c r="BF1258" s="211" t="s">
        <v>2677</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2664</v>
      </c>
      <c r="E1259" s="205" t="s">
        <v>2665</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1802</v>
      </c>
      <c r="AX1259" s="176" t="s">
        <v>1047</v>
      </c>
      <c r="AY1259" s="176">
        <v>0</v>
      </c>
      <c r="AZ1259" s="74">
        <f t="shared" si="138"/>
        <v>21402040</v>
      </c>
      <c r="BA1259" s="205" t="s">
        <v>2191</v>
      </c>
      <c r="BB1259" s="355" t="s">
        <v>2678</v>
      </c>
      <c r="BC1259" s="174">
        <v>0</v>
      </c>
      <c r="BD1259" s="174">
        <v>0</v>
      </c>
      <c r="BE1259" s="211" t="s">
        <v>2679</v>
      </c>
      <c r="BF1259" s="211" t="s">
        <v>2680</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2681</v>
      </c>
      <c r="E1260" s="30" t="s">
        <v>2682</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2683</v>
      </c>
      <c r="BC1260" s="31">
        <v>0</v>
      </c>
      <c r="BD1260" s="31">
        <v>0</v>
      </c>
      <c r="BE1260" s="33" t="s">
        <v>2684</v>
      </c>
      <c r="BF1260" s="33" t="s">
        <v>2685</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2681</v>
      </c>
      <c r="E1261" s="30" t="s">
        <v>2682</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2683</v>
      </c>
      <c r="BC1261" s="31">
        <v>0</v>
      </c>
      <c r="BD1261" s="31">
        <v>0</v>
      </c>
      <c r="BE1261" s="33" t="s">
        <v>2684</v>
      </c>
      <c r="BF1261" s="33" t="s">
        <v>2685</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2681</v>
      </c>
      <c r="E1262" s="30" t="s">
        <v>2682</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2686</v>
      </c>
      <c r="BC1262" s="31">
        <v>0</v>
      </c>
      <c r="BD1262" s="31">
        <v>0</v>
      </c>
      <c r="BE1262" s="33" t="s">
        <v>2687</v>
      </c>
      <c r="BF1262" s="33" t="s">
        <v>2688</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2681</v>
      </c>
      <c r="E1263" s="30" t="s">
        <v>2682</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2689</v>
      </c>
      <c r="BC1263" s="31">
        <v>0</v>
      </c>
      <c r="BD1263" s="31">
        <v>0</v>
      </c>
      <c r="BE1263" s="33" t="s">
        <v>2690</v>
      </c>
      <c r="BF1263" s="33" t="s">
        <v>2691</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2681</v>
      </c>
      <c r="E1264" s="30" t="s">
        <v>2682</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2692</v>
      </c>
      <c r="BC1264" s="31">
        <v>0</v>
      </c>
      <c r="BD1264" s="31">
        <v>0</v>
      </c>
      <c r="BE1264" s="33" t="s">
        <v>2693</v>
      </c>
      <c r="BF1264" s="33" t="s">
        <v>2694</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2681</v>
      </c>
      <c r="E1265" s="30" t="s">
        <v>2682</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51" t="s">
        <v>2695</v>
      </c>
      <c r="BC1265" s="31">
        <v>0</v>
      </c>
      <c r="BD1265" s="31">
        <v>0</v>
      </c>
      <c r="BE1265" s="33" t="s">
        <v>2696</v>
      </c>
      <c r="BF1265" s="33" t="s">
        <v>2697</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1449</v>
      </c>
      <c r="E1266" s="131" t="s">
        <v>1450</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1728</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2548</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1456</v>
      </c>
      <c r="E1267" s="88" t="s">
        <v>1457</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1701</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2553</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1463</v>
      </c>
      <c r="E1268" s="71" t="s">
        <v>1464</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1643</v>
      </c>
      <c r="AY1268" s="74">
        <v>10000015</v>
      </c>
      <c r="AZ1268" s="74">
        <v>21400030</v>
      </c>
      <c r="BA1268" s="71" t="s">
        <v>1377</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2559</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2698</v>
      </c>
      <c r="E1269" s="20" t="s">
        <v>2699</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2700</v>
      </c>
      <c r="AU1269" s="19" t="s">
        <v>204</v>
      </c>
      <c r="AV1269" s="19"/>
      <c r="AW1269" s="20" t="s">
        <v>205</v>
      </c>
      <c r="AX1269" s="19" t="s">
        <v>1414</v>
      </c>
      <c r="AY1269" s="19">
        <v>0</v>
      </c>
      <c r="AZ1269" s="32">
        <v>21403020</v>
      </c>
      <c r="BA1269" s="20" t="s">
        <v>206</v>
      </c>
      <c r="BB1269" s="20">
        <v>0</v>
      </c>
      <c r="BC1269" s="19">
        <v>0</v>
      </c>
      <c r="BD1269" s="19">
        <v>0</v>
      </c>
      <c r="BE1269" s="186" t="s">
        <v>2701</v>
      </c>
      <c r="BF1269" s="186" t="s">
        <v>2702</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2698</v>
      </c>
      <c r="E1270" s="20" t="s">
        <v>2699</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2700</v>
      </c>
      <c r="AU1270" s="19" t="s">
        <v>204</v>
      </c>
      <c r="AV1270" s="19"/>
      <c r="AW1270" s="20" t="s">
        <v>205</v>
      </c>
      <c r="AX1270" s="19" t="s">
        <v>1414</v>
      </c>
      <c r="AY1270" s="19">
        <v>0</v>
      </c>
      <c r="AZ1270" s="32">
        <v>21403020</v>
      </c>
      <c r="BA1270" s="20" t="s">
        <v>206</v>
      </c>
      <c r="BB1270" s="20">
        <v>0</v>
      </c>
      <c r="BC1270" s="19">
        <v>0</v>
      </c>
      <c r="BD1270" s="19">
        <v>0</v>
      </c>
      <c r="BE1270" s="186" t="s">
        <v>2701</v>
      </c>
      <c r="BF1270" s="186" t="s">
        <v>2702</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2698</v>
      </c>
      <c r="E1271" s="20" t="s">
        <v>2699</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2703</v>
      </c>
      <c r="AU1271" s="19" t="s">
        <v>204</v>
      </c>
      <c r="AV1271" s="19"/>
      <c r="AW1271" s="20" t="s">
        <v>205</v>
      </c>
      <c r="AX1271" s="19" t="s">
        <v>1414</v>
      </c>
      <c r="AY1271" s="19">
        <v>0</v>
      </c>
      <c r="AZ1271" s="32">
        <v>21403020</v>
      </c>
      <c r="BA1271" s="20" t="s">
        <v>206</v>
      </c>
      <c r="BB1271" s="20">
        <v>0</v>
      </c>
      <c r="BC1271" s="19">
        <v>0</v>
      </c>
      <c r="BD1271" s="19">
        <v>0</v>
      </c>
      <c r="BE1271" s="186" t="s">
        <v>2704</v>
      </c>
      <c r="BF1271" s="186" t="s">
        <v>2705</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2698</v>
      </c>
      <c r="E1272" s="20" t="s">
        <v>2699</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2706</v>
      </c>
      <c r="AU1272" s="19" t="s">
        <v>204</v>
      </c>
      <c r="AV1272" s="19"/>
      <c r="AW1272" s="20" t="s">
        <v>205</v>
      </c>
      <c r="AX1272" s="19" t="s">
        <v>1414</v>
      </c>
      <c r="AY1272" s="19">
        <v>0</v>
      </c>
      <c r="AZ1272" s="32">
        <v>21403020</v>
      </c>
      <c r="BA1272" s="20" t="s">
        <v>206</v>
      </c>
      <c r="BB1272" s="20">
        <v>0</v>
      </c>
      <c r="BC1272" s="19">
        <v>0</v>
      </c>
      <c r="BD1272" s="19">
        <v>0</v>
      </c>
      <c r="BE1272" s="186" t="s">
        <v>2707</v>
      </c>
      <c r="BF1272" s="186" t="s">
        <v>2708</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2698</v>
      </c>
      <c r="E1273" s="20" t="s">
        <v>2699</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2709</v>
      </c>
      <c r="AU1273" s="19" t="s">
        <v>204</v>
      </c>
      <c r="AV1273" s="19"/>
      <c r="AW1273" s="20" t="s">
        <v>205</v>
      </c>
      <c r="AX1273" s="19" t="s">
        <v>1414</v>
      </c>
      <c r="AY1273" s="19">
        <v>0</v>
      </c>
      <c r="AZ1273" s="32">
        <v>21403020</v>
      </c>
      <c r="BA1273" s="20" t="s">
        <v>206</v>
      </c>
      <c r="BB1273" s="20">
        <v>0</v>
      </c>
      <c r="BC1273" s="19">
        <v>0</v>
      </c>
      <c r="BD1273" s="19">
        <v>0</v>
      </c>
      <c r="BE1273" s="186" t="s">
        <v>2710</v>
      </c>
      <c r="BF1273" s="186" t="s">
        <v>2711</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2698</v>
      </c>
      <c r="E1274" s="20" t="s">
        <v>2699</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41" t="s">
        <v>2712</v>
      </c>
      <c r="AU1274" s="19" t="s">
        <v>204</v>
      </c>
      <c r="AV1274" s="19"/>
      <c r="AW1274" s="20" t="s">
        <v>205</v>
      </c>
      <c r="AX1274" s="19" t="s">
        <v>1414</v>
      </c>
      <c r="AY1274" s="19">
        <v>0</v>
      </c>
      <c r="AZ1274" s="32">
        <v>21403020</v>
      </c>
      <c r="BA1274" s="20" t="s">
        <v>206</v>
      </c>
      <c r="BB1274" s="20">
        <v>0</v>
      </c>
      <c r="BC1274" s="19">
        <v>0</v>
      </c>
      <c r="BD1274" s="19">
        <v>0</v>
      </c>
      <c r="BE1274" s="186" t="s">
        <v>2713</v>
      </c>
      <c r="BF1274" s="186" t="s">
        <v>2714</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2715</v>
      </c>
      <c r="E1275" s="35" t="s">
        <v>2716</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2717</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2718</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2719</v>
      </c>
      <c r="BW1275" s="23"/>
      <c r="BX1275" s="23"/>
      <c r="BY1275" s="23"/>
      <c r="BZ1275" s="23"/>
    </row>
    <row r="1276" spans="3:78" ht="19.5" customHeight="1">
      <c r="C1276" s="21">
        <v>65023302</v>
      </c>
      <c r="D1276" s="35" t="s">
        <v>2715</v>
      </c>
      <c r="E1276" s="35" t="s">
        <v>2716</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2717</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2718</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2719</v>
      </c>
      <c r="BW1276" s="23"/>
      <c r="BX1276" s="23"/>
      <c r="BY1276" s="23"/>
      <c r="BZ1276" s="23"/>
    </row>
    <row r="1277" spans="3:78" ht="19.5" customHeight="1">
      <c r="C1277" s="21">
        <v>65023303</v>
      </c>
      <c r="D1277" s="35" t="s">
        <v>2715</v>
      </c>
      <c r="E1277" s="35" t="s">
        <v>2716</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2717</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2720</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2719</v>
      </c>
      <c r="BW1277" s="23"/>
      <c r="BX1277" s="23"/>
      <c r="BY1277" s="23"/>
      <c r="BZ1277" s="23"/>
    </row>
    <row r="1278" spans="3:78" ht="19.5" customHeight="1">
      <c r="C1278" s="21">
        <v>65023304</v>
      </c>
      <c r="D1278" s="35" t="s">
        <v>2715</v>
      </c>
      <c r="E1278" s="35" t="s">
        <v>2716</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2717</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2721</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2719</v>
      </c>
      <c r="BW1278" s="23"/>
      <c r="BX1278" s="23"/>
      <c r="BY1278" s="23"/>
      <c r="BZ1278" s="23"/>
    </row>
    <row r="1279" spans="3:78" ht="19.5" customHeight="1">
      <c r="C1279" s="21">
        <v>65023305</v>
      </c>
      <c r="D1279" s="35" t="s">
        <v>2715</v>
      </c>
      <c r="E1279" s="35" t="s">
        <v>2716</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2717</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2722</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2719</v>
      </c>
      <c r="BW1279" s="23"/>
      <c r="BX1279" s="23"/>
      <c r="BY1279" s="23"/>
      <c r="BZ1279" s="23"/>
    </row>
    <row r="1280" spans="3:78" ht="19.5" customHeight="1">
      <c r="C1280" s="21">
        <v>65023306</v>
      </c>
      <c r="D1280" s="35" t="s">
        <v>2715</v>
      </c>
      <c r="E1280" s="35" t="s">
        <v>2716</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50" t="s">
        <v>2717</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2723</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2719</v>
      </c>
      <c r="BW1280" s="23"/>
      <c r="BX1280" s="23"/>
      <c r="BY1280" s="23"/>
      <c r="BZ1280" s="23"/>
    </row>
    <row r="1281" spans="3:78" ht="20.100000000000001" customHeight="1">
      <c r="C1281" s="32">
        <v>65023401</v>
      </c>
      <c r="D1281" s="35" t="s">
        <v>2724</v>
      </c>
      <c r="E1281" s="35" t="s">
        <v>2725</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1701</v>
      </c>
      <c r="AX1281" s="32" t="s">
        <v>540</v>
      </c>
      <c r="AY1281" s="32">
        <v>10000009</v>
      </c>
      <c r="AZ1281" s="32">
        <v>21403040</v>
      </c>
      <c r="BA1281" s="30" t="s">
        <v>1703</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2726</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2724</v>
      </c>
      <c r="E1282" s="35" t="s">
        <v>2725</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1701</v>
      </c>
      <c r="AX1282" s="32" t="s">
        <v>540</v>
      </c>
      <c r="AY1282" s="32">
        <v>10000009</v>
      </c>
      <c r="AZ1282" s="32">
        <v>21403040</v>
      </c>
      <c r="BA1282" s="30" t="s">
        <v>1703</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2726</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2724</v>
      </c>
      <c r="E1283" s="35" t="s">
        <v>2725</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1701</v>
      </c>
      <c r="AX1283" s="32" t="s">
        <v>540</v>
      </c>
      <c r="AY1283" s="32">
        <v>10000009</v>
      </c>
      <c r="AZ1283" s="32">
        <v>21403040</v>
      </c>
      <c r="BA1283" s="30" t="s">
        <v>1703</v>
      </c>
      <c r="BB1283" s="35">
        <v>0</v>
      </c>
      <c r="BC1283" s="31">
        <v>0</v>
      </c>
      <c r="BD1283" s="31">
        <v>0</v>
      </c>
      <c r="BE1283" s="185" t="str">
        <f t="shared" si="143"/>
        <v>对自身大范围内的敌人目标造成275%攻击伤害+1800点固定伤害,，并将其快速拉回到自身前面，并造成1秒置空。</v>
      </c>
      <c r="BF1283" s="185" t="s">
        <v>2727</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2724</v>
      </c>
      <c r="E1284" s="35" t="s">
        <v>2725</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1701</v>
      </c>
      <c r="AX1284" s="32" t="s">
        <v>540</v>
      </c>
      <c r="AY1284" s="32">
        <v>10000009</v>
      </c>
      <c r="AZ1284" s="32">
        <v>21403040</v>
      </c>
      <c r="BA1284" s="30" t="s">
        <v>1703</v>
      </c>
      <c r="BB1284" s="35">
        <v>0</v>
      </c>
      <c r="BC1284" s="31">
        <v>0</v>
      </c>
      <c r="BD1284" s="31">
        <v>0</v>
      </c>
      <c r="BE1284" s="185" t="str">
        <f t="shared" si="143"/>
        <v>对自身大范围内的敌人目标造成300%攻击伤害+2800点固定伤害,，并将其快速拉回到自身前面，并造成1秒置空。</v>
      </c>
      <c r="BF1284" s="185" t="s">
        <v>2728</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2724</v>
      </c>
      <c r="E1285" s="35" t="s">
        <v>2725</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1701</v>
      </c>
      <c r="AX1285" s="32" t="s">
        <v>540</v>
      </c>
      <c r="AY1285" s="32">
        <v>10000009</v>
      </c>
      <c r="AZ1285" s="32">
        <v>21403040</v>
      </c>
      <c r="BA1285" s="30" t="s">
        <v>1703</v>
      </c>
      <c r="BB1285" s="35">
        <v>0</v>
      </c>
      <c r="BC1285" s="31">
        <v>0</v>
      </c>
      <c r="BD1285" s="31">
        <v>0</v>
      </c>
      <c r="BE1285" s="185" t="str">
        <f t="shared" si="143"/>
        <v>对自身大范围内的敌人目标造成325%攻击伤害+4000点固定伤害,，并将其快速拉回到自身前面，并造成1秒置空。</v>
      </c>
      <c r="BF1285" s="185" t="s">
        <v>2729</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2724</v>
      </c>
      <c r="E1286" s="35" t="s">
        <v>2725</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1701</v>
      </c>
      <c r="AX1286" s="32" t="s">
        <v>540</v>
      </c>
      <c r="AY1286" s="32">
        <v>10000009</v>
      </c>
      <c r="AZ1286" s="32">
        <v>21403040</v>
      </c>
      <c r="BA1286" s="30" t="s">
        <v>1703</v>
      </c>
      <c r="BB1286" s="35">
        <v>0</v>
      </c>
      <c r="BC1286" s="31">
        <v>0</v>
      </c>
      <c r="BD1286" s="31">
        <v>0</v>
      </c>
      <c r="BE1286" s="185" t="str">
        <f t="shared" si="143"/>
        <v>对自身大范围内的敌人目标造成350%攻击伤害+5200点固定伤害,，并将其快速拉回到自身前面，并造成1秒置空。</v>
      </c>
      <c r="BF1286" s="185" t="s">
        <v>2730</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2731</v>
      </c>
      <c r="E1287" s="20" t="s">
        <v>2732</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2733</v>
      </c>
      <c r="AX1287" s="21" t="s">
        <v>540</v>
      </c>
      <c r="AY1287" s="32">
        <v>10000007</v>
      </c>
      <c r="AZ1287" s="32">
        <v>22001001</v>
      </c>
      <c r="BA1287" s="35" t="s">
        <v>592</v>
      </c>
      <c r="BB1287" s="31" t="s">
        <v>2734</v>
      </c>
      <c r="BC1287" s="31">
        <v>0</v>
      </c>
      <c r="BD1287" s="31">
        <v>1</v>
      </c>
      <c r="BE1287" s="33" t="s">
        <v>2735</v>
      </c>
      <c r="BF1287" s="33" t="s">
        <v>2736</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2737</v>
      </c>
      <c r="E1288" s="20" t="s">
        <v>2738</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1414</v>
      </c>
      <c r="AY1288" s="32">
        <v>10002001</v>
      </c>
      <c r="AZ1288" s="32">
        <v>22001002</v>
      </c>
      <c r="BA1288" s="35" t="s">
        <v>321</v>
      </c>
      <c r="BB1288" s="35" t="s">
        <v>1910</v>
      </c>
      <c r="BC1288" s="31">
        <v>0</v>
      </c>
      <c r="BD1288" s="31">
        <v>1</v>
      </c>
      <c r="BE1288" s="185" t="s">
        <v>2739</v>
      </c>
      <c r="BF1288" s="185" t="s">
        <v>2740</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2741</v>
      </c>
      <c r="E1289" s="20" t="s">
        <v>2742</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50" t="s">
        <v>2743</v>
      </c>
      <c r="AV1289" s="32"/>
      <c r="AW1289" s="20" t="s">
        <v>205</v>
      </c>
      <c r="AX1289" s="32" t="s">
        <v>1414</v>
      </c>
      <c r="AY1289" s="19" t="s">
        <v>204</v>
      </c>
      <c r="AZ1289" s="350" t="s">
        <v>2744</v>
      </c>
      <c r="BA1289" s="20" t="s">
        <v>206</v>
      </c>
      <c r="BB1289" s="19">
        <v>0</v>
      </c>
      <c r="BC1289" s="31">
        <v>0</v>
      </c>
      <c r="BD1289" s="31">
        <v>1</v>
      </c>
      <c r="BE1289" s="185" t="s">
        <v>2745</v>
      </c>
      <c r="BF1289" s="185" t="s">
        <v>2746</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2747</v>
      </c>
      <c r="E1290" s="20" t="s">
        <v>2748</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1980</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2749</v>
      </c>
      <c r="E1291" s="20" t="s">
        <v>2750</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1414</v>
      </c>
      <c r="AY1291" s="32">
        <v>10002001</v>
      </c>
      <c r="AZ1291" s="32">
        <v>22001004</v>
      </c>
      <c r="BA1291" s="35" t="s">
        <v>2751</v>
      </c>
      <c r="BB1291" s="35" t="s">
        <v>377</v>
      </c>
      <c r="BC1291" s="31">
        <v>0</v>
      </c>
      <c r="BD1291" s="31">
        <v>1</v>
      </c>
      <c r="BE1291" s="185" t="s">
        <v>2752</v>
      </c>
      <c r="BF1291" s="185" t="s">
        <v>2753</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2754</v>
      </c>
      <c r="E1292" s="20" t="s">
        <v>2755</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1728</v>
      </c>
      <c r="BB1292" s="21">
        <v>0</v>
      </c>
      <c r="BC1292" s="31">
        <v>0</v>
      </c>
      <c r="BD1292" s="31">
        <v>1</v>
      </c>
      <c r="BE1292" s="185" t="s">
        <v>2756</v>
      </c>
      <c r="BF1292" s="185" t="s">
        <v>2757</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2758</v>
      </c>
      <c r="E1293" s="20" t="s">
        <v>2759</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50" t="s">
        <v>2760</v>
      </c>
      <c r="AV1293" s="32"/>
      <c r="AW1293" s="35" t="s">
        <v>1711</v>
      </c>
      <c r="AX1293" s="32" t="s">
        <v>1414</v>
      </c>
      <c r="AY1293" s="32">
        <v>10002001</v>
      </c>
      <c r="AZ1293" s="32">
        <v>22001006</v>
      </c>
      <c r="BA1293" s="35" t="s">
        <v>2761</v>
      </c>
      <c r="BB1293" s="31" t="s">
        <v>2762</v>
      </c>
      <c r="BC1293" s="31">
        <v>0</v>
      </c>
      <c r="BD1293" s="31">
        <v>1</v>
      </c>
      <c r="BE1293" s="185" t="s">
        <v>2763</v>
      </c>
      <c r="BF1293" s="185" t="s">
        <v>2764</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2765</v>
      </c>
      <c r="E1294" s="163" t="s">
        <v>2766</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2767</v>
      </c>
      <c r="BF1294" s="168" t="s">
        <v>2768</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2769</v>
      </c>
      <c r="E1295" s="205" t="s">
        <v>2770</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1414</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2771</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2772</v>
      </c>
      <c r="E1296" s="202" t="s">
        <v>2773</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2774</v>
      </c>
      <c r="BC1296" s="174">
        <v>0</v>
      </c>
      <c r="BD1296" s="174" t="s">
        <v>2775</v>
      </c>
      <c r="BE1296" s="207" t="s">
        <v>2776</v>
      </c>
      <c r="BF1296" s="207" t="s">
        <v>2777</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2778</v>
      </c>
      <c r="E1297" s="173" t="s">
        <v>2779</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1802</v>
      </c>
      <c r="AX1297" s="172" t="s">
        <v>551</v>
      </c>
      <c r="AY1297" s="176">
        <v>0</v>
      </c>
      <c r="AZ1297" s="176">
        <v>21203090</v>
      </c>
      <c r="BA1297" s="173" t="s">
        <v>1180</v>
      </c>
      <c r="BB1297" s="205" t="s">
        <v>2780</v>
      </c>
      <c r="BC1297" s="174">
        <v>0</v>
      </c>
      <c r="BD1297" s="174">
        <v>0</v>
      </c>
      <c r="BE1297" s="207" t="s">
        <v>2781</v>
      </c>
      <c r="BF1297" s="207" t="s">
        <v>2782</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2783</v>
      </c>
      <c r="E1298" s="71" t="s">
        <v>2784</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56" t="s">
        <v>2785</v>
      </c>
      <c r="BC1298" s="75">
        <v>0</v>
      </c>
      <c r="BD1298" s="75">
        <v>0</v>
      </c>
      <c r="BE1298" s="76" t="s">
        <v>2786</v>
      </c>
      <c r="BF1298" s="76" t="s">
        <v>2787</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2788</v>
      </c>
      <c r="E1299" s="202" t="s">
        <v>5756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2774</v>
      </c>
      <c r="BC1299" s="174">
        <v>0</v>
      </c>
      <c r="BD1299" s="174" t="s">
        <v>2775</v>
      </c>
      <c r="BE1299" s="207" t="s">
        <v>2776</v>
      </c>
      <c r="BF1299" s="207" t="s">
        <v>2777</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2789</v>
      </c>
      <c r="E1300" s="20" t="s">
        <v>2790</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1728</v>
      </c>
      <c r="BB1300" s="21">
        <v>0</v>
      </c>
      <c r="BC1300" s="31">
        <v>0</v>
      </c>
      <c r="BD1300" s="31">
        <v>1</v>
      </c>
      <c r="BE1300" s="185" t="s">
        <v>2756</v>
      </c>
      <c r="BF1300" s="185" t="s">
        <v>2757</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2791</v>
      </c>
      <c r="E1301" s="205" t="s">
        <v>2792</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1414</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2793</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2794</v>
      </c>
      <c r="D1302" s="35" t="s">
        <v>2795</v>
      </c>
      <c r="E1302" s="35" t="s">
        <v>2796</v>
      </c>
      <c r="F1302" s="21">
        <v>1</v>
      </c>
      <c r="G1302" s="35">
        <v>60031241</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50" t="s">
        <v>204</v>
      </c>
      <c r="AV1302" s="32"/>
      <c r="AW1302" s="35" t="s">
        <v>1802</v>
      </c>
      <c r="AX1302" s="32" t="s">
        <v>221</v>
      </c>
      <c r="AY1302" s="32">
        <v>0</v>
      </c>
      <c r="AZ1302" s="32">
        <v>21205020</v>
      </c>
      <c r="BA1302" s="35" t="s">
        <v>2640</v>
      </c>
      <c r="BB1302" s="35" t="s">
        <v>2797</v>
      </c>
      <c r="BC1302" s="31">
        <v>0</v>
      </c>
      <c r="BD1302" s="31">
        <v>0</v>
      </c>
      <c r="BE1302" s="185" t="s">
        <v>2798</v>
      </c>
      <c r="BF1302" s="185" t="s">
        <v>2799</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2800</v>
      </c>
      <c r="D1303" s="35" t="s">
        <v>2801</v>
      </c>
      <c r="E1303" s="35" t="s">
        <v>2802</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2120</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2329</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2803</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2804</v>
      </c>
      <c r="D1304" s="35" t="s">
        <v>2805</v>
      </c>
      <c r="E1304" s="35" t="s">
        <v>2806</v>
      </c>
      <c r="F1304" s="21">
        <v>1</v>
      </c>
      <c r="G1304" s="35">
        <v>60031251</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50" t="s">
        <v>2807</v>
      </c>
      <c r="AV1304" s="32"/>
      <c r="AW1304" s="35" t="s">
        <v>205</v>
      </c>
      <c r="AX1304" s="32" t="s">
        <v>1047</v>
      </c>
      <c r="AY1304" s="32">
        <v>10004004</v>
      </c>
      <c r="AZ1304" s="32">
        <v>21205030</v>
      </c>
      <c r="BA1304" s="35" t="s">
        <v>1823</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2808</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2809</v>
      </c>
      <c r="E1305" s="20" t="s">
        <v>2810</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2733</v>
      </c>
      <c r="AX1305" s="21" t="s">
        <v>540</v>
      </c>
      <c r="AY1305" s="32">
        <v>10000007</v>
      </c>
      <c r="AZ1305" s="32">
        <v>22001001</v>
      </c>
      <c r="BA1305" s="35" t="s">
        <v>592</v>
      </c>
      <c r="BB1305" s="31" t="s">
        <v>2774</v>
      </c>
      <c r="BC1305" s="31">
        <v>0</v>
      </c>
      <c r="BD1305" s="31">
        <v>1</v>
      </c>
      <c r="BE1305" s="33" t="s">
        <v>2811</v>
      </c>
      <c r="BF1305" s="33" t="s">
        <v>2812</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2813</v>
      </c>
      <c r="E1306" s="20" t="s">
        <v>2814</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1414</v>
      </c>
      <c r="AY1306" s="32">
        <v>10002001</v>
      </c>
      <c r="AZ1306" s="32">
        <v>22001002</v>
      </c>
      <c r="BA1306" s="35" t="s">
        <v>321</v>
      </c>
      <c r="BB1306" s="35" t="s">
        <v>1910</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2815</v>
      </c>
      <c r="E1307" s="20" t="s">
        <v>2816</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50" t="s">
        <v>2743</v>
      </c>
      <c r="AV1307" s="32"/>
      <c r="AW1307" s="20" t="s">
        <v>205</v>
      </c>
      <c r="AX1307" s="32" t="s">
        <v>1414</v>
      </c>
      <c r="AY1307" s="19" t="s">
        <v>204</v>
      </c>
      <c r="AZ1307" s="350" t="s">
        <v>2744</v>
      </c>
      <c r="BA1307" s="20" t="s">
        <v>206</v>
      </c>
      <c r="BB1307" s="19">
        <v>0</v>
      </c>
      <c r="BC1307" s="31">
        <v>0</v>
      </c>
      <c r="BD1307" s="31">
        <v>1</v>
      </c>
      <c r="BE1307" s="185" t="s">
        <v>2745</v>
      </c>
      <c r="BF1307" s="185" t="s">
        <v>2746</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2817</v>
      </c>
      <c r="E1308" s="20" t="s">
        <v>2818</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1414</v>
      </c>
      <c r="AY1308" s="32">
        <v>10002001</v>
      </c>
      <c r="AZ1308" s="32">
        <v>22001004</v>
      </c>
      <c r="BA1308" s="35" t="s">
        <v>2751</v>
      </c>
      <c r="BB1308" s="35" t="s">
        <v>377</v>
      </c>
      <c r="BC1308" s="31">
        <v>0</v>
      </c>
      <c r="BD1308" s="31">
        <v>1</v>
      </c>
      <c r="BE1308" s="185" t="s">
        <v>2752</v>
      </c>
      <c r="BF1308" s="185" t="s">
        <v>2753</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2819</v>
      </c>
      <c r="E1309" s="20" t="s">
        <v>2820</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1728</v>
      </c>
      <c r="BB1309" s="21">
        <v>0</v>
      </c>
      <c r="BC1309" s="31">
        <v>0</v>
      </c>
      <c r="BD1309" s="31">
        <v>1</v>
      </c>
      <c r="BE1309" s="185" t="s">
        <v>2756</v>
      </c>
      <c r="BF1309" s="185" t="s">
        <v>2757</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2821</v>
      </c>
      <c r="E1310" s="20" t="s">
        <v>2822</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50" t="s">
        <v>2760</v>
      </c>
      <c r="AV1310" s="32"/>
      <c r="AW1310" s="35" t="s">
        <v>1711</v>
      </c>
      <c r="AX1310" s="32" t="s">
        <v>1414</v>
      </c>
      <c r="AY1310" s="32">
        <v>10002001</v>
      </c>
      <c r="AZ1310" s="32">
        <v>22001006</v>
      </c>
      <c r="BA1310" s="35" t="s">
        <v>2761</v>
      </c>
      <c r="BB1310" s="31" t="s">
        <v>2762</v>
      </c>
      <c r="BC1310" s="31">
        <v>0</v>
      </c>
      <c r="BD1310" s="31">
        <v>1</v>
      </c>
      <c r="BE1310" s="185" t="s">
        <v>2763</v>
      </c>
      <c r="BF1310" s="185" t="s">
        <v>2764</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2823</v>
      </c>
      <c r="E1311" s="205" t="s">
        <v>2824</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60" t="s">
        <v>2760</v>
      </c>
      <c r="AV1311" s="176"/>
      <c r="AW1311" s="205" t="s">
        <v>1711</v>
      </c>
      <c r="AX1311" s="176" t="s">
        <v>1414</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2825</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2826</v>
      </c>
      <c r="E1312" s="202" t="s">
        <v>2827</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2733</v>
      </c>
      <c r="AX1312" s="172" t="s">
        <v>540</v>
      </c>
      <c r="AY1312" s="176">
        <v>10000007</v>
      </c>
      <c r="AZ1312" s="176">
        <v>21202090</v>
      </c>
      <c r="BA1312" s="205" t="s">
        <v>592</v>
      </c>
      <c r="BB1312" s="174" t="s">
        <v>2774</v>
      </c>
      <c r="BC1312" s="174">
        <v>0</v>
      </c>
      <c r="BD1312" s="174">
        <v>1</v>
      </c>
      <c r="BE1312" s="207" t="s">
        <v>2811</v>
      </c>
      <c r="BF1312" s="207" t="s">
        <v>2812</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2828</v>
      </c>
      <c r="E1313" s="173" t="s">
        <v>2829</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2830</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2831</v>
      </c>
      <c r="E1314" s="20" t="s">
        <v>2832</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1581</v>
      </c>
      <c r="AY1314" s="19">
        <v>0</v>
      </c>
      <c r="AZ1314" s="19">
        <v>40000003</v>
      </c>
      <c r="BA1314" s="20" t="s">
        <v>206</v>
      </c>
      <c r="BB1314" s="20" t="s">
        <v>204</v>
      </c>
      <c r="BC1314" s="19">
        <v>0</v>
      </c>
      <c r="BD1314" s="19">
        <v>0</v>
      </c>
      <c r="BE1314" s="22" t="s">
        <v>2833</v>
      </c>
      <c r="BF1314" s="22" t="s">
        <v>2834</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10</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1581</v>
      </c>
      <c r="AY1315" s="239">
        <v>0</v>
      </c>
      <c r="AZ1315" s="239">
        <v>40000003</v>
      </c>
      <c r="BA1315" s="238" t="s">
        <v>206</v>
      </c>
      <c r="BB1315" s="239" t="s">
        <v>204</v>
      </c>
      <c r="BC1315" s="239">
        <v>0</v>
      </c>
      <c r="BD1315" s="239">
        <v>0</v>
      </c>
      <c r="BE1315" s="240" t="s">
        <v>2835</v>
      </c>
      <c r="BF1315" s="240" t="s">
        <v>2836</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2837</v>
      </c>
      <c r="E1316" s="20" t="s">
        <v>2838</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1849</v>
      </c>
      <c r="AY1316" s="19" t="s">
        <v>204</v>
      </c>
      <c r="AZ1316" s="19" t="s">
        <v>2839</v>
      </c>
      <c r="BA1316" s="20" t="s">
        <v>206</v>
      </c>
      <c r="BB1316" s="19">
        <v>0</v>
      </c>
      <c r="BC1316" s="19">
        <v>0</v>
      </c>
      <c r="BD1316" s="19">
        <v>0</v>
      </c>
      <c r="BE1316" s="22" t="s">
        <v>2840</v>
      </c>
      <c r="BF1316" s="22" t="s">
        <v>2841</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2842</v>
      </c>
      <c r="BF1317" s="242" t="s">
        <v>2843</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2844</v>
      </c>
      <c r="E1318" s="20" t="s">
        <v>2845</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41" t="s">
        <v>2846</v>
      </c>
      <c r="AU1318" s="19" t="s">
        <v>204</v>
      </c>
      <c r="AV1318" s="19"/>
      <c r="AW1318" s="20" t="s">
        <v>205</v>
      </c>
      <c r="AX1318" s="19" t="s">
        <v>2254</v>
      </c>
      <c r="AY1318" s="19">
        <v>0</v>
      </c>
      <c r="AZ1318" s="19">
        <v>0</v>
      </c>
      <c r="BA1318" s="20" t="s">
        <v>206</v>
      </c>
      <c r="BB1318" s="20" t="s">
        <v>204</v>
      </c>
      <c r="BC1318" s="19">
        <v>0</v>
      </c>
      <c r="BD1318" s="19">
        <v>0</v>
      </c>
      <c r="BE1318" s="22" t="s">
        <v>2847</v>
      </c>
      <c r="BF1318" s="22" t="s">
        <v>2848</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2849</v>
      </c>
      <c r="E1319" s="131" t="s">
        <v>2850</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2851</v>
      </c>
      <c r="BF1319" s="242" t="s">
        <v>2852</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1849</v>
      </c>
      <c r="AY1320" s="19" t="s">
        <v>204</v>
      </c>
      <c r="AZ1320" s="19" t="s">
        <v>2839</v>
      </c>
      <c r="BA1320" s="20" t="s">
        <v>206</v>
      </c>
      <c r="BB1320" s="19">
        <v>0</v>
      </c>
      <c r="BC1320" s="19" t="s">
        <v>2853</v>
      </c>
      <c r="BD1320" s="19">
        <v>0</v>
      </c>
      <c r="BE1320" s="22" t="s">
        <v>2854</v>
      </c>
      <c r="BF1320" s="22" t="s">
        <v>2855</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1581</v>
      </c>
      <c r="AY1321" s="239">
        <v>0</v>
      </c>
      <c r="AZ1321" s="239">
        <v>40000003</v>
      </c>
      <c r="BA1321" s="238" t="s">
        <v>206</v>
      </c>
      <c r="BB1321" s="239" t="s">
        <v>204</v>
      </c>
      <c r="BC1321" s="239">
        <v>0</v>
      </c>
      <c r="BD1321" s="239">
        <v>0</v>
      </c>
      <c r="BE1321" s="240" t="s">
        <v>2856</v>
      </c>
      <c r="BF1321" s="240" t="s">
        <v>2857</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2858</v>
      </c>
      <c r="E1322" s="131" t="s">
        <v>2859</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42" t="s">
        <v>2860</v>
      </c>
      <c r="AU1322" s="73" t="s">
        <v>204</v>
      </c>
      <c r="AV1322" s="73"/>
      <c r="AW1322" s="131" t="s">
        <v>205</v>
      </c>
      <c r="AX1322" s="73" t="s">
        <v>1581</v>
      </c>
      <c r="AY1322" s="73">
        <v>0</v>
      </c>
      <c r="AZ1322" s="74">
        <v>21030020</v>
      </c>
      <c r="BA1322" s="131" t="s">
        <v>206</v>
      </c>
      <c r="BB1322" s="131" t="s">
        <v>204</v>
      </c>
      <c r="BC1322" s="73">
        <v>0</v>
      </c>
      <c r="BD1322" s="73">
        <v>0</v>
      </c>
      <c r="BE1322" s="242" t="s">
        <v>2861</v>
      </c>
      <c r="BF1322" s="242" t="s">
        <v>2862</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2863</v>
      </c>
      <c r="E1323" s="20" t="s">
        <v>2864</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41" t="s">
        <v>2865</v>
      </c>
      <c r="AU1323" s="19" t="s">
        <v>204</v>
      </c>
      <c r="AV1323" s="19"/>
      <c r="AW1323" s="20" t="s">
        <v>205</v>
      </c>
      <c r="AX1323" s="19" t="s">
        <v>354</v>
      </c>
      <c r="AY1323" s="19">
        <v>0</v>
      </c>
      <c r="AZ1323" s="19">
        <v>22000040</v>
      </c>
      <c r="BA1323" s="20" t="s">
        <v>206</v>
      </c>
      <c r="BB1323" s="20" t="s">
        <v>204</v>
      </c>
      <c r="BC1323" s="19">
        <v>0</v>
      </c>
      <c r="BD1323" s="19">
        <v>0</v>
      </c>
      <c r="BE1323" s="22" t="s">
        <v>2866</v>
      </c>
      <c r="BF1323" s="22" t="s">
        <v>2867</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2868</v>
      </c>
      <c r="E1324" s="20" t="s">
        <v>2869</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1767</v>
      </c>
      <c r="AX1324" s="19" t="s">
        <v>551</v>
      </c>
      <c r="AY1324" s="19">
        <v>10001006</v>
      </c>
      <c r="AZ1324" s="19">
        <v>22000020</v>
      </c>
      <c r="BA1324" s="20" t="s">
        <v>321</v>
      </c>
      <c r="BB1324" s="20" t="s">
        <v>377</v>
      </c>
      <c r="BC1324" s="19">
        <v>0</v>
      </c>
      <c r="BD1324" s="19">
        <v>0</v>
      </c>
      <c r="BE1324" s="22" t="s">
        <v>2870</v>
      </c>
      <c r="BF1324" s="22" t="s">
        <v>2871</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2872</v>
      </c>
      <c r="E1325" s="20" t="s">
        <v>2873</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2874</v>
      </c>
      <c r="BF1325" s="22" t="s">
        <v>2875</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2876</v>
      </c>
      <c r="E1326" s="20" t="s">
        <v>2877</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2878</v>
      </c>
      <c r="BF1326" s="22" t="s">
        <v>2879</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2583</v>
      </c>
      <c r="E1327" s="35" t="s">
        <v>1718</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50" t="s">
        <v>2585</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1722</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2880</v>
      </c>
      <c r="E1328" s="20" t="s">
        <v>2881</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1581</v>
      </c>
      <c r="AY1328" s="19">
        <v>0</v>
      </c>
      <c r="AZ1328" s="19">
        <v>40000003</v>
      </c>
      <c r="BA1328" s="20" t="s">
        <v>206</v>
      </c>
      <c r="BB1328" s="20" t="s">
        <v>204</v>
      </c>
      <c r="BC1328" s="19">
        <v>0</v>
      </c>
      <c r="BD1328" s="19">
        <v>0</v>
      </c>
      <c r="BE1328" s="22" t="s">
        <v>2882</v>
      </c>
      <c r="BF1328" s="22" t="s">
        <v>2883</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2884</v>
      </c>
      <c r="E1329" s="20" t="s">
        <v>2885</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1581</v>
      </c>
      <c r="AY1329" s="19">
        <v>0</v>
      </c>
      <c r="AZ1329" s="19">
        <v>40000003</v>
      </c>
      <c r="BA1329" s="20" t="s">
        <v>206</v>
      </c>
      <c r="BB1329" s="20" t="s">
        <v>204</v>
      </c>
      <c r="BC1329" s="19">
        <v>0</v>
      </c>
      <c r="BD1329" s="19">
        <v>0</v>
      </c>
      <c r="BE1329" s="22" t="s">
        <v>2886</v>
      </c>
      <c r="BF1329" s="22" t="s">
        <v>2887</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2888</v>
      </c>
      <c r="E1330" s="179" t="s">
        <v>2889</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1581</v>
      </c>
      <c r="AY1330" s="180">
        <v>0</v>
      </c>
      <c r="AZ1330" s="180">
        <v>40000003</v>
      </c>
      <c r="BA1330" s="179" t="s">
        <v>206</v>
      </c>
      <c r="BB1330" s="179" t="s">
        <v>204</v>
      </c>
      <c r="BC1330" s="180">
        <v>0</v>
      </c>
      <c r="BD1330" s="180">
        <v>0</v>
      </c>
      <c r="BE1330" s="243" t="s">
        <v>2890</v>
      </c>
      <c r="BF1330" s="243" t="s">
        <v>2891</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2892</v>
      </c>
      <c r="E1331" s="179" t="s">
        <v>2893</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2894</v>
      </c>
      <c r="BF1331" s="33" t="s">
        <v>2895</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2896</v>
      </c>
      <c r="E1332" s="20" t="s">
        <v>2897</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1581</v>
      </c>
      <c r="AY1332" s="19">
        <v>0</v>
      </c>
      <c r="AZ1332" s="19">
        <v>0</v>
      </c>
      <c r="BA1332" s="20" t="s">
        <v>206</v>
      </c>
      <c r="BB1332" s="20" t="s">
        <v>204</v>
      </c>
      <c r="BC1332" s="19">
        <v>0</v>
      </c>
      <c r="BD1332" s="19">
        <v>0</v>
      </c>
      <c r="BE1332" s="22" t="s">
        <v>2898</v>
      </c>
      <c r="BF1332" s="22" t="s">
        <v>2899</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2900</v>
      </c>
      <c r="E1333" s="20" t="s">
        <v>2901</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1581</v>
      </c>
      <c r="AY1333" s="19">
        <v>0</v>
      </c>
      <c r="AZ1333" s="19">
        <v>40000003</v>
      </c>
      <c r="BA1333" s="20" t="s">
        <v>206</v>
      </c>
      <c r="BB1333" s="20" t="s">
        <v>204</v>
      </c>
      <c r="BC1333" s="19">
        <v>0</v>
      </c>
      <c r="BD1333" s="19">
        <v>0</v>
      </c>
      <c r="BE1333" s="22" t="s">
        <v>2902</v>
      </c>
      <c r="BF1333" s="22" t="s">
        <v>2903</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2904</v>
      </c>
      <c r="E1334" s="179" t="s">
        <v>2905</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1581</v>
      </c>
      <c r="AY1334" s="180">
        <v>0</v>
      </c>
      <c r="AZ1334" s="180">
        <v>40000003</v>
      </c>
      <c r="BA1334" s="179" t="s">
        <v>206</v>
      </c>
      <c r="BB1334" s="179" t="s">
        <v>204</v>
      </c>
      <c r="BC1334" s="180">
        <v>0</v>
      </c>
      <c r="BD1334" s="180">
        <v>0</v>
      </c>
      <c r="BE1334" s="243" t="s">
        <v>2906</v>
      </c>
      <c r="BF1334" s="243" t="s">
        <v>2907</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2908</v>
      </c>
      <c r="E1335" s="20" t="s">
        <v>2909</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41" t="s">
        <v>2910</v>
      </c>
      <c r="AV1335" s="19"/>
      <c r="AW1335" s="20" t="s">
        <v>205</v>
      </c>
      <c r="AX1335" s="19" t="s">
        <v>1581</v>
      </c>
      <c r="AY1335" s="19">
        <v>0</v>
      </c>
      <c r="AZ1335" s="19">
        <v>0</v>
      </c>
      <c r="BA1335" s="20" t="s">
        <v>206</v>
      </c>
      <c r="BB1335" s="20" t="s">
        <v>204</v>
      </c>
      <c r="BC1335" s="19">
        <v>0</v>
      </c>
      <c r="BD1335" s="19">
        <v>0</v>
      </c>
      <c r="BE1335" s="22" t="s">
        <v>2911</v>
      </c>
      <c r="BF1335" s="22" t="s">
        <v>2912</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2913</v>
      </c>
      <c r="E1336" s="30" t="s">
        <v>2914</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2915</v>
      </c>
      <c r="BC1336" s="31">
        <v>0</v>
      </c>
      <c r="BD1336" s="31">
        <v>1</v>
      </c>
      <c r="BE1336" s="33" t="s">
        <v>2916</v>
      </c>
      <c r="BF1336" s="33" t="s">
        <v>2917</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2918</v>
      </c>
      <c r="E1337" s="179" t="s">
        <v>2919</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2920</v>
      </c>
      <c r="BF1337" s="33" t="s">
        <v>2921</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2922</v>
      </c>
      <c r="E1338" s="179" t="s">
        <v>2923</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2920</v>
      </c>
      <c r="BF1338" s="33" t="s">
        <v>2921</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2924</v>
      </c>
      <c r="E1339" s="30" t="s">
        <v>2925</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2926</v>
      </c>
      <c r="BC1339" s="31">
        <v>0</v>
      </c>
      <c r="BD1339" s="31">
        <v>0</v>
      </c>
      <c r="BE1339" s="33" t="s">
        <v>2927</v>
      </c>
      <c r="BF1339" s="33" t="s">
        <v>2928</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2929</v>
      </c>
      <c r="E1340" s="20" t="s">
        <v>1848</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1849</v>
      </c>
      <c r="AY1340" s="19" t="s">
        <v>204</v>
      </c>
      <c r="AZ1340" s="19" t="s">
        <v>2839</v>
      </c>
      <c r="BA1340" s="20" t="s">
        <v>206</v>
      </c>
      <c r="BB1340" s="19">
        <v>0</v>
      </c>
      <c r="BC1340" s="19">
        <v>0</v>
      </c>
      <c r="BD1340" s="19">
        <v>0</v>
      </c>
      <c r="BE1340" s="22" t="s">
        <v>2930</v>
      </c>
      <c r="BF1340" s="22" t="s">
        <v>2931</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2932</v>
      </c>
      <c r="E1341" s="238" t="s">
        <v>2933</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1581</v>
      </c>
      <c r="AY1341" s="239">
        <v>0</v>
      </c>
      <c r="AZ1341" s="239">
        <v>40000003</v>
      </c>
      <c r="BA1341" s="238" t="s">
        <v>206</v>
      </c>
      <c r="BB1341" s="239" t="s">
        <v>204</v>
      </c>
      <c r="BC1341" s="239">
        <v>0</v>
      </c>
      <c r="BD1341" s="239">
        <v>0</v>
      </c>
      <c r="BE1341" s="240" t="s">
        <v>2934</v>
      </c>
      <c r="BF1341" s="240" t="s">
        <v>2935</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2936</v>
      </c>
      <c r="E1342" s="20" t="s">
        <v>2937</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1581</v>
      </c>
      <c r="AY1342" s="19">
        <v>0</v>
      </c>
      <c r="AZ1342" s="19">
        <v>0</v>
      </c>
      <c r="BA1342" s="20" t="s">
        <v>206</v>
      </c>
      <c r="BB1342" s="20" t="s">
        <v>204</v>
      </c>
      <c r="BC1342" s="19">
        <v>0</v>
      </c>
      <c r="BD1342" s="19">
        <v>0</v>
      </c>
      <c r="BE1342" s="22" t="s">
        <v>2938</v>
      </c>
      <c r="BF1342" s="22" t="s">
        <v>2939</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2940</v>
      </c>
      <c r="E1343" s="88" t="s">
        <v>2941</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2942</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2943</v>
      </c>
      <c r="E1344" s="88" t="s">
        <v>2944</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2945</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2946</v>
      </c>
      <c r="E1345" s="238" t="s">
        <v>2947</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61" t="s">
        <v>2948</v>
      </c>
      <c r="AU1345" s="239" t="s">
        <v>204</v>
      </c>
      <c r="AV1345" s="239"/>
      <c r="AW1345" s="238" t="s">
        <v>205</v>
      </c>
      <c r="AX1345" s="239" t="s">
        <v>1581</v>
      </c>
      <c r="AY1345" s="239">
        <v>0</v>
      </c>
      <c r="AZ1345" s="239">
        <v>40000003</v>
      </c>
      <c r="BA1345" s="238" t="s">
        <v>206</v>
      </c>
      <c r="BB1345" s="239" t="s">
        <v>204</v>
      </c>
      <c r="BC1345" s="239">
        <v>0</v>
      </c>
      <c r="BD1345" s="239">
        <v>0</v>
      </c>
      <c r="BE1345" s="240" t="s">
        <v>2949</v>
      </c>
      <c r="BF1345" s="240" t="s">
        <v>2950</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2511</v>
      </c>
      <c r="E1346" s="49" t="s">
        <v>2512</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62" t="s">
        <v>2951</v>
      </c>
      <c r="AV1346" s="245"/>
      <c r="AW1346" s="35" t="s">
        <v>204</v>
      </c>
      <c r="AX1346" s="50" t="s">
        <v>551</v>
      </c>
      <c r="AY1346" s="50">
        <v>10000001</v>
      </c>
      <c r="AZ1346" s="50">
        <v>77005302</v>
      </c>
      <c r="BA1346" s="49" t="s">
        <v>206</v>
      </c>
      <c r="BB1346" s="50" t="s">
        <v>2952</v>
      </c>
      <c r="BC1346" s="50">
        <v>0</v>
      </c>
      <c r="BD1346" s="50">
        <v>0</v>
      </c>
      <c r="BE1346" s="52" t="s">
        <v>2953</v>
      </c>
      <c r="BF1346" s="52" t="s">
        <v>2954</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2913</v>
      </c>
      <c r="E1347" s="30" t="s">
        <v>2914</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2915</v>
      </c>
      <c r="BC1347" s="31">
        <v>0</v>
      </c>
      <c r="BD1347" s="31">
        <v>1</v>
      </c>
      <c r="BE1347" s="33" t="s">
        <v>2916</v>
      </c>
      <c r="BF1347" s="33" t="s">
        <v>2917</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2900</v>
      </c>
      <c r="E1348" s="20" t="s">
        <v>2901</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1581</v>
      </c>
      <c r="AY1348" s="19">
        <v>0</v>
      </c>
      <c r="AZ1348" s="19">
        <v>40000003</v>
      </c>
      <c r="BA1348" s="20" t="s">
        <v>206</v>
      </c>
      <c r="BB1348" s="20" t="s">
        <v>204</v>
      </c>
      <c r="BC1348" s="19">
        <v>0</v>
      </c>
      <c r="BD1348" s="19">
        <v>0</v>
      </c>
      <c r="BE1348" s="22" t="s">
        <v>2902</v>
      </c>
      <c r="BF1348" s="22" t="s">
        <v>2903</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2342</v>
      </c>
      <c r="E1349" s="71" t="s">
        <v>2343</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56" t="s">
        <v>2955</v>
      </c>
      <c r="BC1349" s="75">
        <v>0</v>
      </c>
      <c r="BD1349" s="75">
        <v>0</v>
      </c>
      <c r="BE1349" s="76" t="s">
        <v>2345</v>
      </c>
      <c r="BF1349" s="76" t="s">
        <v>2346</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2956</v>
      </c>
      <c r="E1350" s="35" t="s">
        <v>2957</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1849</v>
      </c>
      <c r="AY1350" s="32">
        <v>10000011</v>
      </c>
      <c r="AZ1350" s="32">
        <v>20001010</v>
      </c>
      <c r="BA1350" s="35" t="s">
        <v>256</v>
      </c>
      <c r="BB1350" s="35" t="s">
        <v>204</v>
      </c>
      <c r="BC1350" s="31">
        <v>0</v>
      </c>
      <c r="BD1350" s="31">
        <v>0</v>
      </c>
      <c r="BE1350" s="33" t="s">
        <v>2958</v>
      </c>
      <c r="BF1350" s="33" t="s">
        <v>2959</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74">
        <v>62000102</v>
      </c>
      <c r="D1351" s="88" t="s">
        <v>1855</v>
      </c>
      <c r="E1351" s="88" t="s">
        <v>1856</v>
      </c>
      <c r="F1351" s="74">
        <v>1</v>
      </c>
      <c r="G1351" s="74">
        <v>62011201</v>
      </c>
      <c r="H1351" s="74">
        <v>0</v>
      </c>
      <c r="I1351" s="75">
        <v>0</v>
      </c>
      <c r="J1351" s="74">
        <v>1</v>
      </c>
      <c r="K1351" s="74">
        <v>0</v>
      </c>
      <c r="L1351" s="72">
        <v>0</v>
      </c>
      <c r="M1351" s="74">
        <v>0</v>
      </c>
      <c r="N1351" s="74">
        <v>0</v>
      </c>
      <c r="O1351" s="74">
        <v>2</v>
      </c>
      <c r="P1351" s="74">
        <v>1</v>
      </c>
      <c r="Q1351" s="74">
        <v>0.1</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2960</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2961</v>
      </c>
      <c r="E1352" s="35" t="s">
        <v>2962</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2963</v>
      </c>
      <c r="BF1352" s="33" t="s">
        <v>2964</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1397</v>
      </c>
      <c r="E1353" s="88" t="s">
        <v>1398</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15</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2965</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2966</v>
      </c>
      <c r="E1354" s="88" t="s">
        <v>2967</v>
      </c>
      <c r="F1354" s="74">
        <v>1</v>
      </c>
      <c r="G1354" s="74">
        <v>62000105</v>
      </c>
      <c r="H1354" s="74">
        <v>0</v>
      </c>
      <c r="I1354" s="75">
        <v>0</v>
      </c>
      <c r="J1354" s="74">
        <v>1</v>
      </c>
      <c r="K1354" s="74">
        <v>0</v>
      </c>
      <c r="L1354" s="72">
        <v>0</v>
      </c>
      <c r="M1354" s="74">
        <v>0</v>
      </c>
      <c r="N1354" s="74">
        <v>0</v>
      </c>
      <c r="O1354" s="74">
        <v>2</v>
      </c>
      <c r="P1354" s="74">
        <v>1</v>
      </c>
      <c r="Q1354" s="74">
        <v>0.1</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1581</v>
      </c>
      <c r="AY1354" s="74">
        <v>0</v>
      </c>
      <c r="AZ1354" s="74">
        <v>0</v>
      </c>
      <c r="BA1354" s="88" t="s">
        <v>206</v>
      </c>
      <c r="BB1354" s="88" t="s">
        <v>204</v>
      </c>
      <c r="BC1354" s="75">
        <v>0</v>
      </c>
      <c r="BD1354" s="75">
        <v>0</v>
      </c>
      <c r="BE1354" s="76" t="s">
        <v>2968</v>
      </c>
      <c r="BF1354" s="76" t="s">
        <v>2969</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2970</v>
      </c>
      <c r="E1355" s="88" t="s">
        <v>2971</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1581</v>
      </c>
      <c r="AY1355" s="74">
        <v>0</v>
      </c>
      <c r="AZ1355" s="74">
        <v>0</v>
      </c>
      <c r="BA1355" s="88" t="s">
        <v>206</v>
      </c>
      <c r="BB1355" s="88" t="s">
        <v>204</v>
      </c>
      <c r="BC1355" s="75">
        <v>0</v>
      </c>
      <c r="BD1355" s="75">
        <v>0</v>
      </c>
      <c r="BE1355" s="89" t="s">
        <v>2972</v>
      </c>
      <c r="BF1355" s="89" t="s">
        <v>2973</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2943</v>
      </c>
      <c r="E1356" s="35" t="s">
        <v>2944</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2974</v>
      </c>
      <c r="AV1356" s="32"/>
      <c r="AW1356" s="30" t="s">
        <v>205</v>
      </c>
      <c r="AX1356" s="32" t="s">
        <v>540</v>
      </c>
      <c r="AY1356" s="32">
        <v>10000009</v>
      </c>
      <c r="AZ1356" s="32">
        <v>20001030</v>
      </c>
      <c r="BA1356" s="35" t="s">
        <v>206</v>
      </c>
      <c r="BB1356" s="35">
        <v>0</v>
      </c>
      <c r="BC1356" s="31">
        <v>0</v>
      </c>
      <c r="BD1356" s="31">
        <v>0</v>
      </c>
      <c r="BE1356" s="33" t="s">
        <v>2975</v>
      </c>
      <c r="BF1356" s="33" t="s">
        <v>2976</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2977</v>
      </c>
      <c r="E1357" s="35" t="s">
        <v>2978</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1581</v>
      </c>
      <c r="AY1357" s="32">
        <v>0</v>
      </c>
      <c r="AZ1357" s="32">
        <v>40000003</v>
      </c>
      <c r="BA1357" s="35" t="s">
        <v>206</v>
      </c>
      <c r="BB1357" s="35" t="s">
        <v>204</v>
      </c>
      <c r="BC1357" s="31">
        <v>0</v>
      </c>
      <c r="BD1357" s="31">
        <v>0</v>
      </c>
      <c r="BE1357" s="33" t="s">
        <v>2979</v>
      </c>
      <c r="BF1357" s="33" t="s">
        <v>2980</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2981</v>
      </c>
      <c r="E1358" s="35" t="s">
        <v>2982</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2983</v>
      </c>
      <c r="BF1358" s="33" t="s">
        <v>2984</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2985</v>
      </c>
      <c r="E1359" s="35" t="s">
        <v>2967</v>
      </c>
      <c r="F1359" s="32">
        <v>1</v>
      </c>
      <c r="G1359" s="32">
        <v>50002</v>
      </c>
      <c r="H1359" s="32">
        <v>0</v>
      </c>
      <c r="I1359" s="31">
        <v>0</v>
      </c>
      <c r="J1359" s="32">
        <v>1</v>
      </c>
      <c r="K1359" s="32">
        <v>0</v>
      </c>
      <c r="L1359" s="21">
        <v>0</v>
      </c>
      <c r="M1359" s="32">
        <v>0</v>
      </c>
      <c r="N1359" s="32">
        <v>0</v>
      </c>
      <c r="O1359" s="32">
        <v>2</v>
      </c>
      <c r="P1359" s="32">
        <v>1</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1581</v>
      </c>
      <c r="AY1359" s="32">
        <v>0</v>
      </c>
      <c r="AZ1359" s="32">
        <v>0</v>
      </c>
      <c r="BA1359" s="35" t="s">
        <v>206</v>
      </c>
      <c r="BB1359" s="35" t="s">
        <v>204</v>
      </c>
      <c r="BC1359" s="31">
        <v>0</v>
      </c>
      <c r="BD1359" s="31">
        <v>0</v>
      </c>
      <c r="BE1359" s="33" t="s">
        <v>2986</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2932</v>
      </c>
      <c r="E1360" s="35" t="s">
        <v>2933</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1581</v>
      </c>
      <c r="AY1360" s="32">
        <v>0</v>
      </c>
      <c r="AZ1360" s="32">
        <v>40000003</v>
      </c>
      <c r="BA1360" s="35" t="s">
        <v>206</v>
      </c>
      <c r="BB1360" s="35" t="s">
        <v>204</v>
      </c>
      <c r="BC1360" s="31">
        <v>0</v>
      </c>
      <c r="BD1360" s="31">
        <v>0</v>
      </c>
      <c r="BE1360" s="33" t="s">
        <v>2987</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2988</v>
      </c>
      <c r="E1361" s="35" t="s">
        <v>2873</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2989</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2990</v>
      </c>
      <c r="E1362" s="35" t="s">
        <v>2962</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2991</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2992</v>
      </c>
      <c r="E1363" s="35" t="s">
        <v>2971</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1581</v>
      </c>
      <c r="AY1363" s="32">
        <v>0</v>
      </c>
      <c r="AZ1363" s="32">
        <v>0</v>
      </c>
      <c r="BA1363" s="35" t="s">
        <v>206</v>
      </c>
      <c r="BB1363" s="35" t="s">
        <v>204</v>
      </c>
      <c r="BC1363" s="31">
        <v>0</v>
      </c>
      <c r="BD1363" s="31">
        <v>0</v>
      </c>
      <c r="BE1363" s="33" t="s">
        <v>2993</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2994</v>
      </c>
      <c r="E1364" s="35" t="s">
        <v>2873</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2995</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2996</v>
      </c>
      <c r="E1365" s="35" t="s">
        <v>2873</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2997</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2998</v>
      </c>
      <c r="E1366" s="35" t="s">
        <v>2971</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41" t="s">
        <v>2999</v>
      </c>
      <c r="AU1366" s="32" t="s">
        <v>204</v>
      </c>
      <c r="AV1366" s="32"/>
      <c r="AW1366" s="30" t="s">
        <v>205</v>
      </c>
      <c r="AX1366" s="32" t="s">
        <v>1581</v>
      </c>
      <c r="AY1366" s="32">
        <v>0</v>
      </c>
      <c r="AZ1366" s="32">
        <v>0</v>
      </c>
      <c r="BA1366" s="35" t="s">
        <v>206</v>
      </c>
      <c r="BB1366" s="35" t="s">
        <v>204</v>
      </c>
      <c r="BC1366" s="31">
        <v>0</v>
      </c>
      <c r="BD1366" s="31">
        <v>0</v>
      </c>
      <c r="BE1366" s="33" t="s">
        <v>3000</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2908</v>
      </c>
      <c r="E1367" s="35" t="s">
        <v>2909</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3001</v>
      </c>
      <c r="AV1367" s="32"/>
      <c r="AW1367" s="30" t="s">
        <v>205</v>
      </c>
      <c r="AX1367" s="32" t="s">
        <v>1581</v>
      </c>
      <c r="AY1367" s="32">
        <v>0</v>
      </c>
      <c r="AZ1367" s="32">
        <v>0</v>
      </c>
      <c r="BA1367" s="35" t="s">
        <v>206</v>
      </c>
      <c r="BB1367" s="35" t="s">
        <v>204</v>
      </c>
      <c r="BC1367" s="31">
        <v>0</v>
      </c>
      <c r="BD1367" s="31">
        <v>0</v>
      </c>
      <c r="BE1367" s="33" t="s">
        <v>2911</v>
      </c>
      <c r="BF1367" s="33" t="s">
        <v>2912</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2583</v>
      </c>
      <c r="E1368" s="35" t="s">
        <v>1718</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50" t="s">
        <v>2585</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1722</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3002</v>
      </c>
      <c r="E1369" s="179" t="s">
        <v>2893</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2894</v>
      </c>
      <c r="BF1369" s="33" t="s">
        <v>2895</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25" customHeight="1">
      <c r="C1370" s="21">
        <v>63001001</v>
      </c>
      <c r="D1370" s="35" t="s">
        <v>3003</v>
      </c>
      <c r="E1370" s="35" t="s">
        <v>3004</v>
      </c>
      <c r="F1370" s="32">
        <v>1</v>
      </c>
      <c r="G1370" s="32">
        <v>63001001</v>
      </c>
      <c r="H1370" s="32">
        <v>0</v>
      </c>
      <c r="I1370" s="31">
        <v>0</v>
      </c>
      <c r="J1370" s="32">
        <v>1</v>
      </c>
      <c r="K1370" s="32">
        <v>0</v>
      </c>
      <c r="L1370" s="21">
        <v>0</v>
      </c>
      <c r="M1370" s="32">
        <v>0</v>
      </c>
      <c r="N1370" s="32">
        <v>0</v>
      </c>
      <c r="O1370" s="32">
        <v>2</v>
      </c>
      <c r="P1370" s="32">
        <v>12</v>
      </c>
      <c r="Q1370" s="32">
        <v>1</v>
      </c>
      <c r="R1370" s="32">
        <v>0</v>
      </c>
      <c r="S1370" s="19">
        <v>0</v>
      </c>
      <c r="T1370" s="31">
        <v>0</v>
      </c>
      <c r="U1370" s="21">
        <v>1</v>
      </c>
      <c r="V1370" s="32">
        <v>2</v>
      </c>
      <c r="W1370" s="32">
        <v>0</v>
      </c>
      <c r="X1370" s="32">
        <v>0</v>
      </c>
      <c r="Y1370" s="19">
        <v>0</v>
      </c>
      <c r="Z1370" s="32">
        <v>0</v>
      </c>
      <c r="AA1370" s="32">
        <v>0</v>
      </c>
      <c r="AB1370" s="32">
        <v>0</v>
      </c>
      <c r="AC1370" s="32">
        <v>0</v>
      </c>
      <c r="AD1370" s="32">
        <v>1</v>
      </c>
      <c r="AE1370" s="32">
        <v>0</v>
      </c>
      <c r="AF1370" s="32">
        <v>60</v>
      </c>
      <c r="AG1370" s="32">
        <v>1</v>
      </c>
      <c r="AH1370" s="32" t="s">
        <v>613</v>
      </c>
      <c r="AI1370" s="19">
        <v>0</v>
      </c>
      <c r="AJ1370" s="19">
        <v>0</v>
      </c>
      <c r="AK1370" s="19">
        <v>0</v>
      </c>
      <c r="AL1370" s="19">
        <v>0</v>
      </c>
      <c r="AM1370" s="32">
        <v>0</v>
      </c>
      <c r="AN1370" s="32">
        <v>0</v>
      </c>
      <c r="AO1370" s="32">
        <v>0</v>
      </c>
      <c r="AP1370" s="32">
        <v>0</v>
      </c>
      <c r="AQ1370" s="32">
        <v>50000</v>
      </c>
      <c r="AR1370" s="32">
        <v>0</v>
      </c>
      <c r="AS1370" s="32">
        <v>0</v>
      </c>
      <c r="AT1370" s="19">
        <v>0</v>
      </c>
      <c r="AU1370" s="32">
        <v>90501001</v>
      </c>
      <c r="AV1370" s="32"/>
      <c r="AW1370" s="30" t="s">
        <v>204</v>
      </c>
      <c r="AX1370" s="32">
        <v>0</v>
      </c>
      <c r="AY1370" s="32">
        <v>0</v>
      </c>
      <c r="AZ1370" s="32">
        <v>0</v>
      </c>
      <c r="BA1370" s="35" t="s">
        <v>3005</v>
      </c>
      <c r="BB1370" s="35">
        <v>0</v>
      </c>
      <c r="BC1370" s="31">
        <v>0</v>
      </c>
      <c r="BD1370" s="31">
        <v>0</v>
      </c>
      <c r="BE1370" s="33" t="s">
        <v>3006</v>
      </c>
      <c r="BF1370" s="33" t="s">
        <v>3007</v>
      </c>
      <c r="BG1370" s="32">
        <v>0</v>
      </c>
      <c r="BH1370" s="21">
        <v>0</v>
      </c>
      <c r="BI1370" s="32">
        <v>0</v>
      </c>
      <c r="BJ1370" s="32">
        <v>0</v>
      </c>
      <c r="BK1370" s="32">
        <v>0</v>
      </c>
      <c r="BL1370" s="32">
        <v>0</v>
      </c>
      <c r="BM1370" s="25">
        <v>0</v>
      </c>
      <c r="BN1370" s="19">
        <v>1</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63001002</v>
      </c>
      <c r="D1371" s="30" t="s">
        <v>3008</v>
      </c>
      <c r="E1371" s="30" t="s">
        <v>3009</v>
      </c>
      <c r="F1371" s="21">
        <v>1</v>
      </c>
      <c r="G1371" s="21">
        <v>63001002</v>
      </c>
      <c r="H1371" s="32">
        <v>0</v>
      </c>
      <c r="I1371" s="31">
        <v>0</v>
      </c>
      <c r="J1371" s="32">
        <v>1</v>
      </c>
      <c r="K1371" s="32">
        <v>0</v>
      </c>
      <c r="L1371" s="21">
        <v>0</v>
      </c>
      <c r="M1371" s="21">
        <v>0</v>
      </c>
      <c r="N1371" s="21">
        <v>0</v>
      </c>
      <c r="O1371" s="21">
        <v>8</v>
      </c>
      <c r="P1371" s="21">
        <v>0</v>
      </c>
      <c r="Q1371" s="21">
        <v>0</v>
      </c>
      <c r="R1371" s="21">
        <v>0</v>
      </c>
      <c r="S1371" s="19">
        <v>0</v>
      </c>
      <c r="T1371" s="21">
        <v>0</v>
      </c>
      <c r="U1371" s="21">
        <v>1</v>
      </c>
      <c r="V1371" s="21">
        <v>2</v>
      </c>
      <c r="W1371" s="21">
        <v>0</v>
      </c>
      <c r="X1371" s="32">
        <v>0</v>
      </c>
      <c r="Y1371" s="19">
        <v>0</v>
      </c>
      <c r="Z1371" s="32">
        <v>0</v>
      </c>
      <c r="AA1371" s="21">
        <v>0</v>
      </c>
      <c r="AB1371" s="21">
        <v>0</v>
      </c>
      <c r="AC1371" s="21">
        <v>0</v>
      </c>
      <c r="AD1371" s="21">
        <v>1</v>
      </c>
      <c r="AE1371" s="21">
        <v>0</v>
      </c>
      <c r="AF1371" s="21">
        <v>0</v>
      </c>
      <c r="AG1371" s="21">
        <v>2</v>
      </c>
      <c r="AH1371" s="21" t="s">
        <v>219</v>
      </c>
      <c r="AI1371" s="19">
        <v>2</v>
      </c>
      <c r="AJ1371" s="19">
        <v>2</v>
      </c>
      <c r="AK1371" s="19">
        <v>0</v>
      </c>
      <c r="AL1371" s="19">
        <v>1.5</v>
      </c>
      <c r="AM1371" s="21">
        <v>0</v>
      </c>
      <c r="AN1371" s="21">
        <v>0</v>
      </c>
      <c r="AO1371" s="21">
        <v>0</v>
      </c>
      <c r="AP1371" s="21">
        <v>0</v>
      </c>
      <c r="AQ1371" s="21">
        <v>3000</v>
      </c>
      <c r="AR1371" s="21">
        <v>0</v>
      </c>
      <c r="AS1371" s="21">
        <v>0</v>
      </c>
      <c r="AT1371" s="19">
        <v>0</v>
      </c>
      <c r="AU1371" s="21" t="s">
        <v>204</v>
      </c>
      <c r="AV1371" s="21"/>
      <c r="AW1371" s="30" t="s">
        <v>204</v>
      </c>
      <c r="AX1371" s="21">
        <v>0</v>
      </c>
      <c r="AY1371" s="32">
        <v>0</v>
      </c>
      <c r="AZ1371" s="32">
        <v>0</v>
      </c>
      <c r="BA1371" s="30" t="s">
        <v>206</v>
      </c>
      <c r="BB1371" s="21" t="s">
        <v>3010</v>
      </c>
      <c r="BC1371" s="31">
        <v>0</v>
      </c>
      <c r="BD1371" s="31">
        <v>0</v>
      </c>
      <c r="BE1371" s="33" t="s">
        <v>3011</v>
      </c>
      <c r="BF1371" s="33" t="s">
        <v>3012</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63001003</v>
      </c>
      <c r="D1372" s="30" t="s">
        <v>3013</v>
      </c>
      <c r="E1372" s="30" t="s">
        <v>3014</v>
      </c>
      <c r="F1372" s="21">
        <v>1</v>
      </c>
      <c r="G1372" s="21">
        <v>63003001</v>
      </c>
      <c r="H1372" s="21">
        <v>0</v>
      </c>
      <c r="I1372" s="31">
        <v>0</v>
      </c>
      <c r="J1372" s="32">
        <v>1</v>
      </c>
      <c r="K1372" s="32">
        <v>0</v>
      </c>
      <c r="L1372" s="21">
        <v>0</v>
      </c>
      <c r="M1372" s="21">
        <v>0</v>
      </c>
      <c r="N1372" s="21">
        <v>0</v>
      </c>
      <c r="O1372" s="21">
        <v>2</v>
      </c>
      <c r="P1372" s="21">
        <v>0</v>
      </c>
      <c r="Q1372" s="21">
        <v>0</v>
      </c>
      <c r="R1372" s="21">
        <v>0</v>
      </c>
      <c r="S1372" s="19">
        <v>0</v>
      </c>
      <c r="T1372" s="21">
        <v>0</v>
      </c>
      <c r="U1372" s="21">
        <v>1</v>
      </c>
      <c r="V1372" s="21">
        <v>0</v>
      </c>
      <c r="W1372" s="21">
        <v>0</v>
      </c>
      <c r="X1372" s="32">
        <v>0</v>
      </c>
      <c r="Y1372" s="19">
        <v>0</v>
      </c>
      <c r="Z1372" s="32">
        <v>0</v>
      </c>
      <c r="AA1372" s="21">
        <v>0</v>
      </c>
      <c r="AB1372" s="21">
        <v>0</v>
      </c>
      <c r="AC1372" s="21">
        <v>0</v>
      </c>
      <c r="AD1372" s="21">
        <v>1</v>
      </c>
      <c r="AE1372" s="21">
        <v>0</v>
      </c>
      <c r="AF1372" s="21">
        <v>0</v>
      </c>
      <c r="AG1372" s="21">
        <v>0</v>
      </c>
      <c r="AH1372" s="21" t="s">
        <v>204</v>
      </c>
      <c r="AI1372" s="19">
        <v>0</v>
      </c>
      <c r="AJ1372" s="19">
        <v>0</v>
      </c>
      <c r="AK1372" s="19">
        <v>0</v>
      </c>
      <c r="AL1372" s="19">
        <v>0</v>
      </c>
      <c r="AM1372" s="21">
        <v>0</v>
      </c>
      <c r="AN1372" s="21">
        <v>0</v>
      </c>
      <c r="AO1372" s="21">
        <v>0</v>
      </c>
      <c r="AP1372" s="21">
        <v>0</v>
      </c>
      <c r="AQ1372" s="21">
        <v>0</v>
      </c>
      <c r="AR1372" s="21">
        <v>0</v>
      </c>
      <c r="AS1372" s="21">
        <v>0</v>
      </c>
      <c r="AT1372" s="19">
        <v>0</v>
      </c>
      <c r="AU1372" s="21" t="s">
        <v>204</v>
      </c>
      <c r="AV1372" s="21"/>
      <c r="AW1372" s="30" t="s">
        <v>204</v>
      </c>
      <c r="AX1372" s="21">
        <v>0</v>
      </c>
      <c r="AY1372" s="32">
        <v>0</v>
      </c>
      <c r="AZ1372" s="32">
        <v>0</v>
      </c>
      <c r="BA1372" s="30" t="s">
        <v>204</v>
      </c>
      <c r="BB1372" s="21">
        <v>0</v>
      </c>
      <c r="BC1372" s="31"/>
      <c r="BD1372" s="31">
        <v>0</v>
      </c>
      <c r="BE1372" s="33" t="s">
        <v>3015</v>
      </c>
      <c r="BF1372" s="33" t="s">
        <v>3016</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19.5" customHeight="1">
      <c r="C1373" s="21">
        <v>63001004</v>
      </c>
      <c r="D1373" s="179" t="s">
        <v>3017</v>
      </c>
      <c r="E1373" s="179" t="s">
        <v>3018</v>
      </c>
      <c r="F1373" s="180">
        <v>1</v>
      </c>
      <c r="G1373" s="180">
        <v>63001004</v>
      </c>
      <c r="H1373" s="180">
        <v>0</v>
      </c>
      <c r="I1373" s="180">
        <v>0</v>
      </c>
      <c r="J1373" s="32">
        <v>1</v>
      </c>
      <c r="K1373" s="32">
        <v>0</v>
      </c>
      <c r="L1373" s="21">
        <v>0</v>
      </c>
      <c r="M1373" s="180">
        <v>0</v>
      </c>
      <c r="N1373" s="180">
        <v>0</v>
      </c>
      <c r="O1373" s="180">
        <v>2</v>
      </c>
      <c r="P1373" s="180">
        <v>17</v>
      </c>
      <c r="Q1373" s="180">
        <v>0.2</v>
      </c>
      <c r="R1373" s="180">
        <v>0</v>
      </c>
      <c r="S1373" s="19">
        <v>0</v>
      </c>
      <c r="T1373" s="180">
        <v>0</v>
      </c>
      <c r="U1373" s="180">
        <v>1</v>
      </c>
      <c r="V1373" s="180">
        <v>2</v>
      </c>
      <c r="W1373" s="180">
        <v>0</v>
      </c>
      <c r="X1373" s="180">
        <v>0</v>
      </c>
      <c r="Y1373" s="19">
        <v>0</v>
      </c>
      <c r="Z1373" s="180">
        <v>0</v>
      </c>
      <c r="AA1373" s="180">
        <v>0</v>
      </c>
      <c r="AB1373" s="180">
        <v>0</v>
      </c>
      <c r="AC1373" s="180">
        <v>0</v>
      </c>
      <c r="AD1373" s="21">
        <v>1</v>
      </c>
      <c r="AE1373" s="180">
        <v>0</v>
      </c>
      <c r="AF1373" s="180">
        <v>15</v>
      </c>
      <c r="AG1373" s="180">
        <v>2</v>
      </c>
      <c r="AH1373" s="180" t="s">
        <v>219</v>
      </c>
      <c r="AI1373" s="180">
        <v>2</v>
      </c>
      <c r="AJ1373" s="180">
        <v>3</v>
      </c>
      <c r="AK1373" s="19">
        <v>0</v>
      </c>
      <c r="AL1373" s="180">
        <v>1.5</v>
      </c>
      <c r="AM1373" s="180">
        <v>0</v>
      </c>
      <c r="AN1373" s="180">
        <v>0</v>
      </c>
      <c r="AO1373" s="180">
        <v>0</v>
      </c>
      <c r="AP1373" s="180">
        <v>0</v>
      </c>
      <c r="AQ1373" s="180">
        <v>3000</v>
      </c>
      <c r="AR1373" s="180">
        <v>0.5</v>
      </c>
      <c r="AS1373" s="180">
        <v>0</v>
      </c>
      <c r="AT1373" s="180">
        <v>0</v>
      </c>
      <c r="AU1373" s="180">
        <v>0</v>
      </c>
      <c r="AV1373" s="180"/>
      <c r="AW1373" s="179" t="s">
        <v>204</v>
      </c>
      <c r="AX1373" s="180">
        <v>0</v>
      </c>
      <c r="AY1373" s="180">
        <v>0</v>
      </c>
      <c r="AZ1373" s="180">
        <v>0</v>
      </c>
      <c r="BA1373" s="179" t="s">
        <v>206</v>
      </c>
      <c r="BB1373" s="179">
        <v>0</v>
      </c>
      <c r="BC1373" s="180">
        <v>0</v>
      </c>
      <c r="BD1373" s="180">
        <v>0</v>
      </c>
      <c r="BE1373" s="181" t="str">
        <f>"普通攻击和释放技能都有20%概率向目标施放元素法球技能"</f>
        <v>普通攻击和释放技能都有20%概率向目标施放元素法球技能</v>
      </c>
      <c r="BF1373" s="181" t="s">
        <v>3019</v>
      </c>
      <c r="BG1373" s="180">
        <v>0</v>
      </c>
      <c r="BH1373" s="21">
        <v>0</v>
      </c>
      <c r="BI1373" s="180">
        <v>0</v>
      </c>
      <c r="BJ1373" s="180">
        <v>0</v>
      </c>
      <c r="BK1373" s="180">
        <v>0</v>
      </c>
      <c r="BL1373" s="180">
        <v>0</v>
      </c>
      <c r="BM1373" s="363" t="s">
        <v>3020</v>
      </c>
      <c r="BN1373" s="19">
        <v>0</v>
      </c>
      <c r="BO1373" s="19">
        <v>0</v>
      </c>
      <c r="BP1373" s="19">
        <v>0</v>
      </c>
      <c r="BQ1373" s="19">
        <v>0</v>
      </c>
      <c r="BR1373" s="19">
        <v>0</v>
      </c>
      <c r="BS1373" s="19">
        <v>0</v>
      </c>
      <c r="BT1373" s="19">
        <v>0</v>
      </c>
      <c r="BU1373" s="23">
        <v>0</v>
      </c>
      <c r="BV1373" s="23"/>
      <c r="BW1373" s="23"/>
      <c r="BX1373" s="23"/>
      <c r="BY1373" s="23"/>
      <c r="BZ1373" s="23"/>
    </row>
    <row r="1374" spans="3:78" ht="20.100000000000001" customHeight="1">
      <c r="C1374" s="38">
        <v>63001005</v>
      </c>
      <c r="D1374" s="42" t="s">
        <v>3021</v>
      </c>
      <c r="E1374" s="42" t="s">
        <v>3022</v>
      </c>
      <c r="F1374" s="38">
        <v>1</v>
      </c>
      <c r="G1374" s="38">
        <v>63001005</v>
      </c>
      <c r="H1374" s="38">
        <v>0</v>
      </c>
      <c r="I1374" s="38">
        <v>0</v>
      </c>
      <c r="J1374" s="38">
        <v>1</v>
      </c>
      <c r="K1374" s="38">
        <v>0</v>
      </c>
      <c r="L1374" s="38">
        <v>0</v>
      </c>
      <c r="M1374" s="38">
        <v>0</v>
      </c>
      <c r="N1374" s="38">
        <v>0</v>
      </c>
      <c r="O1374" s="38">
        <v>8</v>
      </c>
      <c r="P1374" s="38">
        <v>0</v>
      </c>
      <c r="Q1374" s="38">
        <v>0</v>
      </c>
      <c r="R1374" s="38">
        <v>0</v>
      </c>
      <c r="S1374" s="38">
        <v>0</v>
      </c>
      <c r="T1374" s="38">
        <v>0</v>
      </c>
      <c r="U1374" s="38">
        <v>1</v>
      </c>
      <c r="V1374" s="38">
        <v>2</v>
      </c>
      <c r="W1374" s="38">
        <v>0</v>
      </c>
      <c r="X1374" s="38">
        <v>0</v>
      </c>
      <c r="Y1374" s="19">
        <v>0</v>
      </c>
      <c r="Z1374" s="38">
        <v>0</v>
      </c>
      <c r="AA1374" s="38">
        <v>0</v>
      </c>
      <c r="AB1374" s="38">
        <v>0</v>
      </c>
      <c r="AC1374" s="38">
        <v>0</v>
      </c>
      <c r="AD1374" s="38">
        <v>1</v>
      </c>
      <c r="AE1374" s="38">
        <v>0</v>
      </c>
      <c r="AF1374" s="38">
        <v>0</v>
      </c>
      <c r="AG1374" s="38">
        <v>2</v>
      </c>
      <c r="AH1374" s="38" t="s">
        <v>219</v>
      </c>
      <c r="AI1374" s="38">
        <v>2</v>
      </c>
      <c r="AJ1374" s="38">
        <v>2</v>
      </c>
      <c r="AK1374" s="38">
        <v>0</v>
      </c>
      <c r="AL1374" s="38">
        <v>1.5</v>
      </c>
      <c r="AM1374" s="38">
        <v>0</v>
      </c>
      <c r="AN1374" s="38">
        <v>0</v>
      </c>
      <c r="AO1374" s="38">
        <v>0</v>
      </c>
      <c r="AP1374" s="38">
        <v>0</v>
      </c>
      <c r="AQ1374" s="38">
        <v>3000</v>
      </c>
      <c r="AR1374" s="38">
        <v>0</v>
      </c>
      <c r="AS1374" s="38">
        <v>0</v>
      </c>
      <c r="AT1374" s="38">
        <v>0</v>
      </c>
      <c r="AU1374" s="38" t="s">
        <v>204</v>
      </c>
      <c r="AV1374" s="38"/>
      <c r="AW1374" s="42" t="s">
        <v>204</v>
      </c>
      <c r="AX1374" s="38">
        <v>0</v>
      </c>
      <c r="AY1374" s="38">
        <v>0</v>
      </c>
      <c r="AZ1374" s="38">
        <v>0</v>
      </c>
      <c r="BA1374" s="42" t="s">
        <v>206</v>
      </c>
      <c r="BB1374" s="38" t="s">
        <v>3023</v>
      </c>
      <c r="BC1374" s="38">
        <v>0</v>
      </c>
      <c r="BD1374" s="38">
        <v>0</v>
      </c>
      <c r="BE1374" s="217" t="s">
        <v>3024</v>
      </c>
      <c r="BF1374" s="217" t="s">
        <v>3025</v>
      </c>
      <c r="BG1374" s="38">
        <v>0</v>
      </c>
      <c r="BH1374" s="38">
        <v>0</v>
      </c>
      <c r="BI1374" s="38">
        <v>0</v>
      </c>
      <c r="BJ1374" s="38">
        <v>0</v>
      </c>
      <c r="BK1374" s="38">
        <v>0</v>
      </c>
      <c r="BL1374" s="38">
        <v>0</v>
      </c>
      <c r="BM1374" s="34">
        <v>0</v>
      </c>
      <c r="BN1374" s="38">
        <v>0</v>
      </c>
      <c r="BO1374" s="38">
        <v>0</v>
      </c>
      <c r="BP1374" s="38">
        <v>0</v>
      </c>
      <c r="BQ1374" s="38">
        <v>0</v>
      </c>
      <c r="BR1374" s="38">
        <v>0</v>
      </c>
      <c r="BS1374" s="38">
        <v>0</v>
      </c>
      <c r="BT1374" s="19">
        <v>0</v>
      </c>
      <c r="BU1374" s="23">
        <v>0</v>
      </c>
      <c r="BV1374" s="23"/>
      <c r="BW1374" s="23"/>
      <c r="BX1374" s="23"/>
      <c r="BY1374" s="23"/>
      <c r="BZ1374" s="23"/>
    </row>
    <row r="1375" spans="3:78" ht="20.100000000000001" customHeight="1">
      <c r="C1375" s="21">
        <v>63002001</v>
      </c>
      <c r="D1375" s="30" t="s">
        <v>3026</v>
      </c>
      <c r="E1375" s="30" t="s">
        <v>3027</v>
      </c>
      <c r="F1375" s="21">
        <v>1</v>
      </c>
      <c r="G1375" s="21">
        <v>63002001</v>
      </c>
      <c r="H1375" s="21">
        <v>0</v>
      </c>
      <c r="I1375" s="31">
        <v>0</v>
      </c>
      <c r="J1375" s="32">
        <v>1</v>
      </c>
      <c r="K1375" s="32">
        <v>0</v>
      </c>
      <c r="L1375" s="21">
        <v>0</v>
      </c>
      <c r="M1375" s="21">
        <v>0</v>
      </c>
      <c r="N1375" s="21">
        <v>0</v>
      </c>
      <c r="O1375" s="21">
        <v>2</v>
      </c>
      <c r="P1375" s="21">
        <v>12</v>
      </c>
      <c r="Q1375" s="21">
        <v>1</v>
      </c>
      <c r="R1375" s="21">
        <v>0</v>
      </c>
      <c r="S1375" s="19">
        <v>0</v>
      </c>
      <c r="T1375" s="21">
        <v>0</v>
      </c>
      <c r="U1375" s="21">
        <v>1</v>
      </c>
      <c r="V1375" s="21">
        <v>2</v>
      </c>
      <c r="W1375" s="21">
        <v>0</v>
      </c>
      <c r="X1375" s="32">
        <v>0</v>
      </c>
      <c r="Y1375" s="19">
        <v>0</v>
      </c>
      <c r="Z1375" s="32">
        <v>0</v>
      </c>
      <c r="AA1375" s="21">
        <v>0</v>
      </c>
      <c r="AB1375" s="21">
        <v>0</v>
      </c>
      <c r="AC1375" s="21">
        <v>0</v>
      </c>
      <c r="AD1375" s="21">
        <v>1</v>
      </c>
      <c r="AE1375" s="21">
        <v>0</v>
      </c>
      <c r="AF1375" s="21">
        <v>60</v>
      </c>
      <c r="AG1375" s="21">
        <v>1</v>
      </c>
      <c r="AH1375" s="21" t="s">
        <v>613</v>
      </c>
      <c r="AI1375" s="19">
        <v>0</v>
      </c>
      <c r="AJ1375" s="19">
        <v>0</v>
      </c>
      <c r="AK1375" s="19">
        <v>0</v>
      </c>
      <c r="AL1375" s="19">
        <v>0</v>
      </c>
      <c r="AM1375" s="21">
        <v>0</v>
      </c>
      <c r="AN1375" s="21">
        <v>0</v>
      </c>
      <c r="AO1375" s="21">
        <v>0</v>
      </c>
      <c r="AP1375" s="21">
        <v>0</v>
      </c>
      <c r="AQ1375" s="21">
        <v>50000</v>
      </c>
      <c r="AR1375" s="21">
        <v>0</v>
      </c>
      <c r="AS1375" s="21">
        <v>0</v>
      </c>
      <c r="AT1375" s="19">
        <v>0</v>
      </c>
      <c r="AU1375" s="21">
        <v>90502001</v>
      </c>
      <c r="AV1375" s="21"/>
      <c r="AW1375" s="30" t="s">
        <v>204</v>
      </c>
      <c r="AX1375" s="21">
        <v>0</v>
      </c>
      <c r="AY1375" s="32">
        <v>0</v>
      </c>
      <c r="AZ1375" s="32">
        <v>0</v>
      </c>
      <c r="BA1375" s="30" t="s">
        <v>3005</v>
      </c>
      <c r="BB1375" s="21">
        <v>0</v>
      </c>
      <c r="BC1375" s="31">
        <v>0</v>
      </c>
      <c r="BD1375" s="31">
        <v>0</v>
      </c>
      <c r="BE1375" s="33" t="s">
        <v>3028</v>
      </c>
      <c r="BF1375" s="33" t="s">
        <v>3029</v>
      </c>
      <c r="BG1375" s="21">
        <v>0</v>
      </c>
      <c r="BH1375" s="21">
        <v>0</v>
      </c>
      <c r="BI1375" s="21">
        <v>0</v>
      </c>
      <c r="BJ1375" s="21">
        <v>0</v>
      </c>
      <c r="BK1375" s="21">
        <v>0</v>
      </c>
      <c r="BL1375" s="21">
        <v>0</v>
      </c>
      <c r="BM1375" s="25">
        <v>0</v>
      </c>
      <c r="BN1375" s="19">
        <v>1</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63002002</v>
      </c>
      <c r="D1376" s="30" t="s">
        <v>3013</v>
      </c>
      <c r="E1376" s="30" t="s">
        <v>3014</v>
      </c>
      <c r="F1376" s="21">
        <v>1</v>
      </c>
      <c r="G1376" s="21">
        <v>63002002</v>
      </c>
      <c r="H1376" s="21">
        <v>0</v>
      </c>
      <c r="I1376" s="31">
        <v>0</v>
      </c>
      <c r="J1376" s="32">
        <v>1</v>
      </c>
      <c r="K1376" s="32">
        <v>0</v>
      </c>
      <c r="L1376" s="21">
        <v>0</v>
      </c>
      <c r="M1376" s="21">
        <v>0</v>
      </c>
      <c r="N1376" s="21">
        <v>0</v>
      </c>
      <c r="O1376" s="21">
        <v>2</v>
      </c>
      <c r="P1376" s="21">
        <v>0</v>
      </c>
      <c r="Q1376" s="21">
        <v>0</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v>0</v>
      </c>
      <c r="BC1376" s="31"/>
      <c r="BD1376" s="31">
        <v>0</v>
      </c>
      <c r="BE1376" s="33" t="s">
        <v>3015</v>
      </c>
      <c r="BF1376" s="33" t="s">
        <v>3016</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63002003</v>
      </c>
      <c r="D1377" s="30" t="s">
        <v>3030</v>
      </c>
      <c r="E1377" s="30" t="s">
        <v>3031</v>
      </c>
      <c r="F1377" s="21">
        <v>1</v>
      </c>
      <c r="G1377" s="21">
        <v>1000001</v>
      </c>
      <c r="H1377" s="21">
        <v>0</v>
      </c>
      <c r="I1377" s="31">
        <v>0</v>
      </c>
      <c r="J1377" s="32">
        <v>1</v>
      </c>
      <c r="K1377" s="32">
        <v>0</v>
      </c>
      <c r="L1377" s="21">
        <v>0</v>
      </c>
      <c r="M1377" s="21">
        <v>0</v>
      </c>
      <c r="N1377" s="21">
        <v>0</v>
      </c>
      <c r="O1377" s="21">
        <v>8</v>
      </c>
      <c r="P1377" s="21">
        <v>8</v>
      </c>
      <c r="Q1377" s="21">
        <v>1</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t="s">
        <v>3032</v>
      </c>
      <c r="BC1377" s="31"/>
      <c r="BD1377" s="31">
        <v>0</v>
      </c>
      <c r="BE1377" s="33" t="s">
        <v>3033</v>
      </c>
      <c r="BF1377" s="33" t="s">
        <v>3034</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19.5" customHeight="1">
      <c r="C1378" s="180">
        <v>63002004</v>
      </c>
      <c r="D1378" s="179" t="s">
        <v>3017</v>
      </c>
      <c r="E1378" s="179" t="s">
        <v>3035</v>
      </c>
      <c r="F1378" s="21">
        <v>1</v>
      </c>
      <c r="G1378" s="239">
        <v>63001004</v>
      </c>
      <c r="H1378" s="32">
        <v>0</v>
      </c>
      <c r="I1378" s="31">
        <v>0</v>
      </c>
      <c r="J1378" s="21">
        <v>1</v>
      </c>
      <c r="K1378" s="32">
        <v>0</v>
      </c>
      <c r="L1378" s="21">
        <v>0</v>
      </c>
      <c r="M1378" s="32">
        <v>0</v>
      </c>
      <c r="N1378" s="32">
        <v>0</v>
      </c>
      <c r="O1378" s="32">
        <v>2</v>
      </c>
      <c r="P1378" s="32">
        <v>1</v>
      </c>
      <c r="Q1378" s="32">
        <v>0.2</v>
      </c>
      <c r="R1378" s="32">
        <v>0</v>
      </c>
      <c r="S1378" s="19">
        <v>0</v>
      </c>
      <c r="T1378" s="31">
        <v>0</v>
      </c>
      <c r="U1378" s="21">
        <v>1</v>
      </c>
      <c r="V1378" s="32">
        <v>2</v>
      </c>
      <c r="W1378" s="32">
        <v>0</v>
      </c>
      <c r="X1378" s="32">
        <v>3.5</v>
      </c>
      <c r="Y1378" s="19">
        <v>0</v>
      </c>
      <c r="Z1378" s="32">
        <v>0</v>
      </c>
      <c r="AA1378" s="32">
        <v>0</v>
      </c>
      <c r="AB1378" s="32">
        <v>0</v>
      </c>
      <c r="AC1378" s="32">
        <v>0</v>
      </c>
      <c r="AD1378" s="32">
        <v>1</v>
      </c>
      <c r="AE1378" s="32">
        <v>0</v>
      </c>
      <c r="AF1378" s="32">
        <v>5</v>
      </c>
      <c r="AG1378" s="32">
        <v>1</v>
      </c>
      <c r="AH1378" s="32">
        <v>3.5</v>
      </c>
      <c r="AI1378" s="19">
        <v>1</v>
      </c>
      <c r="AJ1378" s="19">
        <v>1</v>
      </c>
      <c r="AK1378" s="19">
        <v>0</v>
      </c>
      <c r="AL1378" s="19">
        <v>6</v>
      </c>
      <c r="AM1378" s="32">
        <v>0</v>
      </c>
      <c r="AN1378" s="32">
        <v>0</v>
      </c>
      <c r="AO1378" s="32">
        <v>0</v>
      </c>
      <c r="AP1378" s="32">
        <v>0.25</v>
      </c>
      <c r="AQ1378" s="32">
        <v>3000</v>
      </c>
      <c r="AR1378" s="32">
        <v>2</v>
      </c>
      <c r="AS1378" s="32">
        <v>0</v>
      </c>
      <c r="AT1378" s="19">
        <v>0</v>
      </c>
      <c r="AU1378" s="341" t="s">
        <v>3036</v>
      </c>
      <c r="AV1378" s="19"/>
      <c r="AW1378" s="35" t="s">
        <v>205</v>
      </c>
      <c r="AX1378" s="32" t="s">
        <v>1472</v>
      </c>
      <c r="AY1378" s="32">
        <v>10003002</v>
      </c>
      <c r="AZ1378" s="32">
        <v>21020101</v>
      </c>
      <c r="BA1378" s="35" t="s">
        <v>206</v>
      </c>
      <c r="BB1378" s="35">
        <v>0</v>
      </c>
      <c r="BC1378" s="31">
        <v>0</v>
      </c>
      <c r="BD1378" s="31">
        <v>0</v>
      </c>
      <c r="BE1378" s="185" t="str">
        <f>"每次攻击有20%概率释放驭剑之击对目标范围内的怪物造成"&amp;X1378*100&amp;"%攻击伤害,并使目标眩晕1秒"</f>
        <v>每次攻击有20%概率释放驭剑之击对目标范围内的怪物造成350%攻击伤害,并使目标眩晕1秒</v>
      </c>
      <c r="BF1378" s="185" t="s">
        <v>3037</v>
      </c>
      <c r="BG1378" s="32">
        <v>0</v>
      </c>
      <c r="BH1378" s="21">
        <v>0</v>
      </c>
      <c r="BI1378" s="32">
        <v>0</v>
      </c>
      <c r="BJ1378" s="32">
        <v>0</v>
      </c>
      <c r="BK1378" s="32">
        <v>0</v>
      </c>
      <c r="BL1378" s="32">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63002005</v>
      </c>
      <c r="D1379" s="30" t="s">
        <v>3038</v>
      </c>
      <c r="E1379" s="30" t="s">
        <v>3039</v>
      </c>
      <c r="F1379" s="21">
        <v>1</v>
      </c>
      <c r="G1379" s="21">
        <v>61012101</v>
      </c>
      <c r="H1379" s="21">
        <v>0</v>
      </c>
      <c r="I1379" s="31">
        <v>0</v>
      </c>
      <c r="J1379" s="21">
        <v>1</v>
      </c>
      <c r="K1379" s="21">
        <v>0</v>
      </c>
      <c r="L1379" s="21">
        <v>0</v>
      </c>
      <c r="M1379" s="21">
        <v>0</v>
      </c>
      <c r="N1379" s="21">
        <v>0</v>
      </c>
      <c r="O1379" s="21">
        <v>2</v>
      </c>
      <c r="P1379" s="21">
        <v>1</v>
      </c>
      <c r="Q1379" s="21">
        <v>0.4</v>
      </c>
      <c r="R1379" s="21">
        <v>0</v>
      </c>
      <c r="S1379" s="19">
        <v>0</v>
      </c>
      <c r="T1379" s="21">
        <v>0</v>
      </c>
      <c r="U1379" s="21">
        <v>1</v>
      </c>
      <c r="V1379" s="21">
        <v>1</v>
      </c>
      <c r="W1379" s="21">
        <v>0</v>
      </c>
      <c r="X1379" s="21">
        <v>2</v>
      </c>
      <c r="Y1379" s="19">
        <v>0</v>
      </c>
      <c r="Z1379" s="21">
        <v>500</v>
      </c>
      <c r="AA1379" s="21">
        <v>0</v>
      </c>
      <c r="AB1379" s="21">
        <v>0</v>
      </c>
      <c r="AC1379" s="21">
        <v>0</v>
      </c>
      <c r="AD1379" s="21">
        <v>1</v>
      </c>
      <c r="AE1379" s="21">
        <v>0</v>
      </c>
      <c r="AF1379" s="21">
        <v>3</v>
      </c>
      <c r="AG1379" s="21">
        <v>2</v>
      </c>
      <c r="AH1379" s="21" t="s">
        <v>1651</v>
      </c>
      <c r="AI1379" s="19">
        <v>2</v>
      </c>
      <c r="AJ1379" s="19">
        <v>0</v>
      </c>
      <c r="AK1379" s="19">
        <v>0</v>
      </c>
      <c r="AL1379" s="19">
        <v>1.5</v>
      </c>
      <c r="AM1379" s="21">
        <v>0</v>
      </c>
      <c r="AN1379" s="21">
        <v>0</v>
      </c>
      <c r="AO1379" s="21">
        <v>0</v>
      </c>
      <c r="AP1379" s="21">
        <v>0</v>
      </c>
      <c r="AQ1379" s="21">
        <v>3000</v>
      </c>
      <c r="AR1379" s="21">
        <v>0</v>
      </c>
      <c r="AS1379" s="21">
        <v>0</v>
      </c>
      <c r="AT1379" s="19">
        <v>0</v>
      </c>
      <c r="AU1379" s="21">
        <v>0</v>
      </c>
      <c r="AV1379" s="21"/>
      <c r="AW1379" s="30" t="s">
        <v>293</v>
      </c>
      <c r="AX1379" s="21" t="s">
        <v>1652</v>
      </c>
      <c r="AY1379" s="32">
        <v>10001007</v>
      </c>
      <c r="AZ1379" s="32">
        <v>21000010</v>
      </c>
      <c r="BA1379" s="30" t="s">
        <v>206</v>
      </c>
      <c r="BB1379" s="21">
        <v>0</v>
      </c>
      <c r="BC1379" s="31">
        <v>0</v>
      </c>
      <c r="BD1379" s="31">
        <v>0</v>
      </c>
      <c r="BE1379" s="171" t="str">
        <f>"每次攻击有40%概率立即对目标范围内的怪物造成"&amp;X1379*100&amp;"%攻击伤害+"&amp;Z1379&amp;"点固定伤害"</f>
        <v>每次攻击有40%概率立即对目标范围内的怪物造成200%攻击伤害+500点固定伤害</v>
      </c>
      <c r="BF1379" s="171" t="s">
        <v>3040</v>
      </c>
      <c r="BG1379" s="21">
        <v>0</v>
      </c>
      <c r="BH1379" s="21">
        <v>0</v>
      </c>
      <c r="BI1379" s="21">
        <v>0</v>
      </c>
      <c r="BJ1379" s="21">
        <v>0</v>
      </c>
      <c r="BK1379" s="21">
        <v>0</v>
      </c>
      <c r="BL1379" s="21">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63003001</v>
      </c>
      <c r="D1380" s="30" t="s">
        <v>3041</v>
      </c>
      <c r="E1380" s="30" t="s">
        <v>3042</v>
      </c>
      <c r="F1380" s="21">
        <v>1</v>
      </c>
      <c r="G1380" s="21">
        <v>63003001</v>
      </c>
      <c r="H1380" s="21">
        <v>0</v>
      </c>
      <c r="I1380" s="31">
        <v>0</v>
      </c>
      <c r="J1380" s="32">
        <v>1</v>
      </c>
      <c r="K1380" s="32">
        <v>0</v>
      </c>
      <c r="L1380" s="21">
        <v>0</v>
      </c>
      <c r="M1380" s="21">
        <v>0</v>
      </c>
      <c r="N1380" s="21">
        <v>0</v>
      </c>
      <c r="O1380" s="21">
        <v>2</v>
      </c>
      <c r="P1380" s="21">
        <v>12</v>
      </c>
      <c r="Q1380" s="21">
        <v>1</v>
      </c>
      <c r="R1380" s="21">
        <v>0</v>
      </c>
      <c r="S1380" s="19">
        <v>0</v>
      </c>
      <c r="T1380" s="21">
        <v>0</v>
      </c>
      <c r="U1380" s="21">
        <v>1</v>
      </c>
      <c r="V1380" s="21">
        <v>2</v>
      </c>
      <c r="W1380" s="21">
        <v>0</v>
      </c>
      <c r="X1380" s="32">
        <v>0</v>
      </c>
      <c r="Y1380" s="19">
        <v>0</v>
      </c>
      <c r="Z1380" s="32">
        <v>0</v>
      </c>
      <c r="AA1380" s="21">
        <v>0</v>
      </c>
      <c r="AB1380" s="21">
        <v>0</v>
      </c>
      <c r="AC1380" s="21">
        <v>0</v>
      </c>
      <c r="AD1380" s="21">
        <v>1</v>
      </c>
      <c r="AE1380" s="21">
        <v>0</v>
      </c>
      <c r="AF1380" s="21">
        <v>60</v>
      </c>
      <c r="AG1380" s="21">
        <v>1</v>
      </c>
      <c r="AH1380" s="21">
        <v>10</v>
      </c>
      <c r="AI1380" s="19">
        <v>0</v>
      </c>
      <c r="AJ1380" s="19">
        <v>0</v>
      </c>
      <c r="AK1380" s="19">
        <v>0</v>
      </c>
      <c r="AL1380" s="19">
        <v>0</v>
      </c>
      <c r="AM1380" s="21">
        <v>0</v>
      </c>
      <c r="AN1380" s="21">
        <v>0</v>
      </c>
      <c r="AO1380" s="21">
        <v>0</v>
      </c>
      <c r="AP1380" s="21">
        <v>0</v>
      </c>
      <c r="AQ1380" s="21">
        <v>50000</v>
      </c>
      <c r="AR1380" s="21">
        <v>0</v>
      </c>
      <c r="AS1380" s="21">
        <v>0</v>
      </c>
      <c r="AT1380" s="19">
        <v>90503001</v>
      </c>
      <c r="AU1380" s="21">
        <v>90503001</v>
      </c>
      <c r="AV1380" s="21"/>
      <c r="AW1380" s="30" t="s">
        <v>204</v>
      </c>
      <c r="AX1380" s="21">
        <v>0</v>
      </c>
      <c r="AY1380" s="32">
        <v>0</v>
      </c>
      <c r="AZ1380" s="32">
        <v>0</v>
      </c>
      <c r="BA1380" s="30" t="s">
        <v>3005</v>
      </c>
      <c r="BB1380" s="21">
        <v>0</v>
      </c>
      <c r="BC1380" s="31">
        <v>0</v>
      </c>
      <c r="BD1380" s="31">
        <v>0</v>
      </c>
      <c r="BE1380" s="33" t="s">
        <v>3043</v>
      </c>
      <c r="BF1380" s="33" t="s">
        <v>3044</v>
      </c>
      <c r="BG1380" s="21">
        <v>0</v>
      </c>
      <c r="BH1380" s="21">
        <v>0</v>
      </c>
      <c r="BI1380" s="21">
        <v>0</v>
      </c>
      <c r="BJ1380" s="21">
        <v>0</v>
      </c>
      <c r="BK1380" s="21">
        <v>0</v>
      </c>
      <c r="BL1380" s="21">
        <v>0</v>
      </c>
      <c r="BM1380" s="25">
        <v>0</v>
      </c>
      <c r="BN1380" s="19">
        <v>1</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63003002</v>
      </c>
      <c r="D1381" s="30" t="s">
        <v>3045</v>
      </c>
      <c r="E1381" s="30" t="s">
        <v>3046</v>
      </c>
      <c r="F1381" s="21">
        <v>1</v>
      </c>
      <c r="G1381" s="21">
        <v>63003002</v>
      </c>
      <c r="H1381" s="21">
        <v>0</v>
      </c>
      <c r="I1381" s="31">
        <v>0</v>
      </c>
      <c r="J1381" s="32">
        <v>1</v>
      </c>
      <c r="K1381" s="32">
        <v>0</v>
      </c>
      <c r="L1381" s="21">
        <v>0</v>
      </c>
      <c r="M1381" s="21">
        <v>0</v>
      </c>
      <c r="N1381" s="21">
        <v>0</v>
      </c>
      <c r="O1381" s="21">
        <v>2</v>
      </c>
      <c r="P1381" s="21">
        <v>0</v>
      </c>
      <c r="Q1381" s="21">
        <v>0</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v>0</v>
      </c>
      <c r="BC1381" s="31"/>
      <c r="BD1381" s="31">
        <v>0</v>
      </c>
      <c r="BE1381" s="33" t="s">
        <v>3047</v>
      </c>
      <c r="BF1381" s="33" t="s">
        <v>3048</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63003003</v>
      </c>
      <c r="D1382" s="30" t="s">
        <v>3049</v>
      </c>
      <c r="E1382" s="30" t="s">
        <v>3031</v>
      </c>
      <c r="F1382" s="21">
        <v>1</v>
      </c>
      <c r="G1382" s="21">
        <v>1000002</v>
      </c>
      <c r="H1382" s="21">
        <v>0</v>
      </c>
      <c r="I1382" s="31">
        <v>0</v>
      </c>
      <c r="J1382" s="32">
        <v>1</v>
      </c>
      <c r="K1382" s="32">
        <v>0</v>
      </c>
      <c r="L1382" s="21">
        <v>0</v>
      </c>
      <c r="M1382" s="21">
        <v>0</v>
      </c>
      <c r="N1382" s="21">
        <v>0</v>
      </c>
      <c r="O1382" s="21">
        <v>8</v>
      </c>
      <c r="P1382" s="21">
        <v>8</v>
      </c>
      <c r="Q1382" s="21">
        <v>2</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t="s">
        <v>3050</v>
      </c>
      <c r="BC1382" s="31"/>
      <c r="BD1382" s="31">
        <v>0</v>
      </c>
      <c r="BE1382" s="33" t="s">
        <v>3051</v>
      </c>
      <c r="BF1382" s="33" t="s">
        <v>3052</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63003004</v>
      </c>
      <c r="D1383" s="179" t="s">
        <v>3017</v>
      </c>
      <c r="E1383" s="179" t="s">
        <v>3053</v>
      </c>
      <c r="F1383" s="180">
        <v>1</v>
      </c>
      <c r="G1383" s="180">
        <v>63001004</v>
      </c>
      <c r="H1383" s="180">
        <v>0</v>
      </c>
      <c r="I1383" s="180">
        <v>0</v>
      </c>
      <c r="J1383" s="32">
        <v>1</v>
      </c>
      <c r="K1383" s="32">
        <v>0</v>
      </c>
      <c r="L1383" s="21">
        <v>0</v>
      </c>
      <c r="M1383" s="180">
        <v>0</v>
      </c>
      <c r="N1383" s="180">
        <v>0</v>
      </c>
      <c r="O1383" s="180">
        <v>2</v>
      </c>
      <c r="P1383" s="180">
        <v>5</v>
      </c>
      <c r="Q1383" s="180">
        <v>0.15</v>
      </c>
      <c r="R1383" s="180">
        <v>0</v>
      </c>
      <c r="S1383" s="19">
        <v>0</v>
      </c>
      <c r="T1383" s="180">
        <v>0</v>
      </c>
      <c r="U1383" s="180">
        <v>1</v>
      </c>
      <c r="V1383" s="180">
        <v>2</v>
      </c>
      <c r="W1383" s="180">
        <v>0</v>
      </c>
      <c r="X1383" s="180">
        <v>0</v>
      </c>
      <c r="Y1383" s="19">
        <v>0</v>
      </c>
      <c r="Z1383" s="180">
        <v>0</v>
      </c>
      <c r="AA1383" s="180">
        <v>0</v>
      </c>
      <c r="AB1383" s="180">
        <v>0</v>
      </c>
      <c r="AC1383" s="180">
        <v>0</v>
      </c>
      <c r="AD1383" s="21">
        <v>1</v>
      </c>
      <c r="AE1383" s="180">
        <v>0</v>
      </c>
      <c r="AF1383" s="180">
        <v>6</v>
      </c>
      <c r="AG1383" s="180">
        <v>1</v>
      </c>
      <c r="AH1383" s="180">
        <v>1</v>
      </c>
      <c r="AI1383" s="180">
        <v>2</v>
      </c>
      <c r="AJ1383" s="180">
        <v>0</v>
      </c>
      <c r="AK1383" s="19">
        <v>0</v>
      </c>
      <c r="AL1383" s="180">
        <v>2</v>
      </c>
      <c r="AM1383" s="180">
        <v>0</v>
      </c>
      <c r="AN1383" s="180">
        <v>0</v>
      </c>
      <c r="AO1383" s="180">
        <v>0</v>
      </c>
      <c r="AP1383" s="21">
        <v>0</v>
      </c>
      <c r="AQ1383" s="180">
        <v>10000</v>
      </c>
      <c r="AR1383" s="180">
        <v>0.5</v>
      </c>
      <c r="AS1383" s="180">
        <v>0</v>
      </c>
      <c r="AT1383" s="180">
        <v>0</v>
      </c>
      <c r="AU1383" s="180" t="s">
        <v>204</v>
      </c>
      <c r="AV1383" s="180"/>
      <c r="AW1383" s="179" t="s">
        <v>205</v>
      </c>
      <c r="AX1383" s="180">
        <v>0</v>
      </c>
      <c r="AY1383" s="180">
        <v>0</v>
      </c>
      <c r="AZ1383" s="180">
        <v>0</v>
      </c>
      <c r="BA1383" s="179" t="s">
        <v>206</v>
      </c>
      <c r="BB1383" s="179" t="s">
        <v>204</v>
      </c>
      <c r="BC1383" s="180">
        <v>0</v>
      </c>
      <c r="BD1383" s="180">
        <v>0</v>
      </c>
      <c r="BE1383" s="181" t="s">
        <v>3054</v>
      </c>
      <c r="BF1383" s="181" t="s">
        <v>3055</v>
      </c>
      <c r="BG1383" s="180">
        <v>0</v>
      </c>
      <c r="BH1383" s="21">
        <v>0</v>
      </c>
      <c r="BI1383" s="180">
        <v>0</v>
      </c>
      <c r="BJ1383" s="180">
        <v>0</v>
      </c>
      <c r="BK1383" s="180">
        <v>0</v>
      </c>
      <c r="BL1383" s="180">
        <v>0</v>
      </c>
      <c r="BM1383" s="364" t="s">
        <v>3056</v>
      </c>
      <c r="BN1383" s="19">
        <v>1</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63003005</v>
      </c>
      <c r="D1384" s="30" t="s">
        <v>3057</v>
      </c>
      <c r="E1384" s="30" t="s">
        <v>3058</v>
      </c>
      <c r="F1384" s="21">
        <v>1</v>
      </c>
      <c r="G1384" s="21">
        <v>1000003</v>
      </c>
      <c r="H1384" s="21">
        <v>0</v>
      </c>
      <c r="I1384" s="31">
        <v>0</v>
      </c>
      <c r="J1384" s="32">
        <v>1</v>
      </c>
      <c r="K1384" s="32">
        <v>0</v>
      </c>
      <c r="L1384" s="21">
        <v>0</v>
      </c>
      <c r="M1384" s="21">
        <v>0</v>
      </c>
      <c r="N1384" s="21">
        <v>0</v>
      </c>
      <c r="O1384" s="21">
        <v>8</v>
      </c>
      <c r="P1384" s="21">
        <v>8</v>
      </c>
      <c r="Q1384" s="21">
        <v>3</v>
      </c>
      <c r="R1384" s="21">
        <v>0</v>
      </c>
      <c r="S1384" s="19">
        <v>0</v>
      </c>
      <c r="T1384" s="21">
        <v>0</v>
      </c>
      <c r="U1384" s="21">
        <v>1</v>
      </c>
      <c r="V1384" s="21">
        <v>0</v>
      </c>
      <c r="W1384" s="21">
        <v>0</v>
      </c>
      <c r="X1384" s="32">
        <v>0</v>
      </c>
      <c r="Y1384" s="19">
        <v>0</v>
      </c>
      <c r="Z1384" s="32">
        <v>0</v>
      </c>
      <c r="AA1384" s="21">
        <v>0</v>
      </c>
      <c r="AB1384" s="21">
        <v>0</v>
      </c>
      <c r="AC1384" s="21">
        <v>0</v>
      </c>
      <c r="AD1384" s="21">
        <v>1</v>
      </c>
      <c r="AE1384" s="21">
        <v>0</v>
      </c>
      <c r="AF1384" s="21">
        <v>0</v>
      </c>
      <c r="AG1384" s="21">
        <v>0</v>
      </c>
      <c r="AH1384" s="21" t="s">
        <v>204</v>
      </c>
      <c r="AI1384" s="19">
        <v>0</v>
      </c>
      <c r="AJ1384" s="19">
        <v>0</v>
      </c>
      <c r="AK1384" s="19">
        <v>0</v>
      </c>
      <c r="AL1384" s="19">
        <v>0</v>
      </c>
      <c r="AM1384" s="21">
        <v>0</v>
      </c>
      <c r="AN1384" s="21">
        <v>0</v>
      </c>
      <c r="AO1384" s="21">
        <v>0</v>
      </c>
      <c r="AP1384" s="21">
        <v>0</v>
      </c>
      <c r="AQ1384" s="21">
        <v>0</v>
      </c>
      <c r="AR1384" s="21">
        <v>0</v>
      </c>
      <c r="AS1384" s="21">
        <v>0</v>
      </c>
      <c r="AT1384" s="19">
        <v>0</v>
      </c>
      <c r="AU1384" s="21" t="s">
        <v>204</v>
      </c>
      <c r="AV1384" s="21"/>
      <c r="AW1384" s="30" t="s">
        <v>204</v>
      </c>
      <c r="AX1384" s="21">
        <v>0</v>
      </c>
      <c r="AY1384" s="32">
        <v>0</v>
      </c>
      <c r="AZ1384" s="32">
        <v>0</v>
      </c>
      <c r="BA1384" s="30" t="s">
        <v>204</v>
      </c>
      <c r="BB1384" s="21">
        <v>0</v>
      </c>
      <c r="BC1384" s="31"/>
      <c r="BD1384" s="31">
        <v>1</v>
      </c>
      <c r="BE1384" s="33" t="s">
        <v>3059</v>
      </c>
      <c r="BF1384" s="33" t="s">
        <v>3060</v>
      </c>
      <c r="BG1384" s="21">
        <v>0</v>
      </c>
      <c r="BH1384" s="21">
        <v>0</v>
      </c>
      <c r="BI1384" s="21">
        <v>0</v>
      </c>
      <c r="BJ1384" s="21">
        <v>0</v>
      </c>
      <c r="BK1384" s="21">
        <v>0</v>
      </c>
      <c r="BL1384" s="21">
        <v>0</v>
      </c>
      <c r="BM1384" s="25">
        <v>0</v>
      </c>
      <c r="BN1384" s="19">
        <v>0</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63101001</v>
      </c>
      <c r="D1385" s="30" t="s">
        <v>3061</v>
      </c>
      <c r="E1385" s="30" t="s">
        <v>3062</v>
      </c>
      <c r="F1385" s="21">
        <v>1</v>
      </c>
      <c r="G1385" s="21">
        <v>63001001</v>
      </c>
      <c r="H1385" s="21">
        <v>0</v>
      </c>
      <c r="I1385" s="31">
        <v>0</v>
      </c>
      <c r="J1385" s="32">
        <v>1</v>
      </c>
      <c r="K1385" s="32">
        <v>0</v>
      </c>
      <c r="L1385" s="21">
        <v>0</v>
      </c>
      <c r="M1385" s="21">
        <v>0</v>
      </c>
      <c r="N1385" s="21">
        <v>0</v>
      </c>
      <c r="O1385" s="21">
        <v>2</v>
      </c>
      <c r="P1385" s="21">
        <v>12</v>
      </c>
      <c r="Q1385" s="21">
        <v>1</v>
      </c>
      <c r="R1385" s="21">
        <v>0</v>
      </c>
      <c r="S1385" s="19">
        <v>0</v>
      </c>
      <c r="T1385" s="21">
        <v>0</v>
      </c>
      <c r="U1385" s="21">
        <v>1</v>
      </c>
      <c r="V1385" s="21">
        <v>2</v>
      </c>
      <c r="W1385" s="21">
        <v>0</v>
      </c>
      <c r="X1385" s="32">
        <v>0</v>
      </c>
      <c r="Y1385" s="19">
        <v>0</v>
      </c>
      <c r="Z1385" s="32">
        <v>0</v>
      </c>
      <c r="AA1385" s="21">
        <v>0</v>
      </c>
      <c r="AB1385" s="21">
        <v>0</v>
      </c>
      <c r="AC1385" s="21">
        <v>0</v>
      </c>
      <c r="AD1385" s="21">
        <v>1</v>
      </c>
      <c r="AE1385" s="21">
        <v>0</v>
      </c>
      <c r="AF1385" s="21">
        <v>60</v>
      </c>
      <c r="AG1385" s="21">
        <v>1</v>
      </c>
      <c r="AH1385" s="21">
        <v>10</v>
      </c>
      <c r="AI1385" s="19">
        <v>0</v>
      </c>
      <c r="AJ1385" s="19">
        <v>0</v>
      </c>
      <c r="AK1385" s="19">
        <v>0</v>
      </c>
      <c r="AL1385" s="19">
        <v>0</v>
      </c>
      <c r="AM1385" s="21">
        <v>0</v>
      </c>
      <c r="AN1385" s="21">
        <v>0</v>
      </c>
      <c r="AO1385" s="21">
        <v>0</v>
      </c>
      <c r="AP1385" s="21">
        <v>0</v>
      </c>
      <c r="AQ1385" s="21">
        <v>50000</v>
      </c>
      <c r="AR1385" s="21">
        <v>0</v>
      </c>
      <c r="AS1385" s="21">
        <v>0</v>
      </c>
      <c r="AT1385" s="19">
        <v>0</v>
      </c>
      <c r="AU1385" s="21">
        <v>90511003</v>
      </c>
      <c r="AV1385" s="21"/>
      <c r="AW1385" s="30" t="s">
        <v>204</v>
      </c>
      <c r="AX1385" s="21">
        <v>0</v>
      </c>
      <c r="AY1385" s="32">
        <v>0</v>
      </c>
      <c r="AZ1385" s="32">
        <v>0</v>
      </c>
      <c r="BA1385" s="30" t="s">
        <v>3005</v>
      </c>
      <c r="BB1385" s="21">
        <v>0</v>
      </c>
      <c r="BC1385" s="31">
        <v>0</v>
      </c>
      <c r="BD1385" s="31">
        <v>0</v>
      </c>
      <c r="BE1385" s="33" t="s">
        <v>3063</v>
      </c>
      <c r="BF1385" s="33" t="s">
        <v>3064</v>
      </c>
      <c r="BG1385" s="21">
        <v>0</v>
      </c>
      <c r="BH1385" s="21">
        <v>0</v>
      </c>
      <c r="BI1385" s="21">
        <v>0</v>
      </c>
      <c r="BJ1385" s="21">
        <v>0</v>
      </c>
      <c r="BK1385" s="21">
        <v>0</v>
      </c>
      <c r="BL1385" s="21">
        <v>0</v>
      </c>
      <c r="BM1385" s="25">
        <v>0</v>
      </c>
      <c r="BN1385" s="19">
        <v>1</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63101002</v>
      </c>
      <c r="D1386" s="30" t="s">
        <v>3065</v>
      </c>
      <c r="E1386" s="30" t="s">
        <v>3066</v>
      </c>
      <c r="F1386" s="21">
        <v>1</v>
      </c>
      <c r="G1386" s="21">
        <v>1000003</v>
      </c>
      <c r="H1386" s="21">
        <v>0</v>
      </c>
      <c r="I1386" s="31">
        <v>0</v>
      </c>
      <c r="J1386" s="32">
        <v>1</v>
      </c>
      <c r="K1386" s="32">
        <v>0</v>
      </c>
      <c r="L1386" s="21">
        <v>0</v>
      </c>
      <c r="M1386" s="21">
        <v>0</v>
      </c>
      <c r="N1386" s="21">
        <v>0</v>
      </c>
      <c r="O1386" s="21">
        <v>8</v>
      </c>
      <c r="P1386" s="21">
        <v>8</v>
      </c>
      <c r="Q1386" s="21">
        <v>3</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t="s">
        <v>3067</v>
      </c>
      <c r="BC1386" s="31"/>
      <c r="BD1386" s="31">
        <v>0</v>
      </c>
      <c r="BE1386" s="33" t="s">
        <v>3068</v>
      </c>
      <c r="BF1386" s="33" t="s">
        <v>3069</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63101003</v>
      </c>
      <c r="D1387" s="30" t="s">
        <v>3070</v>
      </c>
      <c r="E1387" s="30" t="s">
        <v>3071</v>
      </c>
      <c r="F1387" s="21">
        <v>1</v>
      </c>
      <c r="G1387" s="21">
        <v>63001003</v>
      </c>
      <c r="H1387" s="21">
        <v>0</v>
      </c>
      <c r="I1387" s="31">
        <v>0</v>
      </c>
      <c r="J1387" s="32">
        <v>1</v>
      </c>
      <c r="K1387" s="32">
        <v>0</v>
      </c>
      <c r="L1387" s="21">
        <v>0</v>
      </c>
      <c r="M1387" s="21">
        <v>0</v>
      </c>
      <c r="N1387" s="21">
        <v>0</v>
      </c>
      <c r="O1387" s="21">
        <v>2</v>
      </c>
      <c r="P1387" s="21">
        <v>0</v>
      </c>
      <c r="Q1387" s="21">
        <v>0</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v>0</v>
      </c>
      <c r="BC1387" s="31"/>
      <c r="BD1387" s="31">
        <v>0</v>
      </c>
      <c r="BE1387" s="33" t="s">
        <v>3072</v>
      </c>
      <c r="BF1387" s="33" t="s">
        <v>3073</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63101004</v>
      </c>
      <c r="D1388" s="179" t="s">
        <v>3017</v>
      </c>
      <c r="E1388" s="179" t="s">
        <v>3074</v>
      </c>
      <c r="F1388" s="180">
        <v>1</v>
      </c>
      <c r="G1388" s="180">
        <v>63001004</v>
      </c>
      <c r="H1388" s="180">
        <v>0</v>
      </c>
      <c r="I1388" s="180">
        <v>0</v>
      </c>
      <c r="J1388" s="32">
        <v>1</v>
      </c>
      <c r="K1388" s="32">
        <v>0</v>
      </c>
      <c r="L1388" s="21">
        <v>0</v>
      </c>
      <c r="M1388" s="180">
        <v>0</v>
      </c>
      <c r="N1388" s="180">
        <v>0</v>
      </c>
      <c r="O1388" s="180">
        <v>2</v>
      </c>
      <c r="P1388" s="180">
        <v>17</v>
      </c>
      <c r="Q1388" s="180">
        <v>0.15</v>
      </c>
      <c r="R1388" s="180">
        <v>0</v>
      </c>
      <c r="S1388" s="19">
        <v>0</v>
      </c>
      <c r="T1388" s="180">
        <v>0</v>
      </c>
      <c r="U1388" s="180">
        <v>1</v>
      </c>
      <c r="V1388" s="180">
        <v>2</v>
      </c>
      <c r="W1388" s="180">
        <v>0</v>
      </c>
      <c r="X1388" s="180">
        <v>0</v>
      </c>
      <c r="Y1388" s="19">
        <v>0</v>
      </c>
      <c r="Z1388" s="180">
        <v>0</v>
      </c>
      <c r="AA1388" s="180">
        <v>0</v>
      </c>
      <c r="AB1388" s="180">
        <v>0</v>
      </c>
      <c r="AC1388" s="180">
        <v>0</v>
      </c>
      <c r="AD1388" s="21">
        <v>1</v>
      </c>
      <c r="AE1388" s="180">
        <v>0</v>
      </c>
      <c r="AF1388" s="180">
        <v>15</v>
      </c>
      <c r="AG1388" s="180">
        <v>1</v>
      </c>
      <c r="AH1388" s="180">
        <v>1</v>
      </c>
      <c r="AI1388" s="180">
        <v>2</v>
      </c>
      <c r="AJ1388" s="180">
        <v>0</v>
      </c>
      <c r="AK1388" s="19">
        <v>0</v>
      </c>
      <c r="AL1388" s="180">
        <v>2</v>
      </c>
      <c r="AM1388" s="180">
        <v>0</v>
      </c>
      <c r="AN1388" s="180">
        <v>0</v>
      </c>
      <c r="AO1388" s="180">
        <v>0</v>
      </c>
      <c r="AP1388" s="21">
        <v>0</v>
      </c>
      <c r="AQ1388" s="180">
        <v>10000</v>
      </c>
      <c r="AR1388" s="180">
        <v>0.5</v>
      </c>
      <c r="AS1388" s="180">
        <v>0</v>
      </c>
      <c r="AT1388" s="180">
        <v>0</v>
      </c>
      <c r="AU1388" s="180" t="s">
        <v>204</v>
      </c>
      <c r="AV1388" s="180"/>
      <c r="AW1388" s="179"/>
      <c r="AX1388" s="180">
        <v>0</v>
      </c>
      <c r="AY1388" s="180">
        <v>0</v>
      </c>
      <c r="AZ1388" s="180">
        <v>0</v>
      </c>
      <c r="BA1388" s="179" t="s">
        <v>206</v>
      </c>
      <c r="BB1388" s="179" t="s">
        <v>204</v>
      </c>
      <c r="BC1388" s="180">
        <v>0</v>
      </c>
      <c r="BD1388" s="180">
        <v>0</v>
      </c>
      <c r="BE1388" s="181" t="s">
        <v>3075</v>
      </c>
      <c r="BF1388" s="181" t="s">
        <v>3076</v>
      </c>
      <c r="BG1388" s="180">
        <v>0</v>
      </c>
      <c r="BH1388" s="21">
        <v>0</v>
      </c>
      <c r="BI1388" s="180">
        <v>0</v>
      </c>
      <c r="BJ1388" s="180">
        <v>0</v>
      </c>
      <c r="BK1388" s="180">
        <v>0</v>
      </c>
      <c r="BL1388" s="180">
        <v>0</v>
      </c>
      <c r="BM1388" s="364" t="s">
        <v>3077</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63102001</v>
      </c>
      <c r="D1389" s="30" t="s">
        <v>3078</v>
      </c>
      <c r="E1389" s="30" t="s">
        <v>3079</v>
      </c>
      <c r="F1389" s="21">
        <v>1</v>
      </c>
      <c r="G1389" s="21">
        <v>63002001</v>
      </c>
      <c r="H1389" s="21">
        <v>0</v>
      </c>
      <c r="I1389" s="31">
        <v>0</v>
      </c>
      <c r="J1389" s="32">
        <v>1</v>
      </c>
      <c r="K1389" s="32">
        <v>0</v>
      </c>
      <c r="L1389" s="21">
        <v>0</v>
      </c>
      <c r="M1389" s="21">
        <v>0</v>
      </c>
      <c r="N1389" s="21">
        <v>0</v>
      </c>
      <c r="O1389" s="21">
        <v>2</v>
      </c>
      <c r="P1389" s="21">
        <v>12</v>
      </c>
      <c r="Q1389" s="21">
        <v>1</v>
      </c>
      <c r="R1389" s="21">
        <v>0</v>
      </c>
      <c r="S1389" s="19">
        <v>0</v>
      </c>
      <c r="T1389" s="21">
        <v>0</v>
      </c>
      <c r="U1389" s="21">
        <v>1</v>
      </c>
      <c r="V1389" s="21">
        <v>2</v>
      </c>
      <c r="W1389" s="21">
        <v>0</v>
      </c>
      <c r="X1389" s="32">
        <v>0</v>
      </c>
      <c r="Y1389" s="19">
        <v>0</v>
      </c>
      <c r="Z1389" s="32">
        <v>0</v>
      </c>
      <c r="AA1389" s="21">
        <v>0</v>
      </c>
      <c r="AB1389" s="21">
        <v>0</v>
      </c>
      <c r="AC1389" s="21">
        <v>0</v>
      </c>
      <c r="AD1389" s="21">
        <v>1</v>
      </c>
      <c r="AE1389" s="21">
        <v>0</v>
      </c>
      <c r="AF1389" s="21">
        <v>60</v>
      </c>
      <c r="AG1389" s="21">
        <v>1</v>
      </c>
      <c r="AH1389" s="21">
        <v>10</v>
      </c>
      <c r="AI1389" s="19">
        <v>0</v>
      </c>
      <c r="AJ1389" s="19">
        <v>0</v>
      </c>
      <c r="AK1389" s="19">
        <v>0</v>
      </c>
      <c r="AL1389" s="19">
        <v>0</v>
      </c>
      <c r="AM1389" s="21">
        <v>0</v>
      </c>
      <c r="AN1389" s="21">
        <v>0</v>
      </c>
      <c r="AO1389" s="21">
        <v>0</v>
      </c>
      <c r="AP1389" s="21">
        <v>0</v>
      </c>
      <c r="AQ1389" s="21">
        <v>50000</v>
      </c>
      <c r="AR1389" s="21">
        <v>0</v>
      </c>
      <c r="AS1389" s="21">
        <v>0</v>
      </c>
      <c r="AT1389" s="19">
        <v>0</v>
      </c>
      <c r="AU1389" s="21">
        <v>90512001</v>
      </c>
      <c r="AV1389" s="21"/>
      <c r="AW1389" s="30" t="s">
        <v>204</v>
      </c>
      <c r="AX1389" s="21">
        <v>0</v>
      </c>
      <c r="AY1389" s="32">
        <v>0</v>
      </c>
      <c r="AZ1389" s="32">
        <v>0</v>
      </c>
      <c r="BA1389" s="30" t="s">
        <v>3005</v>
      </c>
      <c r="BB1389" s="21">
        <v>0</v>
      </c>
      <c r="BC1389" s="31">
        <v>0</v>
      </c>
      <c r="BD1389" s="31">
        <v>0</v>
      </c>
      <c r="BE1389" s="33" t="s">
        <v>3080</v>
      </c>
      <c r="BF1389" s="33" t="s">
        <v>3081</v>
      </c>
      <c r="BG1389" s="21">
        <v>0</v>
      </c>
      <c r="BH1389" s="21">
        <v>0</v>
      </c>
      <c r="BI1389" s="21">
        <v>0</v>
      </c>
      <c r="BJ1389" s="21">
        <v>0</v>
      </c>
      <c r="BK1389" s="21">
        <v>0</v>
      </c>
      <c r="BL1389" s="21">
        <v>0</v>
      </c>
      <c r="BM1389" s="25">
        <v>0</v>
      </c>
      <c r="BN1389" s="19">
        <v>1</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63102002</v>
      </c>
      <c r="D1390" s="30" t="s">
        <v>3070</v>
      </c>
      <c r="E1390" s="30" t="s">
        <v>3071</v>
      </c>
      <c r="F1390" s="21">
        <v>1</v>
      </c>
      <c r="G1390" s="21">
        <v>63001003</v>
      </c>
      <c r="H1390" s="21">
        <v>0</v>
      </c>
      <c r="I1390" s="31">
        <v>0</v>
      </c>
      <c r="J1390" s="32">
        <v>1</v>
      </c>
      <c r="K1390" s="32">
        <v>0</v>
      </c>
      <c r="L1390" s="21">
        <v>0</v>
      </c>
      <c r="M1390" s="21">
        <v>0</v>
      </c>
      <c r="N1390" s="21">
        <v>0</v>
      </c>
      <c r="O1390" s="21">
        <v>2</v>
      </c>
      <c r="P1390" s="21">
        <v>0</v>
      </c>
      <c r="Q1390" s="21">
        <v>0</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v>0</v>
      </c>
      <c r="BC1390" s="31"/>
      <c r="BD1390" s="31">
        <v>0</v>
      </c>
      <c r="BE1390" s="33" t="s">
        <v>3072</v>
      </c>
      <c r="BF1390" s="33" t="s">
        <v>3073</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63102003</v>
      </c>
      <c r="D1391" s="30" t="s">
        <v>3082</v>
      </c>
      <c r="E1391" s="30" t="s">
        <v>3083</v>
      </c>
      <c r="F1391" s="21">
        <v>1</v>
      </c>
      <c r="G1391" s="21">
        <v>1000004</v>
      </c>
      <c r="H1391" s="21">
        <v>0</v>
      </c>
      <c r="I1391" s="31">
        <v>0</v>
      </c>
      <c r="J1391" s="32">
        <v>1</v>
      </c>
      <c r="K1391" s="32">
        <v>0</v>
      </c>
      <c r="L1391" s="21">
        <v>0</v>
      </c>
      <c r="M1391" s="21">
        <v>0</v>
      </c>
      <c r="N1391" s="21">
        <v>0</v>
      </c>
      <c r="O1391" s="21">
        <v>8</v>
      </c>
      <c r="P1391" s="21">
        <v>8</v>
      </c>
      <c r="Q1391" s="21">
        <v>4</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t="s">
        <v>3084</v>
      </c>
      <c r="BC1391" s="31"/>
      <c r="BD1391" s="31">
        <v>0</v>
      </c>
      <c r="BE1391" s="33" t="s">
        <v>3085</v>
      </c>
      <c r="BF1391" s="33" t="s">
        <v>3086</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63102004</v>
      </c>
      <c r="D1392" s="179" t="s">
        <v>3017</v>
      </c>
      <c r="E1392" s="179" t="s">
        <v>3087</v>
      </c>
      <c r="F1392" s="180">
        <v>1</v>
      </c>
      <c r="G1392" s="180">
        <v>63001004</v>
      </c>
      <c r="H1392" s="180">
        <v>0</v>
      </c>
      <c r="I1392" s="180">
        <v>0</v>
      </c>
      <c r="J1392" s="32">
        <v>1</v>
      </c>
      <c r="K1392" s="32">
        <v>0</v>
      </c>
      <c r="L1392" s="21">
        <v>0</v>
      </c>
      <c r="M1392" s="180">
        <v>0</v>
      </c>
      <c r="N1392" s="180">
        <v>0</v>
      </c>
      <c r="O1392" s="180">
        <v>2</v>
      </c>
      <c r="P1392" s="180">
        <v>4</v>
      </c>
      <c r="Q1392" s="180">
        <v>0.35</v>
      </c>
      <c r="R1392" s="180">
        <v>0</v>
      </c>
      <c r="S1392" s="19">
        <v>0</v>
      </c>
      <c r="T1392" s="180">
        <v>0</v>
      </c>
      <c r="U1392" s="180">
        <v>1</v>
      </c>
      <c r="V1392" s="180">
        <v>2</v>
      </c>
      <c r="W1392" s="180">
        <v>0</v>
      </c>
      <c r="X1392" s="180">
        <v>0</v>
      </c>
      <c r="Y1392" s="19">
        <v>0</v>
      </c>
      <c r="Z1392" s="180">
        <v>0</v>
      </c>
      <c r="AA1392" s="180">
        <v>0</v>
      </c>
      <c r="AB1392" s="180">
        <v>0</v>
      </c>
      <c r="AC1392" s="180">
        <v>0</v>
      </c>
      <c r="AD1392" s="21">
        <v>1</v>
      </c>
      <c r="AE1392" s="180">
        <v>0</v>
      </c>
      <c r="AF1392" s="180">
        <v>3</v>
      </c>
      <c r="AG1392" s="180">
        <v>1</v>
      </c>
      <c r="AH1392" s="180">
        <v>1</v>
      </c>
      <c r="AI1392" s="180">
        <v>2</v>
      </c>
      <c r="AJ1392" s="180">
        <v>0</v>
      </c>
      <c r="AK1392" s="19">
        <v>0</v>
      </c>
      <c r="AL1392" s="180">
        <v>2</v>
      </c>
      <c r="AM1392" s="180">
        <v>0</v>
      </c>
      <c r="AN1392" s="180">
        <v>0</v>
      </c>
      <c r="AO1392" s="180">
        <v>0</v>
      </c>
      <c r="AP1392" s="21">
        <v>0</v>
      </c>
      <c r="AQ1392" s="180">
        <v>1000</v>
      </c>
      <c r="AR1392" s="180">
        <v>0.5</v>
      </c>
      <c r="AS1392" s="180">
        <v>0</v>
      </c>
      <c r="AT1392" s="180">
        <v>0</v>
      </c>
      <c r="AU1392" s="180" t="s">
        <v>204</v>
      </c>
      <c r="AV1392" s="180"/>
      <c r="AW1392" s="179" t="s">
        <v>205</v>
      </c>
      <c r="AX1392" s="180">
        <v>0</v>
      </c>
      <c r="AY1392" s="180">
        <v>0</v>
      </c>
      <c r="AZ1392" s="180">
        <v>0</v>
      </c>
      <c r="BA1392" s="179" t="s">
        <v>206</v>
      </c>
      <c r="BB1392" s="179" t="s">
        <v>204</v>
      </c>
      <c r="BC1392" s="180">
        <v>0</v>
      </c>
      <c r="BD1392" s="180">
        <v>0</v>
      </c>
      <c r="BE1392" s="181" t="s">
        <v>3088</v>
      </c>
      <c r="BF1392" s="181" t="s">
        <v>3089</v>
      </c>
      <c r="BG1392" s="180">
        <v>0</v>
      </c>
      <c r="BH1392" s="21">
        <v>0</v>
      </c>
      <c r="BI1392" s="180">
        <v>0</v>
      </c>
      <c r="BJ1392" s="180">
        <v>0</v>
      </c>
      <c r="BK1392" s="180">
        <v>0</v>
      </c>
      <c r="BL1392" s="180">
        <v>0</v>
      </c>
      <c r="BM1392" s="364" t="s">
        <v>3090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63103001</v>
      </c>
      <c r="D1393" s="30" t="s">
        <v>3091</v>
      </c>
      <c r="E1393" s="30" t="s">
        <v>3092</v>
      </c>
      <c r="F1393" s="180">
        <v>1</v>
      </c>
      <c r="G1393" s="180">
        <v>63001004</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9">
        <v>0</v>
      </c>
      <c r="Z1393" s="180">
        <v>0</v>
      </c>
      <c r="AA1393" s="180">
        <v>0</v>
      </c>
      <c r="AB1393" s="180">
        <v>0</v>
      </c>
      <c r="AC1393" s="180">
        <v>0</v>
      </c>
      <c r="AD1393" s="21">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90513001</v>
      </c>
      <c r="AV1393" s="180"/>
      <c r="AW1393" s="179" t="s">
        <v>204</v>
      </c>
      <c r="AX1393" s="180">
        <v>0</v>
      </c>
      <c r="AY1393" s="180">
        <v>0</v>
      </c>
      <c r="AZ1393" s="180">
        <v>0</v>
      </c>
      <c r="BA1393" s="179" t="s">
        <v>206</v>
      </c>
      <c r="BB1393" s="179">
        <v>0</v>
      </c>
      <c r="BC1393" s="180">
        <v>0</v>
      </c>
      <c r="BD1393" s="180">
        <v>0</v>
      </c>
      <c r="BE1393" s="33" t="s">
        <v>3093</v>
      </c>
      <c r="BF1393" s="33" t="s">
        <v>3094</v>
      </c>
      <c r="BG1393" s="180">
        <v>0</v>
      </c>
      <c r="BH1393" s="180">
        <v>0</v>
      </c>
      <c r="BI1393" s="180">
        <v>0</v>
      </c>
      <c r="BJ1393" s="180">
        <v>0</v>
      </c>
      <c r="BK1393" s="180">
        <v>0</v>
      </c>
      <c r="BL1393" s="180">
        <v>0</v>
      </c>
      <c r="BM1393" s="244">
        <v>0</v>
      </c>
      <c r="BN1393" s="180">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63103002</v>
      </c>
      <c r="D1394" s="30" t="s">
        <v>3045</v>
      </c>
      <c r="E1394" s="30" t="s">
        <v>3046</v>
      </c>
      <c r="F1394" s="21">
        <v>1</v>
      </c>
      <c r="G1394" s="21">
        <v>63003002</v>
      </c>
      <c r="H1394" s="21">
        <v>0</v>
      </c>
      <c r="I1394" s="31">
        <v>0</v>
      </c>
      <c r="J1394" s="32">
        <v>1</v>
      </c>
      <c r="K1394" s="32">
        <v>0</v>
      </c>
      <c r="L1394" s="21">
        <v>0</v>
      </c>
      <c r="M1394" s="21">
        <v>0</v>
      </c>
      <c r="N1394" s="21">
        <v>0</v>
      </c>
      <c r="O1394" s="21">
        <v>2</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v>0</v>
      </c>
      <c r="BC1394" s="31">
        <v>0</v>
      </c>
      <c r="BD1394" s="31">
        <v>0</v>
      </c>
      <c r="BE1394" s="33" t="s">
        <v>3047</v>
      </c>
      <c r="BF1394" s="33" t="s">
        <v>3048</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63103003</v>
      </c>
      <c r="D1395" s="30" t="s">
        <v>3095</v>
      </c>
      <c r="E1395" s="30" t="s">
        <v>3096</v>
      </c>
      <c r="F1395" s="21">
        <v>1</v>
      </c>
      <c r="G1395" s="21">
        <v>63003003</v>
      </c>
      <c r="H1395" s="21">
        <v>0</v>
      </c>
      <c r="I1395" s="31">
        <v>0</v>
      </c>
      <c r="J1395" s="32">
        <v>1</v>
      </c>
      <c r="K1395" s="32">
        <v>0</v>
      </c>
      <c r="L1395" s="21">
        <v>0</v>
      </c>
      <c r="M1395" s="21">
        <v>0</v>
      </c>
      <c r="N1395" s="21">
        <v>0</v>
      </c>
      <c r="O1395" s="21">
        <v>8</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t="s">
        <v>3097</v>
      </c>
      <c r="BC1395" s="31">
        <v>0</v>
      </c>
      <c r="BD1395" s="31">
        <v>0</v>
      </c>
      <c r="BE1395" s="33" t="s">
        <v>3098</v>
      </c>
      <c r="BF1395" s="33" t="s">
        <v>3099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63103004</v>
      </c>
      <c r="D1396" s="179" t="s">
        <v>3017</v>
      </c>
      <c r="E1396" s="179" t="s">
        <v>3100</v>
      </c>
      <c r="F1396" s="180">
        <v>1</v>
      </c>
      <c r="G1396" s="180">
        <v>63001004</v>
      </c>
      <c r="H1396" s="180">
        <v>0</v>
      </c>
      <c r="I1396" s="180">
        <v>0</v>
      </c>
      <c r="J1396" s="32">
        <v>1</v>
      </c>
      <c r="K1396" s="32">
        <v>0</v>
      </c>
      <c r="L1396" s="21">
        <v>0</v>
      </c>
      <c r="M1396" s="180">
        <v>0</v>
      </c>
      <c r="N1396" s="180">
        <v>0</v>
      </c>
      <c r="O1396" s="180">
        <v>2</v>
      </c>
      <c r="P1396" s="180">
        <v>10</v>
      </c>
      <c r="Q1396" s="180">
        <v>0.1</v>
      </c>
      <c r="R1396" s="180">
        <v>0</v>
      </c>
      <c r="S1396" s="19">
        <v>0</v>
      </c>
      <c r="T1396" s="180">
        <v>0</v>
      </c>
      <c r="U1396" s="180">
        <v>1</v>
      </c>
      <c r="V1396" s="180">
        <v>2</v>
      </c>
      <c r="W1396" s="180">
        <v>0</v>
      </c>
      <c r="X1396" s="180">
        <v>0</v>
      </c>
      <c r="Y1396" s="19">
        <v>0</v>
      </c>
      <c r="Z1396" s="180">
        <v>0</v>
      </c>
      <c r="AA1396" s="180">
        <v>0</v>
      </c>
      <c r="AB1396" s="180">
        <v>0</v>
      </c>
      <c r="AC1396" s="180">
        <v>0</v>
      </c>
      <c r="AD1396" s="21">
        <v>1</v>
      </c>
      <c r="AE1396" s="180">
        <v>0</v>
      </c>
      <c r="AF1396" s="180">
        <v>15</v>
      </c>
      <c r="AG1396" s="180">
        <v>1</v>
      </c>
      <c r="AH1396" s="180">
        <v>1</v>
      </c>
      <c r="AI1396" s="180">
        <v>2</v>
      </c>
      <c r="AJ1396" s="180">
        <v>0</v>
      </c>
      <c r="AK1396" s="19">
        <v>0</v>
      </c>
      <c r="AL1396" s="180">
        <v>2</v>
      </c>
      <c r="AM1396" s="180">
        <v>0</v>
      </c>
      <c r="AN1396" s="180">
        <v>0</v>
      </c>
      <c r="AO1396" s="180">
        <v>0</v>
      </c>
      <c r="AP1396" s="21">
        <v>0</v>
      </c>
      <c r="AQ1396" s="180">
        <v>10000</v>
      </c>
      <c r="AR1396" s="180">
        <v>0</v>
      </c>
      <c r="AS1396" s="180">
        <v>0</v>
      </c>
      <c r="AT1396" s="180">
        <v>0</v>
      </c>
      <c r="AU1396" s="180" t="s">
        <v>204</v>
      </c>
      <c r="AV1396" s="180"/>
      <c r="AW1396" s="179" t="s">
        <v>205</v>
      </c>
      <c r="AX1396" s="180">
        <v>0</v>
      </c>
      <c r="AY1396" s="180">
        <v>0</v>
      </c>
      <c r="AZ1396" s="180">
        <v>0</v>
      </c>
      <c r="BA1396" s="179" t="s">
        <v>206</v>
      </c>
      <c r="BB1396" s="179" t="s">
        <v>204</v>
      </c>
      <c r="BC1396" s="180">
        <v>0</v>
      </c>
      <c r="BD1396" s="180">
        <v>0</v>
      </c>
      <c r="BE1396" s="181" t="s">
        <v>3101</v>
      </c>
      <c r="BF1396" s="181" t="s">
        <v>3102</v>
      </c>
      <c r="BG1396" s="180">
        <v>0</v>
      </c>
      <c r="BH1396" s="21">
        <v>0</v>
      </c>
      <c r="BI1396" s="180">
        <v>0</v>
      </c>
      <c r="BJ1396" s="180">
        <v>0</v>
      </c>
      <c r="BK1396" s="180">
        <v>0</v>
      </c>
      <c r="BL1396" s="180">
        <v>0</v>
      </c>
      <c r="BM1396" s="364" t="s">
        <v>3103</v>
      </c>
      <c r="BN1396" s="19">
        <v>1</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38">
        <v>63103098</v>
      </c>
      <c r="D1397" s="42" t="s">
        <v>3104</v>
      </c>
      <c r="E1397" s="42" t="s">
        <v>3105</v>
      </c>
      <c r="F1397" s="38">
        <v>1</v>
      </c>
      <c r="G1397" s="38">
        <v>63001004</v>
      </c>
      <c r="H1397" s="38">
        <v>0</v>
      </c>
      <c r="I1397" s="38">
        <v>0</v>
      </c>
      <c r="J1397" s="38">
        <v>1</v>
      </c>
      <c r="K1397" s="38">
        <v>0</v>
      </c>
      <c r="L1397" s="38">
        <v>0</v>
      </c>
      <c r="M1397" s="38">
        <v>0</v>
      </c>
      <c r="N1397" s="38">
        <v>0</v>
      </c>
      <c r="O1397" s="38">
        <v>2</v>
      </c>
      <c r="P1397" s="38">
        <v>3</v>
      </c>
      <c r="Q1397" s="38">
        <v>0.1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15</v>
      </c>
      <c r="AG1397" s="38">
        <v>1</v>
      </c>
      <c r="AH1397" s="38">
        <v>1</v>
      </c>
      <c r="AI1397" s="38">
        <v>2</v>
      </c>
      <c r="AJ1397" s="38">
        <v>0</v>
      </c>
      <c r="AK1397" s="38">
        <v>0</v>
      </c>
      <c r="AL1397" s="38">
        <v>2</v>
      </c>
      <c r="AM1397" s="38">
        <v>0</v>
      </c>
      <c r="AN1397" s="38">
        <v>0</v>
      </c>
      <c r="AO1397" s="38">
        <v>0</v>
      </c>
      <c r="AP1397" s="38">
        <v>0</v>
      </c>
      <c r="AQ1397" s="38">
        <v>10000</v>
      </c>
      <c r="AR1397" s="38">
        <v>0</v>
      </c>
      <c r="AS1397" s="38">
        <v>0</v>
      </c>
      <c r="AT1397" s="38">
        <v>0</v>
      </c>
      <c r="AU1397" s="38" t="s">
        <v>204</v>
      </c>
      <c r="AV1397" s="38"/>
      <c r="AW1397" s="42" t="s">
        <v>205</v>
      </c>
      <c r="AX1397" s="38">
        <v>0</v>
      </c>
      <c r="AY1397" s="38">
        <v>0</v>
      </c>
      <c r="AZ1397" s="38">
        <v>0</v>
      </c>
      <c r="BA1397" s="42" t="s">
        <v>206</v>
      </c>
      <c r="BB1397" s="42" t="s">
        <v>204</v>
      </c>
      <c r="BC1397" s="38">
        <v>0</v>
      </c>
      <c r="BD1397" s="38">
        <v>0</v>
      </c>
      <c r="BE1397" s="183" t="s">
        <v>3106</v>
      </c>
      <c r="BF1397" s="183" t="s">
        <v>3107</v>
      </c>
      <c r="BG1397" s="38">
        <v>0</v>
      </c>
      <c r="BH1397" s="38">
        <v>0</v>
      </c>
      <c r="BI1397" s="38">
        <v>0</v>
      </c>
      <c r="BJ1397" s="38">
        <v>0</v>
      </c>
      <c r="BK1397" s="38">
        <v>0</v>
      </c>
      <c r="BL1397" s="38">
        <v>0</v>
      </c>
      <c r="BM1397" s="365" t="s">
        <v>3108</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38">
        <v>63103099</v>
      </c>
      <c r="D1398" s="42" t="s">
        <v>3109</v>
      </c>
      <c r="E1398" s="42" t="s">
        <v>3110</v>
      </c>
      <c r="F1398" s="38">
        <v>1</v>
      </c>
      <c r="G1398" s="38">
        <v>63003001</v>
      </c>
      <c r="H1398" s="38">
        <v>0</v>
      </c>
      <c r="I1398" s="38">
        <v>0</v>
      </c>
      <c r="J1398" s="38">
        <v>1</v>
      </c>
      <c r="K1398" s="38">
        <v>0</v>
      </c>
      <c r="L1398" s="38">
        <v>0</v>
      </c>
      <c r="M1398" s="38">
        <v>0</v>
      </c>
      <c r="N1398" s="38">
        <v>0</v>
      </c>
      <c r="O1398" s="38">
        <v>2</v>
      </c>
      <c r="P1398" s="38">
        <v>2</v>
      </c>
      <c r="Q1398" s="38">
        <v>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60</v>
      </c>
      <c r="AG1398" s="38">
        <v>1</v>
      </c>
      <c r="AH1398" s="38">
        <v>10</v>
      </c>
      <c r="AI1398" s="38">
        <v>0</v>
      </c>
      <c r="AJ1398" s="38">
        <v>0</v>
      </c>
      <c r="AK1398" s="38">
        <v>0</v>
      </c>
      <c r="AL1398" s="38">
        <v>0</v>
      </c>
      <c r="AM1398" s="38">
        <v>0</v>
      </c>
      <c r="AN1398" s="38">
        <v>0</v>
      </c>
      <c r="AO1398" s="38">
        <v>0</v>
      </c>
      <c r="AP1398" s="38">
        <v>0</v>
      </c>
      <c r="AQ1398" s="38">
        <v>50000</v>
      </c>
      <c r="AR1398" s="38">
        <v>0</v>
      </c>
      <c r="AS1398" s="38">
        <v>0</v>
      </c>
      <c r="AT1398" s="38">
        <v>0</v>
      </c>
      <c r="AU1398" s="38">
        <v>90513001</v>
      </c>
      <c r="AV1398" s="38"/>
      <c r="AW1398" s="42" t="s">
        <v>204</v>
      </c>
      <c r="AX1398" s="38">
        <v>0</v>
      </c>
      <c r="AY1398" s="38">
        <v>0</v>
      </c>
      <c r="AZ1398" s="38">
        <v>0</v>
      </c>
      <c r="BA1398" s="42" t="s">
        <v>3111</v>
      </c>
      <c r="BB1398" s="38">
        <v>0</v>
      </c>
      <c r="BC1398" s="38">
        <v>0</v>
      </c>
      <c r="BD1398" s="38">
        <v>0</v>
      </c>
      <c r="BE1398" s="217" t="s">
        <v>3112</v>
      </c>
      <c r="BF1398" s="217" t="s">
        <v>3113</v>
      </c>
      <c r="BG1398" s="38">
        <v>0</v>
      </c>
      <c r="BH1398" s="38">
        <v>0</v>
      </c>
      <c r="BI1398" s="38">
        <v>0</v>
      </c>
      <c r="BJ1398" s="38">
        <v>0</v>
      </c>
      <c r="BK1398" s="38">
        <v>0</v>
      </c>
      <c r="BL1398" s="38">
        <v>0</v>
      </c>
      <c r="BM1398" s="34">
        <v>0</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72">
        <v>63200101</v>
      </c>
      <c r="D1399" s="71" t="s">
        <v>3114</v>
      </c>
      <c r="E1399" s="71" t="s">
        <v>3115</v>
      </c>
      <c r="F1399" s="72">
        <v>1</v>
      </c>
      <c r="G1399" s="72">
        <v>63200101</v>
      </c>
      <c r="H1399" s="72">
        <v>0</v>
      </c>
      <c r="I1399" s="75">
        <v>0</v>
      </c>
      <c r="J1399" s="74">
        <v>1</v>
      </c>
      <c r="K1399" s="74">
        <v>0</v>
      </c>
      <c r="L1399" s="72">
        <v>0</v>
      </c>
      <c r="M1399" s="72">
        <v>0</v>
      </c>
      <c r="N1399" s="72">
        <v>0</v>
      </c>
      <c r="O1399" s="72">
        <v>2</v>
      </c>
      <c r="P1399" s="72">
        <v>1</v>
      </c>
      <c r="Q1399" s="72">
        <v>0.5</v>
      </c>
      <c r="R1399" s="72">
        <v>0</v>
      </c>
      <c r="S1399" s="73">
        <v>0</v>
      </c>
      <c r="T1399" s="72">
        <v>0</v>
      </c>
      <c r="U1399" s="72">
        <v>1</v>
      </c>
      <c r="V1399" s="72">
        <v>2</v>
      </c>
      <c r="W1399" s="72">
        <v>0</v>
      </c>
      <c r="X1399" s="74">
        <v>0</v>
      </c>
      <c r="Y1399" s="19">
        <v>0</v>
      </c>
      <c r="Z1399" s="74">
        <v>0</v>
      </c>
      <c r="AA1399" s="72">
        <v>0</v>
      </c>
      <c r="AB1399" s="72">
        <v>0</v>
      </c>
      <c r="AC1399" s="72">
        <v>0</v>
      </c>
      <c r="AD1399" s="72">
        <v>0</v>
      </c>
      <c r="AE1399" s="72">
        <v>0</v>
      </c>
      <c r="AF1399" s="72">
        <v>18</v>
      </c>
      <c r="AG1399" s="72">
        <v>0</v>
      </c>
      <c r="AH1399" s="72">
        <v>0</v>
      </c>
      <c r="AI1399" s="73">
        <v>2</v>
      </c>
      <c r="AJ1399" s="73">
        <v>0</v>
      </c>
      <c r="AK1399" s="73">
        <v>0</v>
      </c>
      <c r="AL1399" s="73">
        <v>0</v>
      </c>
      <c r="AM1399" s="72">
        <v>0</v>
      </c>
      <c r="AN1399" s="72">
        <v>0</v>
      </c>
      <c r="AO1399" s="72">
        <v>0</v>
      </c>
      <c r="AP1399" s="72">
        <v>0</v>
      </c>
      <c r="AQ1399" s="72">
        <v>1000</v>
      </c>
      <c r="AR1399" s="72">
        <v>0</v>
      </c>
      <c r="AS1399" s="72">
        <v>0</v>
      </c>
      <c r="AT1399" s="73"/>
      <c r="AU1399" s="72" t="s">
        <v>204</v>
      </c>
      <c r="AV1399" s="72"/>
      <c r="AW1399" s="71" t="s">
        <v>204</v>
      </c>
      <c r="AX1399" s="72" t="s">
        <v>1581</v>
      </c>
      <c r="AY1399" s="74">
        <v>0</v>
      </c>
      <c r="AZ1399" s="74">
        <v>0</v>
      </c>
      <c r="BA1399" s="71" t="s">
        <v>206</v>
      </c>
      <c r="BB1399" s="72" t="s">
        <v>204</v>
      </c>
      <c r="BC1399" s="75">
        <v>0</v>
      </c>
      <c r="BD1399" s="75">
        <v>0</v>
      </c>
      <c r="BE1399" s="76" t="s">
        <v>3116</v>
      </c>
      <c r="BF1399" s="76" t="s">
        <v>3117</v>
      </c>
      <c r="BG1399" s="72">
        <v>0</v>
      </c>
      <c r="BH1399" s="72">
        <v>0</v>
      </c>
      <c r="BI1399" s="72">
        <v>0</v>
      </c>
      <c r="BJ1399" s="72">
        <v>0</v>
      </c>
      <c r="BK1399" s="72">
        <v>0</v>
      </c>
      <c r="BL1399" s="72">
        <v>0</v>
      </c>
      <c r="BM1399" s="90">
        <v>0</v>
      </c>
      <c r="BN1399" s="73">
        <v>0</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63200102</v>
      </c>
      <c r="D1400" s="131" t="s">
        <v>2578</v>
      </c>
      <c r="E1400" s="131" t="s">
        <v>3118</v>
      </c>
      <c r="F1400" s="73">
        <v>1</v>
      </c>
      <c r="G1400" s="73">
        <v>10001</v>
      </c>
      <c r="H1400" s="73">
        <v>0</v>
      </c>
      <c r="I1400" s="73">
        <v>0</v>
      </c>
      <c r="J1400" s="73">
        <v>1</v>
      </c>
      <c r="K1400" s="73">
        <v>0</v>
      </c>
      <c r="L1400" s="72">
        <v>0</v>
      </c>
      <c r="M1400" s="73">
        <v>0</v>
      </c>
      <c r="N1400" s="73">
        <v>0</v>
      </c>
      <c r="O1400" s="73">
        <v>2</v>
      </c>
      <c r="P1400" s="73">
        <v>15</v>
      </c>
      <c r="Q1400" s="73">
        <v>1</v>
      </c>
      <c r="R1400" s="73">
        <v>0</v>
      </c>
      <c r="S1400" s="73">
        <v>0</v>
      </c>
      <c r="T1400" s="73">
        <v>0</v>
      </c>
      <c r="U1400" s="73">
        <v>1</v>
      </c>
      <c r="V1400" s="73">
        <v>2</v>
      </c>
      <c r="W1400" s="73">
        <v>0</v>
      </c>
      <c r="X1400" s="73">
        <v>0</v>
      </c>
      <c r="Y1400" s="19">
        <v>0</v>
      </c>
      <c r="Z1400" s="73">
        <v>0</v>
      </c>
      <c r="AA1400" s="73">
        <v>0</v>
      </c>
      <c r="AB1400" s="73">
        <v>0</v>
      </c>
      <c r="AC1400" s="73">
        <v>0</v>
      </c>
      <c r="AD1400" s="73">
        <v>0</v>
      </c>
      <c r="AE1400" s="73">
        <v>0</v>
      </c>
      <c r="AF1400" s="73">
        <v>25</v>
      </c>
      <c r="AG1400" s="73">
        <v>0</v>
      </c>
      <c r="AH1400" s="73">
        <v>0</v>
      </c>
      <c r="AI1400" s="73">
        <v>2</v>
      </c>
      <c r="AJ1400" s="73">
        <v>1</v>
      </c>
      <c r="AK1400" s="73">
        <v>0</v>
      </c>
      <c r="AL1400" s="73">
        <v>0</v>
      </c>
      <c r="AM1400" s="73">
        <v>0</v>
      </c>
      <c r="AN1400" s="73">
        <v>0</v>
      </c>
      <c r="AO1400" s="73">
        <v>0</v>
      </c>
      <c r="AP1400" s="73">
        <v>0</v>
      </c>
      <c r="AQ1400" s="73">
        <v>1000</v>
      </c>
      <c r="AR1400" s="73">
        <v>0</v>
      </c>
      <c r="AS1400" s="73">
        <v>0</v>
      </c>
      <c r="AT1400" s="342" t="s">
        <v>3119</v>
      </c>
      <c r="AU1400" s="73" t="s">
        <v>204</v>
      </c>
      <c r="AV1400" s="73"/>
      <c r="AW1400" s="131" t="s">
        <v>205</v>
      </c>
      <c r="AX1400" s="73" t="s">
        <v>1581</v>
      </c>
      <c r="AY1400" s="73">
        <v>0</v>
      </c>
      <c r="AZ1400" s="73">
        <v>40000003</v>
      </c>
      <c r="BA1400" s="131" t="s">
        <v>206</v>
      </c>
      <c r="BB1400" s="131" t="s">
        <v>204</v>
      </c>
      <c r="BC1400" s="73">
        <v>0</v>
      </c>
      <c r="BD1400" s="73">
        <v>1</v>
      </c>
      <c r="BE1400" s="242" t="s">
        <v>3120</v>
      </c>
      <c r="BF1400" s="242" t="s">
        <v>3121</v>
      </c>
      <c r="BG1400" s="73">
        <v>0</v>
      </c>
      <c r="BH1400" s="73">
        <v>0</v>
      </c>
      <c r="BI1400" s="73">
        <v>0</v>
      </c>
      <c r="BJ1400" s="73">
        <v>0</v>
      </c>
      <c r="BK1400" s="73">
        <v>0</v>
      </c>
      <c r="BL1400" s="73">
        <v>0</v>
      </c>
      <c r="BM1400" s="133">
        <v>0</v>
      </c>
      <c r="BN1400" s="73">
        <v>1</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63200103</v>
      </c>
      <c r="D1401" s="71" t="s">
        <v>3122</v>
      </c>
      <c r="E1401" s="71" t="s">
        <v>3123</v>
      </c>
      <c r="F1401" s="72">
        <v>1</v>
      </c>
      <c r="G1401" s="72">
        <v>1000004</v>
      </c>
      <c r="H1401" s="72">
        <v>0</v>
      </c>
      <c r="I1401" s="75">
        <v>0</v>
      </c>
      <c r="J1401" s="74">
        <v>1</v>
      </c>
      <c r="K1401" s="74">
        <v>0</v>
      </c>
      <c r="L1401" s="72">
        <v>0</v>
      </c>
      <c r="M1401" s="72">
        <v>0</v>
      </c>
      <c r="N1401" s="72">
        <v>0</v>
      </c>
      <c r="O1401" s="72">
        <v>8</v>
      </c>
      <c r="P1401" s="72">
        <v>8</v>
      </c>
      <c r="Q1401" s="72">
        <v>4</v>
      </c>
      <c r="R1401" s="72">
        <v>0</v>
      </c>
      <c r="S1401" s="73">
        <v>0</v>
      </c>
      <c r="T1401" s="72">
        <v>0</v>
      </c>
      <c r="U1401" s="72">
        <v>1</v>
      </c>
      <c r="V1401" s="72">
        <v>0</v>
      </c>
      <c r="W1401" s="72">
        <v>0</v>
      </c>
      <c r="X1401" s="74">
        <v>0</v>
      </c>
      <c r="Y1401" s="19">
        <v>0</v>
      </c>
      <c r="Z1401" s="74">
        <v>0</v>
      </c>
      <c r="AA1401" s="72">
        <v>0</v>
      </c>
      <c r="AB1401" s="72">
        <v>0</v>
      </c>
      <c r="AC1401" s="72">
        <v>0</v>
      </c>
      <c r="AD1401" s="72">
        <v>0</v>
      </c>
      <c r="AE1401" s="72">
        <v>0</v>
      </c>
      <c r="AF1401" s="72">
        <v>0</v>
      </c>
      <c r="AG1401" s="72">
        <v>0</v>
      </c>
      <c r="AH1401" s="72" t="s">
        <v>204</v>
      </c>
      <c r="AI1401" s="73">
        <v>0</v>
      </c>
      <c r="AJ1401" s="73">
        <v>0</v>
      </c>
      <c r="AK1401" s="73">
        <v>0</v>
      </c>
      <c r="AL1401" s="73">
        <v>0</v>
      </c>
      <c r="AM1401" s="72">
        <v>0</v>
      </c>
      <c r="AN1401" s="72">
        <v>0</v>
      </c>
      <c r="AO1401" s="72">
        <v>0</v>
      </c>
      <c r="AP1401" s="72">
        <v>0</v>
      </c>
      <c r="AQ1401" s="72">
        <v>0</v>
      </c>
      <c r="AR1401" s="72">
        <v>0</v>
      </c>
      <c r="AS1401" s="72">
        <v>0</v>
      </c>
      <c r="AT1401" s="73">
        <v>0</v>
      </c>
      <c r="AU1401" s="72" t="s">
        <v>204</v>
      </c>
      <c r="AV1401" s="72"/>
      <c r="AW1401" s="71" t="s">
        <v>204</v>
      </c>
      <c r="AX1401" s="72">
        <v>0</v>
      </c>
      <c r="AY1401" s="74">
        <v>0</v>
      </c>
      <c r="AZ1401" s="74">
        <v>0</v>
      </c>
      <c r="BA1401" s="71" t="s">
        <v>204</v>
      </c>
      <c r="BB1401" s="72" t="s">
        <v>3124</v>
      </c>
      <c r="BC1401" s="75"/>
      <c r="BD1401" s="75">
        <v>1</v>
      </c>
      <c r="BE1401" s="76" t="s">
        <v>3125</v>
      </c>
      <c r="BF1401" s="76" t="s">
        <v>3126</v>
      </c>
      <c r="BG1401" s="72">
        <v>0</v>
      </c>
      <c r="BH1401" s="72">
        <v>0</v>
      </c>
      <c r="BI1401" s="72">
        <v>0</v>
      </c>
      <c r="BJ1401" s="72">
        <v>0</v>
      </c>
      <c r="BK1401" s="72">
        <v>0</v>
      </c>
      <c r="BL1401" s="72">
        <v>0</v>
      </c>
      <c r="BM1401" s="90">
        <v>0</v>
      </c>
      <c r="BN1401" s="73">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63200104</v>
      </c>
      <c r="D1402" s="238" t="s">
        <v>2578</v>
      </c>
      <c r="E1402" s="238" t="s">
        <v>3118</v>
      </c>
      <c r="F1402" s="239">
        <v>1</v>
      </c>
      <c r="G1402" s="239">
        <v>63001004</v>
      </c>
      <c r="H1402" s="239">
        <v>0</v>
      </c>
      <c r="I1402" s="239">
        <v>0</v>
      </c>
      <c r="J1402" s="239">
        <v>1</v>
      </c>
      <c r="K1402" s="239">
        <v>0</v>
      </c>
      <c r="L1402" s="239">
        <v>0</v>
      </c>
      <c r="M1402" s="239">
        <v>0</v>
      </c>
      <c r="N1402" s="239">
        <v>0</v>
      </c>
      <c r="O1402" s="239">
        <v>2</v>
      </c>
      <c r="P1402" s="239">
        <v>10</v>
      </c>
      <c r="Q1402" s="239">
        <v>0.1</v>
      </c>
      <c r="R1402" s="239">
        <v>0</v>
      </c>
      <c r="S1402" s="239">
        <v>0</v>
      </c>
      <c r="T1402" s="239">
        <v>0</v>
      </c>
      <c r="U1402" s="239">
        <v>1</v>
      </c>
      <c r="V1402" s="239">
        <v>2</v>
      </c>
      <c r="W1402" s="239">
        <v>0</v>
      </c>
      <c r="X1402" s="239">
        <v>0</v>
      </c>
      <c r="Y1402" s="19">
        <v>0</v>
      </c>
      <c r="Z1402" s="239">
        <v>0</v>
      </c>
      <c r="AA1402" s="239">
        <v>0</v>
      </c>
      <c r="AB1402" s="239">
        <v>0</v>
      </c>
      <c r="AC1402" s="239">
        <v>0</v>
      </c>
      <c r="AD1402" s="72">
        <v>0</v>
      </c>
      <c r="AE1402" s="239">
        <v>0</v>
      </c>
      <c r="AF1402" s="239">
        <v>5</v>
      </c>
      <c r="AG1402" s="239">
        <v>0</v>
      </c>
      <c r="AH1402" s="239">
        <v>0</v>
      </c>
      <c r="AI1402" s="239">
        <v>7</v>
      </c>
      <c r="AJ1402" s="239">
        <v>0</v>
      </c>
      <c r="AK1402" s="239">
        <v>0</v>
      </c>
      <c r="AL1402" s="239">
        <v>3</v>
      </c>
      <c r="AM1402" s="239">
        <v>0</v>
      </c>
      <c r="AN1402" s="239">
        <v>0</v>
      </c>
      <c r="AO1402" s="239">
        <v>0</v>
      </c>
      <c r="AP1402" s="239">
        <v>0</v>
      </c>
      <c r="AQ1402" s="239">
        <v>3000</v>
      </c>
      <c r="AR1402" s="239">
        <v>0.5</v>
      </c>
      <c r="AS1402" s="239">
        <v>0</v>
      </c>
      <c r="AT1402" s="239">
        <v>90503112</v>
      </c>
      <c r="AU1402" s="239">
        <v>0</v>
      </c>
      <c r="AV1402" s="239"/>
      <c r="AW1402" s="238" t="s">
        <v>204</v>
      </c>
      <c r="AX1402" s="239">
        <v>0</v>
      </c>
      <c r="AY1402" s="239">
        <v>0</v>
      </c>
      <c r="AZ1402" s="239">
        <v>0</v>
      </c>
      <c r="BA1402" s="238" t="s">
        <v>206</v>
      </c>
      <c r="BB1402" s="238">
        <v>0</v>
      </c>
      <c r="BC1402" s="239">
        <v>0</v>
      </c>
      <c r="BD1402" s="239">
        <v>1</v>
      </c>
      <c r="BE1402" s="246" t="s">
        <v>3127</v>
      </c>
      <c r="BF1402" s="246" t="s">
        <v>3128</v>
      </c>
      <c r="BG1402" s="239">
        <v>0</v>
      </c>
      <c r="BH1402" s="239">
        <v>0</v>
      </c>
      <c r="BI1402" s="239">
        <v>0</v>
      </c>
      <c r="BJ1402" s="239">
        <v>0</v>
      </c>
      <c r="BK1402" s="239">
        <v>0</v>
      </c>
      <c r="BL1402" s="239">
        <v>0</v>
      </c>
      <c r="BM1402" s="241">
        <v>0</v>
      </c>
      <c r="BN1402" s="239">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63200201</v>
      </c>
      <c r="D1403" s="71" t="s">
        <v>3129</v>
      </c>
      <c r="E1403" s="71" t="s">
        <v>3130</v>
      </c>
      <c r="F1403" s="72">
        <v>1</v>
      </c>
      <c r="G1403" s="72">
        <v>63200201</v>
      </c>
      <c r="H1403" s="72">
        <v>0</v>
      </c>
      <c r="I1403" s="75">
        <v>0</v>
      </c>
      <c r="J1403" s="74">
        <v>1</v>
      </c>
      <c r="K1403" s="74">
        <v>0</v>
      </c>
      <c r="L1403" s="72">
        <v>0</v>
      </c>
      <c r="M1403" s="72">
        <v>0</v>
      </c>
      <c r="N1403" s="72">
        <v>0</v>
      </c>
      <c r="O1403" s="72">
        <v>2</v>
      </c>
      <c r="P1403" s="72">
        <v>1</v>
      </c>
      <c r="Q1403" s="72">
        <v>0.5</v>
      </c>
      <c r="R1403" s="72">
        <v>0</v>
      </c>
      <c r="S1403" s="73">
        <v>0</v>
      </c>
      <c r="T1403" s="72">
        <v>0</v>
      </c>
      <c r="U1403" s="72">
        <v>1</v>
      </c>
      <c r="V1403" s="72">
        <v>2</v>
      </c>
      <c r="W1403" s="72">
        <v>0</v>
      </c>
      <c r="X1403" s="74">
        <v>0</v>
      </c>
      <c r="Y1403" s="19">
        <v>0</v>
      </c>
      <c r="Z1403" s="74">
        <v>0</v>
      </c>
      <c r="AA1403" s="72">
        <v>0</v>
      </c>
      <c r="AB1403" s="72">
        <v>0</v>
      </c>
      <c r="AC1403" s="72">
        <v>0</v>
      </c>
      <c r="AD1403" s="72">
        <v>0</v>
      </c>
      <c r="AE1403" s="72">
        <v>0</v>
      </c>
      <c r="AF1403" s="72">
        <v>18</v>
      </c>
      <c r="AG1403" s="72">
        <v>0</v>
      </c>
      <c r="AH1403" s="72">
        <v>0</v>
      </c>
      <c r="AI1403" s="73">
        <v>2</v>
      </c>
      <c r="AJ1403" s="73">
        <v>0</v>
      </c>
      <c r="AK1403" s="73">
        <v>0</v>
      </c>
      <c r="AL1403" s="73">
        <v>0</v>
      </c>
      <c r="AM1403" s="72">
        <v>0</v>
      </c>
      <c r="AN1403" s="72">
        <v>0</v>
      </c>
      <c r="AO1403" s="72">
        <v>0</v>
      </c>
      <c r="AP1403" s="72">
        <v>0</v>
      </c>
      <c r="AQ1403" s="72">
        <v>1000</v>
      </c>
      <c r="AR1403" s="72">
        <v>0</v>
      </c>
      <c r="AS1403" s="72">
        <v>0</v>
      </c>
      <c r="AT1403" s="73"/>
      <c r="AU1403" s="72" t="s">
        <v>204</v>
      </c>
      <c r="AV1403" s="72"/>
      <c r="AW1403" s="71" t="s">
        <v>204</v>
      </c>
      <c r="AX1403" s="72" t="s">
        <v>1581</v>
      </c>
      <c r="AY1403" s="74">
        <v>0</v>
      </c>
      <c r="AZ1403" s="74">
        <v>0</v>
      </c>
      <c r="BA1403" s="71" t="s">
        <v>206</v>
      </c>
      <c r="BB1403" s="72" t="s">
        <v>204</v>
      </c>
      <c r="BC1403" s="75">
        <v>0</v>
      </c>
      <c r="BD1403" s="75">
        <v>0</v>
      </c>
      <c r="BE1403" s="76" t="s">
        <v>3131</v>
      </c>
      <c r="BF1403" s="76" t="s">
        <v>3132</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63200202</v>
      </c>
      <c r="D1404" s="71" t="s">
        <v>3133</v>
      </c>
      <c r="E1404" s="71" t="s">
        <v>3134</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3135</v>
      </c>
      <c r="BC1404" s="75"/>
      <c r="BD1404" s="75">
        <v>1</v>
      </c>
      <c r="BE1404" s="76" t="s">
        <v>3136</v>
      </c>
      <c r="BF1404" s="76" t="s">
        <v>3137</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63200203</v>
      </c>
      <c r="D1405" s="71" t="s">
        <v>3138</v>
      </c>
      <c r="E1405" s="71" t="s">
        <v>3139</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3140</v>
      </c>
      <c r="BC1405" s="75"/>
      <c r="BD1405" s="75">
        <v>1</v>
      </c>
      <c r="BE1405" s="76" t="s">
        <v>3141</v>
      </c>
      <c r="BF1405" s="76" t="s">
        <v>3142</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63200204</v>
      </c>
      <c r="D1406" s="88" t="s">
        <v>1397</v>
      </c>
      <c r="E1406" s="88" t="s">
        <v>1398</v>
      </c>
      <c r="F1406" s="72">
        <v>1</v>
      </c>
      <c r="G1406" s="74">
        <v>62012201</v>
      </c>
      <c r="H1406" s="74">
        <v>0</v>
      </c>
      <c r="I1406" s="75">
        <v>0</v>
      </c>
      <c r="J1406" s="72">
        <v>3</v>
      </c>
      <c r="K1406" s="72">
        <v>2</v>
      </c>
      <c r="L1406" s="72">
        <v>0</v>
      </c>
      <c r="M1406" s="74">
        <v>0</v>
      </c>
      <c r="N1406" s="74">
        <v>0</v>
      </c>
      <c r="O1406" s="74">
        <v>2</v>
      </c>
      <c r="P1406" s="74">
        <v>15</v>
      </c>
      <c r="Q1406" s="74">
        <v>1</v>
      </c>
      <c r="R1406" s="74">
        <v>0</v>
      </c>
      <c r="S1406" s="73">
        <v>0</v>
      </c>
      <c r="T1406" s="75">
        <v>0</v>
      </c>
      <c r="U1406" s="72">
        <v>1</v>
      </c>
      <c r="V1406" s="74">
        <v>2</v>
      </c>
      <c r="W1406" s="74">
        <v>0</v>
      </c>
      <c r="X1406" s="74">
        <v>2</v>
      </c>
      <c r="Y1406" s="19">
        <v>0</v>
      </c>
      <c r="Z1406" s="74">
        <v>750</v>
      </c>
      <c r="AA1406" s="74">
        <v>0</v>
      </c>
      <c r="AB1406" s="74">
        <v>0</v>
      </c>
      <c r="AC1406" s="74">
        <v>0</v>
      </c>
      <c r="AD1406" s="74">
        <v>0</v>
      </c>
      <c r="AE1406" s="74">
        <v>0</v>
      </c>
      <c r="AF1406" s="74">
        <v>12</v>
      </c>
      <c r="AG1406" s="74">
        <v>1</v>
      </c>
      <c r="AH1406" s="74">
        <v>3.5</v>
      </c>
      <c r="AI1406" s="73">
        <v>0</v>
      </c>
      <c r="AJ1406" s="73">
        <v>0</v>
      </c>
      <c r="AK1406" s="73">
        <v>0</v>
      </c>
      <c r="AL1406" s="73">
        <v>4</v>
      </c>
      <c r="AM1406" s="74">
        <v>0</v>
      </c>
      <c r="AN1406" s="74">
        <v>0</v>
      </c>
      <c r="AO1406" s="74">
        <v>0</v>
      </c>
      <c r="AP1406" s="74">
        <v>0.25</v>
      </c>
      <c r="AQ1406" s="74">
        <v>2000</v>
      </c>
      <c r="AR1406" s="74">
        <v>0</v>
      </c>
      <c r="AS1406" s="74">
        <v>0</v>
      </c>
      <c r="AT1406" s="73">
        <v>0</v>
      </c>
      <c r="AU1406" s="74">
        <v>90503131</v>
      </c>
      <c r="AV1406" s="74"/>
      <c r="AW1406" s="88" t="s">
        <v>205</v>
      </c>
      <c r="AX1406" s="74" t="s">
        <v>540</v>
      </c>
      <c r="AY1406" s="74">
        <v>10000009</v>
      </c>
      <c r="AZ1406" s="74">
        <v>21100050</v>
      </c>
      <c r="BA1406" s="88" t="s">
        <v>206</v>
      </c>
      <c r="BB1406" s="88">
        <v>0</v>
      </c>
      <c r="BC1406" s="75">
        <v>0</v>
      </c>
      <c r="BD1406" s="75">
        <v>1</v>
      </c>
      <c r="BE1406" s="208" t="s">
        <v>3143</v>
      </c>
      <c r="BF1406" s="208" t="s">
        <v>3144</v>
      </c>
      <c r="BG1406" s="74">
        <v>0</v>
      </c>
      <c r="BH1406" s="72">
        <v>0</v>
      </c>
      <c r="BI1406" s="74">
        <v>0</v>
      </c>
      <c r="BJ1406" s="74">
        <v>0</v>
      </c>
      <c r="BK1406" s="74">
        <v>0</v>
      </c>
      <c r="BL1406" s="74">
        <v>0</v>
      </c>
      <c r="BM1406" s="90">
        <v>0</v>
      </c>
      <c r="BN1406" s="73">
        <v>1</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172">
        <v>63200205</v>
      </c>
      <c r="D1407" s="179" t="s">
        <v>3017</v>
      </c>
      <c r="E1407" s="179" t="s">
        <v>3053</v>
      </c>
      <c r="F1407" s="180">
        <v>1</v>
      </c>
      <c r="G1407" s="180">
        <v>63001004</v>
      </c>
      <c r="H1407" s="180">
        <v>0</v>
      </c>
      <c r="I1407" s="180">
        <v>0</v>
      </c>
      <c r="J1407" s="32">
        <v>1</v>
      </c>
      <c r="K1407" s="32">
        <v>0</v>
      </c>
      <c r="L1407" s="21">
        <v>0</v>
      </c>
      <c r="M1407" s="180">
        <v>0</v>
      </c>
      <c r="N1407" s="180">
        <v>0</v>
      </c>
      <c r="O1407" s="180">
        <v>2</v>
      </c>
      <c r="P1407" s="180">
        <v>5</v>
      </c>
      <c r="Q1407" s="180">
        <v>0.3</v>
      </c>
      <c r="R1407" s="180">
        <v>0</v>
      </c>
      <c r="S1407" s="19">
        <v>0</v>
      </c>
      <c r="T1407" s="180">
        <v>0</v>
      </c>
      <c r="U1407" s="180">
        <v>1</v>
      </c>
      <c r="V1407" s="180">
        <v>2</v>
      </c>
      <c r="W1407" s="180">
        <v>0</v>
      </c>
      <c r="X1407" s="180">
        <v>0</v>
      </c>
      <c r="Y1407" s="19">
        <v>0</v>
      </c>
      <c r="Z1407" s="180">
        <v>0</v>
      </c>
      <c r="AA1407" s="180">
        <v>0</v>
      </c>
      <c r="AB1407" s="180">
        <v>0</v>
      </c>
      <c r="AC1407" s="180">
        <v>0</v>
      </c>
      <c r="AD1407" s="21">
        <v>0</v>
      </c>
      <c r="AE1407" s="180">
        <v>0</v>
      </c>
      <c r="AF1407" s="180">
        <v>0</v>
      </c>
      <c r="AG1407" s="180">
        <v>0</v>
      </c>
      <c r="AH1407" s="180">
        <v>0</v>
      </c>
      <c r="AI1407" s="180">
        <v>0</v>
      </c>
      <c r="AJ1407" s="180">
        <v>0</v>
      </c>
      <c r="AK1407" s="19">
        <v>0</v>
      </c>
      <c r="AL1407" s="180">
        <v>0</v>
      </c>
      <c r="AM1407" s="180">
        <v>0</v>
      </c>
      <c r="AN1407" s="180">
        <v>0</v>
      </c>
      <c r="AO1407" s="180">
        <v>0</v>
      </c>
      <c r="AP1407" s="21">
        <v>0</v>
      </c>
      <c r="AQ1407" s="180">
        <v>1000</v>
      </c>
      <c r="AR1407" s="180">
        <v>0</v>
      </c>
      <c r="AS1407" s="180">
        <v>0</v>
      </c>
      <c r="AT1407" s="180">
        <v>90503121</v>
      </c>
      <c r="AU1407" s="180" t="s">
        <v>204</v>
      </c>
      <c r="AV1407" s="180"/>
      <c r="AW1407" s="179" t="s">
        <v>204</v>
      </c>
      <c r="AX1407" s="172" t="s">
        <v>1581</v>
      </c>
      <c r="AY1407" s="180">
        <v>0</v>
      </c>
      <c r="AZ1407" s="180">
        <v>0</v>
      </c>
      <c r="BA1407" s="179" t="s">
        <v>206</v>
      </c>
      <c r="BB1407" s="179" t="s">
        <v>204</v>
      </c>
      <c r="BC1407" s="180">
        <v>0</v>
      </c>
      <c r="BD1407" s="180">
        <v>1</v>
      </c>
      <c r="BE1407" s="181" t="s">
        <v>3145</v>
      </c>
      <c r="BF1407" s="181" t="s">
        <v>3146</v>
      </c>
      <c r="BG1407" s="180">
        <v>0</v>
      </c>
      <c r="BH1407" s="21">
        <v>0</v>
      </c>
      <c r="BI1407" s="180">
        <v>0</v>
      </c>
      <c r="BJ1407" s="180">
        <v>0</v>
      </c>
      <c r="BK1407" s="180">
        <v>0</v>
      </c>
      <c r="BL1407" s="180">
        <v>0</v>
      </c>
      <c r="BM1407" s="25">
        <v>0</v>
      </c>
      <c r="BN1407" s="19">
        <v>1</v>
      </c>
      <c r="BO1407" s="19">
        <v>0</v>
      </c>
      <c r="BP1407" s="19">
        <v>0</v>
      </c>
      <c r="BQ1407" s="19">
        <v>0</v>
      </c>
      <c r="BR1407" s="19">
        <v>0</v>
      </c>
      <c r="BS1407" s="19">
        <v>0</v>
      </c>
      <c r="BT1407" s="19">
        <v>0</v>
      </c>
      <c r="BU1407" s="23">
        <v>0</v>
      </c>
      <c r="BV1407" s="23"/>
      <c r="BW1407" s="23"/>
      <c r="BX1407" s="23"/>
      <c r="BY1407" s="23"/>
      <c r="BZ1407" s="23"/>
    </row>
    <row r="1408" spans="3:78" ht="20.100000000000001" customHeight="1">
      <c r="C1408" s="172">
        <v>63201001</v>
      </c>
      <c r="D1408" s="173" t="s">
        <v>3147</v>
      </c>
      <c r="E1408" s="173" t="s">
        <v>3148</v>
      </c>
      <c r="F1408" s="172">
        <v>1</v>
      </c>
      <c r="G1408" s="172">
        <v>63003001</v>
      </c>
      <c r="H1408" s="172">
        <v>0</v>
      </c>
      <c r="I1408" s="174">
        <v>0</v>
      </c>
      <c r="J1408" s="176">
        <v>1</v>
      </c>
      <c r="K1408" s="176">
        <v>0</v>
      </c>
      <c r="L1408" s="172">
        <v>0</v>
      </c>
      <c r="M1408" s="172">
        <v>0</v>
      </c>
      <c r="N1408" s="172">
        <v>0</v>
      </c>
      <c r="O1408" s="172">
        <v>2</v>
      </c>
      <c r="P1408" s="172">
        <v>12</v>
      </c>
      <c r="Q1408" s="172">
        <v>1</v>
      </c>
      <c r="R1408" s="172">
        <v>0</v>
      </c>
      <c r="S1408" s="175">
        <v>0</v>
      </c>
      <c r="T1408" s="172">
        <v>0</v>
      </c>
      <c r="U1408" s="172">
        <v>1</v>
      </c>
      <c r="V1408" s="172">
        <v>2</v>
      </c>
      <c r="W1408" s="172">
        <v>0</v>
      </c>
      <c r="X1408" s="176">
        <v>0</v>
      </c>
      <c r="Y1408" s="19">
        <v>0</v>
      </c>
      <c r="Z1408" s="176">
        <v>0</v>
      </c>
      <c r="AA1408" s="172">
        <v>0</v>
      </c>
      <c r="AB1408" s="172">
        <v>0</v>
      </c>
      <c r="AC1408" s="172">
        <v>0</v>
      </c>
      <c r="AD1408" s="172">
        <v>1</v>
      </c>
      <c r="AE1408" s="172">
        <v>0</v>
      </c>
      <c r="AF1408" s="172">
        <v>60</v>
      </c>
      <c r="AG1408" s="172">
        <v>1</v>
      </c>
      <c r="AH1408" s="172">
        <v>10</v>
      </c>
      <c r="AI1408" s="175">
        <v>0</v>
      </c>
      <c r="AJ1408" s="175">
        <v>0</v>
      </c>
      <c r="AK1408" s="175">
        <v>0</v>
      </c>
      <c r="AL1408" s="175">
        <v>0</v>
      </c>
      <c r="AM1408" s="172">
        <v>0</v>
      </c>
      <c r="AN1408" s="172">
        <v>0</v>
      </c>
      <c r="AO1408" s="172">
        <v>0</v>
      </c>
      <c r="AP1408" s="172">
        <v>0</v>
      </c>
      <c r="AQ1408" s="172">
        <v>50000</v>
      </c>
      <c r="AR1408" s="172">
        <v>0</v>
      </c>
      <c r="AS1408" s="172">
        <v>0</v>
      </c>
      <c r="AT1408" s="175">
        <v>90503003</v>
      </c>
      <c r="AU1408" s="172">
        <v>90503003</v>
      </c>
      <c r="AV1408" s="172"/>
      <c r="AW1408" s="173" t="s">
        <v>204</v>
      </c>
      <c r="AX1408" s="172">
        <v>0</v>
      </c>
      <c r="AY1408" s="176">
        <v>0</v>
      </c>
      <c r="AZ1408" s="176">
        <v>0</v>
      </c>
      <c r="BA1408" s="173" t="s">
        <v>3005</v>
      </c>
      <c r="BB1408" s="172">
        <v>0</v>
      </c>
      <c r="BC1408" s="174">
        <v>0</v>
      </c>
      <c r="BD1408" s="174">
        <v>0</v>
      </c>
      <c r="BE1408" s="207" t="s">
        <v>3149</v>
      </c>
      <c r="BF1408" s="207" t="s">
        <v>3150</v>
      </c>
      <c r="BG1408" s="172">
        <v>0</v>
      </c>
      <c r="BH1408" s="172">
        <v>0</v>
      </c>
      <c r="BI1408" s="172">
        <v>0</v>
      </c>
      <c r="BJ1408" s="172">
        <v>0</v>
      </c>
      <c r="BK1408" s="172">
        <v>0</v>
      </c>
      <c r="BL1408" s="172">
        <v>0</v>
      </c>
      <c r="BM1408" s="178">
        <v>0</v>
      </c>
      <c r="BN1408" s="175">
        <v>1</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63201002</v>
      </c>
      <c r="D1409" s="173" t="s">
        <v>3070</v>
      </c>
      <c r="E1409" s="173" t="s">
        <v>3071</v>
      </c>
      <c r="F1409" s="172">
        <v>1</v>
      </c>
      <c r="G1409" s="172">
        <v>63001003</v>
      </c>
      <c r="H1409" s="172">
        <v>0</v>
      </c>
      <c r="I1409" s="174">
        <v>0</v>
      </c>
      <c r="J1409" s="176">
        <v>1</v>
      </c>
      <c r="K1409" s="176">
        <v>0</v>
      </c>
      <c r="L1409" s="172">
        <v>0</v>
      </c>
      <c r="M1409" s="172">
        <v>0</v>
      </c>
      <c r="N1409" s="172">
        <v>0</v>
      </c>
      <c r="O1409" s="172">
        <v>2</v>
      </c>
      <c r="P1409" s="172">
        <v>0</v>
      </c>
      <c r="Q1409" s="172">
        <v>0</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0</v>
      </c>
      <c r="AU1409" s="172" t="s">
        <v>204</v>
      </c>
      <c r="AV1409" s="172"/>
      <c r="AW1409" s="173" t="s">
        <v>204</v>
      </c>
      <c r="AX1409" s="172">
        <v>0</v>
      </c>
      <c r="AY1409" s="176">
        <v>0</v>
      </c>
      <c r="AZ1409" s="176">
        <v>0</v>
      </c>
      <c r="BA1409" s="173" t="s">
        <v>204</v>
      </c>
      <c r="BB1409" s="172">
        <v>0</v>
      </c>
      <c r="BC1409" s="174"/>
      <c r="BD1409" s="174"/>
      <c r="BE1409" s="207" t="s">
        <v>3072</v>
      </c>
      <c r="BF1409" s="207" t="s">
        <v>3073</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63201003</v>
      </c>
      <c r="D1410" s="173" t="s">
        <v>3151</v>
      </c>
      <c r="E1410" s="173" t="s">
        <v>3152</v>
      </c>
      <c r="F1410" s="172">
        <v>1</v>
      </c>
      <c r="G1410" s="172">
        <v>1000005</v>
      </c>
      <c r="H1410" s="172">
        <v>0</v>
      </c>
      <c r="I1410" s="174">
        <v>0</v>
      </c>
      <c r="J1410" s="176">
        <v>1</v>
      </c>
      <c r="K1410" s="176">
        <v>0</v>
      </c>
      <c r="L1410" s="172">
        <v>0</v>
      </c>
      <c r="M1410" s="172">
        <v>0</v>
      </c>
      <c r="N1410" s="172">
        <v>0</v>
      </c>
      <c r="O1410" s="172">
        <v>8</v>
      </c>
      <c r="P1410" s="172">
        <v>8</v>
      </c>
      <c r="Q1410" s="172">
        <v>2</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90000006</v>
      </c>
      <c r="AU1410" s="172" t="s">
        <v>204</v>
      </c>
      <c r="AV1410" s="172"/>
      <c r="AW1410" s="173" t="s">
        <v>204</v>
      </c>
      <c r="AX1410" s="172">
        <v>0</v>
      </c>
      <c r="AY1410" s="176">
        <v>0</v>
      </c>
      <c r="AZ1410" s="176">
        <v>0</v>
      </c>
      <c r="BA1410" s="173" t="s">
        <v>204</v>
      </c>
      <c r="BB1410" s="172" t="s">
        <v>3153</v>
      </c>
      <c r="BC1410" s="174"/>
      <c r="BD1410" s="174"/>
      <c r="BE1410" s="207" t="s">
        <v>3154</v>
      </c>
      <c r="BF1410" s="207" t="s">
        <v>3155</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63201004</v>
      </c>
      <c r="D1411" s="212" t="s">
        <v>3017</v>
      </c>
      <c r="E1411" s="212" t="s">
        <v>3156</v>
      </c>
      <c r="F1411" s="74">
        <v>1</v>
      </c>
      <c r="G1411" s="206">
        <v>63001004</v>
      </c>
      <c r="H1411" s="74">
        <v>0</v>
      </c>
      <c r="I1411" s="75">
        <v>0</v>
      </c>
      <c r="J1411" s="74">
        <v>1</v>
      </c>
      <c r="K1411" s="74">
        <v>0</v>
      </c>
      <c r="L1411" s="74">
        <v>0</v>
      </c>
      <c r="M1411" s="72">
        <v>0</v>
      </c>
      <c r="N1411" s="72">
        <v>0</v>
      </c>
      <c r="O1411" s="72">
        <v>2</v>
      </c>
      <c r="P1411" s="72">
        <v>10</v>
      </c>
      <c r="Q1411" s="72">
        <v>0.2</v>
      </c>
      <c r="R1411" s="72">
        <v>0</v>
      </c>
      <c r="S1411" s="73">
        <v>0</v>
      </c>
      <c r="T1411" s="72">
        <v>0</v>
      </c>
      <c r="U1411" s="72">
        <v>1</v>
      </c>
      <c r="V1411" s="72">
        <v>2</v>
      </c>
      <c r="W1411" s="72">
        <v>0</v>
      </c>
      <c r="X1411" s="72">
        <v>0</v>
      </c>
      <c r="Y1411" s="19">
        <v>0</v>
      </c>
      <c r="Z1411" s="72">
        <v>0</v>
      </c>
      <c r="AA1411" s="72">
        <v>0</v>
      </c>
      <c r="AB1411" s="72">
        <v>0</v>
      </c>
      <c r="AC1411" s="72">
        <v>0</v>
      </c>
      <c r="AD1411" s="72">
        <v>1</v>
      </c>
      <c r="AE1411" s="72">
        <v>0</v>
      </c>
      <c r="AF1411" s="72">
        <v>2</v>
      </c>
      <c r="AG1411" s="72">
        <v>0</v>
      </c>
      <c r="AH1411" s="72">
        <v>0</v>
      </c>
      <c r="AI1411" s="73">
        <v>1</v>
      </c>
      <c r="AJ1411" s="73">
        <v>0</v>
      </c>
      <c r="AK1411" s="19">
        <v>0</v>
      </c>
      <c r="AL1411" s="73">
        <v>3</v>
      </c>
      <c r="AM1411" s="72">
        <v>0</v>
      </c>
      <c r="AN1411" s="72">
        <v>0</v>
      </c>
      <c r="AO1411" s="72">
        <v>0</v>
      </c>
      <c r="AP1411" s="74">
        <v>0</v>
      </c>
      <c r="AQ1411" s="72">
        <v>3000</v>
      </c>
      <c r="AR1411" s="72">
        <v>0</v>
      </c>
      <c r="AS1411" s="72">
        <v>0</v>
      </c>
      <c r="AT1411" s="73">
        <v>0</v>
      </c>
      <c r="AU1411" s="72" t="s">
        <v>204</v>
      </c>
      <c r="AV1411" s="72"/>
      <c r="AW1411" s="71" t="s">
        <v>205</v>
      </c>
      <c r="AX1411" s="72" t="s">
        <v>1047</v>
      </c>
      <c r="AY1411" s="74">
        <v>0</v>
      </c>
      <c r="AZ1411" s="74">
        <v>21101051</v>
      </c>
      <c r="BA1411" s="71" t="s">
        <v>1180</v>
      </c>
      <c r="BB1411" s="366" t="s">
        <v>3157</v>
      </c>
      <c r="BC1411" s="75">
        <v>0</v>
      </c>
      <c r="BD1411" s="75">
        <v>0</v>
      </c>
      <c r="BE1411" s="213" t="s">
        <v>3158</v>
      </c>
      <c r="BF1411" s="213" t="s">
        <v>3159</v>
      </c>
      <c r="BG1411" s="72">
        <v>0</v>
      </c>
      <c r="BH1411" s="72">
        <v>0</v>
      </c>
      <c r="BI1411" s="72">
        <v>0</v>
      </c>
      <c r="BJ1411" s="72">
        <v>0</v>
      </c>
      <c r="BK1411" s="72">
        <v>0</v>
      </c>
      <c r="BL1411" s="72">
        <v>0</v>
      </c>
      <c r="BM1411" s="90">
        <v>0</v>
      </c>
      <c r="BN1411" s="19">
        <v>0</v>
      </c>
      <c r="BO1411" s="19">
        <v>0</v>
      </c>
      <c r="BP1411" s="19">
        <v>0</v>
      </c>
      <c r="BQ1411" s="19">
        <v>0</v>
      </c>
      <c r="BR1411" s="19">
        <v>0</v>
      </c>
      <c r="BS1411" s="19">
        <v>0</v>
      </c>
      <c r="BT1411" s="19">
        <v>0</v>
      </c>
      <c r="BU1411" s="23">
        <v>0</v>
      </c>
      <c r="BV1411" s="23"/>
      <c r="BW1411" s="23"/>
      <c r="BX1411" s="23"/>
      <c r="BY1411" s="23"/>
      <c r="BZ1411" s="23"/>
    </row>
    <row r="1412" spans="1:78" ht="20.100000000000001" customHeight="1">
      <c r="C1412" s="172">
        <v>63201005</v>
      </c>
      <c r="D1412" s="212" t="s">
        <v>3017</v>
      </c>
      <c r="E1412" s="212" t="s">
        <v>3156</v>
      </c>
      <c r="F1412" s="206">
        <v>1</v>
      </c>
      <c r="G1412" s="206">
        <v>63001004</v>
      </c>
      <c r="H1412" s="206">
        <v>0</v>
      </c>
      <c r="I1412" s="206">
        <v>0</v>
      </c>
      <c r="J1412" s="176">
        <v>1</v>
      </c>
      <c r="K1412" s="176">
        <v>0</v>
      </c>
      <c r="L1412" s="172">
        <v>0</v>
      </c>
      <c r="M1412" s="206">
        <v>0</v>
      </c>
      <c r="N1412" s="206">
        <v>0</v>
      </c>
      <c r="O1412" s="206">
        <v>2</v>
      </c>
      <c r="P1412" s="206">
        <v>1</v>
      </c>
      <c r="Q1412" s="206">
        <v>0.15</v>
      </c>
      <c r="R1412" s="206">
        <v>0</v>
      </c>
      <c r="S1412" s="175">
        <v>0</v>
      </c>
      <c r="T1412" s="206">
        <v>0</v>
      </c>
      <c r="U1412" s="206">
        <v>1</v>
      </c>
      <c r="V1412" s="206">
        <v>2</v>
      </c>
      <c r="W1412" s="206">
        <v>0</v>
      </c>
      <c r="X1412" s="206">
        <v>0</v>
      </c>
      <c r="Y1412" s="19">
        <v>0</v>
      </c>
      <c r="Z1412" s="206">
        <v>0</v>
      </c>
      <c r="AA1412" s="206">
        <v>0</v>
      </c>
      <c r="AB1412" s="206">
        <v>0</v>
      </c>
      <c r="AC1412" s="206">
        <v>0</v>
      </c>
      <c r="AD1412" s="172">
        <v>1</v>
      </c>
      <c r="AE1412" s="206">
        <v>0</v>
      </c>
      <c r="AF1412" s="206">
        <v>15</v>
      </c>
      <c r="AG1412" s="206">
        <v>1</v>
      </c>
      <c r="AH1412" s="206">
        <v>1</v>
      </c>
      <c r="AI1412" s="206">
        <v>2</v>
      </c>
      <c r="AJ1412" s="206">
        <v>0</v>
      </c>
      <c r="AK1412" s="175">
        <v>0</v>
      </c>
      <c r="AL1412" s="206">
        <v>2</v>
      </c>
      <c r="AM1412" s="206">
        <v>0</v>
      </c>
      <c r="AN1412" s="206">
        <v>0</v>
      </c>
      <c r="AO1412" s="206">
        <v>0</v>
      </c>
      <c r="AP1412" s="172">
        <v>0</v>
      </c>
      <c r="AQ1412" s="206">
        <v>10000</v>
      </c>
      <c r="AR1412" s="206">
        <v>0.5</v>
      </c>
      <c r="AS1412" s="206">
        <v>0</v>
      </c>
      <c r="AT1412" s="206">
        <v>0</v>
      </c>
      <c r="AU1412" s="206" t="s">
        <v>204</v>
      </c>
      <c r="AV1412" s="206"/>
      <c r="AW1412" s="212"/>
      <c r="AX1412" s="206">
        <v>0</v>
      </c>
      <c r="AY1412" s="206">
        <v>0</v>
      </c>
      <c r="AZ1412" s="206">
        <v>0</v>
      </c>
      <c r="BA1412" s="212" t="s">
        <v>206</v>
      </c>
      <c r="BB1412" s="212" t="s">
        <v>204</v>
      </c>
      <c r="BC1412" s="206">
        <v>0</v>
      </c>
      <c r="BD1412" s="206">
        <v>0</v>
      </c>
      <c r="BE1412" s="213" t="s">
        <v>3160</v>
      </c>
      <c r="BF1412" s="213" t="s">
        <v>3161</v>
      </c>
      <c r="BG1412" s="206">
        <v>0</v>
      </c>
      <c r="BH1412" s="172">
        <v>0</v>
      </c>
      <c r="BI1412" s="206">
        <v>0</v>
      </c>
      <c r="BJ1412" s="206">
        <v>0</v>
      </c>
      <c r="BK1412" s="206">
        <v>0</v>
      </c>
      <c r="BL1412" s="206">
        <v>0</v>
      </c>
      <c r="BM1412" s="367" t="s">
        <v>3162</v>
      </c>
      <c r="BN1412" s="175">
        <v>0</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63202001</v>
      </c>
      <c r="D1413" s="173" t="s">
        <v>3163</v>
      </c>
      <c r="E1413" s="173" t="s">
        <v>3164</v>
      </c>
      <c r="F1413" s="172">
        <v>1</v>
      </c>
      <c r="G1413" s="172">
        <v>63003001</v>
      </c>
      <c r="H1413" s="172">
        <v>0</v>
      </c>
      <c r="I1413" s="174">
        <v>0</v>
      </c>
      <c r="J1413" s="176">
        <v>1</v>
      </c>
      <c r="K1413" s="176">
        <v>0</v>
      </c>
      <c r="L1413" s="172">
        <v>0</v>
      </c>
      <c r="M1413" s="172">
        <v>0</v>
      </c>
      <c r="N1413" s="172">
        <v>0</v>
      </c>
      <c r="O1413" s="172">
        <v>2</v>
      </c>
      <c r="P1413" s="172">
        <v>12</v>
      </c>
      <c r="Q1413" s="172">
        <v>1</v>
      </c>
      <c r="R1413" s="172">
        <v>0</v>
      </c>
      <c r="S1413" s="175">
        <v>0</v>
      </c>
      <c r="T1413" s="172">
        <v>0</v>
      </c>
      <c r="U1413" s="172">
        <v>1</v>
      </c>
      <c r="V1413" s="172">
        <v>2</v>
      </c>
      <c r="W1413" s="172">
        <v>0</v>
      </c>
      <c r="X1413" s="176">
        <v>0</v>
      </c>
      <c r="Y1413" s="19">
        <v>0</v>
      </c>
      <c r="Z1413" s="176">
        <v>0</v>
      </c>
      <c r="AA1413" s="172">
        <v>0</v>
      </c>
      <c r="AB1413" s="172">
        <v>0</v>
      </c>
      <c r="AC1413" s="172">
        <v>0</v>
      </c>
      <c r="AD1413" s="172">
        <v>1</v>
      </c>
      <c r="AE1413" s="172">
        <v>0</v>
      </c>
      <c r="AF1413" s="172">
        <v>60</v>
      </c>
      <c r="AG1413" s="172">
        <v>1</v>
      </c>
      <c r="AH1413" s="172">
        <v>10</v>
      </c>
      <c r="AI1413" s="175">
        <v>0</v>
      </c>
      <c r="AJ1413" s="175">
        <v>0</v>
      </c>
      <c r="AK1413" s="175">
        <v>0</v>
      </c>
      <c r="AL1413" s="175">
        <v>0</v>
      </c>
      <c r="AM1413" s="172">
        <v>0</v>
      </c>
      <c r="AN1413" s="172">
        <v>0</v>
      </c>
      <c r="AO1413" s="172">
        <v>0</v>
      </c>
      <c r="AP1413" s="172">
        <v>0</v>
      </c>
      <c r="AQ1413" s="172">
        <v>50000</v>
      </c>
      <c r="AR1413" s="172">
        <v>0</v>
      </c>
      <c r="AS1413" s="172">
        <v>0</v>
      </c>
      <c r="AT1413" s="175">
        <v>90503004</v>
      </c>
      <c r="AU1413" s="172">
        <v>90503004</v>
      </c>
      <c r="AV1413" s="172"/>
      <c r="AW1413" s="173" t="s">
        <v>204</v>
      </c>
      <c r="AX1413" s="172">
        <v>0</v>
      </c>
      <c r="AY1413" s="176">
        <v>0</v>
      </c>
      <c r="AZ1413" s="176">
        <v>0</v>
      </c>
      <c r="BA1413" s="173" t="s">
        <v>3005</v>
      </c>
      <c r="BB1413" s="172">
        <v>0</v>
      </c>
      <c r="BC1413" s="174">
        <v>0</v>
      </c>
      <c r="BD1413" s="174">
        <v>0</v>
      </c>
      <c r="BE1413" s="207" t="s">
        <v>3165</v>
      </c>
      <c r="BF1413" s="207" t="s">
        <v>3166</v>
      </c>
      <c r="BG1413" s="172">
        <v>0</v>
      </c>
      <c r="BH1413" s="172">
        <v>0</v>
      </c>
      <c r="BI1413" s="172">
        <v>0</v>
      </c>
      <c r="BJ1413" s="172">
        <v>0</v>
      </c>
      <c r="BK1413" s="172">
        <v>0</v>
      </c>
      <c r="BL1413" s="172">
        <v>0</v>
      </c>
      <c r="BM1413" s="178">
        <v>0</v>
      </c>
      <c r="BN1413" s="175">
        <v>1</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63202002</v>
      </c>
      <c r="D1414" s="173" t="s">
        <v>3013</v>
      </c>
      <c r="E1414" s="173" t="s">
        <v>3014</v>
      </c>
      <c r="F1414" s="172">
        <v>1</v>
      </c>
      <c r="G1414" s="172">
        <v>63002002</v>
      </c>
      <c r="H1414" s="172">
        <v>0</v>
      </c>
      <c r="I1414" s="174">
        <v>0</v>
      </c>
      <c r="J1414" s="176">
        <v>1</v>
      </c>
      <c r="K1414" s="176">
        <v>0</v>
      </c>
      <c r="L1414" s="172">
        <v>0</v>
      </c>
      <c r="M1414" s="172">
        <v>0</v>
      </c>
      <c r="N1414" s="172">
        <v>0</v>
      </c>
      <c r="O1414" s="172">
        <v>2</v>
      </c>
      <c r="P1414" s="172">
        <v>0</v>
      </c>
      <c r="Q1414" s="172">
        <v>0</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0</v>
      </c>
      <c r="AU1414" s="172" t="s">
        <v>204</v>
      </c>
      <c r="AV1414" s="172"/>
      <c r="AW1414" s="173" t="s">
        <v>204</v>
      </c>
      <c r="AX1414" s="172">
        <v>0</v>
      </c>
      <c r="AY1414" s="176">
        <v>0</v>
      </c>
      <c r="AZ1414" s="176">
        <v>0</v>
      </c>
      <c r="BA1414" s="173" t="s">
        <v>204</v>
      </c>
      <c r="BB1414" s="172">
        <v>0</v>
      </c>
      <c r="BC1414" s="174"/>
      <c r="BD1414" s="174"/>
      <c r="BE1414" s="207" t="s">
        <v>3015</v>
      </c>
      <c r="BF1414" s="207" t="s">
        <v>3016</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63202003</v>
      </c>
      <c r="D1415" s="173" t="s">
        <v>3151</v>
      </c>
      <c r="E1415" s="173" t="s">
        <v>3152</v>
      </c>
      <c r="F1415" s="172">
        <v>1</v>
      </c>
      <c r="G1415" s="172">
        <v>1000005</v>
      </c>
      <c r="H1415" s="172">
        <v>0</v>
      </c>
      <c r="I1415" s="174">
        <v>0</v>
      </c>
      <c r="J1415" s="176">
        <v>1</v>
      </c>
      <c r="K1415" s="176">
        <v>0</v>
      </c>
      <c r="L1415" s="172">
        <v>0</v>
      </c>
      <c r="M1415" s="172">
        <v>0</v>
      </c>
      <c r="N1415" s="172">
        <v>0</v>
      </c>
      <c r="O1415" s="172">
        <v>8</v>
      </c>
      <c r="P1415" s="172">
        <v>8</v>
      </c>
      <c r="Q1415" s="172">
        <v>2</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90000006</v>
      </c>
      <c r="AU1415" s="172" t="s">
        <v>204</v>
      </c>
      <c r="AV1415" s="172"/>
      <c r="AW1415" s="173" t="s">
        <v>204</v>
      </c>
      <c r="AX1415" s="172">
        <v>0</v>
      </c>
      <c r="AY1415" s="176">
        <v>0</v>
      </c>
      <c r="AZ1415" s="176">
        <v>0</v>
      </c>
      <c r="BA1415" s="173" t="s">
        <v>204</v>
      </c>
      <c r="BB1415" s="172" t="s">
        <v>3167</v>
      </c>
      <c r="BC1415" s="174"/>
      <c r="BD1415" s="174"/>
      <c r="BE1415" s="207" t="s">
        <v>3168</v>
      </c>
      <c r="BF1415" s="207" t="s">
        <v>3169</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63202004</v>
      </c>
      <c r="D1416" s="212" t="s">
        <v>3017</v>
      </c>
      <c r="E1416" s="212" t="s">
        <v>3170</v>
      </c>
      <c r="F1416" s="206">
        <v>1</v>
      </c>
      <c r="G1416" s="206">
        <v>63001004</v>
      </c>
      <c r="H1416" s="206">
        <v>0</v>
      </c>
      <c r="I1416" s="206">
        <v>0</v>
      </c>
      <c r="J1416" s="206">
        <v>1</v>
      </c>
      <c r="K1416" s="206">
        <v>0</v>
      </c>
      <c r="L1416" s="206">
        <v>0</v>
      </c>
      <c r="M1416" s="206">
        <v>0</v>
      </c>
      <c r="N1416" s="206">
        <v>0</v>
      </c>
      <c r="O1416" s="206">
        <v>2</v>
      </c>
      <c r="P1416" s="206">
        <v>1</v>
      </c>
      <c r="Q1416" s="206">
        <v>0.2</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6</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206">
        <v>0</v>
      </c>
      <c r="AU1416" s="206">
        <v>90000009</v>
      </c>
      <c r="AV1416" s="206"/>
      <c r="AW1416" s="212" t="s">
        <v>204</v>
      </c>
      <c r="AX1416" s="206">
        <v>0</v>
      </c>
      <c r="AY1416" s="206">
        <v>0</v>
      </c>
      <c r="AZ1416" s="206">
        <v>0</v>
      </c>
      <c r="BA1416" s="212" t="s">
        <v>206</v>
      </c>
      <c r="BB1416" s="212">
        <v>0</v>
      </c>
      <c r="BC1416" s="206">
        <v>0</v>
      </c>
      <c r="BD1416" s="206">
        <v>0</v>
      </c>
      <c r="BE1416" s="203" t="s">
        <v>3171</v>
      </c>
      <c r="BF1416" s="203" t="s">
        <v>3172</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63202005</v>
      </c>
      <c r="D1417" s="212" t="s">
        <v>3017</v>
      </c>
      <c r="E1417" s="212" t="s">
        <v>3170</v>
      </c>
      <c r="F1417" s="206">
        <v>1</v>
      </c>
      <c r="G1417" s="206">
        <v>63001004</v>
      </c>
      <c r="H1417" s="206">
        <v>0</v>
      </c>
      <c r="I1417" s="206">
        <v>0</v>
      </c>
      <c r="J1417" s="206">
        <v>1</v>
      </c>
      <c r="K1417" s="206">
        <v>0</v>
      </c>
      <c r="L1417" s="206">
        <v>0</v>
      </c>
      <c r="M1417" s="206">
        <v>0</v>
      </c>
      <c r="N1417" s="206">
        <v>0</v>
      </c>
      <c r="O1417" s="206">
        <v>2</v>
      </c>
      <c r="P1417" s="206">
        <v>1</v>
      </c>
      <c r="Q1417" s="206">
        <v>0.3</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3</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368" t="s">
        <v>3173</v>
      </c>
      <c r="AU1417" s="206">
        <v>90000015</v>
      </c>
      <c r="AV1417" s="206"/>
      <c r="AW1417" s="212" t="s">
        <v>204</v>
      </c>
      <c r="AX1417" s="206">
        <v>0</v>
      </c>
      <c r="AY1417" s="206">
        <v>0</v>
      </c>
      <c r="AZ1417" s="206">
        <v>0</v>
      </c>
      <c r="BA1417" s="212" t="s">
        <v>206</v>
      </c>
      <c r="BB1417" s="212">
        <v>0</v>
      </c>
      <c r="BC1417" s="206">
        <v>0</v>
      </c>
      <c r="BD1417" s="206">
        <v>1</v>
      </c>
      <c r="BE1417" s="213" t="s">
        <v>3174</v>
      </c>
      <c r="BF1417" s="213" t="s">
        <v>3175</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63203001</v>
      </c>
      <c r="D1418" s="173" t="s">
        <v>3176</v>
      </c>
      <c r="E1418" s="173" t="s">
        <v>3177</v>
      </c>
      <c r="F1418" s="172">
        <v>1</v>
      </c>
      <c r="G1418" s="172">
        <v>63003001</v>
      </c>
      <c r="H1418" s="172">
        <v>0</v>
      </c>
      <c r="I1418" s="174">
        <v>0</v>
      </c>
      <c r="J1418" s="176">
        <v>1</v>
      </c>
      <c r="K1418" s="176">
        <v>0</v>
      </c>
      <c r="L1418" s="172">
        <v>0</v>
      </c>
      <c r="M1418" s="172">
        <v>0</v>
      </c>
      <c r="N1418" s="172">
        <v>0</v>
      </c>
      <c r="O1418" s="172">
        <v>2</v>
      </c>
      <c r="P1418" s="172">
        <v>12</v>
      </c>
      <c r="Q1418" s="172">
        <v>1</v>
      </c>
      <c r="R1418" s="172">
        <v>0</v>
      </c>
      <c r="S1418" s="175">
        <v>0</v>
      </c>
      <c r="T1418" s="172">
        <v>0</v>
      </c>
      <c r="U1418" s="172">
        <v>1</v>
      </c>
      <c r="V1418" s="172">
        <v>2</v>
      </c>
      <c r="W1418" s="172">
        <v>0</v>
      </c>
      <c r="X1418" s="176">
        <v>0</v>
      </c>
      <c r="Y1418" s="19">
        <v>0</v>
      </c>
      <c r="Z1418" s="176">
        <v>0</v>
      </c>
      <c r="AA1418" s="172">
        <v>0</v>
      </c>
      <c r="AB1418" s="172">
        <v>0</v>
      </c>
      <c r="AC1418" s="172">
        <v>0</v>
      </c>
      <c r="AD1418" s="172">
        <v>1</v>
      </c>
      <c r="AE1418" s="172">
        <v>0</v>
      </c>
      <c r="AF1418" s="172">
        <v>60</v>
      </c>
      <c r="AG1418" s="172">
        <v>1</v>
      </c>
      <c r="AH1418" s="172">
        <v>10</v>
      </c>
      <c r="AI1418" s="175">
        <v>0</v>
      </c>
      <c r="AJ1418" s="175">
        <v>0</v>
      </c>
      <c r="AK1418" s="175">
        <v>0</v>
      </c>
      <c r="AL1418" s="175">
        <v>0</v>
      </c>
      <c r="AM1418" s="172">
        <v>0</v>
      </c>
      <c r="AN1418" s="172">
        <v>0</v>
      </c>
      <c r="AO1418" s="172">
        <v>0</v>
      </c>
      <c r="AP1418" s="172">
        <v>0</v>
      </c>
      <c r="AQ1418" s="172">
        <v>50000</v>
      </c>
      <c r="AR1418" s="172">
        <v>0</v>
      </c>
      <c r="AS1418" s="172">
        <v>0</v>
      </c>
      <c r="AT1418" s="175">
        <v>90503005</v>
      </c>
      <c r="AU1418" s="172">
        <v>90503005</v>
      </c>
      <c r="AV1418" s="172"/>
      <c r="AW1418" s="173" t="s">
        <v>204</v>
      </c>
      <c r="AX1418" s="172">
        <v>0</v>
      </c>
      <c r="AY1418" s="176">
        <v>0</v>
      </c>
      <c r="AZ1418" s="176">
        <v>0</v>
      </c>
      <c r="BA1418" s="173" t="s">
        <v>3005</v>
      </c>
      <c r="BB1418" s="172">
        <v>0</v>
      </c>
      <c r="BC1418" s="174">
        <v>0</v>
      </c>
      <c r="BD1418" s="174">
        <v>0</v>
      </c>
      <c r="BE1418" s="207" t="s">
        <v>3178</v>
      </c>
      <c r="BF1418" s="207" t="s">
        <v>3179</v>
      </c>
      <c r="BG1418" s="172">
        <v>0</v>
      </c>
      <c r="BH1418" s="172">
        <v>0</v>
      </c>
      <c r="BI1418" s="172">
        <v>0</v>
      </c>
      <c r="BJ1418" s="172">
        <v>0</v>
      </c>
      <c r="BK1418" s="172">
        <v>0</v>
      </c>
      <c r="BL1418" s="172">
        <v>0</v>
      </c>
      <c r="BM1418" s="178">
        <v>0</v>
      </c>
      <c r="BN1418" s="175">
        <v>1</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63203002</v>
      </c>
      <c r="D1419" s="173" t="s">
        <v>3045</v>
      </c>
      <c r="E1419" s="173" t="s">
        <v>3046</v>
      </c>
      <c r="F1419" s="172">
        <v>1</v>
      </c>
      <c r="G1419" s="172">
        <v>63003002</v>
      </c>
      <c r="H1419" s="172">
        <v>0</v>
      </c>
      <c r="I1419" s="174">
        <v>0</v>
      </c>
      <c r="J1419" s="176">
        <v>1</v>
      </c>
      <c r="K1419" s="176">
        <v>0</v>
      </c>
      <c r="L1419" s="172">
        <v>0</v>
      </c>
      <c r="M1419" s="172">
        <v>0</v>
      </c>
      <c r="N1419" s="172">
        <v>0</v>
      </c>
      <c r="O1419" s="172">
        <v>2</v>
      </c>
      <c r="P1419" s="172">
        <v>0</v>
      </c>
      <c r="Q1419" s="172">
        <v>0</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0</v>
      </c>
      <c r="AU1419" s="172" t="s">
        <v>204</v>
      </c>
      <c r="AV1419" s="172"/>
      <c r="AW1419" s="173" t="s">
        <v>204</v>
      </c>
      <c r="AX1419" s="172">
        <v>0</v>
      </c>
      <c r="AY1419" s="176">
        <v>0</v>
      </c>
      <c r="AZ1419" s="176">
        <v>0</v>
      </c>
      <c r="BA1419" s="173" t="s">
        <v>204</v>
      </c>
      <c r="BB1419" s="172">
        <v>0</v>
      </c>
      <c r="BC1419" s="174"/>
      <c r="BD1419" s="174"/>
      <c r="BE1419" s="207" t="s">
        <v>3047</v>
      </c>
      <c r="BF1419" s="207" t="s">
        <v>3048</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63203003</v>
      </c>
      <c r="D1420" s="173" t="s">
        <v>3151</v>
      </c>
      <c r="E1420" s="173" t="s">
        <v>3152</v>
      </c>
      <c r="F1420" s="172">
        <v>1</v>
      </c>
      <c r="G1420" s="172">
        <v>1000005</v>
      </c>
      <c r="H1420" s="172">
        <v>0</v>
      </c>
      <c r="I1420" s="174">
        <v>0</v>
      </c>
      <c r="J1420" s="176">
        <v>1</v>
      </c>
      <c r="K1420" s="176">
        <v>0</v>
      </c>
      <c r="L1420" s="172">
        <v>0</v>
      </c>
      <c r="M1420" s="172">
        <v>0</v>
      </c>
      <c r="N1420" s="172">
        <v>0</v>
      </c>
      <c r="O1420" s="172">
        <v>8</v>
      </c>
      <c r="P1420" s="172">
        <v>8</v>
      </c>
      <c r="Q1420" s="172">
        <v>2</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90000006</v>
      </c>
      <c r="AU1420" s="172" t="s">
        <v>204</v>
      </c>
      <c r="AV1420" s="172"/>
      <c r="AW1420" s="173" t="s">
        <v>204</v>
      </c>
      <c r="AX1420" s="172">
        <v>0</v>
      </c>
      <c r="AY1420" s="176">
        <v>0</v>
      </c>
      <c r="AZ1420" s="176">
        <v>0</v>
      </c>
      <c r="BA1420" s="173" t="s">
        <v>204</v>
      </c>
      <c r="BB1420" s="172" t="s">
        <v>3153</v>
      </c>
      <c r="BC1420" s="174"/>
      <c r="BD1420" s="174"/>
      <c r="BE1420" s="207" t="s">
        <v>3154</v>
      </c>
      <c r="BF1420" s="207" t="s">
        <v>3155</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63203004</v>
      </c>
      <c r="D1421" s="212" t="s">
        <v>3017</v>
      </c>
      <c r="E1421" s="212" t="s">
        <v>3180</v>
      </c>
      <c r="F1421" s="21">
        <v>1</v>
      </c>
      <c r="G1421" s="21">
        <v>63002003</v>
      </c>
      <c r="H1421" s="21">
        <v>0</v>
      </c>
      <c r="I1421" s="31">
        <v>0</v>
      </c>
      <c r="J1421" s="32">
        <v>1</v>
      </c>
      <c r="K1421" s="32">
        <v>0</v>
      </c>
      <c r="L1421" s="21">
        <v>0</v>
      </c>
      <c r="M1421" s="21">
        <v>0</v>
      </c>
      <c r="N1421" s="21">
        <v>0</v>
      </c>
      <c r="O1421" s="21">
        <v>8</v>
      </c>
      <c r="P1421" s="21">
        <v>8</v>
      </c>
      <c r="Q1421" s="21">
        <v>1</v>
      </c>
      <c r="R1421" s="21">
        <v>0</v>
      </c>
      <c r="S1421" s="19">
        <v>0</v>
      </c>
      <c r="T1421" s="21">
        <v>0</v>
      </c>
      <c r="U1421" s="21">
        <v>1</v>
      </c>
      <c r="V1421" s="21">
        <v>0</v>
      </c>
      <c r="W1421" s="21">
        <v>0</v>
      </c>
      <c r="X1421" s="32">
        <v>0</v>
      </c>
      <c r="Y1421" s="19">
        <v>0</v>
      </c>
      <c r="Z1421" s="32">
        <v>0</v>
      </c>
      <c r="AA1421" s="21">
        <v>0</v>
      </c>
      <c r="AB1421" s="21">
        <v>0</v>
      </c>
      <c r="AC1421" s="21">
        <v>0</v>
      </c>
      <c r="AD1421" s="21">
        <v>1</v>
      </c>
      <c r="AE1421" s="21">
        <v>0</v>
      </c>
      <c r="AF1421" s="21">
        <v>0</v>
      </c>
      <c r="AG1421" s="21">
        <v>0</v>
      </c>
      <c r="AH1421" s="21" t="s">
        <v>204</v>
      </c>
      <c r="AI1421" s="19">
        <v>0</v>
      </c>
      <c r="AJ1421" s="19">
        <v>0</v>
      </c>
      <c r="AK1421" s="19">
        <v>0</v>
      </c>
      <c r="AL1421" s="19">
        <v>0</v>
      </c>
      <c r="AM1421" s="21">
        <v>0</v>
      </c>
      <c r="AN1421" s="21">
        <v>0</v>
      </c>
      <c r="AO1421" s="21">
        <v>0</v>
      </c>
      <c r="AP1421" s="21">
        <v>0</v>
      </c>
      <c r="AQ1421" s="21">
        <v>0</v>
      </c>
      <c r="AR1421" s="21">
        <v>0</v>
      </c>
      <c r="AS1421" s="21">
        <v>0</v>
      </c>
      <c r="AT1421" s="19">
        <v>90000006</v>
      </c>
      <c r="AU1421" s="21" t="s">
        <v>204</v>
      </c>
      <c r="AV1421" s="21"/>
      <c r="AW1421" s="30" t="s">
        <v>204</v>
      </c>
      <c r="AX1421" s="21">
        <v>0</v>
      </c>
      <c r="AY1421" s="32">
        <v>0</v>
      </c>
      <c r="AZ1421" s="32">
        <v>0</v>
      </c>
      <c r="BA1421" s="30" t="s">
        <v>204</v>
      </c>
      <c r="BB1421" s="21" t="s">
        <v>3181</v>
      </c>
      <c r="BC1421" s="31"/>
      <c r="BD1421" s="31"/>
      <c r="BE1421" s="207" t="s">
        <v>3182</v>
      </c>
      <c r="BF1421" s="33" t="s">
        <v>3183</v>
      </c>
      <c r="BG1421" s="21">
        <v>0</v>
      </c>
      <c r="BH1421" s="21">
        <v>0</v>
      </c>
      <c r="BI1421" s="21">
        <v>0</v>
      </c>
      <c r="BJ1421" s="21">
        <v>0</v>
      </c>
      <c r="BK1421" s="21">
        <v>0</v>
      </c>
      <c r="BL1421" s="21">
        <v>0</v>
      </c>
      <c r="BM1421" s="25">
        <v>0</v>
      </c>
      <c r="BN1421" s="19">
        <v>0</v>
      </c>
      <c r="BO1421" s="19">
        <v>0</v>
      </c>
      <c r="BP1421" s="19">
        <v>0</v>
      </c>
      <c r="BQ1421" s="19">
        <v>0</v>
      </c>
      <c r="BR1421" s="19">
        <v>0</v>
      </c>
      <c r="BS1421" s="19">
        <v>0</v>
      </c>
      <c r="BT1421" s="19">
        <v>0</v>
      </c>
      <c r="BU1421" s="23">
        <v>0</v>
      </c>
      <c r="BV1421" s="23"/>
      <c r="BW1421" s="23"/>
      <c r="BX1421" s="23"/>
      <c r="BY1421" s="23"/>
      <c r="BZ1421" s="23"/>
    </row>
    <row r="1422" spans="1:78" s="1" customFormat="1" ht="20.100000000000001" customHeight="1">
      <c r="A1422" s="218"/>
      <c r="B1422" s="218"/>
      <c r="C1422" s="74">
        <v>63301001</v>
      </c>
      <c r="D1422" s="71" t="s">
        <v>3017</v>
      </c>
      <c r="E1422" s="160" t="s">
        <v>3184</v>
      </c>
      <c r="F1422" s="90">
        <v>1</v>
      </c>
      <c r="G1422" s="74">
        <v>63301001</v>
      </c>
      <c r="H1422" s="74">
        <v>0</v>
      </c>
      <c r="I1422" s="75">
        <v>0</v>
      </c>
      <c r="J1422" s="74">
        <v>1</v>
      </c>
      <c r="K1422" s="72">
        <v>0</v>
      </c>
      <c r="L1422" s="74">
        <v>0</v>
      </c>
      <c r="M1422" s="72">
        <v>0</v>
      </c>
      <c r="N1422" s="72">
        <v>0</v>
      </c>
      <c r="O1422" s="72">
        <v>2</v>
      </c>
      <c r="P1422" s="72">
        <v>7</v>
      </c>
      <c r="Q1422" s="72">
        <v>0.15</v>
      </c>
      <c r="R1422" s="72">
        <v>0</v>
      </c>
      <c r="S1422" s="73">
        <v>0</v>
      </c>
      <c r="T1422" s="72">
        <v>0</v>
      </c>
      <c r="U1422" s="72">
        <v>1</v>
      </c>
      <c r="V1422" s="72">
        <v>1</v>
      </c>
      <c r="W1422" s="72">
        <v>0</v>
      </c>
      <c r="X1422" s="72">
        <v>0</v>
      </c>
      <c r="Y1422" s="19">
        <v>0</v>
      </c>
      <c r="Z1422" s="72">
        <v>0</v>
      </c>
      <c r="AA1422" s="72">
        <v>0</v>
      </c>
      <c r="AB1422" s="72">
        <v>0</v>
      </c>
      <c r="AC1422" s="72">
        <v>0</v>
      </c>
      <c r="AD1422" s="72">
        <v>0</v>
      </c>
      <c r="AE1422" s="72">
        <v>0</v>
      </c>
      <c r="AF1422" s="72">
        <v>0</v>
      </c>
      <c r="AG1422" s="72">
        <v>0</v>
      </c>
      <c r="AH1422" s="72">
        <v>0</v>
      </c>
      <c r="AI1422" s="73">
        <v>0</v>
      </c>
      <c r="AJ1422" s="73">
        <v>0</v>
      </c>
      <c r="AK1422" s="73">
        <v>0</v>
      </c>
      <c r="AL1422" s="73">
        <v>1.5</v>
      </c>
      <c r="AM1422" s="72">
        <v>0</v>
      </c>
      <c r="AN1422" s="72">
        <v>0</v>
      </c>
      <c r="AO1422" s="72">
        <v>0</v>
      </c>
      <c r="AP1422" s="74">
        <v>0</v>
      </c>
      <c r="AQ1422" s="72">
        <v>3000</v>
      </c>
      <c r="AR1422" s="72">
        <v>0.1</v>
      </c>
      <c r="AS1422" s="72">
        <v>0</v>
      </c>
      <c r="AT1422" s="73">
        <v>0</v>
      </c>
      <c r="AU1422" s="72" t="s">
        <v>204</v>
      </c>
      <c r="AV1422" s="72"/>
      <c r="AW1422" s="71" t="s">
        <v>204</v>
      </c>
      <c r="AX1422" s="72" t="s">
        <v>551</v>
      </c>
      <c r="AY1422" s="74">
        <v>0</v>
      </c>
      <c r="AZ1422" s="74">
        <v>0</v>
      </c>
      <c r="BA1422" s="71" t="s">
        <v>2538</v>
      </c>
      <c r="BB1422" s="356" t="s">
        <v>3185</v>
      </c>
      <c r="BC1422" s="75">
        <v>0</v>
      </c>
      <c r="BD1422" s="75">
        <v>0</v>
      </c>
      <c r="BE1422" s="76" t="s">
        <v>3186</v>
      </c>
      <c r="BF1422" s="76" t="s">
        <v>3187</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s="1" customFormat="1" ht="20.100000000000001" customHeight="1">
      <c r="C1423" s="74">
        <v>63301002</v>
      </c>
      <c r="D1423" s="71" t="s">
        <v>766</v>
      </c>
      <c r="E1423" s="160" t="s">
        <v>767</v>
      </c>
      <c r="F1423" s="90">
        <v>1</v>
      </c>
      <c r="G1423" s="90">
        <v>0</v>
      </c>
      <c r="H1423" s="72">
        <v>0</v>
      </c>
      <c r="I1423" s="75">
        <v>0</v>
      </c>
      <c r="J1423" s="74">
        <v>1</v>
      </c>
      <c r="K1423" s="74">
        <v>0</v>
      </c>
      <c r="L1423" s="74">
        <v>0</v>
      </c>
      <c r="M1423" s="72">
        <v>0</v>
      </c>
      <c r="N1423" s="72">
        <v>0</v>
      </c>
      <c r="O1423" s="72">
        <v>2</v>
      </c>
      <c r="P1423" s="72">
        <v>1</v>
      </c>
      <c r="Q1423" s="72">
        <v>0.2</v>
      </c>
      <c r="R1423" s="72">
        <v>0</v>
      </c>
      <c r="S1423" s="73">
        <v>0</v>
      </c>
      <c r="T1423" s="72">
        <v>0</v>
      </c>
      <c r="U1423" s="72">
        <v>1</v>
      </c>
      <c r="V1423" s="90">
        <v>1</v>
      </c>
      <c r="W1423" s="72">
        <v>0</v>
      </c>
      <c r="X1423" s="72">
        <v>2.5</v>
      </c>
      <c r="Y1423" s="19">
        <v>0</v>
      </c>
      <c r="Z1423" s="72">
        <v>150</v>
      </c>
      <c r="AA1423" s="72">
        <v>1</v>
      </c>
      <c r="AB1423" s="72">
        <v>0</v>
      </c>
      <c r="AC1423" s="72">
        <v>0</v>
      </c>
      <c r="AD1423" s="72">
        <v>0</v>
      </c>
      <c r="AE1423" s="72">
        <v>1</v>
      </c>
      <c r="AF1423" s="72">
        <v>10</v>
      </c>
      <c r="AG1423" s="72">
        <v>2</v>
      </c>
      <c r="AH1423" s="72" t="s">
        <v>219</v>
      </c>
      <c r="AI1423" s="73">
        <v>0</v>
      </c>
      <c r="AJ1423" s="73">
        <v>2</v>
      </c>
      <c r="AK1423" s="73">
        <v>0</v>
      </c>
      <c r="AL1423" s="73">
        <v>1.5</v>
      </c>
      <c r="AM1423" s="72">
        <v>0</v>
      </c>
      <c r="AN1423" s="72">
        <v>0</v>
      </c>
      <c r="AO1423" s="72">
        <v>0</v>
      </c>
      <c r="AP1423" s="74">
        <v>0</v>
      </c>
      <c r="AQ1423" s="72">
        <v>1600</v>
      </c>
      <c r="AR1423" s="72">
        <v>1</v>
      </c>
      <c r="AS1423" s="72">
        <v>15</v>
      </c>
      <c r="AT1423" s="73">
        <v>0</v>
      </c>
      <c r="AU1423" s="334" t="s">
        <v>2417</v>
      </c>
      <c r="AV1423" s="93"/>
      <c r="AW1423" s="71" t="s">
        <v>205</v>
      </c>
      <c r="AX1423" s="72" t="s">
        <v>221</v>
      </c>
      <c r="AY1423" s="74">
        <v>10000011</v>
      </c>
      <c r="AZ1423" s="74">
        <v>77005105</v>
      </c>
      <c r="BA1423" s="71" t="s">
        <v>222</v>
      </c>
      <c r="BB1423" s="72">
        <v>0</v>
      </c>
      <c r="BC1423" s="75">
        <v>0</v>
      </c>
      <c r="BD1423" s="75">
        <v>0</v>
      </c>
      <c r="BE1423" s="76" t="s">
        <v>3188</v>
      </c>
      <c r="BF1423" s="76" t="s">
        <v>3189</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ht="20.100000000000001" customHeight="1">
      <c r="C1424" s="74">
        <v>63301003</v>
      </c>
      <c r="D1424" s="30" t="s">
        <v>3065</v>
      </c>
      <c r="E1424" s="30" t="s">
        <v>3066</v>
      </c>
      <c r="F1424" s="21">
        <v>1</v>
      </c>
      <c r="G1424" s="21">
        <v>1000003</v>
      </c>
      <c r="H1424" s="21">
        <v>0</v>
      </c>
      <c r="I1424" s="31">
        <v>0</v>
      </c>
      <c r="J1424" s="32">
        <v>1</v>
      </c>
      <c r="K1424" s="32">
        <v>0</v>
      </c>
      <c r="L1424" s="21">
        <v>0</v>
      </c>
      <c r="M1424" s="21">
        <v>0</v>
      </c>
      <c r="N1424" s="21">
        <v>0</v>
      </c>
      <c r="O1424" s="21">
        <v>8</v>
      </c>
      <c r="P1424" s="21">
        <v>8</v>
      </c>
      <c r="Q1424" s="21">
        <v>3</v>
      </c>
      <c r="R1424" s="21">
        <v>0</v>
      </c>
      <c r="S1424" s="19">
        <v>0</v>
      </c>
      <c r="T1424" s="21">
        <v>0</v>
      </c>
      <c r="U1424" s="21">
        <v>1</v>
      </c>
      <c r="V1424" s="21">
        <v>0</v>
      </c>
      <c r="W1424" s="21">
        <v>0</v>
      </c>
      <c r="X1424" s="32">
        <v>0</v>
      </c>
      <c r="Y1424" s="19">
        <v>0</v>
      </c>
      <c r="Z1424" s="32">
        <v>0</v>
      </c>
      <c r="AA1424" s="21">
        <v>0</v>
      </c>
      <c r="AB1424" s="21">
        <v>0</v>
      </c>
      <c r="AC1424" s="21">
        <v>0</v>
      </c>
      <c r="AD1424" s="21">
        <v>1</v>
      </c>
      <c r="AE1424" s="21">
        <v>0</v>
      </c>
      <c r="AF1424" s="21">
        <v>0</v>
      </c>
      <c r="AG1424" s="21">
        <v>0</v>
      </c>
      <c r="AH1424" s="21" t="s">
        <v>204</v>
      </c>
      <c r="AI1424" s="19">
        <v>0</v>
      </c>
      <c r="AJ1424" s="19">
        <v>0</v>
      </c>
      <c r="AK1424" s="19">
        <v>0</v>
      </c>
      <c r="AL1424" s="19">
        <v>0</v>
      </c>
      <c r="AM1424" s="21">
        <v>0</v>
      </c>
      <c r="AN1424" s="21">
        <v>0</v>
      </c>
      <c r="AO1424" s="21">
        <v>0</v>
      </c>
      <c r="AP1424" s="21">
        <v>0</v>
      </c>
      <c r="AQ1424" s="21">
        <v>0</v>
      </c>
      <c r="AR1424" s="21">
        <v>0</v>
      </c>
      <c r="AS1424" s="21">
        <v>0</v>
      </c>
      <c r="AT1424" s="19">
        <v>0</v>
      </c>
      <c r="AU1424" s="21" t="s">
        <v>204</v>
      </c>
      <c r="AV1424" s="21"/>
      <c r="AW1424" s="30" t="s">
        <v>204</v>
      </c>
      <c r="AX1424" s="21">
        <v>0</v>
      </c>
      <c r="AY1424" s="32">
        <v>0</v>
      </c>
      <c r="AZ1424" s="32">
        <v>0</v>
      </c>
      <c r="BA1424" s="30" t="s">
        <v>204</v>
      </c>
      <c r="BB1424" s="21" t="s">
        <v>3067</v>
      </c>
      <c r="BC1424" s="31"/>
      <c r="BD1424" s="31">
        <v>0</v>
      </c>
      <c r="BE1424" s="33" t="s">
        <v>3068</v>
      </c>
      <c r="BF1424" s="33" t="s">
        <v>3069</v>
      </c>
      <c r="BG1424" s="21">
        <v>0</v>
      </c>
      <c r="BH1424" s="21">
        <v>0</v>
      </c>
      <c r="BI1424" s="21">
        <v>0</v>
      </c>
      <c r="BJ1424" s="21">
        <v>0</v>
      </c>
      <c r="BK1424" s="21">
        <v>0</v>
      </c>
      <c r="BL1424" s="21">
        <v>0</v>
      </c>
      <c r="BM1424" s="25">
        <v>0</v>
      </c>
      <c r="BN1424" s="19">
        <v>0</v>
      </c>
      <c r="BO1424" s="19">
        <v>0</v>
      </c>
      <c r="BP1424" s="19">
        <v>0</v>
      </c>
      <c r="BQ1424" s="19">
        <v>0</v>
      </c>
      <c r="BR1424" s="19">
        <v>0</v>
      </c>
      <c r="BS1424" s="19">
        <v>0</v>
      </c>
      <c r="BT1424" s="19">
        <v>0</v>
      </c>
      <c r="BU1424" s="23">
        <v>0</v>
      </c>
      <c r="BV1424" s="23"/>
      <c r="BW1424" s="23"/>
      <c r="BX1424" s="23"/>
      <c r="BY1424" s="23"/>
      <c r="BZ1424" s="23"/>
    </row>
    <row r="1425" spans="1:78" ht="20.100000000000001" customHeight="1">
      <c r="C1425" s="74">
        <v>63301004</v>
      </c>
      <c r="D1425" s="173" t="s">
        <v>3013</v>
      </c>
      <c r="E1425" s="173" t="s">
        <v>3014</v>
      </c>
      <c r="F1425" s="172">
        <v>1</v>
      </c>
      <c r="G1425" s="172">
        <v>63002002</v>
      </c>
      <c r="H1425" s="172">
        <v>0</v>
      </c>
      <c r="I1425" s="174">
        <v>0</v>
      </c>
      <c r="J1425" s="176">
        <v>1</v>
      </c>
      <c r="K1425" s="176">
        <v>0</v>
      </c>
      <c r="L1425" s="172">
        <v>0</v>
      </c>
      <c r="M1425" s="172">
        <v>0</v>
      </c>
      <c r="N1425" s="172">
        <v>0</v>
      </c>
      <c r="O1425" s="172">
        <v>2</v>
      </c>
      <c r="P1425" s="172">
        <v>0</v>
      </c>
      <c r="Q1425" s="172">
        <v>0</v>
      </c>
      <c r="R1425" s="172">
        <v>0</v>
      </c>
      <c r="S1425" s="175">
        <v>0</v>
      </c>
      <c r="T1425" s="172">
        <v>0</v>
      </c>
      <c r="U1425" s="172">
        <v>1</v>
      </c>
      <c r="V1425" s="172">
        <v>0</v>
      </c>
      <c r="W1425" s="172">
        <v>0</v>
      </c>
      <c r="X1425" s="176">
        <v>0</v>
      </c>
      <c r="Y1425" s="19">
        <v>0</v>
      </c>
      <c r="Z1425" s="176">
        <v>0</v>
      </c>
      <c r="AA1425" s="172">
        <v>0</v>
      </c>
      <c r="AB1425" s="172">
        <v>0</v>
      </c>
      <c r="AC1425" s="172">
        <v>0</v>
      </c>
      <c r="AD1425" s="172">
        <v>1</v>
      </c>
      <c r="AE1425" s="172">
        <v>0</v>
      </c>
      <c r="AF1425" s="172">
        <v>0</v>
      </c>
      <c r="AG1425" s="172">
        <v>0</v>
      </c>
      <c r="AH1425" s="172" t="s">
        <v>204</v>
      </c>
      <c r="AI1425" s="175">
        <v>0</v>
      </c>
      <c r="AJ1425" s="175">
        <v>0</v>
      </c>
      <c r="AK1425" s="175">
        <v>0</v>
      </c>
      <c r="AL1425" s="175">
        <v>0</v>
      </c>
      <c r="AM1425" s="172">
        <v>0</v>
      </c>
      <c r="AN1425" s="172">
        <v>0</v>
      </c>
      <c r="AO1425" s="172">
        <v>0</v>
      </c>
      <c r="AP1425" s="172">
        <v>0</v>
      </c>
      <c r="AQ1425" s="172">
        <v>0</v>
      </c>
      <c r="AR1425" s="172">
        <v>0</v>
      </c>
      <c r="AS1425" s="172">
        <v>0</v>
      </c>
      <c r="AT1425" s="175">
        <v>0</v>
      </c>
      <c r="AU1425" s="172" t="s">
        <v>204</v>
      </c>
      <c r="AV1425" s="172"/>
      <c r="AW1425" s="173" t="s">
        <v>204</v>
      </c>
      <c r="AX1425" s="172">
        <v>0</v>
      </c>
      <c r="AY1425" s="176">
        <v>0</v>
      </c>
      <c r="AZ1425" s="176">
        <v>0</v>
      </c>
      <c r="BA1425" s="173" t="s">
        <v>204</v>
      </c>
      <c r="BB1425" s="172">
        <v>0</v>
      </c>
      <c r="BC1425" s="174"/>
      <c r="BD1425" s="174"/>
      <c r="BE1425" s="207" t="s">
        <v>3015</v>
      </c>
      <c r="BF1425" s="207" t="s">
        <v>3016</v>
      </c>
      <c r="BG1425" s="172">
        <v>0</v>
      </c>
      <c r="BH1425" s="172">
        <v>0</v>
      </c>
      <c r="BI1425" s="172">
        <v>0</v>
      </c>
      <c r="BJ1425" s="172">
        <v>0</v>
      </c>
      <c r="BK1425" s="172">
        <v>0</v>
      </c>
      <c r="BL1425" s="172">
        <v>0</v>
      </c>
      <c r="BM1425" s="178">
        <v>0</v>
      </c>
      <c r="BN1425" s="175">
        <v>0</v>
      </c>
      <c r="BO1425" s="175">
        <v>0</v>
      </c>
      <c r="BP1425" s="175">
        <v>0</v>
      </c>
      <c r="BQ1425" s="175">
        <v>0</v>
      </c>
      <c r="BR1425" s="175">
        <v>0</v>
      </c>
      <c r="BS1425" s="175">
        <v>0</v>
      </c>
      <c r="BT1425" s="19">
        <v>0</v>
      </c>
      <c r="BU1425" s="23">
        <v>0</v>
      </c>
      <c r="BV1425" s="23"/>
      <c r="BW1425" s="23"/>
      <c r="BX1425" s="23"/>
      <c r="BY1425" s="23"/>
      <c r="BZ1425" s="23"/>
    </row>
    <row r="1426" spans="1:78" ht="20.100000000000001" customHeight="1">
      <c r="C1426" s="74">
        <v>63301005</v>
      </c>
      <c r="D1426" s="173" t="s">
        <v>3190</v>
      </c>
      <c r="E1426" s="173" t="s">
        <v>3191</v>
      </c>
      <c r="F1426" s="172">
        <v>1</v>
      </c>
      <c r="G1426" s="172">
        <v>63301005</v>
      </c>
      <c r="H1426" s="172">
        <v>0</v>
      </c>
      <c r="I1426" s="174">
        <v>0</v>
      </c>
      <c r="J1426" s="176">
        <v>1</v>
      </c>
      <c r="K1426" s="176">
        <v>0</v>
      </c>
      <c r="L1426" s="172">
        <v>0</v>
      </c>
      <c r="M1426" s="172">
        <v>0</v>
      </c>
      <c r="N1426" s="172">
        <v>0</v>
      </c>
      <c r="O1426" s="172">
        <v>2</v>
      </c>
      <c r="P1426" s="172">
        <v>12</v>
      </c>
      <c r="Q1426" s="172">
        <v>1</v>
      </c>
      <c r="R1426" s="172">
        <v>0</v>
      </c>
      <c r="S1426" s="175">
        <v>0</v>
      </c>
      <c r="T1426" s="172">
        <v>0</v>
      </c>
      <c r="U1426" s="172">
        <v>1</v>
      </c>
      <c r="V1426" s="172">
        <v>2</v>
      </c>
      <c r="W1426" s="172">
        <v>0</v>
      </c>
      <c r="X1426" s="176">
        <v>0</v>
      </c>
      <c r="Y1426" s="19">
        <v>0</v>
      </c>
      <c r="Z1426" s="176">
        <v>0</v>
      </c>
      <c r="AA1426" s="172">
        <v>0</v>
      </c>
      <c r="AB1426" s="172">
        <v>0</v>
      </c>
      <c r="AC1426" s="172">
        <v>0</v>
      </c>
      <c r="AD1426" s="172">
        <v>1</v>
      </c>
      <c r="AE1426" s="172">
        <v>0</v>
      </c>
      <c r="AF1426" s="172">
        <v>60</v>
      </c>
      <c r="AG1426" s="172">
        <v>1</v>
      </c>
      <c r="AH1426" s="172">
        <v>10</v>
      </c>
      <c r="AI1426" s="175">
        <v>0</v>
      </c>
      <c r="AJ1426" s="175">
        <v>0</v>
      </c>
      <c r="AK1426" s="175">
        <v>0</v>
      </c>
      <c r="AL1426" s="175">
        <v>0</v>
      </c>
      <c r="AM1426" s="172">
        <v>0</v>
      </c>
      <c r="AN1426" s="172">
        <v>0</v>
      </c>
      <c r="AO1426" s="172">
        <v>0</v>
      </c>
      <c r="AP1426" s="172">
        <v>0</v>
      </c>
      <c r="AQ1426" s="172">
        <v>50000</v>
      </c>
      <c r="AR1426" s="172">
        <v>0</v>
      </c>
      <c r="AS1426" s="172">
        <v>0</v>
      </c>
      <c r="AT1426" s="175">
        <v>90503007</v>
      </c>
      <c r="AU1426" s="175">
        <v>90503007</v>
      </c>
      <c r="AV1426" s="172"/>
      <c r="AW1426" s="173" t="s">
        <v>204</v>
      </c>
      <c r="AX1426" s="172">
        <v>0</v>
      </c>
      <c r="AY1426" s="176">
        <v>0</v>
      </c>
      <c r="AZ1426" s="176">
        <v>0</v>
      </c>
      <c r="BA1426" s="173" t="s">
        <v>3005</v>
      </c>
      <c r="BB1426" s="172">
        <v>0</v>
      </c>
      <c r="BC1426" s="174">
        <v>0</v>
      </c>
      <c r="BD1426" s="174">
        <v>0</v>
      </c>
      <c r="BE1426" s="207" t="s">
        <v>3192</v>
      </c>
      <c r="BF1426" s="247" t="s">
        <v>3193</v>
      </c>
      <c r="BG1426" s="172">
        <v>0</v>
      </c>
      <c r="BH1426" s="172">
        <v>0</v>
      </c>
      <c r="BI1426" s="172">
        <v>0</v>
      </c>
      <c r="BJ1426" s="172">
        <v>0</v>
      </c>
      <c r="BK1426" s="172">
        <v>0</v>
      </c>
      <c r="BL1426" s="172">
        <v>0</v>
      </c>
      <c r="BM1426" s="178">
        <v>0</v>
      </c>
      <c r="BN1426" s="175">
        <v>1</v>
      </c>
      <c r="BO1426" s="175">
        <v>0</v>
      </c>
      <c r="BP1426" s="175">
        <v>0</v>
      </c>
      <c r="BQ1426" s="175">
        <v>0</v>
      </c>
      <c r="BR1426" s="175">
        <v>0</v>
      </c>
      <c r="BS1426" s="175">
        <v>0</v>
      </c>
      <c r="BT1426" s="19">
        <v>0</v>
      </c>
      <c r="BU1426" s="23">
        <v>0</v>
      </c>
      <c r="BV1426" s="23"/>
      <c r="BW1426" s="23"/>
      <c r="BX1426" s="23"/>
      <c r="BY1426" s="23"/>
      <c r="BZ1426" s="23"/>
    </row>
    <row r="1427" spans="1:78" s="1" customFormat="1" ht="19.5" customHeight="1">
      <c r="A1427" s="218"/>
      <c r="B1427" s="218"/>
      <c r="C1427" s="74">
        <v>63302001</v>
      </c>
      <c r="D1427" s="71" t="s">
        <v>3017</v>
      </c>
      <c r="E1427" s="71" t="s">
        <v>3194</v>
      </c>
      <c r="F1427" s="74">
        <v>1</v>
      </c>
      <c r="G1427" s="74">
        <v>63302001</v>
      </c>
      <c r="H1427" s="74">
        <v>0</v>
      </c>
      <c r="I1427" s="75">
        <v>0</v>
      </c>
      <c r="J1427" s="74">
        <v>1</v>
      </c>
      <c r="K1427" s="74">
        <v>0</v>
      </c>
      <c r="L1427" s="74">
        <v>0</v>
      </c>
      <c r="M1427" s="72">
        <v>0</v>
      </c>
      <c r="N1427" s="72">
        <v>0</v>
      </c>
      <c r="O1427" s="72">
        <v>2</v>
      </c>
      <c r="P1427" s="72">
        <v>16</v>
      </c>
      <c r="Q1427" s="72">
        <v>3</v>
      </c>
      <c r="R1427" s="72">
        <v>0</v>
      </c>
      <c r="S1427" s="73">
        <v>0</v>
      </c>
      <c r="T1427" s="72">
        <v>0</v>
      </c>
      <c r="U1427" s="72">
        <v>1</v>
      </c>
      <c r="V1427" s="72">
        <v>2</v>
      </c>
      <c r="W1427" s="72">
        <v>0</v>
      </c>
      <c r="X1427" s="72">
        <v>0</v>
      </c>
      <c r="Y1427" s="19">
        <v>0</v>
      </c>
      <c r="Z1427" s="72">
        <v>0</v>
      </c>
      <c r="AA1427" s="72">
        <v>1</v>
      </c>
      <c r="AB1427" s="72">
        <v>0</v>
      </c>
      <c r="AC1427" s="72">
        <v>0</v>
      </c>
      <c r="AD1427" s="72">
        <v>0</v>
      </c>
      <c r="AE1427" s="72">
        <v>0</v>
      </c>
      <c r="AF1427" s="72">
        <v>0</v>
      </c>
      <c r="AG1427" s="72">
        <v>1</v>
      </c>
      <c r="AH1427" s="72">
        <v>1</v>
      </c>
      <c r="AI1427" s="73">
        <v>7</v>
      </c>
      <c r="AJ1427" s="73">
        <v>1</v>
      </c>
      <c r="AK1427" s="73">
        <v>0</v>
      </c>
      <c r="AL1427" s="73">
        <v>3</v>
      </c>
      <c r="AM1427" s="72">
        <v>0</v>
      </c>
      <c r="AN1427" s="72">
        <v>0</v>
      </c>
      <c r="AO1427" s="72">
        <v>0</v>
      </c>
      <c r="AP1427" s="74">
        <v>0</v>
      </c>
      <c r="AQ1427" s="72">
        <v>500</v>
      </c>
      <c r="AR1427" s="72">
        <v>0.1</v>
      </c>
      <c r="AS1427" s="72">
        <v>0</v>
      </c>
      <c r="AT1427" s="73">
        <v>0</v>
      </c>
      <c r="AU1427" s="334" t="s">
        <v>2443</v>
      </c>
      <c r="AV1427" s="93"/>
      <c r="AW1427" s="88" t="s">
        <v>204</v>
      </c>
      <c r="AX1427" s="72" t="s">
        <v>540</v>
      </c>
      <c r="AY1427" s="74">
        <v>0</v>
      </c>
      <c r="AZ1427" s="74">
        <v>0</v>
      </c>
      <c r="BA1427" s="71" t="s">
        <v>206</v>
      </c>
      <c r="BB1427" s="72">
        <v>0</v>
      </c>
      <c r="BC1427" s="75">
        <v>0</v>
      </c>
      <c r="BD1427" s="75">
        <v>0</v>
      </c>
      <c r="BE1427" s="76" t="s">
        <v>3195</v>
      </c>
      <c r="BF1427" s="76" t="s">
        <v>3196</v>
      </c>
      <c r="BG1427" s="72">
        <v>0</v>
      </c>
      <c r="BH1427" s="72">
        <v>0</v>
      </c>
      <c r="BI1427" s="72">
        <v>0</v>
      </c>
      <c r="BJ1427" s="72">
        <v>0</v>
      </c>
      <c r="BK1427" s="72">
        <v>0</v>
      </c>
      <c r="BL1427" s="72">
        <v>0</v>
      </c>
      <c r="BM1427" s="90">
        <v>0</v>
      </c>
      <c r="BN1427" s="73">
        <v>0</v>
      </c>
      <c r="BO1427" s="73">
        <v>0</v>
      </c>
      <c r="BP1427" s="73">
        <v>0</v>
      </c>
      <c r="BQ1427" s="73">
        <v>0</v>
      </c>
      <c r="BR1427" s="73">
        <v>0</v>
      </c>
      <c r="BS1427" s="73">
        <v>0</v>
      </c>
      <c r="BT1427" s="73">
        <v>0</v>
      </c>
      <c r="BU1427" s="73">
        <v>0</v>
      </c>
      <c r="BV1427" s="23"/>
      <c r="BW1427" s="23"/>
      <c r="BX1427" s="23"/>
      <c r="BY1427" s="23"/>
      <c r="BZ1427" s="23"/>
    </row>
    <row r="1428" spans="1:78" ht="20.100000000000001" customHeight="1">
      <c r="C1428" s="74">
        <v>63302002</v>
      </c>
      <c r="D1428" s="30" t="s">
        <v>3082</v>
      </c>
      <c r="E1428" s="30" t="s">
        <v>3083</v>
      </c>
      <c r="F1428" s="21">
        <v>1</v>
      </c>
      <c r="G1428" s="21">
        <v>1000004</v>
      </c>
      <c r="H1428" s="21">
        <v>0</v>
      </c>
      <c r="I1428" s="31">
        <v>0</v>
      </c>
      <c r="J1428" s="32">
        <v>1</v>
      </c>
      <c r="K1428" s="32">
        <v>0</v>
      </c>
      <c r="L1428" s="21">
        <v>0</v>
      </c>
      <c r="M1428" s="21">
        <v>0</v>
      </c>
      <c r="N1428" s="21">
        <v>0</v>
      </c>
      <c r="O1428" s="21">
        <v>8</v>
      </c>
      <c r="P1428" s="21">
        <v>8</v>
      </c>
      <c r="Q1428" s="21">
        <v>4</v>
      </c>
      <c r="R1428" s="21">
        <v>0</v>
      </c>
      <c r="S1428" s="19">
        <v>0</v>
      </c>
      <c r="T1428" s="21">
        <v>0</v>
      </c>
      <c r="U1428" s="21">
        <v>1</v>
      </c>
      <c r="V1428" s="21">
        <v>0</v>
      </c>
      <c r="W1428" s="21">
        <v>0</v>
      </c>
      <c r="X1428" s="32">
        <v>0</v>
      </c>
      <c r="Y1428" s="19">
        <v>0</v>
      </c>
      <c r="Z1428" s="32">
        <v>0</v>
      </c>
      <c r="AA1428" s="21">
        <v>0</v>
      </c>
      <c r="AB1428" s="21">
        <v>0</v>
      </c>
      <c r="AC1428" s="21">
        <v>0</v>
      </c>
      <c r="AD1428" s="21">
        <v>1</v>
      </c>
      <c r="AE1428" s="21">
        <v>0</v>
      </c>
      <c r="AF1428" s="21">
        <v>0</v>
      </c>
      <c r="AG1428" s="21">
        <v>0</v>
      </c>
      <c r="AH1428" s="21" t="s">
        <v>204</v>
      </c>
      <c r="AI1428" s="19">
        <v>0</v>
      </c>
      <c r="AJ1428" s="19">
        <v>0</v>
      </c>
      <c r="AK1428" s="19">
        <v>0</v>
      </c>
      <c r="AL1428" s="19">
        <v>0</v>
      </c>
      <c r="AM1428" s="21">
        <v>0</v>
      </c>
      <c r="AN1428" s="21">
        <v>0</v>
      </c>
      <c r="AO1428" s="21">
        <v>0</v>
      </c>
      <c r="AP1428" s="21">
        <v>0</v>
      </c>
      <c r="AQ1428" s="21">
        <v>0</v>
      </c>
      <c r="AR1428" s="21">
        <v>0</v>
      </c>
      <c r="AS1428" s="21">
        <v>0</v>
      </c>
      <c r="AT1428" s="19">
        <v>0</v>
      </c>
      <c r="AU1428" s="21" t="s">
        <v>204</v>
      </c>
      <c r="AV1428" s="21"/>
      <c r="AW1428" s="30" t="s">
        <v>204</v>
      </c>
      <c r="AX1428" s="21">
        <v>0</v>
      </c>
      <c r="AY1428" s="32">
        <v>0</v>
      </c>
      <c r="AZ1428" s="32">
        <v>0</v>
      </c>
      <c r="BA1428" s="30" t="s">
        <v>204</v>
      </c>
      <c r="BB1428" s="21" t="s">
        <v>3084</v>
      </c>
      <c r="BC1428" s="31"/>
      <c r="BD1428" s="31">
        <v>0</v>
      </c>
      <c r="BE1428" s="33" t="s">
        <v>3085</v>
      </c>
      <c r="BF1428" s="33" t="s">
        <v>3086</v>
      </c>
      <c r="BG1428" s="21">
        <v>0</v>
      </c>
      <c r="BH1428" s="21">
        <v>0</v>
      </c>
      <c r="BI1428" s="21">
        <v>0</v>
      </c>
      <c r="BJ1428" s="21">
        <v>0</v>
      </c>
      <c r="BK1428" s="21">
        <v>0</v>
      </c>
      <c r="BL1428" s="21">
        <v>0</v>
      </c>
      <c r="BM1428" s="25">
        <v>0</v>
      </c>
      <c r="BN1428" s="19">
        <v>0</v>
      </c>
      <c r="BO1428" s="19">
        <v>0</v>
      </c>
      <c r="BP1428" s="19">
        <v>0</v>
      </c>
      <c r="BQ1428" s="19">
        <v>0</v>
      </c>
      <c r="BR1428" s="19">
        <v>0</v>
      </c>
      <c r="BS1428" s="19">
        <v>0</v>
      </c>
      <c r="BT1428" s="19">
        <v>0</v>
      </c>
      <c r="BU1428" s="23">
        <v>0</v>
      </c>
      <c r="BV1428" s="23"/>
      <c r="BW1428" s="23"/>
      <c r="BX1428" s="23"/>
      <c r="BY1428" s="23"/>
      <c r="BZ1428" s="23"/>
    </row>
    <row r="1429" spans="1:78" ht="20.100000000000001" customHeight="1">
      <c r="C1429" s="74">
        <v>63302003</v>
      </c>
      <c r="D1429" s="173" t="s">
        <v>3070</v>
      </c>
      <c r="E1429" s="173" t="s">
        <v>3071</v>
      </c>
      <c r="F1429" s="172">
        <v>1</v>
      </c>
      <c r="G1429" s="172">
        <v>63001003</v>
      </c>
      <c r="H1429" s="172">
        <v>0</v>
      </c>
      <c r="I1429" s="174">
        <v>0</v>
      </c>
      <c r="J1429" s="176">
        <v>1</v>
      </c>
      <c r="K1429" s="176">
        <v>0</v>
      </c>
      <c r="L1429" s="172">
        <v>0</v>
      </c>
      <c r="M1429" s="172">
        <v>0</v>
      </c>
      <c r="N1429" s="172">
        <v>0</v>
      </c>
      <c r="O1429" s="172">
        <v>2</v>
      </c>
      <c r="P1429" s="172">
        <v>0</v>
      </c>
      <c r="Q1429" s="172">
        <v>0</v>
      </c>
      <c r="R1429" s="172">
        <v>0</v>
      </c>
      <c r="S1429" s="175">
        <v>0</v>
      </c>
      <c r="T1429" s="172">
        <v>0</v>
      </c>
      <c r="U1429" s="172">
        <v>1</v>
      </c>
      <c r="V1429" s="172">
        <v>0</v>
      </c>
      <c r="W1429" s="172">
        <v>0</v>
      </c>
      <c r="X1429" s="176">
        <v>0</v>
      </c>
      <c r="Y1429" s="19">
        <v>0</v>
      </c>
      <c r="Z1429" s="176">
        <v>0</v>
      </c>
      <c r="AA1429" s="172">
        <v>0</v>
      </c>
      <c r="AB1429" s="172">
        <v>0</v>
      </c>
      <c r="AC1429" s="172">
        <v>0</v>
      </c>
      <c r="AD1429" s="172">
        <v>1</v>
      </c>
      <c r="AE1429" s="172">
        <v>0</v>
      </c>
      <c r="AF1429" s="172">
        <v>0</v>
      </c>
      <c r="AG1429" s="172">
        <v>0</v>
      </c>
      <c r="AH1429" s="172" t="s">
        <v>204</v>
      </c>
      <c r="AI1429" s="175">
        <v>0</v>
      </c>
      <c r="AJ1429" s="175">
        <v>0</v>
      </c>
      <c r="AK1429" s="175">
        <v>0</v>
      </c>
      <c r="AL1429" s="175">
        <v>0</v>
      </c>
      <c r="AM1429" s="172">
        <v>0</v>
      </c>
      <c r="AN1429" s="172">
        <v>0</v>
      </c>
      <c r="AO1429" s="172">
        <v>0</v>
      </c>
      <c r="AP1429" s="172">
        <v>0</v>
      </c>
      <c r="AQ1429" s="172">
        <v>0</v>
      </c>
      <c r="AR1429" s="172">
        <v>0</v>
      </c>
      <c r="AS1429" s="172">
        <v>0</v>
      </c>
      <c r="AT1429" s="175">
        <v>0</v>
      </c>
      <c r="AU1429" s="172" t="s">
        <v>204</v>
      </c>
      <c r="AV1429" s="172"/>
      <c r="AW1429" s="173" t="s">
        <v>204</v>
      </c>
      <c r="AX1429" s="172">
        <v>0</v>
      </c>
      <c r="AY1429" s="176">
        <v>0</v>
      </c>
      <c r="AZ1429" s="176">
        <v>0</v>
      </c>
      <c r="BA1429" s="173" t="s">
        <v>204</v>
      </c>
      <c r="BB1429" s="172">
        <v>0</v>
      </c>
      <c r="BC1429" s="174"/>
      <c r="BD1429" s="174"/>
      <c r="BE1429" s="207" t="s">
        <v>3072</v>
      </c>
      <c r="BF1429" s="207" t="s">
        <v>3073</v>
      </c>
      <c r="BG1429" s="172">
        <v>0</v>
      </c>
      <c r="BH1429" s="172">
        <v>0</v>
      </c>
      <c r="BI1429" s="172">
        <v>0</v>
      </c>
      <c r="BJ1429" s="172">
        <v>0</v>
      </c>
      <c r="BK1429" s="172">
        <v>0</v>
      </c>
      <c r="BL1429" s="172">
        <v>0</v>
      </c>
      <c r="BM1429" s="178">
        <v>0</v>
      </c>
      <c r="BN1429" s="175">
        <v>0</v>
      </c>
      <c r="BO1429" s="175">
        <v>0</v>
      </c>
      <c r="BP1429" s="175">
        <v>0</v>
      </c>
      <c r="BQ1429" s="175">
        <v>0</v>
      </c>
      <c r="BR1429" s="175">
        <v>0</v>
      </c>
      <c r="BS1429" s="175">
        <v>0</v>
      </c>
      <c r="BT1429" s="19">
        <v>0</v>
      </c>
      <c r="BU1429" s="23">
        <v>0</v>
      </c>
      <c r="BV1429" s="23"/>
      <c r="BW1429" s="23"/>
      <c r="BX1429" s="23"/>
      <c r="BY1429" s="23"/>
      <c r="BZ1429" s="23"/>
    </row>
    <row r="1430" spans="1:78" ht="20.100000000000001" customHeight="1">
      <c r="C1430" s="74">
        <v>63302004</v>
      </c>
      <c r="D1430" s="173" t="s">
        <v>3197</v>
      </c>
      <c r="E1430" s="173" t="s">
        <v>3198</v>
      </c>
      <c r="F1430" s="172">
        <v>1</v>
      </c>
      <c r="G1430" s="172">
        <v>63302004</v>
      </c>
      <c r="H1430" s="172">
        <v>0</v>
      </c>
      <c r="I1430" s="174">
        <v>0</v>
      </c>
      <c r="J1430" s="176">
        <v>1</v>
      </c>
      <c r="K1430" s="176">
        <v>0</v>
      </c>
      <c r="L1430" s="172">
        <v>0</v>
      </c>
      <c r="M1430" s="172">
        <v>0</v>
      </c>
      <c r="N1430" s="172">
        <v>0</v>
      </c>
      <c r="O1430" s="172">
        <v>2</v>
      </c>
      <c r="P1430" s="172">
        <v>12</v>
      </c>
      <c r="Q1430" s="172">
        <v>1</v>
      </c>
      <c r="R1430" s="172">
        <v>0</v>
      </c>
      <c r="S1430" s="175">
        <v>0</v>
      </c>
      <c r="T1430" s="172">
        <v>0</v>
      </c>
      <c r="U1430" s="172">
        <v>1</v>
      </c>
      <c r="V1430" s="172">
        <v>2</v>
      </c>
      <c r="W1430" s="172">
        <v>0</v>
      </c>
      <c r="X1430" s="176">
        <v>0</v>
      </c>
      <c r="Y1430" s="19">
        <v>0</v>
      </c>
      <c r="Z1430" s="176">
        <v>0</v>
      </c>
      <c r="AA1430" s="172">
        <v>0</v>
      </c>
      <c r="AB1430" s="172">
        <v>0</v>
      </c>
      <c r="AC1430" s="172">
        <v>0</v>
      </c>
      <c r="AD1430" s="172">
        <v>1</v>
      </c>
      <c r="AE1430" s="172">
        <v>0</v>
      </c>
      <c r="AF1430" s="172">
        <v>60</v>
      </c>
      <c r="AG1430" s="172">
        <v>1</v>
      </c>
      <c r="AH1430" s="172">
        <v>10</v>
      </c>
      <c r="AI1430" s="175">
        <v>0</v>
      </c>
      <c r="AJ1430" s="175">
        <v>0</v>
      </c>
      <c r="AK1430" s="175">
        <v>0</v>
      </c>
      <c r="AL1430" s="175">
        <v>0</v>
      </c>
      <c r="AM1430" s="172">
        <v>0</v>
      </c>
      <c r="AN1430" s="172">
        <v>0</v>
      </c>
      <c r="AO1430" s="172">
        <v>0</v>
      </c>
      <c r="AP1430" s="172">
        <v>0</v>
      </c>
      <c r="AQ1430" s="172">
        <v>50000</v>
      </c>
      <c r="AR1430" s="172">
        <v>0</v>
      </c>
      <c r="AS1430" s="172">
        <v>0</v>
      </c>
      <c r="AT1430" s="175">
        <v>90503008</v>
      </c>
      <c r="AU1430" s="172">
        <v>90503008</v>
      </c>
      <c r="AV1430" s="172"/>
      <c r="AW1430" s="173" t="s">
        <v>204</v>
      </c>
      <c r="AX1430" s="172">
        <v>0</v>
      </c>
      <c r="AY1430" s="176">
        <v>0</v>
      </c>
      <c r="AZ1430" s="176">
        <v>0</v>
      </c>
      <c r="BA1430" s="173" t="s">
        <v>3005</v>
      </c>
      <c r="BB1430" s="172">
        <v>0</v>
      </c>
      <c r="BC1430" s="174">
        <v>0</v>
      </c>
      <c r="BD1430" s="174">
        <v>0</v>
      </c>
      <c r="BE1430" s="207" t="s">
        <v>3199</v>
      </c>
      <c r="BF1430" s="207" t="s">
        <v>3200</v>
      </c>
      <c r="BG1430" s="172">
        <v>0</v>
      </c>
      <c r="BH1430" s="172">
        <v>0</v>
      </c>
      <c r="BI1430" s="172">
        <v>0</v>
      </c>
      <c r="BJ1430" s="172">
        <v>0</v>
      </c>
      <c r="BK1430" s="172">
        <v>0</v>
      </c>
      <c r="BL1430" s="172">
        <v>0</v>
      </c>
      <c r="BM1430" s="178">
        <v>0</v>
      </c>
      <c r="BN1430" s="175">
        <v>1</v>
      </c>
      <c r="BO1430" s="175">
        <v>0</v>
      </c>
      <c r="BP1430" s="175">
        <v>0</v>
      </c>
      <c r="BQ1430" s="175">
        <v>0</v>
      </c>
      <c r="BR1430" s="175">
        <v>0</v>
      </c>
      <c r="BS1430" s="175">
        <v>0</v>
      </c>
      <c r="BT1430" s="19">
        <v>0</v>
      </c>
      <c r="BU1430" s="23">
        <v>0</v>
      </c>
      <c r="BV1430" s="23"/>
      <c r="BW1430" s="23"/>
      <c r="BX1430" s="23"/>
      <c r="BY1430" s="23"/>
      <c r="BZ1430" s="23"/>
    </row>
    <row r="1431" spans="1:78" s="1" customFormat="1" ht="20.100000000000001" customHeight="1">
      <c r="A1431" s="218"/>
      <c r="B1431" s="218"/>
      <c r="C1431" s="74">
        <v>63303001</v>
      </c>
      <c r="D1431" s="71" t="s">
        <v>3017</v>
      </c>
      <c r="E1431" s="160" t="s">
        <v>3201</v>
      </c>
      <c r="F1431" s="90">
        <v>1</v>
      </c>
      <c r="G1431" s="74">
        <v>63303001</v>
      </c>
      <c r="H1431" s="74">
        <v>0</v>
      </c>
      <c r="I1431" s="75">
        <v>0</v>
      </c>
      <c r="J1431" s="74">
        <v>1</v>
      </c>
      <c r="K1431" s="72">
        <v>0</v>
      </c>
      <c r="L1431" s="74">
        <v>0</v>
      </c>
      <c r="M1431" s="72">
        <v>0</v>
      </c>
      <c r="N1431" s="72">
        <v>0</v>
      </c>
      <c r="O1431" s="72">
        <v>2</v>
      </c>
      <c r="P1431" s="72">
        <v>1</v>
      </c>
      <c r="Q1431" s="72">
        <v>0.15</v>
      </c>
      <c r="R1431" s="72">
        <v>0</v>
      </c>
      <c r="S1431" s="73">
        <v>0</v>
      </c>
      <c r="T1431" s="72">
        <v>0</v>
      </c>
      <c r="U1431" s="72">
        <v>1</v>
      </c>
      <c r="V1431" s="72">
        <v>1</v>
      </c>
      <c r="W1431" s="72">
        <v>0</v>
      </c>
      <c r="X1431" s="72">
        <v>0</v>
      </c>
      <c r="Y1431" s="19">
        <v>0</v>
      </c>
      <c r="Z1431" s="72">
        <v>0</v>
      </c>
      <c r="AA1431" s="72">
        <v>0</v>
      </c>
      <c r="AB1431" s="72">
        <v>0</v>
      </c>
      <c r="AC1431" s="72">
        <v>0</v>
      </c>
      <c r="AD1431" s="72">
        <v>0</v>
      </c>
      <c r="AE1431" s="72">
        <v>0</v>
      </c>
      <c r="AF1431" s="72">
        <v>18</v>
      </c>
      <c r="AG1431" s="72">
        <v>0</v>
      </c>
      <c r="AH1431" s="72">
        <v>0</v>
      </c>
      <c r="AI1431" s="73">
        <v>0</v>
      </c>
      <c r="AJ1431" s="73">
        <v>0</v>
      </c>
      <c r="AK1431" s="73">
        <v>0</v>
      </c>
      <c r="AL1431" s="73">
        <v>1.5</v>
      </c>
      <c r="AM1431" s="72">
        <v>0</v>
      </c>
      <c r="AN1431" s="72">
        <v>0</v>
      </c>
      <c r="AO1431" s="72">
        <v>0</v>
      </c>
      <c r="AP1431" s="74">
        <v>0</v>
      </c>
      <c r="AQ1431" s="72">
        <v>3000</v>
      </c>
      <c r="AR1431" s="72">
        <v>0.15</v>
      </c>
      <c r="AS1431" s="72">
        <v>0</v>
      </c>
      <c r="AT1431" s="73">
        <v>0</v>
      </c>
      <c r="AU1431" s="72" t="s">
        <v>204</v>
      </c>
      <c r="AV1431" s="72"/>
      <c r="AW1431" s="71" t="s">
        <v>204</v>
      </c>
      <c r="AX1431" s="72" t="s">
        <v>551</v>
      </c>
      <c r="AY1431" s="74">
        <v>0</v>
      </c>
      <c r="AZ1431" s="74">
        <v>0</v>
      </c>
      <c r="BA1431" s="71" t="s">
        <v>2538</v>
      </c>
      <c r="BB1431" s="356" t="s">
        <v>3202</v>
      </c>
      <c r="BC1431" s="75">
        <v>0</v>
      </c>
      <c r="BD1431" s="75">
        <v>0</v>
      </c>
      <c r="BE1431" s="76" t="s">
        <v>3203</v>
      </c>
      <c r="BF1431" s="76" t="s">
        <v>3204</v>
      </c>
      <c r="BG1431" s="72">
        <v>0</v>
      </c>
      <c r="BH1431" s="72">
        <v>0</v>
      </c>
      <c r="BI1431" s="72">
        <v>0</v>
      </c>
      <c r="BJ1431" s="72">
        <v>0</v>
      </c>
      <c r="BK1431" s="72">
        <v>0</v>
      </c>
      <c r="BL1431" s="72">
        <v>0</v>
      </c>
      <c r="BM1431" s="90">
        <v>0</v>
      </c>
      <c r="BN1431" s="73">
        <v>0</v>
      </c>
      <c r="BO1431" s="73">
        <v>0</v>
      </c>
      <c r="BP1431" s="73">
        <v>0</v>
      </c>
      <c r="BQ1431" s="73">
        <v>0</v>
      </c>
      <c r="BR1431" s="73">
        <v>0</v>
      </c>
      <c r="BS1431" s="73">
        <v>0</v>
      </c>
      <c r="BT1431" s="73">
        <v>0</v>
      </c>
      <c r="BU1431" s="73">
        <v>0</v>
      </c>
      <c r="BV1431" s="23"/>
      <c r="BW1431" s="23"/>
      <c r="BX1431" s="23"/>
      <c r="BY1431" s="23"/>
      <c r="BZ1431" s="23"/>
    </row>
    <row r="1432" spans="1:78" ht="20.100000000000001" customHeight="1">
      <c r="C1432" s="74">
        <v>63303002</v>
      </c>
      <c r="D1432" s="30" t="s">
        <v>3095</v>
      </c>
      <c r="E1432" s="30" t="s">
        <v>3096</v>
      </c>
      <c r="F1432" s="21">
        <v>1</v>
      </c>
      <c r="G1432" s="21">
        <v>63003003</v>
      </c>
      <c r="H1432" s="21">
        <v>0</v>
      </c>
      <c r="I1432" s="31">
        <v>0</v>
      </c>
      <c r="J1432" s="32">
        <v>1</v>
      </c>
      <c r="K1432" s="32">
        <v>0</v>
      </c>
      <c r="L1432" s="21">
        <v>0</v>
      </c>
      <c r="M1432" s="21">
        <v>0</v>
      </c>
      <c r="N1432" s="21">
        <v>0</v>
      </c>
      <c r="O1432" s="21">
        <v>8</v>
      </c>
      <c r="P1432" s="21">
        <v>0</v>
      </c>
      <c r="Q1432" s="21">
        <v>0</v>
      </c>
      <c r="R1432" s="21">
        <v>0</v>
      </c>
      <c r="S1432" s="19">
        <v>0</v>
      </c>
      <c r="T1432" s="21">
        <v>0</v>
      </c>
      <c r="U1432" s="21">
        <v>1</v>
      </c>
      <c r="V1432" s="21">
        <v>0</v>
      </c>
      <c r="W1432" s="21">
        <v>0</v>
      </c>
      <c r="X1432" s="32">
        <v>0</v>
      </c>
      <c r="Y1432" s="19">
        <v>0</v>
      </c>
      <c r="Z1432" s="32">
        <v>0</v>
      </c>
      <c r="AA1432" s="21">
        <v>0</v>
      </c>
      <c r="AB1432" s="21">
        <v>0</v>
      </c>
      <c r="AC1432" s="21">
        <v>0</v>
      </c>
      <c r="AD1432" s="21">
        <v>1</v>
      </c>
      <c r="AE1432" s="21">
        <v>0</v>
      </c>
      <c r="AF1432" s="21">
        <v>0</v>
      </c>
      <c r="AG1432" s="21">
        <v>0</v>
      </c>
      <c r="AH1432" s="21" t="s">
        <v>204</v>
      </c>
      <c r="AI1432" s="19">
        <v>0</v>
      </c>
      <c r="AJ1432" s="19">
        <v>0</v>
      </c>
      <c r="AK1432" s="19">
        <v>0</v>
      </c>
      <c r="AL1432" s="19">
        <v>0</v>
      </c>
      <c r="AM1432" s="21">
        <v>0</v>
      </c>
      <c r="AN1432" s="21">
        <v>0</v>
      </c>
      <c r="AO1432" s="21">
        <v>0</v>
      </c>
      <c r="AP1432" s="21">
        <v>0</v>
      </c>
      <c r="AQ1432" s="21">
        <v>0</v>
      </c>
      <c r="AR1432" s="21">
        <v>0</v>
      </c>
      <c r="AS1432" s="21">
        <v>0</v>
      </c>
      <c r="AT1432" s="19">
        <v>0</v>
      </c>
      <c r="AU1432" s="21" t="s">
        <v>204</v>
      </c>
      <c r="AV1432" s="21"/>
      <c r="AW1432" s="30" t="s">
        <v>204</v>
      </c>
      <c r="AX1432" s="21">
        <v>0</v>
      </c>
      <c r="AY1432" s="32">
        <v>0</v>
      </c>
      <c r="AZ1432" s="32">
        <v>0</v>
      </c>
      <c r="BA1432" s="30" t="s">
        <v>204</v>
      </c>
      <c r="BB1432" s="21" t="s">
        <v>3097</v>
      </c>
      <c r="BC1432" s="31">
        <v>0</v>
      </c>
      <c r="BD1432" s="31">
        <v>0</v>
      </c>
      <c r="BE1432" s="33" t="s">
        <v>3098</v>
      </c>
      <c r="BF1432" s="33" t="s">
        <v>3099</v>
      </c>
      <c r="BG1432" s="21">
        <v>0</v>
      </c>
      <c r="BH1432" s="21">
        <v>0</v>
      </c>
      <c r="BI1432" s="21">
        <v>0</v>
      </c>
      <c r="BJ1432" s="21">
        <v>0</v>
      </c>
      <c r="BK1432" s="21">
        <v>0</v>
      </c>
      <c r="BL1432" s="21">
        <v>0</v>
      </c>
      <c r="BM1432" s="25">
        <v>0</v>
      </c>
      <c r="BN1432" s="19">
        <v>0</v>
      </c>
      <c r="BO1432" s="19">
        <v>0</v>
      </c>
      <c r="BP1432" s="19">
        <v>0</v>
      </c>
      <c r="BQ1432" s="19">
        <v>0</v>
      </c>
      <c r="BR1432" s="19">
        <v>0</v>
      </c>
      <c r="BS1432" s="19">
        <v>0</v>
      </c>
      <c r="BT1432" s="19">
        <v>0</v>
      </c>
      <c r="BU1432" s="23">
        <v>0</v>
      </c>
      <c r="BV1432" s="23"/>
      <c r="BW1432" s="23"/>
      <c r="BX1432" s="23"/>
      <c r="BY1432" s="23"/>
      <c r="BZ1432" s="23"/>
    </row>
    <row r="1433" spans="1:78" ht="20.100000000000001" customHeight="1">
      <c r="C1433" s="74">
        <v>63303003</v>
      </c>
      <c r="D1433" s="173" t="s">
        <v>3045</v>
      </c>
      <c r="E1433" s="173" t="s">
        <v>3046</v>
      </c>
      <c r="F1433" s="172">
        <v>1</v>
      </c>
      <c r="G1433" s="172">
        <v>63003002</v>
      </c>
      <c r="H1433" s="172">
        <v>0</v>
      </c>
      <c r="I1433" s="174">
        <v>0</v>
      </c>
      <c r="J1433" s="176">
        <v>1</v>
      </c>
      <c r="K1433" s="176">
        <v>0</v>
      </c>
      <c r="L1433" s="172">
        <v>0</v>
      </c>
      <c r="M1433" s="172">
        <v>0</v>
      </c>
      <c r="N1433" s="172">
        <v>0</v>
      </c>
      <c r="O1433" s="172">
        <v>2</v>
      </c>
      <c r="P1433" s="172">
        <v>0</v>
      </c>
      <c r="Q1433" s="172">
        <v>0</v>
      </c>
      <c r="R1433" s="172">
        <v>0</v>
      </c>
      <c r="S1433" s="175">
        <v>0</v>
      </c>
      <c r="T1433" s="172">
        <v>0</v>
      </c>
      <c r="U1433" s="172">
        <v>1</v>
      </c>
      <c r="V1433" s="172">
        <v>0</v>
      </c>
      <c r="W1433" s="172">
        <v>0</v>
      </c>
      <c r="X1433" s="176">
        <v>0</v>
      </c>
      <c r="Y1433" s="19">
        <v>0</v>
      </c>
      <c r="Z1433" s="176">
        <v>0</v>
      </c>
      <c r="AA1433" s="172">
        <v>0</v>
      </c>
      <c r="AB1433" s="172">
        <v>0</v>
      </c>
      <c r="AC1433" s="172">
        <v>0</v>
      </c>
      <c r="AD1433" s="172">
        <v>1</v>
      </c>
      <c r="AE1433" s="172">
        <v>0</v>
      </c>
      <c r="AF1433" s="172">
        <v>0</v>
      </c>
      <c r="AG1433" s="172">
        <v>0</v>
      </c>
      <c r="AH1433" s="172" t="s">
        <v>204</v>
      </c>
      <c r="AI1433" s="175">
        <v>0</v>
      </c>
      <c r="AJ1433" s="175">
        <v>0</v>
      </c>
      <c r="AK1433" s="175">
        <v>0</v>
      </c>
      <c r="AL1433" s="175">
        <v>0</v>
      </c>
      <c r="AM1433" s="172">
        <v>0</v>
      </c>
      <c r="AN1433" s="172">
        <v>0</v>
      </c>
      <c r="AO1433" s="172">
        <v>0</v>
      </c>
      <c r="AP1433" s="172">
        <v>0</v>
      </c>
      <c r="AQ1433" s="172">
        <v>0</v>
      </c>
      <c r="AR1433" s="172">
        <v>0</v>
      </c>
      <c r="AS1433" s="172">
        <v>0</v>
      </c>
      <c r="AT1433" s="175">
        <v>0</v>
      </c>
      <c r="AU1433" s="172" t="s">
        <v>204</v>
      </c>
      <c r="AV1433" s="172"/>
      <c r="AW1433" s="173" t="s">
        <v>204</v>
      </c>
      <c r="AX1433" s="172">
        <v>0</v>
      </c>
      <c r="AY1433" s="176">
        <v>0</v>
      </c>
      <c r="AZ1433" s="176">
        <v>0</v>
      </c>
      <c r="BA1433" s="173" t="s">
        <v>204</v>
      </c>
      <c r="BB1433" s="172">
        <v>0</v>
      </c>
      <c r="BC1433" s="174"/>
      <c r="BD1433" s="174"/>
      <c r="BE1433" s="207" t="s">
        <v>3047</v>
      </c>
      <c r="BF1433" s="207" t="s">
        <v>3048</v>
      </c>
      <c r="BG1433" s="172">
        <v>0</v>
      </c>
      <c r="BH1433" s="172">
        <v>0</v>
      </c>
      <c r="BI1433" s="172">
        <v>0</v>
      </c>
      <c r="BJ1433" s="172">
        <v>0</v>
      </c>
      <c r="BK1433" s="172">
        <v>0</v>
      </c>
      <c r="BL1433" s="172">
        <v>0</v>
      </c>
      <c r="BM1433" s="178">
        <v>0</v>
      </c>
      <c r="BN1433" s="175">
        <v>0</v>
      </c>
      <c r="BO1433" s="175">
        <v>0</v>
      </c>
      <c r="BP1433" s="175">
        <v>0</v>
      </c>
      <c r="BQ1433" s="175">
        <v>0</v>
      </c>
      <c r="BR1433" s="175">
        <v>0</v>
      </c>
      <c r="BS1433" s="175">
        <v>0</v>
      </c>
      <c r="BT1433" s="19">
        <v>0</v>
      </c>
      <c r="BU1433" s="23">
        <v>0</v>
      </c>
      <c r="BV1433" s="23"/>
      <c r="BW1433" s="23"/>
      <c r="BX1433" s="23"/>
      <c r="BY1433" s="23"/>
      <c r="BZ1433" s="23"/>
    </row>
    <row r="1434" spans="1:78" ht="19.5" customHeight="1">
      <c r="C1434" s="74">
        <v>63303004</v>
      </c>
      <c r="D1434" s="173" t="s">
        <v>3205</v>
      </c>
      <c r="E1434" s="173" t="s">
        <v>3206</v>
      </c>
      <c r="F1434" s="172">
        <v>1</v>
      </c>
      <c r="G1434" s="172">
        <v>63303004</v>
      </c>
      <c r="H1434" s="172">
        <v>0</v>
      </c>
      <c r="I1434" s="174">
        <v>0</v>
      </c>
      <c r="J1434" s="176">
        <v>1</v>
      </c>
      <c r="K1434" s="176">
        <v>0</v>
      </c>
      <c r="L1434" s="172">
        <v>0</v>
      </c>
      <c r="M1434" s="172">
        <v>0</v>
      </c>
      <c r="N1434" s="172">
        <v>0</v>
      </c>
      <c r="O1434" s="172">
        <v>2</v>
      </c>
      <c r="P1434" s="172">
        <v>12</v>
      </c>
      <c r="Q1434" s="172">
        <v>1</v>
      </c>
      <c r="R1434" s="172">
        <v>0</v>
      </c>
      <c r="S1434" s="175">
        <v>0</v>
      </c>
      <c r="T1434" s="172">
        <v>0</v>
      </c>
      <c r="U1434" s="172">
        <v>1</v>
      </c>
      <c r="V1434" s="172">
        <v>2</v>
      </c>
      <c r="W1434" s="172">
        <v>0</v>
      </c>
      <c r="X1434" s="176">
        <v>0</v>
      </c>
      <c r="Y1434" s="19">
        <v>0</v>
      </c>
      <c r="Z1434" s="176">
        <v>0</v>
      </c>
      <c r="AA1434" s="172">
        <v>0</v>
      </c>
      <c r="AB1434" s="172">
        <v>0</v>
      </c>
      <c r="AC1434" s="172">
        <v>0</v>
      </c>
      <c r="AD1434" s="172">
        <v>1</v>
      </c>
      <c r="AE1434" s="172">
        <v>0</v>
      </c>
      <c r="AF1434" s="172">
        <v>60</v>
      </c>
      <c r="AG1434" s="172">
        <v>1</v>
      </c>
      <c r="AH1434" s="172">
        <v>10</v>
      </c>
      <c r="AI1434" s="175">
        <v>0</v>
      </c>
      <c r="AJ1434" s="175">
        <v>0</v>
      </c>
      <c r="AK1434" s="175">
        <v>0</v>
      </c>
      <c r="AL1434" s="175">
        <v>0</v>
      </c>
      <c r="AM1434" s="172">
        <v>0</v>
      </c>
      <c r="AN1434" s="172">
        <v>0</v>
      </c>
      <c r="AO1434" s="172">
        <v>0</v>
      </c>
      <c r="AP1434" s="172">
        <v>0</v>
      </c>
      <c r="AQ1434" s="172">
        <v>50000</v>
      </c>
      <c r="AR1434" s="172">
        <v>0</v>
      </c>
      <c r="AS1434" s="172">
        <v>0</v>
      </c>
      <c r="AT1434" s="175">
        <v>90503009</v>
      </c>
      <c r="AU1434" s="175">
        <v>90503009</v>
      </c>
      <c r="AV1434" s="172"/>
      <c r="AW1434" s="173" t="s">
        <v>204</v>
      </c>
      <c r="AX1434" s="172">
        <v>0</v>
      </c>
      <c r="AY1434" s="176">
        <v>0</v>
      </c>
      <c r="AZ1434" s="176">
        <v>0</v>
      </c>
      <c r="BA1434" s="173" t="s">
        <v>3005</v>
      </c>
      <c r="BB1434" s="172">
        <v>0</v>
      </c>
      <c r="BC1434" s="174">
        <v>0</v>
      </c>
      <c r="BD1434" s="174">
        <v>0</v>
      </c>
      <c r="BE1434" s="207" t="s">
        <v>3178</v>
      </c>
      <c r="BF1434" s="207" t="s">
        <v>3179</v>
      </c>
      <c r="BG1434" s="172">
        <v>0</v>
      </c>
      <c r="BH1434" s="172">
        <v>0</v>
      </c>
      <c r="BI1434" s="172">
        <v>0</v>
      </c>
      <c r="BJ1434" s="172">
        <v>0</v>
      </c>
      <c r="BK1434" s="172">
        <v>0</v>
      </c>
      <c r="BL1434" s="172">
        <v>0</v>
      </c>
      <c r="BM1434" s="178">
        <v>0</v>
      </c>
      <c r="BN1434" s="175">
        <v>1</v>
      </c>
      <c r="BO1434" s="175">
        <v>0</v>
      </c>
      <c r="BP1434" s="175">
        <v>0</v>
      </c>
      <c r="BQ1434" s="175">
        <v>0</v>
      </c>
      <c r="BR1434" s="175">
        <v>0</v>
      </c>
      <c r="BS1434" s="175">
        <v>0</v>
      </c>
      <c r="BT1434" s="19">
        <v>0</v>
      </c>
      <c r="BU1434" s="23">
        <v>0</v>
      </c>
      <c r="BV1434" s="23"/>
      <c r="BW1434" s="23"/>
      <c r="BX1434" s="23"/>
      <c r="BY1434" s="23"/>
      <c r="BZ1434" s="23"/>
    </row>
    <row r="1435" spans="1:78" s="1" customFormat="1" ht="20.100000000000001" customHeight="1">
      <c r="A1435" s="218"/>
      <c r="B1435" s="218"/>
      <c r="C1435" s="74">
        <v>63304001</v>
      </c>
      <c r="D1435" s="71" t="s">
        <v>3207</v>
      </c>
      <c r="E1435" s="160" t="s">
        <v>3208</v>
      </c>
      <c r="F1435" s="90">
        <v>1</v>
      </c>
      <c r="G1435" s="72">
        <v>0</v>
      </c>
      <c r="H1435" s="74">
        <v>0</v>
      </c>
      <c r="I1435" s="75">
        <v>0</v>
      </c>
      <c r="J1435" s="74">
        <v>1</v>
      </c>
      <c r="K1435" s="72">
        <v>0</v>
      </c>
      <c r="L1435" s="74">
        <v>0</v>
      </c>
      <c r="M1435" s="72">
        <v>0</v>
      </c>
      <c r="N1435" s="72">
        <v>0</v>
      </c>
      <c r="O1435" s="72">
        <v>2</v>
      </c>
      <c r="P1435" s="72">
        <v>1</v>
      </c>
      <c r="Q1435" s="72">
        <v>0.3</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0</v>
      </c>
      <c r="AH1435" s="72">
        <v>0</v>
      </c>
      <c r="AI1435" s="73">
        <v>0</v>
      </c>
      <c r="AJ1435" s="73">
        <v>0</v>
      </c>
      <c r="AK1435" s="73">
        <v>0</v>
      </c>
      <c r="AL1435" s="73">
        <v>1.5</v>
      </c>
      <c r="AM1435" s="72">
        <v>0</v>
      </c>
      <c r="AN1435" s="72">
        <v>0</v>
      </c>
      <c r="AO1435" s="72">
        <v>0</v>
      </c>
      <c r="AP1435" s="74">
        <v>0</v>
      </c>
      <c r="AQ1435" s="72">
        <v>1000</v>
      </c>
      <c r="AR1435" s="72">
        <v>0</v>
      </c>
      <c r="AS1435" s="72">
        <v>0</v>
      </c>
      <c r="AT1435" s="73">
        <v>95201001</v>
      </c>
      <c r="AU1435" s="72">
        <v>0</v>
      </c>
      <c r="AV1435" s="72"/>
      <c r="AW1435" s="71" t="s">
        <v>204</v>
      </c>
      <c r="AX1435" s="72" t="s">
        <v>551</v>
      </c>
      <c r="AY1435" s="74">
        <v>0</v>
      </c>
      <c r="AZ1435" s="74">
        <v>0</v>
      </c>
      <c r="BA1435" s="71" t="s">
        <v>206</v>
      </c>
      <c r="BB1435" s="72">
        <v>0</v>
      </c>
      <c r="BC1435" s="75">
        <v>0</v>
      </c>
      <c r="BD1435" s="75">
        <v>0</v>
      </c>
      <c r="BE1435" s="76" t="s">
        <v>3209</v>
      </c>
      <c r="BF1435" s="76" t="s">
        <v>3210</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20.100000000000001" customHeight="1">
      <c r="A1436" s="218"/>
      <c r="B1436" s="218"/>
      <c r="C1436" s="74">
        <v>63304002</v>
      </c>
      <c r="D1436" s="71" t="s">
        <v>3211</v>
      </c>
      <c r="E1436" s="160" t="s">
        <v>3212</v>
      </c>
      <c r="F1436" s="90">
        <v>1</v>
      </c>
      <c r="G1436" s="72">
        <v>0</v>
      </c>
      <c r="H1436" s="74">
        <v>0</v>
      </c>
      <c r="I1436" s="75">
        <v>0</v>
      </c>
      <c r="J1436" s="74">
        <v>1</v>
      </c>
      <c r="K1436" s="72">
        <v>0</v>
      </c>
      <c r="L1436" s="74">
        <v>0</v>
      </c>
      <c r="M1436" s="72">
        <v>0</v>
      </c>
      <c r="N1436" s="72">
        <v>0</v>
      </c>
      <c r="O1436" s="72">
        <v>2</v>
      </c>
      <c r="P1436" s="72">
        <v>16</v>
      </c>
      <c r="Q1436" s="72">
        <v>5</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1</v>
      </c>
      <c r="AH1436" s="72">
        <v>1</v>
      </c>
      <c r="AI1436" s="73">
        <v>7</v>
      </c>
      <c r="AJ1436" s="73">
        <v>1</v>
      </c>
      <c r="AK1436" s="73">
        <v>0</v>
      </c>
      <c r="AL1436" s="73">
        <v>1.5</v>
      </c>
      <c r="AM1436" s="72">
        <v>0</v>
      </c>
      <c r="AN1436" s="72">
        <v>0</v>
      </c>
      <c r="AO1436" s="72">
        <v>0</v>
      </c>
      <c r="AP1436" s="74">
        <v>0</v>
      </c>
      <c r="AQ1436" s="72">
        <v>1000</v>
      </c>
      <c r="AR1436" s="72">
        <v>0</v>
      </c>
      <c r="AS1436" s="72">
        <v>0</v>
      </c>
      <c r="AT1436" s="73">
        <v>0</v>
      </c>
      <c r="AU1436" s="72">
        <v>95201002</v>
      </c>
      <c r="AV1436" s="72"/>
      <c r="AW1436" s="71" t="s">
        <v>204</v>
      </c>
      <c r="AX1436" s="72" t="s">
        <v>551</v>
      </c>
      <c r="AY1436" s="74">
        <v>0</v>
      </c>
      <c r="AZ1436" s="74">
        <v>0</v>
      </c>
      <c r="BA1436" s="71" t="s">
        <v>206</v>
      </c>
      <c r="BB1436" s="72">
        <v>0</v>
      </c>
      <c r="BC1436" s="75">
        <v>0</v>
      </c>
      <c r="BD1436" s="75">
        <v>0</v>
      </c>
      <c r="BE1436" s="76" t="s">
        <v>3213</v>
      </c>
      <c r="BF1436" s="76" t="s">
        <v>3214</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63304003</v>
      </c>
      <c r="D1437" s="71" t="s">
        <v>737</v>
      </c>
      <c r="E1437" s="71" t="s">
        <v>680</v>
      </c>
      <c r="F1437" s="74">
        <v>1</v>
      </c>
      <c r="G1437" s="74">
        <v>0</v>
      </c>
      <c r="H1437" s="74">
        <v>0</v>
      </c>
      <c r="I1437" s="75">
        <v>0</v>
      </c>
      <c r="J1437" s="74">
        <v>1</v>
      </c>
      <c r="K1437" s="74">
        <v>0</v>
      </c>
      <c r="L1437" s="74">
        <v>0</v>
      </c>
      <c r="M1437" s="72">
        <v>0</v>
      </c>
      <c r="N1437" s="72">
        <v>0</v>
      </c>
      <c r="O1437" s="72">
        <v>2</v>
      </c>
      <c r="P1437" s="72">
        <v>3</v>
      </c>
      <c r="Q1437" s="72">
        <v>0.3</v>
      </c>
      <c r="R1437" s="72">
        <v>0</v>
      </c>
      <c r="S1437" s="73">
        <v>1</v>
      </c>
      <c r="T1437" s="72">
        <v>0</v>
      </c>
      <c r="U1437" s="72">
        <v>1</v>
      </c>
      <c r="V1437" s="72">
        <v>2</v>
      </c>
      <c r="W1437" s="72">
        <v>0</v>
      </c>
      <c r="X1437" s="72">
        <v>1.2</v>
      </c>
      <c r="Y1437" s="19">
        <v>0</v>
      </c>
      <c r="Z1437" s="72">
        <v>0</v>
      </c>
      <c r="AA1437" s="72">
        <v>1</v>
      </c>
      <c r="AB1437" s="72">
        <v>0</v>
      </c>
      <c r="AC1437" s="72">
        <v>0</v>
      </c>
      <c r="AD1437" s="72">
        <v>1</v>
      </c>
      <c r="AE1437" s="72">
        <v>1</v>
      </c>
      <c r="AF1437" s="72">
        <v>4</v>
      </c>
      <c r="AG1437" s="72">
        <v>1</v>
      </c>
      <c r="AH1437" s="72">
        <v>3</v>
      </c>
      <c r="AI1437" s="73">
        <v>0</v>
      </c>
      <c r="AJ1437" s="73">
        <v>1</v>
      </c>
      <c r="AK1437" s="73">
        <v>0</v>
      </c>
      <c r="AL1437" s="73">
        <v>3</v>
      </c>
      <c r="AM1437" s="72">
        <v>0</v>
      </c>
      <c r="AN1437" s="72">
        <v>0</v>
      </c>
      <c r="AO1437" s="72">
        <v>0</v>
      </c>
      <c r="AP1437" s="72">
        <v>0</v>
      </c>
      <c r="AQ1437" s="72">
        <v>500</v>
      </c>
      <c r="AR1437" s="72">
        <v>0.3</v>
      </c>
      <c r="AS1437" s="72">
        <v>0</v>
      </c>
      <c r="AT1437" s="73">
        <v>0</v>
      </c>
      <c r="AU1437" s="334" t="s">
        <v>3215</v>
      </c>
      <c r="AV1437" s="93"/>
      <c r="AW1437" s="88" t="s">
        <v>204</v>
      </c>
      <c r="AX1437" s="72" t="s">
        <v>540</v>
      </c>
      <c r="AY1437" s="74">
        <v>0</v>
      </c>
      <c r="AZ1437" s="74">
        <v>77005401</v>
      </c>
      <c r="BA1437" s="71" t="s">
        <v>206</v>
      </c>
      <c r="BB1437" s="72">
        <v>0</v>
      </c>
      <c r="BC1437" s="75">
        <v>0</v>
      </c>
      <c r="BD1437" s="75">
        <v>0</v>
      </c>
      <c r="BE1437" s="76" t="s">
        <v>3216</v>
      </c>
      <c r="BF1437" s="76" t="s">
        <v>3217</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63304004</v>
      </c>
      <c r="D1438" s="71" t="s">
        <v>3218</v>
      </c>
      <c r="E1438" s="71" t="s">
        <v>3219</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95201004</v>
      </c>
      <c r="AU1438" s="93">
        <v>0</v>
      </c>
      <c r="AV1438" s="93"/>
      <c r="AW1438" s="88" t="s">
        <v>204</v>
      </c>
      <c r="AX1438" s="72" t="s">
        <v>540</v>
      </c>
      <c r="AY1438" s="74">
        <v>0</v>
      </c>
      <c r="AZ1438" s="74">
        <v>0</v>
      </c>
      <c r="BA1438" s="71" t="s">
        <v>206</v>
      </c>
      <c r="BB1438" s="72">
        <v>0</v>
      </c>
      <c r="BC1438" s="75">
        <v>0</v>
      </c>
      <c r="BD1438" s="75">
        <v>0</v>
      </c>
      <c r="BE1438" s="76" t="s">
        <v>3220</v>
      </c>
      <c r="BF1438" s="76" t="s">
        <v>3221</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63304005</v>
      </c>
      <c r="D1439" s="71" t="s">
        <v>3222</v>
      </c>
      <c r="E1439" s="71" t="s">
        <v>3223</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95201005</v>
      </c>
      <c r="AU1439" s="93">
        <v>0</v>
      </c>
      <c r="AV1439" s="93"/>
      <c r="AW1439" s="88" t="s">
        <v>204</v>
      </c>
      <c r="AX1439" s="72" t="s">
        <v>540</v>
      </c>
      <c r="AY1439" s="74">
        <v>0</v>
      </c>
      <c r="AZ1439" s="74">
        <v>0</v>
      </c>
      <c r="BA1439" s="71" t="s">
        <v>206</v>
      </c>
      <c r="BB1439" s="72">
        <v>0</v>
      </c>
      <c r="BC1439" s="75">
        <v>0</v>
      </c>
      <c r="BD1439" s="75">
        <v>0</v>
      </c>
      <c r="BE1439" s="76" t="s">
        <v>3224</v>
      </c>
      <c r="BF1439" s="76" t="s">
        <v>3225</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20.100000000000001" customHeight="1">
      <c r="A1440" s="218"/>
      <c r="B1440" s="218"/>
      <c r="C1440" s="74">
        <v>63304006</v>
      </c>
      <c r="D1440" s="71" t="s">
        <v>3226</v>
      </c>
      <c r="E1440" s="160" t="s">
        <v>3227</v>
      </c>
      <c r="F1440" s="90">
        <v>1</v>
      </c>
      <c r="G1440" s="72">
        <v>0</v>
      </c>
      <c r="H1440" s="74">
        <v>0</v>
      </c>
      <c r="I1440" s="75">
        <v>0</v>
      </c>
      <c r="J1440" s="74">
        <v>1</v>
      </c>
      <c r="K1440" s="72">
        <v>0</v>
      </c>
      <c r="L1440" s="74">
        <v>0</v>
      </c>
      <c r="M1440" s="72">
        <v>0</v>
      </c>
      <c r="N1440" s="72">
        <v>0</v>
      </c>
      <c r="O1440" s="72">
        <v>2</v>
      </c>
      <c r="P1440" s="72">
        <v>1</v>
      </c>
      <c r="Q1440" s="72">
        <v>1</v>
      </c>
      <c r="R1440" s="72">
        <v>0</v>
      </c>
      <c r="S1440" s="73">
        <v>0</v>
      </c>
      <c r="T1440" s="72">
        <v>0</v>
      </c>
      <c r="U1440" s="72">
        <v>1</v>
      </c>
      <c r="V1440" s="72">
        <v>1</v>
      </c>
      <c r="W1440" s="72">
        <v>0</v>
      </c>
      <c r="X1440" s="72">
        <v>0</v>
      </c>
      <c r="Y1440" s="19">
        <v>0</v>
      </c>
      <c r="Z1440" s="72">
        <v>0</v>
      </c>
      <c r="AA1440" s="72">
        <v>0</v>
      </c>
      <c r="AB1440" s="72">
        <v>0</v>
      </c>
      <c r="AC1440" s="72">
        <v>0</v>
      </c>
      <c r="AD1440" s="72">
        <v>0</v>
      </c>
      <c r="AE1440" s="72">
        <v>0</v>
      </c>
      <c r="AF1440" s="72">
        <v>0</v>
      </c>
      <c r="AG1440" s="72">
        <v>1</v>
      </c>
      <c r="AH1440" s="72">
        <v>1</v>
      </c>
      <c r="AI1440" s="73">
        <v>0</v>
      </c>
      <c r="AJ1440" s="73">
        <v>1</v>
      </c>
      <c r="AK1440" s="73">
        <v>0</v>
      </c>
      <c r="AL1440" s="73">
        <v>1.5</v>
      </c>
      <c r="AM1440" s="72">
        <v>0</v>
      </c>
      <c r="AN1440" s="72">
        <v>0</v>
      </c>
      <c r="AO1440" s="72">
        <v>0</v>
      </c>
      <c r="AP1440" s="74">
        <v>0</v>
      </c>
      <c r="AQ1440" s="72">
        <v>500</v>
      </c>
      <c r="AR1440" s="72">
        <v>0</v>
      </c>
      <c r="AS1440" s="72">
        <v>0</v>
      </c>
      <c r="AT1440" s="342" t="s">
        <v>3228</v>
      </c>
      <c r="AU1440" s="72">
        <v>0</v>
      </c>
      <c r="AV1440" s="72"/>
      <c r="AW1440" s="71" t="s">
        <v>204</v>
      </c>
      <c r="AX1440" s="72" t="s">
        <v>551</v>
      </c>
      <c r="AY1440" s="74">
        <v>0</v>
      </c>
      <c r="AZ1440" s="74">
        <v>0</v>
      </c>
      <c r="BA1440" s="71" t="s">
        <v>206</v>
      </c>
      <c r="BB1440" s="72">
        <v>0</v>
      </c>
      <c r="BC1440" s="75">
        <v>0</v>
      </c>
      <c r="BD1440" s="75">
        <v>0</v>
      </c>
      <c r="BE1440" s="76" t="s">
        <v>3213</v>
      </c>
      <c r="BF1440" s="76" t="s">
        <v>3214</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3:78" ht="20.100000000000001" customHeight="1">
      <c r="C1441" s="21">
        <v>63401001</v>
      </c>
      <c r="D1441" s="30" t="s">
        <v>3229</v>
      </c>
      <c r="E1441" s="30"/>
      <c r="F1441" s="21">
        <v>1</v>
      </c>
      <c r="G1441" s="21">
        <v>63401001</v>
      </c>
      <c r="H1441" s="21">
        <v>0</v>
      </c>
      <c r="I1441" s="31">
        <v>0</v>
      </c>
      <c r="J1441" s="32">
        <v>1</v>
      </c>
      <c r="K1441" s="32">
        <v>0</v>
      </c>
      <c r="L1441" s="21">
        <v>0</v>
      </c>
      <c r="M1441" s="21">
        <v>0</v>
      </c>
      <c r="N1441" s="21">
        <v>0</v>
      </c>
      <c r="O1441" s="21">
        <v>2</v>
      </c>
      <c r="P1441" s="21">
        <v>12</v>
      </c>
      <c r="Q1441" s="21">
        <v>1</v>
      </c>
      <c r="R1441" s="21">
        <v>0</v>
      </c>
      <c r="S1441" s="19">
        <v>0</v>
      </c>
      <c r="T1441" s="21">
        <v>0</v>
      </c>
      <c r="U1441" s="21">
        <v>1</v>
      </c>
      <c r="V1441" s="21">
        <v>2</v>
      </c>
      <c r="W1441" s="21">
        <v>0</v>
      </c>
      <c r="X1441" s="32">
        <v>0</v>
      </c>
      <c r="Y1441" s="19">
        <v>0</v>
      </c>
      <c r="Z1441" s="32">
        <v>0</v>
      </c>
      <c r="AA1441" s="21">
        <v>0</v>
      </c>
      <c r="AB1441" s="21">
        <v>0</v>
      </c>
      <c r="AC1441" s="21">
        <v>0</v>
      </c>
      <c r="AD1441" s="21">
        <v>1</v>
      </c>
      <c r="AE1441" s="21">
        <v>0</v>
      </c>
      <c r="AF1441" s="21">
        <v>60</v>
      </c>
      <c r="AG1441" s="21">
        <v>1</v>
      </c>
      <c r="AH1441" s="21">
        <v>10</v>
      </c>
      <c r="AI1441" s="19">
        <v>0</v>
      </c>
      <c r="AJ1441" s="19">
        <v>0</v>
      </c>
      <c r="AK1441" s="19">
        <v>0</v>
      </c>
      <c r="AL1441" s="19">
        <v>0</v>
      </c>
      <c r="AM1441" s="21">
        <v>0</v>
      </c>
      <c r="AN1441" s="21">
        <v>0</v>
      </c>
      <c r="AO1441" s="21">
        <v>0</v>
      </c>
      <c r="AP1441" s="21">
        <v>0</v>
      </c>
      <c r="AQ1441" s="21">
        <v>50000</v>
      </c>
      <c r="AR1441" s="21">
        <v>0</v>
      </c>
      <c r="AS1441" s="21">
        <v>0</v>
      </c>
      <c r="AT1441" s="19">
        <v>0</v>
      </c>
      <c r="AU1441" s="351" t="s">
        <v>3230</v>
      </c>
      <c r="AV1441" s="21"/>
      <c r="AW1441" s="30" t="s">
        <v>204</v>
      </c>
      <c r="AX1441" s="21">
        <v>0</v>
      </c>
      <c r="AY1441" s="32">
        <v>0</v>
      </c>
      <c r="AZ1441" s="32">
        <v>0</v>
      </c>
      <c r="BA1441" s="30" t="s">
        <v>3005</v>
      </c>
      <c r="BB1441" s="21">
        <v>0</v>
      </c>
      <c r="BC1441" s="31">
        <v>0</v>
      </c>
      <c r="BD1441" s="31">
        <v>0</v>
      </c>
      <c r="BE1441" s="33" t="s">
        <v>3231</v>
      </c>
      <c r="BF1441" s="33"/>
      <c r="BG1441" s="21">
        <v>0</v>
      </c>
      <c r="BH1441" s="21">
        <v>0</v>
      </c>
      <c r="BI1441" s="21">
        <v>0</v>
      </c>
      <c r="BJ1441" s="21">
        <v>0</v>
      </c>
      <c r="BK1441" s="21">
        <v>0</v>
      </c>
      <c r="BL1441" s="21">
        <v>0</v>
      </c>
      <c r="BM1441" s="25">
        <v>0</v>
      </c>
      <c r="BN1441" s="19">
        <v>1</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63401002</v>
      </c>
      <c r="D1442" s="30" t="s">
        <v>3049</v>
      </c>
      <c r="E1442" s="30"/>
      <c r="F1442" s="21">
        <v>1</v>
      </c>
      <c r="G1442" s="21">
        <v>1000002</v>
      </c>
      <c r="H1442" s="21">
        <v>0</v>
      </c>
      <c r="I1442" s="31">
        <v>0</v>
      </c>
      <c r="J1442" s="32">
        <v>1</v>
      </c>
      <c r="K1442" s="32">
        <v>0</v>
      </c>
      <c r="L1442" s="21">
        <v>0</v>
      </c>
      <c r="M1442" s="21">
        <v>0</v>
      </c>
      <c r="N1442" s="21">
        <v>0</v>
      </c>
      <c r="O1442" s="21">
        <v>8</v>
      </c>
      <c r="P1442" s="21">
        <v>8</v>
      </c>
      <c r="Q1442" s="21">
        <v>2</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t="s">
        <v>3050</v>
      </c>
      <c r="BC1442" s="31">
        <v>0</v>
      </c>
      <c r="BD1442" s="31">
        <v>0</v>
      </c>
      <c r="BE1442" s="33" t="s">
        <v>3051</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63401003</v>
      </c>
      <c r="D1443" s="30" t="s">
        <v>3045</v>
      </c>
      <c r="E1443" s="30"/>
      <c r="F1443" s="21">
        <v>1</v>
      </c>
      <c r="G1443" s="21">
        <v>63003002</v>
      </c>
      <c r="H1443" s="21">
        <v>0</v>
      </c>
      <c r="I1443" s="31">
        <v>0</v>
      </c>
      <c r="J1443" s="32">
        <v>1</v>
      </c>
      <c r="K1443" s="32">
        <v>0</v>
      </c>
      <c r="L1443" s="21">
        <v>0</v>
      </c>
      <c r="M1443" s="21">
        <v>0</v>
      </c>
      <c r="N1443" s="21">
        <v>0</v>
      </c>
      <c r="O1443" s="21">
        <v>2</v>
      </c>
      <c r="P1443" s="21">
        <v>0</v>
      </c>
      <c r="Q1443" s="21">
        <v>0</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v>0</v>
      </c>
      <c r="BC1443" s="31">
        <v>0</v>
      </c>
      <c r="BD1443" s="31">
        <v>0</v>
      </c>
      <c r="BE1443" s="33" t="s">
        <v>3047</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3:78" ht="20.100000000000001" customHeight="1">
      <c r="C1444" s="21">
        <v>63401004</v>
      </c>
      <c r="D1444" s="179" t="s">
        <v>3017</v>
      </c>
      <c r="E1444" s="179"/>
      <c r="F1444" s="180">
        <v>1</v>
      </c>
      <c r="G1444" s="21">
        <v>63401004</v>
      </c>
      <c r="H1444" s="180">
        <v>0</v>
      </c>
      <c r="I1444" s="180">
        <v>0</v>
      </c>
      <c r="J1444" s="32">
        <v>1</v>
      </c>
      <c r="K1444" s="32">
        <v>0</v>
      </c>
      <c r="L1444" s="21">
        <v>0</v>
      </c>
      <c r="M1444" s="180">
        <v>0</v>
      </c>
      <c r="N1444" s="180">
        <v>0</v>
      </c>
      <c r="O1444" s="180">
        <v>2</v>
      </c>
      <c r="P1444" s="180">
        <v>21</v>
      </c>
      <c r="Q1444" s="180">
        <v>0.05</v>
      </c>
      <c r="R1444" s="180">
        <v>0</v>
      </c>
      <c r="S1444" s="19">
        <v>0</v>
      </c>
      <c r="T1444" s="180">
        <v>0</v>
      </c>
      <c r="U1444" s="180">
        <v>1</v>
      </c>
      <c r="V1444" s="180">
        <v>2</v>
      </c>
      <c r="W1444" s="180">
        <v>0</v>
      </c>
      <c r="X1444" s="180">
        <v>0</v>
      </c>
      <c r="Y1444" s="19">
        <v>0</v>
      </c>
      <c r="Z1444" s="180">
        <v>0</v>
      </c>
      <c r="AA1444" s="180">
        <v>0</v>
      </c>
      <c r="AB1444" s="180">
        <v>0</v>
      </c>
      <c r="AC1444" s="180">
        <v>0</v>
      </c>
      <c r="AD1444" s="21">
        <v>1</v>
      </c>
      <c r="AE1444" s="180">
        <v>0</v>
      </c>
      <c r="AF1444" s="180">
        <v>15</v>
      </c>
      <c r="AG1444" s="180">
        <v>1</v>
      </c>
      <c r="AH1444" s="180">
        <v>1</v>
      </c>
      <c r="AI1444" s="180">
        <v>7</v>
      </c>
      <c r="AJ1444" s="180">
        <v>0</v>
      </c>
      <c r="AK1444" s="19">
        <v>0</v>
      </c>
      <c r="AL1444" s="180">
        <v>2</v>
      </c>
      <c r="AM1444" s="180">
        <v>0</v>
      </c>
      <c r="AN1444" s="180">
        <v>0</v>
      </c>
      <c r="AO1444" s="180">
        <v>0</v>
      </c>
      <c r="AP1444" s="21">
        <v>0</v>
      </c>
      <c r="AQ1444" s="180">
        <v>10000</v>
      </c>
      <c r="AR1444" s="180">
        <v>0.5</v>
      </c>
      <c r="AS1444" s="180">
        <v>0</v>
      </c>
      <c r="AT1444" s="180">
        <v>0</v>
      </c>
      <c r="AU1444" s="180">
        <v>92041060</v>
      </c>
      <c r="AV1444" s="180"/>
      <c r="AW1444" s="179"/>
      <c r="AX1444" s="180">
        <v>0</v>
      </c>
      <c r="AY1444" s="180">
        <v>0</v>
      </c>
      <c r="AZ1444" s="180">
        <v>0</v>
      </c>
      <c r="BA1444" s="179" t="s">
        <v>206</v>
      </c>
      <c r="BB1444" s="179" t="s">
        <v>204</v>
      </c>
      <c r="BC1444" s="180">
        <v>0</v>
      </c>
      <c r="BD1444" s="180">
        <v>0</v>
      </c>
      <c r="BE1444" s="181" t="s">
        <v>3232</v>
      </c>
      <c r="BF1444" s="181"/>
      <c r="BG1444" s="180">
        <v>0</v>
      </c>
      <c r="BH1444" s="21">
        <v>0</v>
      </c>
      <c r="BI1444" s="180">
        <v>0</v>
      </c>
      <c r="BJ1444" s="180">
        <v>0</v>
      </c>
      <c r="BK1444" s="180">
        <v>0</v>
      </c>
      <c r="BL1444" s="180">
        <v>0</v>
      </c>
      <c r="BM1444" s="248">
        <v>0</v>
      </c>
      <c r="BN1444" s="19">
        <v>0</v>
      </c>
      <c r="BO1444" s="19">
        <v>0</v>
      </c>
      <c r="BP1444" s="19">
        <v>0</v>
      </c>
      <c r="BQ1444" s="19">
        <v>0</v>
      </c>
      <c r="BR1444" s="19">
        <v>0</v>
      </c>
      <c r="BS1444" s="19">
        <v>0</v>
      </c>
      <c r="BT1444" s="19">
        <v>0</v>
      </c>
      <c r="BU1444" s="249">
        <v>0</v>
      </c>
      <c r="BV1444" s="249"/>
      <c r="BW1444" s="249"/>
      <c r="BX1444" s="249"/>
      <c r="BY1444" s="249"/>
      <c r="BZ1444" s="23"/>
    </row>
    <row r="1445" spans="3:78" ht="20.100000000000001" customHeight="1">
      <c r="C1445" s="21">
        <v>63402001</v>
      </c>
      <c r="D1445" s="30" t="s">
        <v>3078</v>
      </c>
      <c r="E1445" s="30"/>
      <c r="F1445" s="21">
        <v>1</v>
      </c>
      <c r="G1445" s="21">
        <v>63402001</v>
      </c>
      <c r="H1445" s="21">
        <v>0</v>
      </c>
      <c r="I1445" s="31">
        <v>0</v>
      </c>
      <c r="J1445" s="32">
        <v>1</v>
      </c>
      <c r="K1445" s="32">
        <v>0</v>
      </c>
      <c r="L1445" s="21">
        <v>0</v>
      </c>
      <c r="M1445" s="21">
        <v>0</v>
      </c>
      <c r="N1445" s="21">
        <v>0</v>
      </c>
      <c r="O1445" s="21">
        <v>2</v>
      </c>
      <c r="P1445" s="21">
        <v>12</v>
      </c>
      <c r="Q1445" s="21">
        <v>1</v>
      </c>
      <c r="R1445" s="21">
        <v>0</v>
      </c>
      <c r="S1445" s="19">
        <v>0</v>
      </c>
      <c r="T1445" s="21">
        <v>0</v>
      </c>
      <c r="U1445" s="21">
        <v>1</v>
      </c>
      <c r="V1445" s="21">
        <v>2</v>
      </c>
      <c r="W1445" s="21">
        <v>0</v>
      </c>
      <c r="X1445" s="32">
        <v>0</v>
      </c>
      <c r="Y1445" s="19">
        <v>0</v>
      </c>
      <c r="Z1445" s="32">
        <v>0</v>
      </c>
      <c r="AA1445" s="21">
        <v>0</v>
      </c>
      <c r="AB1445" s="21">
        <v>0</v>
      </c>
      <c r="AC1445" s="21">
        <v>0</v>
      </c>
      <c r="AD1445" s="21">
        <v>1</v>
      </c>
      <c r="AE1445" s="21">
        <v>0</v>
      </c>
      <c r="AF1445" s="21">
        <v>60</v>
      </c>
      <c r="AG1445" s="21">
        <v>1</v>
      </c>
      <c r="AH1445" s="21">
        <v>10</v>
      </c>
      <c r="AI1445" s="19">
        <v>0</v>
      </c>
      <c r="AJ1445" s="19">
        <v>0</v>
      </c>
      <c r="AK1445" s="19">
        <v>0</v>
      </c>
      <c r="AL1445" s="19">
        <v>0</v>
      </c>
      <c r="AM1445" s="21">
        <v>0</v>
      </c>
      <c r="AN1445" s="21">
        <v>0</v>
      </c>
      <c r="AO1445" s="21">
        <v>0</v>
      </c>
      <c r="AP1445" s="21">
        <v>0</v>
      </c>
      <c r="AQ1445" s="21">
        <v>50000</v>
      </c>
      <c r="AR1445" s="21">
        <v>0</v>
      </c>
      <c r="AS1445" s="21">
        <v>0</v>
      </c>
      <c r="AT1445" s="19">
        <v>0</v>
      </c>
      <c r="AU1445" s="21">
        <v>90503231</v>
      </c>
      <c r="AV1445" s="21"/>
      <c r="AW1445" s="30" t="s">
        <v>204</v>
      </c>
      <c r="AX1445" s="21">
        <v>0</v>
      </c>
      <c r="AY1445" s="32">
        <v>0</v>
      </c>
      <c r="AZ1445" s="32">
        <v>0</v>
      </c>
      <c r="BA1445" s="30" t="s">
        <v>3005</v>
      </c>
      <c r="BB1445" s="21">
        <v>0</v>
      </c>
      <c r="BC1445" s="31">
        <v>0</v>
      </c>
      <c r="BD1445" s="31">
        <v>0</v>
      </c>
      <c r="BE1445" s="33" t="s">
        <v>3080</v>
      </c>
      <c r="BF1445" s="33"/>
      <c r="BG1445" s="21">
        <v>0</v>
      </c>
      <c r="BH1445" s="21">
        <v>0</v>
      </c>
      <c r="BI1445" s="21">
        <v>0</v>
      </c>
      <c r="BJ1445" s="21">
        <v>0</v>
      </c>
      <c r="BK1445" s="21">
        <v>0</v>
      </c>
      <c r="BL1445" s="21">
        <v>0</v>
      </c>
      <c r="BM1445" s="25">
        <v>0</v>
      </c>
      <c r="BN1445" s="19">
        <v>1</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63402002</v>
      </c>
      <c r="D1446" s="30" t="s">
        <v>3013</v>
      </c>
      <c r="E1446" s="30"/>
      <c r="F1446" s="21">
        <v>1</v>
      </c>
      <c r="G1446" s="21">
        <v>63002002</v>
      </c>
      <c r="H1446" s="21">
        <v>0</v>
      </c>
      <c r="I1446" s="31">
        <v>0</v>
      </c>
      <c r="J1446" s="32">
        <v>1</v>
      </c>
      <c r="K1446" s="32">
        <v>0</v>
      </c>
      <c r="L1446" s="21">
        <v>0</v>
      </c>
      <c r="M1446" s="21">
        <v>0</v>
      </c>
      <c r="N1446" s="21">
        <v>0</v>
      </c>
      <c r="O1446" s="21">
        <v>2</v>
      </c>
      <c r="P1446" s="21">
        <v>0</v>
      </c>
      <c r="Q1446" s="21">
        <v>0</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v>0</v>
      </c>
      <c r="BC1446" s="31">
        <v>0</v>
      </c>
      <c r="BD1446" s="31">
        <v>0</v>
      </c>
      <c r="BE1446" s="33" t="s">
        <v>3015</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63402003</v>
      </c>
      <c r="D1447" s="30" t="s">
        <v>3049</v>
      </c>
      <c r="E1447" s="30"/>
      <c r="F1447" s="21">
        <v>1</v>
      </c>
      <c r="G1447" s="21">
        <v>1000002</v>
      </c>
      <c r="H1447" s="21">
        <v>0</v>
      </c>
      <c r="I1447" s="31">
        <v>0</v>
      </c>
      <c r="J1447" s="32">
        <v>1</v>
      </c>
      <c r="K1447" s="32">
        <v>0</v>
      </c>
      <c r="L1447" s="21">
        <v>0</v>
      </c>
      <c r="M1447" s="21">
        <v>0</v>
      </c>
      <c r="N1447" s="21">
        <v>0</v>
      </c>
      <c r="O1447" s="21">
        <v>8</v>
      </c>
      <c r="P1447" s="21">
        <v>8</v>
      </c>
      <c r="Q1447" s="21">
        <v>2</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3050</v>
      </c>
      <c r="BC1447" s="31">
        <v>0</v>
      </c>
      <c r="BD1447" s="31">
        <v>0</v>
      </c>
      <c r="BE1447" s="33" t="s">
        <v>3051</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63402004</v>
      </c>
      <c r="D1448" s="179" t="s">
        <v>3017</v>
      </c>
      <c r="E1448" s="30" t="s">
        <v>3096</v>
      </c>
      <c r="F1448" s="21">
        <v>1</v>
      </c>
      <c r="G1448" s="21">
        <v>63402004</v>
      </c>
      <c r="H1448" s="21">
        <v>0</v>
      </c>
      <c r="I1448" s="31">
        <v>0</v>
      </c>
      <c r="J1448" s="32">
        <v>1</v>
      </c>
      <c r="K1448" s="32">
        <v>0</v>
      </c>
      <c r="L1448" s="21">
        <v>0</v>
      </c>
      <c r="M1448" s="21">
        <v>0</v>
      </c>
      <c r="N1448" s="21">
        <v>0</v>
      </c>
      <c r="O1448" s="21">
        <v>8</v>
      </c>
      <c r="P1448" s="21">
        <v>0</v>
      </c>
      <c r="Q1448" s="21">
        <v>0</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3097</v>
      </c>
      <c r="BC1448" s="31">
        <v>0</v>
      </c>
      <c r="BD1448" s="31">
        <v>0</v>
      </c>
      <c r="BE1448" s="33" t="s">
        <v>5754</v>
      </c>
      <c r="BF1448" s="33" t="s">
        <v>3099</v>
      </c>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63403001</v>
      </c>
      <c r="D1449" s="30" t="s">
        <v>3061</v>
      </c>
      <c r="E1449" s="30"/>
      <c r="F1449" s="180">
        <v>1</v>
      </c>
      <c r="G1449" s="21">
        <v>63403001</v>
      </c>
      <c r="H1449" s="180">
        <v>0</v>
      </c>
      <c r="I1449" s="180">
        <v>0</v>
      </c>
      <c r="J1449" s="180">
        <v>1</v>
      </c>
      <c r="K1449" s="180">
        <v>0</v>
      </c>
      <c r="L1449" s="180">
        <v>0</v>
      </c>
      <c r="M1449" s="180">
        <v>0</v>
      </c>
      <c r="N1449" s="180">
        <v>0</v>
      </c>
      <c r="O1449" s="180">
        <v>2</v>
      </c>
      <c r="P1449" s="180">
        <v>10</v>
      </c>
      <c r="Q1449" s="180">
        <v>1</v>
      </c>
      <c r="R1449" s="180">
        <v>0</v>
      </c>
      <c r="S1449" s="180">
        <v>0</v>
      </c>
      <c r="T1449" s="180">
        <v>0</v>
      </c>
      <c r="U1449" s="180">
        <v>1</v>
      </c>
      <c r="V1449" s="180">
        <v>2</v>
      </c>
      <c r="W1449" s="180">
        <v>0</v>
      </c>
      <c r="X1449" s="180">
        <v>0</v>
      </c>
      <c r="Y1449" s="19">
        <v>0</v>
      </c>
      <c r="Z1449" s="180">
        <v>0</v>
      </c>
      <c r="AA1449" s="180">
        <v>0</v>
      </c>
      <c r="AB1449" s="180">
        <v>0</v>
      </c>
      <c r="AC1449" s="180">
        <v>0</v>
      </c>
      <c r="AD1449" s="21">
        <v>1</v>
      </c>
      <c r="AE1449" s="180">
        <v>0</v>
      </c>
      <c r="AF1449" s="180">
        <v>30</v>
      </c>
      <c r="AG1449" s="180">
        <v>0</v>
      </c>
      <c r="AH1449" s="180">
        <v>0</v>
      </c>
      <c r="AI1449" s="180">
        <v>7</v>
      </c>
      <c r="AJ1449" s="180">
        <v>0</v>
      </c>
      <c r="AK1449" s="180">
        <v>0</v>
      </c>
      <c r="AL1449" s="180">
        <v>3</v>
      </c>
      <c r="AM1449" s="180">
        <v>0</v>
      </c>
      <c r="AN1449" s="180">
        <v>0</v>
      </c>
      <c r="AO1449" s="180">
        <v>0</v>
      </c>
      <c r="AP1449" s="180">
        <v>0</v>
      </c>
      <c r="AQ1449" s="180">
        <v>2000</v>
      </c>
      <c r="AR1449" s="180">
        <v>0</v>
      </c>
      <c r="AS1449" s="180">
        <v>0</v>
      </c>
      <c r="AT1449" s="180">
        <v>0</v>
      </c>
      <c r="AU1449" s="180">
        <v>90503221</v>
      </c>
      <c r="AV1449" s="180"/>
      <c r="AW1449" s="179" t="s">
        <v>204</v>
      </c>
      <c r="AX1449" s="180">
        <v>0</v>
      </c>
      <c r="AY1449" s="180">
        <v>0</v>
      </c>
      <c r="AZ1449" s="180">
        <v>0</v>
      </c>
      <c r="BA1449" s="179" t="s">
        <v>206</v>
      </c>
      <c r="BB1449" s="179">
        <v>0</v>
      </c>
      <c r="BC1449" s="180">
        <v>0</v>
      </c>
      <c r="BD1449" s="180">
        <v>0</v>
      </c>
      <c r="BE1449" s="33" t="s">
        <v>3233</v>
      </c>
      <c r="BF1449" s="33"/>
      <c r="BG1449" s="180">
        <v>0</v>
      </c>
      <c r="BH1449" s="180">
        <v>0</v>
      </c>
      <c r="BI1449" s="180">
        <v>0</v>
      </c>
      <c r="BJ1449" s="180">
        <v>0</v>
      </c>
      <c r="BK1449" s="180">
        <v>0</v>
      </c>
      <c r="BL1449" s="180">
        <v>0</v>
      </c>
      <c r="BM1449" s="244">
        <v>0</v>
      </c>
      <c r="BN1449" s="180">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21">
        <v>63403002</v>
      </c>
      <c r="D1450" s="30" t="s">
        <v>3045</v>
      </c>
      <c r="E1450" s="30"/>
      <c r="F1450" s="21">
        <v>1</v>
      </c>
      <c r="G1450" s="21">
        <v>63003002</v>
      </c>
      <c r="H1450" s="21">
        <v>0</v>
      </c>
      <c r="I1450" s="31">
        <v>0</v>
      </c>
      <c r="J1450" s="32">
        <v>1</v>
      </c>
      <c r="K1450" s="32">
        <v>0</v>
      </c>
      <c r="L1450" s="21">
        <v>0</v>
      </c>
      <c r="M1450" s="21">
        <v>0</v>
      </c>
      <c r="N1450" s="21">
        <v>0</v>
      </c>
      <c r="O1450" s="21">
        <v>2</v>
      </c>
      <c r="P1450" s="21">
        <v>0</v>
      </c>
      <c r="Q1450" s="21">
        <v>0</v>
      </c>
      <c r="R1450" s="21">
        <v>0</v>
      </c>
      <c r="S1450" s="19">
        <v>0</v>
      </c>
      <c r="T1450" s="21">
        <v>0</v>
      </c>
      <c r="U1450" s="21">
        <v>1</v>
      </c>
      <c r="V1450" s="21">
        <v>0</v>
      </c>
      <c r="W1450" s="21">
        <v>0</v>
      </c>
      <c r="X1450" s="32">
        <v>0</v>
      </c>
      <c r="Y1450" s="19">
        <v>0</v>
      </c>
      <c r="Z1450" s="32">
        <v>0</v>
      </c>
      <c r="AA1450" s="21">
        <v>0</v>
      </c>
      <c r="AB1450" s="21">
        <v>0</v>
      </c>
      <c r="AC1450" s="21">
        <v>0</v>
      </c>
      <c r="AD1450" s="21">
        <v>1</v>
      </c>
      <c r="AE1450" s="21">
        <v>0</v>
      </c>
      <c r="AF1450" s="21">
        <v>0</v>
      </c>
      <c r="AG1450" s="21">
        <v>0</v>
      </c>
      <c r="AH1450" s="21" t="s">
        <v>204</v>
      </c>
      <c r="AI1450" s="19">
        <v>0</v>
      </c>
      <c r="AJ1450" s="19">
        <v>0</v>
      </c>
      <c r="AK1450" s="19">
        <v>0</v>
      </c>
      <c r="AL1450" s="19">
        <v>0</v>
      </c>
      <c r="AM1450" s="21">
        <v>0</v>
      </c>
      <c r="AN1450" s="21">
        <v>0</v>
      </c>
      <c r="AO1450" s="21">
        <v>0</v>
      </c>
      <c r="AP1450" s="21">
        <v>0</v>
      </c>
      <c r="AQ1450" s="21">
        <v>0</v>
      </c>
      <c r="AR1450" s="21">
        <v>0</v>
      </c>
      <c r="AS1450" s="21">
        <v>0</v>
      </c>
      <c r="AT1450" s="19">
        <v>0</v>
      </c>
      <c r="AU1450" s="21" t="s">
        <v>204</v>
      </c>
      <c r="AV1450" s="21"/>
      <c r="AW1450" s="30" t="s">
        <v>204</v>
      </c>
      <c r="AX1450" s="21">
        <v>0</v>
      </c>
      <c r="AY1450" s="32">
        <v>0</v>
      </c>
      <c r="AZ1450" s="32">
        <v>0</v>
      </c>
      <c r="BA1450" s="30" t="s">
        <v>204</v>
      </c>
      <c r="BB1450" s="21">
        <v>0</v>
      </c>
      <c r="BC1450" s="31">
        <v>0</v>
      </c>
      <c r="BD1450" s="31">
        <v>0</v>
      </c>
      <c r="BE1450" s="33" t="s">
        <v>3047</v>
      </c>
      <c r="BF1450" s="33"/>
      <c r="BG1450" s="21">
        <v>0</v>
      </c>
      <c r="BH1450" s="21">
        <v>0</v>
      </c>
      <c r="BI1450" s="21">
        <v>0</v>
      </c>
      <c r="BJ1450" s="21">
        <v>0</v>
      </c>
      <c r="BK1450" s="21">
        <v>0</v>
      </c>
      <c r="BL1450" s="21">
        <v>0</v>
      </c>
      <c r="BM1450" s="25">
        <v>0</v>
      </c>
      <c r="BN1450" s="19">
        <v>0</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63403003</v>
      </c>
      <c r="D1451" s="35" t="s">
        <v>3234</v>
      </c>
      <c r="E1451" s="35" t="s">
        <v>3235</v>
      </c>
      <c r="F1451" s="32">
        <v>1</v>
      </c>
      <c r="G1451" s="32">
        <v>68000015</v>
      </c>
      <c r="H1451" s="32">
        <v>0</v>
      </c>
      <c r="I1451" s="31">
        <v>0</v>
      </c>
      <c r="J1451" s="32">
        <v>1</v>
      </c>
      <c r="K1451" s="32">
        <v>0</v>
      </c>
      <c r="L1451" s="32">
        <v>0</v>
      </c>
      <c r="M1451" s="32">
        <v>0</v>
      </c>
      <c r="N1451" s="32">
        <v>0</v>
      </c>
      <c r="O1451" s="32">
        <v>8</v>
      </c>
      <c r="P1451" s="32">
        <v>0</v>
      </c>
      <c r="Q1451" s="32">
        <v>0</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18</v>
      </c>
      <c r="AG1451" s="32">
        <v>0</v>
      </c>
      <c r="AH1451" s="32">
        <v>0</v>
      </c>
      <c r="AI1451" s="19">
        <v>2</v>
      </c>
      <c r="AJ1451" s="19">
        <v>0</v>
      </c>
      <c r="AK1451" s="19">
        <v>0</v>
      </c>
      <c r="AL1451" s="19">
        <v>0</v>
      </c>
      <c r="AM1451" s="32">
        <v>0</v>
      </c>
      <c r="AN1451" s="32">
        <v>0</v>
      </c>
      <c r="AO1451" s="32">
        <v>0</v>
      </c>
      <c r="AP1451" s="32">
        <v>0</v>
      </c>
      <c r="AQ1451" s="32">
        <v>1000</v>
      </c>
      <c r="AR1451" s="32">
        <v>0</v>
      </c>
      <c r="AS1451" s="32">
        <v>0</v>
      </c>
      <c r="AT1451" s="19"/>
      <c r="AU1451" s="32" t="s">
        <v>204</v>
      </c>
      <c r="AV1451" s="32"/>
      <c r="AW1451" s="35" t="s">
        <v>205</v>
      </c>
      <c r="AX1451" s="32">
        <v>0</v>
      </c>
      <c r="AY1451" s="32">
        <v>0</v>
      </c>
      <c r="AZ1451" s="32">
        <v>0</v>
      </c>
      <c r="BA1451" s="35" t="s">
        <v>206</v>
      </c>
      <c r="BB1451" s="35" t="s">
        <v>3236</v>
      </c>
      <c r="BC1451" s="31">
        <v>0</v>
      </c>
      <c r="BD1451" s="31">
        <v>1</v>
      </c>
      <c r="BE1451" s="250" t="s">
        <v>3237</v>
      </c>
      <c r="BF1451" s="60" t="s">
        <v>3238</v>
      </c>
      <c r="BG1451" s="32">
        <v>0</v>
      </c>
      <c r="BH1451" s="21">
        <v>0</v>
      </c>
      <c r="BI1451" s="32">
        <v>0</v>
      </c>
      <c r="BJ1451" s="32">
        <v>0</v>
      </c>
      <c r="BK1451" s="32">
        <v>0</v>
      </c>
      <c r="BL1451" s="32">
        <v>0</v>
      </c>
      <c r="BM1451" s="25">
        <v>0</v>
      </c>
      <c r="BN1451" s="19">
        <v>1</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63403004</v>
      </c>
      <c r="D1452" s="35" t="s">
        <v>3017</v>
      </c>
      <c r="E1452" s="35" t="s">
        <v>3170</v>
      </c>
      <c r="F1452" s="32">
        <v>1</v>
      </c>
      <c r="G1452" s="32">
        <v>63403004</v>
      </c>
      <c r="H1452" s="32">
        <v>0</v>
      </c>
      <c r="I1452" s="31">
        <v>0</v>
      </c>
      <c r="J1452" s="32">
        <v>1</v>
      </c>
      <c r="K1452" s="32">
        <v>0</v>
      </c>
      <c r="L1452" s="32">
        <v>0</v>
      </c>
      <c r="M1452" s="32">
        <v>0</v>
      </c>
      <c r="N1452" s="32">
        <v>0</v>
      </c>
      <c r="O1452" s="32">
        <v>2</v>
      </c>
      <c r="P1452" s="32">
        <v>1</v>
      </c>
      <c r="Q1452" s="32">
        <v>0.15</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3</v>
      </c>
      <c r="AG1452" s="32">
        <v>0</v>
      </c>
      <c r="AH1452" s="32">
        <v>0</v>
      </c>
      <c r="AI1452" s="19">
        <v>7</v>
      </c>
      <c r="AJ1452" s="19">
        <v>0</v>
      </c>
      <c r="AK1452" s="19">
        <v>0</v>
      </c>
      <c r="AL1452" s="19">
        <v>3</v>
      </c>
      <c r="AM1452" s="32">
        <v>0</v>
      </c>
      <c r="AN1452" s="32">
        <v>0</v>
      </c>
      <c r="AO1452" s="32">
        <v>0</v>
      </c>
      <c r="AP1452" s="32">
        <v>0</v>
      </c>
      <c r="AQ1452" s="32">
        <v>3000</v>
      </c>
      <c r="AR1452" s="32">
        <v>0.5</v>
      </c>
      <c r="AS1452" s="32">
        <v>0</v>
      </c>
      <c r="AT1452" s="19" t="s">
        <v>3239</v>
      </c>
      <c r="AU1452" s="32">
        <v>0</v>
      </c>
      <c r="AV1452" s="32"/>
      <c r="AW1452" s="35" t="s">
        <v>204</v>
      </c>
      <c r="AX1452" s="32">
        <v>0</v>
      </c>
      <c r="AY1452" s="32">
        <v>0</v>
      </c>
      <c r="AZ1452" s="32">
        <v>0</v>
      </c>
      <c r="BA1452" s="35" t="s">
        <v>206</v>
      </c>
      <c r="BB1452" s="35">
        <v>0</v>
      </c>
      <c r="BC1452" s="31">
        <v>0</v>
      </c>
      <c r="BD1452" s="31">
        <v>1</v>
      </c>
      <c r="BE1452" s="250" t="s">
        <v>3240</v>
      </c>
      <c r="BF1452" s="60" t="s">
        <v>3175</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64000001</v>
      </c>
      <c r="D1453" s="35" t="s">
        <v>446</v>
      </c>
      <c r="E1453" s="35" t="s">
        <v>447</v>
      </c>
      <c r="F1453" s="32">
        <v>1</v>
      </c>
      <c r="G1453" s="32">
        <v>10041</v>
      </c>
      <c r="H1453" s="32">
        <v>0</v>
      </c>
      <c r="I1453" s="31">
        <v>0</v>
      </c>
      <c r="J1453" s="32">
        <v>1</v>
      </c>
      <c r="K1453" s="32">
        <v>0</v>
      </c>
      <c r="L1453" s="21">
        <v>0</v>
      </c>
      <c r="M1453" s="32">
        <v>0</v>
      </c>
      <c r="N1453" s="32">
        <v>0</v>
      </c>
      <c r="O1453" s="32">
        <v>2</v>
      </c>
      <c r="P1453" s="32">
        <v>1</v>
      </c>
      <c r="Q1453" s="32">
        <v>0.5</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32">
        <v>18</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90600010</v>
      </c>
      <c r="AU1453" s="32">
        <v>0</v>
      </c>
      <c r="AV1453" s="32"/>
      <c r="AW1453" s="35" t="s">
        <v>205</v>
      </c>
      <c r="AX1453" s="32" t="s">
        <v>1581</v>
      </c>
      <c r="AY1453" s="32">
        <v>0</v>
      </c>
      <c r="AZ1453" s="32">
        <v>40000003</v>
      </c>
      <c r="BA1453" s="35" t="s">
        <v>206</v>
      </c>
      <c r="BB1453" s="35" t="s">
        <v>204</v>
      </c>
      <c r="BC1453" s="31">
        <v>0</v>
      </c>
      <c r="BD1453" s="31">
        <v>0</v>
      </c>
      <c r="BE1453" s="60" t="s">
        <v>3241</v>
      </c>
      <c r="BF1453" s="60" t="s">
        <v>3242</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64000002</v>
      </c>
      <c r="D1454" s="35" t="s">
        <v>2837</v>
      </c>
      <c r="E1454" s="35" t="s">
        <v>2838</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90600020</v>
      </c>
      <c r="AU1454" s="32">
        <v>0</v>
      </c>
      <c r="AV1454" s="32"/>
      <c r="AW1454" s="35" t="s">
        <v>205</v>
      </c>
      <c r="AX1454" s="32" t="s">
        <v>1581</v>
      </c>
      <c r="AY1454" s="32">
        <v>0</v>
      </c>
      <c r="AZ1454" s="32">
        <v>0</v>
      </c>
      <c r="BA1454" s="35" t="s">
        <v>206</v>
      </c>
      <c r="BB1454" s="35" t="s">
        <v>204</v>
      </c>
      <c r="BC1454" s="31">
        <v>0</v>
      </c>
      <c r="BD1454" s="31">
        <v>0</v>
      </c>
      <c r="BE1454" s="60" t="s">
        <v>3243</v>
      </c>
      <c r="BF1454" s="60" t="s">
        <v>3244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64000003</v>
      </c>
      <c r="D1455" s="35" t="s">
        <v>3245</v>
      </c>
      <c r="E1455" s="35" t="s">
        <v>3246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90600030</v>
      </c>
      <c r="AU1455" s="32">
        <v>0</v>
      </c>
      <c r="AV1455" s="32"/>
      <c r="AW1455" s="35" t="s">
        <v>205</v>
      </c>
      <c r="AX1455" s="32" t="s">
        <v>1581</v>
      </c>
      <c r="AY1455" s="32">
        <v>0</v>
      </c>
      <c r="AZ1455" s="32">
        <v>0</v>
      </c>
      <c r="BA1455" s="35" t="s">
        <v>206</v>
      </c>
      <c r="BB1455" s="35" t="s">
        <v>204</v>
      </c>
      <c r="BC1455" s="31">
        <v>0</v>
      </c>
      <c r="BD1455" s="31">
        <v>0</v>
      </c>
      <c r="BE1455" s="60" t="s">
        <v>3247</v>
      </c>
      <c r="BF1455" s="60" t="s">
        <v>3248</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64000004</v>
      </c>
      <c r="D1456" s="35" t="s">
        <v>3249</v>
      </c>
      <c r="E1456" s="35" t="s">
        <v>3250</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90600040</v>
      </c>
      <c r="AU1456" s="32">
        <v>0</v>
      </c>
      <c r="AV1456" s="32"/>
      <c r="AW1456" s="35" t="s">
        <v>205</v>
      </c>
      <c r="AX1456" s="32" t="s">
        <v>1581</v>
      </c>
      <c r="AY1456" s="32">
        <v>0</v>
      </c>
      <c r="AZ1456" s="32">
        <v>0</v>
      </c>
      <c r="BA1456" s="35" t="s">
        <v>206</v>
      </c>
      <c r="BB1456" s="35" t="s">
        <v>204</v>
      </c>
      <c r="BC1456" s="31">
        <v>0</v>
      </c>
      <c r="BD1456" s="31">
        <v>0</v>
      </c>
      <c r="BE1456" s="60" t="s">
        <v>3251</v>
      </c>
      <c r="BF1456" s="60" t="s">
        <v>3252</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64000005</v>
      </c>
      <c r="D1457" s="35" t="s">
        <v>573</v>
      </c>
      <c r="E1457" s="35" t="s">
        <v>574</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90600050</v>
      </c>
      <c r="AU1457" s="32">
        <v>0</v>
      </c>
      <c r="AV1457" s="32"/>
      <c r="AW1457" s="35" t="s">
        <v>205</v>
      </c>
      <c r="AX1457" s="32" t="s">
        <v>1581</v>
      </c>
      <c r="AY1457" s="32">
        <v>0</v>
      </c>
      <c r="AZ1457" s="32">
        <v>0</v>
      </c>
      <c r="BA1457" s="35" t="s">
        <v>206</v>
      </c>
      <c r="BB1457" s="35" t="s">
        <v>204</v>
      </c>
      <c r="BC1457" s="31">
        <v>0</v>
      </c>
      <c r="BD1457" s="31">
        <v>0</v>
      </c>
      <c r="BE1457" s="60" t="s">
        <v>3253</v>
      </c>
      <c r="BF1457" s="60" t="s">
        <v>3254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64000006</v>
      </c>
      <c r="D1458" s="35" t="s">
        <v>3255</v>
      </c>
      <c r="E1458" s="35" t="s">
        <v>3256</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90600060</v>
      </c>
      <c r="AU1458" s="32">
        <v>0</v>
      </c>
      <c r="AV1458" s="32"/>
      <c r="AW1458" s="35" t="s">
        <v>205</v>
      </c>
      <c r="AX1458" s="32" t="s">
        <v>1581</v>
      </c>
      <c r="AY1458" s="32">
        <v>0</v>
      </c>
      <c r="AZ1458" s="32">
        <v>0</v>
      </c>
      <c r="BA1458" s="35" t="s">
        <v>206</v>
      </c>
      <c r="BB1458" s="35" t="s">
        <v>204</v>
      </c>
      <c r="BC1458" s="31">
        <v>0</v>
      </c>
      <c r="BD1458" s="31">
        <v>0</v>
      </c>
      <c r="BE1458" s="60" t="s">
        <v>3257</v>
      </c>
      <c r="BF1458" s="60" t="s">
        <v>3258</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64000007</v>
      </c>
      <c r="D1459" s="35" t="s">
        <v>3259</v>
      </c>
      <c r="E1459" s="35" t="s">
        <v>3260</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90600070</v>
      </c>
      <c r="AU1459" s="32">
        <v>0</v>
      </c>
      <c r="AV1459" s="32"/>
      <c r="AW1459" s="35" t="s">
        <v>205</v>
      </c>
      <c r="AX1459" s="32" t="s">
        <v>1581</v>
      </c>
      <c r="AY1459" s="32">
        <v>0</v>
      </c>
      <c r="AZ1459" s="32">
        <v>0</v>
      </c>
      <c r="BA1459" s="35" t="s">
        <v>206</v>
      </c>
      <c r="BB1459" s="35" t="s">
        <v>204</v>
      </c>
      <c r="BC1459" s="31">
        <v>0</v>
      </c>
      <c r="BD1459" s="31">
        <v>0</v>
      </c>
      <c r="BE1459" s="60" t="s">
        <v>3261</v>
      </c>
      <c r="BF1459" s="60" t="s">
        <v>3262</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64000008</v>
      </c>
      <c r="D1460" s="35" t="s">
        <v>627</v>
      </c>
      <c r="E1460" s="35" t="s">
        <v>628</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0</v>
      </c>
      <c r="AU1460" s="32" t="s">
        <v>204</v>
      </c>
      <c r="AV1460" s="32"/>
      <c r="AW1460" s="35" t="s">
        <v>205</v>
      </c>
      <c r="AX1460" s="32" t="s">
        <v>1581</v>
      </c>
      <c r="AY1460" s="32">
        <v>0</v>
      </c>
      <c r="AZ1460" s="32">
        <v>0</v>
      </c>
      <c r="BA1460" s="35" t="s">
        <v>206</v>
      </c>
      <c r="BB1460" s="35" t="s">
        <v>204</v>
      </c>
      <c r="BC1460" s="31">
        <v>0</v>
      </c>
      <c r="BD1460" s="31">
        <v>0</v>
      </c>
      <c r="BE1460" s="60" t="s">
        <v>3263</v>
      </c>
      <c r="BF1460" s="60" t="s">
        <v>3264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64100001</v>
      </c>
      <c r="D1461" s="35" t="s">
        <v>3265</v>
      </c>
      <c r="E1461" s="35" t="s">
        <v>3266</v>
      </c>
      <c r="F1461" s="21">
        <v>1</v>
      </c>
      <c r="G1461" s="19">
        <v>0</v>
      </c>
      <c r="H1461" s="32">
        <v>0</v>
      </c>
      <c r="I1461" s="19">
        <v>0</v>
      </c>
      <c r="J1461" s="21">
        <v>0</v>
      </c>
      <c r="K1461" s="32">
        <v>0</v>
      </c>
      <c r="L1461" s="21">
        <v>0</v>
      </c>
      <c r="M1461" s="19">
        <v>0</v>
      </c>
      <c r="N1461" s="19">
        <v>0</v>
      </c>
      <c r="O1461" s="32">
        <v>2</v>
      </c>
      <c r="P1461" s="32">
        <v>3</v>
      </c>
      <c r="Q1461" s="32">
        <v>0.05</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1</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90610011</v>
      </c>
      <c r="AV1461" s="32"/>
      <c r="AW1461" s="20" t="s">
        <v>262</v>
      </c>
      <c r="AX1461" s="19" t="s">
        <v>2028</v>
      </c>
      <c r="AY1461" s="19" t="s">
        <v>204</v>
      </c>
      <c r="AZ1461" s="19">
        <v>0</v>
      </c>
      <c r="BA1461" s="20" t="s">
        <v>206</v>
      </c>
      <c r="BB1461" s="19">
        <v>0</v>
      </c>
      <c r="BC1461" s="19">
        <v>0</v>
      </c>
      <c r="BD1461" s="19">
        <v>0</v>
      </c>
      <c r="BE1461" s="22" t="s">
        <v>3267</v>
      </c>
      <c r="BF1461" s="22" t="s">
        <v>3268</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64100002</v>
      </c>
      <c r="D1462" s="35" t="s">
        <v>3269</v>
      </c>
      <c r="E1462" s="35" t="s">
        <v>3270</v>
      </c>
      <c r="F1462" s="21">
        <v>1</v>
      </c>
      <c r="G1462" s="19">
        <v>0</v>
      </c>
      <c r="H1462" s="32">
        <v>0</v>
      </c>
      <c r="I1462" s="19">
        <v>0</v>
      </c>
      <c r="J1462" s="21">
        <v>0</v>
      </c>
      <c r="K1462" s="32">
        <v>0</v>
      </c>
      <c r="L1462" s="21">
        <v>0</v>
      </c>
      <c r="M1462" s="19">
        <v>0</v>
      </c>
      <c r="N1462" s="19">
        <v>0</v>
      </c>
      <c r="O1462" s="32">
        <v>2</v>
      </c>
      <c r="P1462" s="32">
        <v>1</v>
      </c>
      <c r="Q1462" s="32">
        <v>1</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30</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90610021</v>
      </c>
      <c r="AV1462" s="32"/>
      <c r="AW1462" s="20" t="s">
        <v>262</v>
      </c>
      <c r="AX1462" s="19" t="s">
        <v>2028</v>
      </c>
      <c r="AY1462" s="19" t="s">
        <v>204</v>
      </c>
      <c r="AZ1462" s="19">
        <v>0</v>
      </c>
      <c r="BA1462" s="20" t="s">
        <v>206</v>
      </c>
      <c r="BB1462" s="19">
        <v>0</v>
      </c>
      <c r="BC1462" s="19">
        <v>0</v>
      </c>
      <c r="BD1462" s="19">
        <v>0</v>
      </c>
      <c r="BE1462" s="22" t="s">
        <v>3267</v>
      </c>
      <c r="BF1462" s="22" t="s">
        <v>3268</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64100003</v>
      </c>
      <c r="D1463" s="30" t="s">
        <v>3271</v>
      </c>
      <c r="E1463" s="30" t="s">
        <v>3272</v>
      </c>
      <c r="F1463" s="32">
        <v>1</v>
      </c>
      <c r="G1463" s="19">
        <v>0</v>
      </c>
      <c r="H1463" s="32">
        <v>0</v>
      </c>
      <c r="I1463" s="31">
        <v>0</v>
      </c>
      <c r="J1463" s="21">
        <v>0</v>
      </c>
      <c r="K1463" s="32">
        <v>0</v>
      </c>
      <c r="L1463" s="32">
        <v>0</v>
      </c>
      <c r="M1463" s="21">
        <v>0</v>
      </c>
      <c r="N1463" s="21">
        <v>0</v>
      </c>
      <c r="O1463" s="21">
        <v>2</v>
      </c>
      <c r="P1463" s="21">
        <v>3</v>
      </c>
      <c r="Q1463" s="21">
        <v>0.2</v>
      </c>
      <c r="R1463" s="21">
        <v>0</v>
      </c>
      <c r="S1463" s="19">
        <v>1</v>
      </c>
      <c r="T1463" s="21">
        <v>0</v>
      </c>
      <c r="U1463" s="21">
        <v>1</v>
      </c>
      <c r="V1463" s="21">
        <v>2</v>
      </c>
      <c r="W1463" s="21">
        <v>0</v>
      </c>
      <c r="X1463" s="21">
        <v>3</v>
      </c>
      <c r="Y1463" s="19">
        <v>0</v>
      </c>
      <c r="Z1463" s="21">
        <v>0</v>
      </c>
      <c r="AA1463" s="21">
        <v>1</v>
      </c>
      <c r="AB1463" s="21">
        <v>0</v>
      </c>
      <c r="AC1463" s="21">
        <v>0</v>
      </c>
      <c r="AD1463" s="21">
        <v>0</v>
      </c>
      <c r="AE1463" s="21">
        <v>0</v>
      </c>
      <c r="AF1463" s="21">
        <v>8</v>
      </c>
      <c r="AG1463" s="21">
        <v>1</v>
      </c>
      <c r="AH1463" s="21">
        <v>3</v>
      </c>
      <c r="AI1463" s="19">
        <v>1</v>
      </c>
      <c r="AJ1463" s="19">
        <v>1</v>
      </c>
      <c r="AK1463" s="19">
        <v>0</v>
      </c>
      <c r="AL1463" s="19">
        <v>1.5</v>
      </c>
      <c r="AM1463" s="21">
        <v>0</v>
      </c>
      <c r="AN1463" s="21">
        <v>0</v>
      </c>
      <c r="AO1463" s="21">
        <v>0</v>
      </c>
      <c r="AP1463" s="21">
        <v>0</v>
      </c>
      <c r="AQ1463" s="21">
        <v>5000</v>
      </c>
      <c r="AR1463" s="21">
        <v>3</v>
      </c>
      <c r="AS1463" s="21">
        <v>0</v>
      </c>
      <c r="AT1463" s="19">
        <v>0</v>
      </c>
      <c r="AU1463" s="21" t="s">
        <v>204</v>
      </c>
      <c r="AV1463" s="21"/>
      <c r="AW1463" s="35" t="s">
        <v>205</v>
      </c>
      <c r="AX1463" s="21" t="s">
        <v>540</v>
      </c>
      <c r="AY1463" s="32">
        <v>10000007</v>
      </c>
      <c r="AZ1463" s="32">
        <v>70103003</v>
      </c>
      <c r="BA1463" s="30" t="s">
        <v>206</v>
      </c>
      <c r="BB1463" s="21" t="s">
        <v>3273</v>
      </c>
      <c r="BC1463" s="31">
        <v>0</v>
      </c>
      <c r="BD1463" s="31">
        <v>0</v>
      </c>
      <c r="BE1463" s="33" t="s">
        <v>3274</v>
      </c>
      <c r="BF1463" s="33" t="s">
        <v>3275</v>
      </c>
      <c r="BG1463" s="21">
        <v>0</v>
      </c>
      <c r="BH1463" s="21">
        <v>0</v>
      </c>
      <c r="BI1463" s="21">
        <v>0</v>
      </c>
      <c r="BJ1463" s="21">
        <v>0</v>
      </c>
      <c r="BK1463" s="21">
        <v>0</v>
      </c>
      <c r="BL1463" s="21">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64100004</v>
      </c>
      <c r="D1464" s="35" t="s">
        <v>3276</v>
      </c>
      <c r="E1464" s="35" t="s">
        <v>3277</v>
      </c>
      <c r="F1464" s="21">
        <v>1</v>
      </c>
      <c r="G1464" s="19">
        <v>0</v>
      </c>
      <c r="H1464" s="32">
        <v>0</v>
      </c>
      <c r="I1464" s="19">
        <v>0</v>
      </c>
      <c r="J1464" s="21">
        <v>0</v>
      </c>
      <c r="K1464" s="32">
        <v>0</v>
      </c>
      <c r="L1464" s="21">
        <v>0</v>
      </c>
      <c r="M1464" s="19">
        <v>0</v>
      </c>
      <c r="N1464" s="19">
        <v>0</v>
      </c>
      <c r="O1464" s="32">
        <v>2</v>
      </c>
      <c r="P1464" s="32">
        <v>1</v>
      </c>
      <c r="Q1464" s="32">
        <v>1</v>
      </c>
      <c r="R1464" s="19">
        <v>0</v>
      </c>
      <c r="S1464" s="19">
        <v>0</v>
      </c>
      <c r="T1464" s="19">
        <v>0</v>
      </c>
      <c r="U1464" s="21">
        <v>1</v>
      </c>
      <c r="V1464" s="19">
        <v>2</v>
      </c>
      <c r="W1464" s="19">
        <v>0</v>
      </c>
      <c r="X1464" s="32">
        <v>0</v>
      </c>
      <c r="Y1464" s="19">
        <v>0</v>
      </c>
      <c r="Z1464" s="32">
        <v>0</v>
      </c>
      <c r="AA1464" s="19">
        <v>0</v>
      </c>
      <c r="AB1464" s="19">
        <v>0</v>
      </c>
      <c r="AC1464" s="19">
        <v>0</v>
      </c>
      <c r="AD1464" s="32">
        <v>0</v>
      </c>
      <c r="AE1464" s="19">
        <v>0</v>
      </c>
      <c r="AF1464" s="32">
        <v>30</v>
      </c>
      <c r="AG1464" s="19">
        <v>1</v>
      </c>
      <c r="AH1464" s="19">
        <v>3</v>
      </c>
      <c r="AI1464" s="19">
        <v>2</v>
      </c>
      <c r="AJ1464" s="19">
        <v>1</v>
      </c>
      <c r="AK1464" s="19">
        <v>1</v>
      </c>
      <c r="AL1464" s="19">
        <v>6</v>
      </c>
      <c r="AM1464" s="19">
        <v>0</v>
      </c>
      <c r="AN1464" s="19">
        <v>0</v>
      </c>
      <c r="AO1464" s="19">
        <v>0</v>
      </c>
      <c r="AP1464" s="32">
        <v>0</v>
      </c>
      <c r="AQ1464" s="19">
        <v>3000</v>
      </c>
      <c r="AR1464" s="19">
        <v>0.1</v>
      </c>
      <c r="AS1464" s="19">
        <v>0</v>
      </c>
      <c r="AT1464" s="32">
        <v>90610041</v>
      </c>
      <c r="AU1464" s="32">
        <v>90610041</v>
      </c>
      <c r="AV1464" s="32"/>
      <c r="AW1464" s="20" t="s">
        <v>262</v>
      </c>
      <c r="AX1464" s="19" t="s">
        <v>2028</v>
      </c>
      <c r="AY1464" s="19" t="s">
        <v>204</v>
      </c>
      <c r="AZ1464" s="19">
        <v>0</v>
      </c>
      <c r="BA1464" s="20" t="s">
        <v>206</v>
      </c>
      <c r="BB1464" s="19">
        <v>0</v>
      </c>
      <c r="BC1464" s="19">
        <v>0</v>
      </c>
      <c r="BD1464" s="19">
        <v>0</v>
      </c>
      <c r="BE1464" s="22" t="s">
        <v>3267</v>
      </c>
      <c r="BF1464" s="22" t="s">
        <v>3268</v>
      </c>
      <c r="BG1464" s="19">
        <v>0</v>
      </c>
      <c r="BH1464" s="21">
        <v>0</v>
      </c>
      <c r="BI1464" s="19">
        <v>0</v>
      </c>
      <c r="BJ1464" s="19">
        <v>0</v>
      </c>
      <c r="BK1464" s="19">
        <v>0</v>
      </c>
      <c r="BL1464" s="19">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25" customHeight="1">
      <c r="C1465" s="32">
        <v>64100005</v>
      </c>
      <c r="D1465" s="35" t="s">
        <v>2956</v>
      </c>
      <c r="E1465" s="35" t="s">
        <v>2957</v>
      </c>
      <c r="F1465" s="32">
        <v>1</v>
      </c>
      <c r="G1465" s="19">
        <v>0</v>
      </c>
      <c r="H1465" s="32">
        <v>0</v>
      </c>
      <c r="I1465" s="31">
        <v>0</v>
      </c>
      <c r="J1465" s="21">
        <v>0</v>
      </c>
      <c r="K1465" s="32">
        <v>0</v>
      </c>
      <c r="L1465" s="21">
        <v>0</v>
      </c>
      <c r="M1465" s="32">
        <v>0</v>
      </c>
      <c r="N1465" s="32">
        <v>0</v>
      </c>
      <c r="O1465" s="32">
        <v>2</v>
      </c>
      <c r="P1465" s="32">
        <v>2</v>
      </c>
      <c r="Q1465" s="32">
        <v>0.3</v>
      </c>
      <c r="R1465" s="32">
        <v>0</v>
      </c>
      <c r="S1465" s="19">
        <v>0</v>
      </c>
      <c r="T1465" s="31">
        <v>0</v>
      </c>
      <c r="U1465" s="21">
        <v>1</v>
      </c>
      <c r="V1465" s="32">
        <v>1</v>
      </c>
      <c r="W1465" s="32">
        <v>0</v>
      </c>
      <c r="X1465" s="32">
        <v>3</v>
      </c>
      <c r="Y1465" s="19">
        <v>0</v>
      </c>
      <c r="Z1465" s="32">
        <v>0</v>
      </c>
      <c r="AA1465" s="32">
        <v>0</v>
      </c>
      <c r="AB1465" s="32">
        <v>0</v>
      </c>
      <c r="AC1465" s="32">
        <v>0</v>
      </c>
      <c r="AD1465" s="32">
        <v>1</v>
      </c>
      <c r="AE1465" s="32">
        <v>0</v>
      </c>
      <c r="AF1465" s="32">
        <v>15</v>
      </c>
      <c r="AG1465" s="32">
        <v>0</v>
      </c>
      <c r="AH1465" s="32">
        <v>3</v>
      </c>
      <c r="AI1465" s="19">
        <v>7</v>
      </c>
      <c r="AJ1465" s="19">
        <v>0</v>
      </c>
      <c r="AK1465" s="19">
        <v>1</v>
      </c>
      <c r="AL1465" s="19">
        <v>6</v>
      </c>
      <c r="AM1465" s="32">
        <v>0</v>
      </c>
      <c r="AN1465" s="32">
        <v>0</v>
      </c>
      <c r="AO1465" s="32">
        <v>0</v>
      </c>
      <c r="AP1465" s="32">
        <v>0</v>
      </c>
      <c r="AQ1465" s="32">
        <v>3000</v>
      </c>
      <c r="AR1465" s="32">
        <v>0.5</v>
      </c>
      <c r="AS1465" s="32">
        <v>20</v>
      </c>
      <c r="AT1465" s="19">
        <v>0</v>
      </c>
      <c r="AU1465" s="251">
        <v>90610051</v>
      </c>
      <c r="AV1465" s="252"/>
      <c r="AW1465" s="30" t="s">
        <v>248</v>
      </c>
      <c r="AX1465" s="32" t="s">
        <v>1849</v>
      </c>
      <c r="AY1465" s="32">
        <v>10000011</v>
      </c>
      <c r="AZ1465" s="32">
        <v>20001010</v>
      </c>
      <c r="BA1465" s="35" t="s">
        <v>256</v>
      </c>
      <c r="BB1465" s="35" t="s">
        <v>204</v>
      </c>
      <c r="BC1465" s="31">
        <v>0</v>
      </c>
      <c r="BD1465" s="31">
        <v>0</v>
      </c>
      <c r="BE1465" s="33" t="s">
        <v>3278</v>
      </c>
      <c r="BF1465" s="33" t="s">
        <v>3279</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64100006</v>
      </c>
      <c r="D1466" s="35" t="s">
        <v>1330</v>
      </c>
      <c r="E1466" s="35" t="s">
        <v>1331</v>
      </c>
      <c r="F1466" s="32">
        <v>1</v>
      </c>
      <c r="G1466" s="32">
        <v>60010500</v>
      </c>
      <c r="H1466" s="32">
        <v>0</v>
      </c>
      <c r="I1466" s="31">
        <v>0</v>
      </c>
      <c r="J1466" s="21">
        <v>0</v>
      </c>
      <c r="K1466" s="32">
        <v>0</v>
      </c>
      <c r="L1466" s="32">
        <v>0</v>
      </c>
      <c r="M1466" s="32">
        <v>0</v>
      </c>
      <c r="N1466" s="32">
        <v>0</v>
      </c>
      <c r="O1466" s="21">
        <v>2</v>
      </c>
      <c r="P1466" s="32">
        <v>7</v>
      </c>
      <c r="Q1466" s="32">
        <v>0.1</v>
      </c>
      <c r="R1466" s="32">
        <v>0</v>
      </c>
      <c r="S1466" s="19">
        <v>0</v>
      </c>
      <c r="T1466" s="31">
        <v>0</v>
      </c>
      <c r="U1466" s="21">
        <v>1</v>
      </c>
      <c r="V1466" s="32">
        <v>1</v>
      </c>
      <c r="W1466" s="32">
        <v>0</v>
      </c>
      <c r="X1466" s="32">
        <v>1</v>
      </c>
      <c r="Y1466" s="19">
        <v>0</v>
      </c>
      <c r="Z1466" s="32">
        <v>0</v>
      </c>
      <c r="AA1466" s="32">
        <v>0</v>
      </c>
      <c r="AB1466" s="32">
        <v>0</v>
      </c>
      <c r="AC1466" s="32">
        <v>0</v>
      </c>
      <c r="AD1466" s="21">
        <v>0</v>
      </c>
      <c r="AE1466" s="32">
        <v>0</v>
      </c>
      <c r="AF1466" s="32">
        <v>15</v>
      </c>
      <c r="AG1466" s="32">
        <v>0</v>
      </c>
      <c r="AH1466" s="32">
        <v>0</v>
      </c>
      <c r="AI1466" s="19">
        <v>7</v>
      </c>
      <c r="AJ1466" s="19">
        <v>0</v>
      </c>
      <c r="AK1466" s="19">
        <v>0</v>
      </c>
      <c r="AL1466" s="19">
        <v>0</v>
      </c>
      <c r="AM1466" s="32">
        <v>0</v>
      </c>
      <c r="AN1466" s="32">
        <v>0</v>
      </c>
      <c r="AO1466" s="32">
        <v>0</v>
      </c>
      <c r="AP1466" s="32">
        <v>0</v>
      </c>
      <c r="AQ1466" s="32">
        <v>1000</v>
      </c>
      <c r="AR1466" s="32">
        <v>0.5</v>
      </c>
      <c r="AS1466" s="32">
        <v>0</v>
      </c>
      <c r="AT1466" s="19">
        <v>0</v>
      </c>
      <c r="AU1466" s="19">
        <v>90202001</v>
      </c>
      <c r="AV1466" s="19"/>
      <c r="AW1466" s="35" t="s">
        <v>747</v>
      </c>
      <c r="AX1466" s="32">
        <v>0</v>
      </c>
      <c r="AY1466" s="32">
        <v>10007001</v>
      </c>
      <c r="AZ1466" s="32">
        <v>0</v>
      </c>
      <c r="BA1466" s="35" t="s">
        <v>206</v>
      </c>
      <c r="BB1466" s="35" t="s">
        <v>204</v>
      </c>
      <c r="BC1466" s="31">
        <v>0</v>
      </c>
      <c r="BD1466" s="31">
        <v>0</v>
      </c>
      <c r="BE1466" s="60" t="s">
        <v>3280</v>
      </c>
      <c r="BF1466" s="60" t="s">
        <v>3281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64100007</v>
      </c>
      <c r="D1467" s="30" t="s">
        <v>3271</v>
      </c>
      <c r="E1467" s="30" t="s">
        <v>3272</v>
      </c>
      <c r="F1467" s="32">
        <v>1</v>
      </c>
      <c r="G1467" s="19">
        <v>0</v>
      </c>
      <c r="H1467" s="32">
        <v>0</v>
      </c>
      <c r="I1467" s="31">
        <v>0</v>
      </c>
      <c r="J1467" s="21">
        <v>0</v>
      </c>
      <c r="K1467" s="32">
        <v>0</v>
      </c>
      <c r="L1467" s="32">
        <v>0</v>
      </c>
      <c r="M1467" s="21">
        <v>0</v>
      </c>
      <c r="N1467" s="21">
        <v>0</v>
      </c>
      <c r="O1467" s="21">
        <v>2</v>
      </c>
      <c r="P1467" s="21">
        <v>3</v>
      </c>
      <c r="Q1467" s="21">
        <v>0.2</v>
      </c>
      <c r="R1467" s="21">
        <v>0</v>
      </c>
      <c r="S1467" s="19">
        <v>0</v>
      </c>
      <c r="T1467" s="21">
        <v>0</v>
      </c>
      <c r="U1467" s="21">
        <v>1</v>
      </c>
      <c r="V1467" s="21">
        <v>2</v>
      </c>
      <c r="W1467" s="21">
        <v>0</v>
      </c>
      <c r="X1467" s="21">
        <v>3</v>
      </c>
      <c r="Y1467" s="19">
        <v>0</v>
      </c>
      <c r="Z1467" s="21">
        <v>0</v>
      </c>
      <c r="AA1467" s="21">
        <v>1</v>
      </c>
      <c r="AB1467" s="21">
        <v>0</v>
      </c>
      <c r="AC1467" s="21">
        <v>0</v>
      </c>
      <c r="AD1467" s="21">
        <v>0</v>
      </c>
      <c r="AE1467" s="21">
        <v>0</v>
      </c>
      <c r="AF1467" s="21">
        <v>8</v>
      </c>
      <c r="AG1467" s="21">
        <v>1</v>
      </c>
      <c r="AH1467" s="21">
        <v>3</v>
      </c>
      <c r="AI1467" s="19">
        <v>1</v>
      </c>
      <c r="AJ1467" s="19">
        <v>1</v>
      </c>
      <c r="AK1467" s="19">
        <v>0</v>
      </c>
      <c r="AL1467" s="19">
        <v>1.5</v>
      </c>
      <c r="AM1467" s="21">
        <v>0</v>
      </c>
      <c r="AN1467" s="21">
        <v>0</v>
      </c>
      <c r="AO1467" s="21">
        <v>0</v>
      </c>
      <c r="AP1467" s="21">
        <v>0</v>
      </c>
      <c r="AQ1467" s="21">
        <v>5000</v>
      </c>
      <c r="AR1467" s="21">
        <v>3</v>
      </c>
      <c r="AS1467" s="21">
        <v>0</v>
      </c>
      <c r="AT1467" s="19">
        <v>0</v>
      </c>
      <c r="AU1467" s="21" t="s">
        <v>204</v>
      </c>
      <c r="AV1467" s="21"/>
      <c r="AW1467" s="35" t="s">
        <v>205</v>
      </c>
      <c r="AX1467" s="21" t="s">
        <v>540</v>
      </c>
      <c r="AY1467" s="32">
        <v>10000011</v>
      </c>
      <c r="AZ1467" s="32">
        <v>70204001</v>
      </c>
      <c r="BA1467" s="30" t="s">
        <v>206</v>
      </c>
      <c r="BB1467" s="21" t="s">
        <v>3282</v>
      </c>
      <c r="BC1467" s="31">
        <v>0</v>
      </c>
      <c r="BD1467" s="31">
        <v>0</v>
      </c>
      <c r="BE1467" s="33" t="s">
        <v>3274</v>
      </c>
      <c r="BF1467" s="33" t="s">
        <v>3275</v>
      </c>
      <c r="BG1467" s="21">
        <v>0</v>
      </c>
      <c r="BH1467" s="21">
        <v>0</v>
      </c>
      <c r="BI1467" s="21">
        <v>0</v>
      </c>
      <c r="BJ1467" s="21">
        <v>0</v>
      </c>
      <c r="BK1467" s="21">
        <v>0</v>
      </c>
      <c r="BL1467" s="21">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25" customHeight="1">
      <c r="C1468" s="32">
        <v>641000071</v>
      </c>
      <c r="D1468" s="35" t="s">
        <v>2956</v>
      </c>
      <c r="E1468" s="35" t="s">
        <v>2957</v>
      </c>
      <c r="F1468" s="32">
        <v>1</v>
      </c>
      <c r="G1468" s="19">
        <v>0</v>
      </c>
      <c r="H1468" s="32">
        <v>0</v>
      </c>
      <c r="I1468" s="31">
        <v>0</v>
      </c>
      <c r="J1468" s="21">
        <v>0</v>
      </c>
      <c r="K1468" s="32">
        <v>0</v>
      </c>
      <c r="L1468" s="21">
        <v>0</v>
      </c>
      <c r="M1468" s="32">
        <v>0</v>
      </c>
      <c r="N1468" s="32">
        <v>0</v>
      </c>
      <c r="O1468" s="32">
        <v>2</v>
      </c>
      <c r="P1468" s="32">
        <v>3</v>
      </c>
      <c r="Q1468" s="32">
        <v>0.3</v>
      </c>
      <c r="R1468" s="32">
        <v>0</v>
      </c>
      <c r="S1468" s="19">
        <v>1</v>
      </c>
      <c r="T1468" s="31">
        <v>0</v>
      </c>
      <c r="U1468" s="21">
        <v>1</v>
      </c>
      <c r="V1468" s="32">
        <v>1</v>
      </c>
      <c r="W1468" s="32">
        <v>0</v>
      </c>
      <c r="X1468" s="32">
        <v>3</v>
      </c>
      <c r="Y1468" s="19">
        <v>0</v>
      </c>
      <c r="Z1468" s="32">
        <v>0</v>
      </c>
      <c r="AA1468" s="32">
        <v>0</v>
      </c>
      <c r="AB1468" s="32">
        <v>0</v>
      </c>
      <c r="AC1468" s="32">
        <v>0</v>
      </c>
      <c r="AD1468" s="32">
        <v>1</v>
      </c>
      <c r="AE1468" s="32">
        <v>0</v>
      </c>
      <c r="AF1468" s="32">
        <v>15</v>
      </c>
      <c r="AG1468" s="32">
        <v>0</v>
      </c>
      <c r="AH1468" s="32">
        <v>3</v>
      </c>
      <c r="AI1468" s="19">
        <v>7</v>
      </c>
      <c r="AJ1468" s="19">
        <v>0</v>
      </c>
      <c r="AK1468" s="19">
        <v>1</v>
      </c>
      <c r="AL1468" s="19">
        <v>6</v>
      </c>
      <c r="AM1468" s="32">
        <v>0</v>
      </c>
      <c r="AN1468" s="32">
        <v>0</v>
      </c>
      <c r="AO1468" s="32">
        <v>0</v>
      </c>
      <c r="AP1468" s="32">
        <v>0</v>
      </c>
      <c r="AQ1468" s="32">
        <v>3000</v>
      </c>
      <c r="AR1468" s="32">
        <v>0.5</v>
      </c>
      <c r="AS1468" s="32">
        <v>20</v>
      </c>
      <c r="AT1468" s="19">
        <v>0</v>
      </c>
      <c r="AU1468" s="251">
        <v>0</v>
      </c>
      <c r="AV1468" s="252"/>
      <c r="AW1468" s="30" t="s">
        <v>248</v>
      </c>
      <c r="AX1468" s="32" t="s">
        <v>1849</v>
      </c>
      <c r="AY1468" s="32">
        <v>10000011</v>
      </c>
      <c r="AZ1468" s="32">
        <v>70204001</v>
      </c>
      <c r="BA1468" s="35" t="s">
        <v>256</v>
      </c>
      <c r="BB1468" s="35" t="s">
        <v>204</v>
      </c>
      <c r="BC1468" s="31">
        <v>0</v>
      </c>
      <c r="BD1468" s="31">
        <v>0</v>
      </c>
      <c r="BE1468" s="33" t="s">
        <v>3278</v>
      </c>
      <c r="BF1468" s="33" t="s">
        <v>3279</v>
      </c>
      <c r="BG1468" s="32">
        <v>0</v>
      </c>
      <c r="BH1468" s="21">
        <v>0</v>
      </c>
      <c r="BI1468" s="32">
        <v>0</v>
      </c>
      <c r="BJ1468" s="32">
        <v>0</v>
      </c>
      <c r="BK1468" s="32">
        <v>0</v>
      </c>
      <c r="BL1468" s="32">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100000000000001" customHeight="1">
      <c r="C1469" s="32">
        <v>64100008</v>
      </c>
      <c r="D1469" s="30" t="s">
        <v>3283</v>
      </c>
      <c r="E1469" s="30" t="s">
        <v>3284</v>
      </c>
      <c r="F1469" s="32">
        <v>1</v>
      </c>
      <c r="G1469" s="21">
        <v>62021501</v>
      </c>
      <c r="H1469" s="21">
        <v>0</v>
      </c>
      <c r="I1469" s="31">
        <v>0</v>
      </c>
      <c r="J1469" s="21">
        <v>0</v>
      </c>
      <c r="K1469" s="21">
        <v>0</v>
      </c>
      <c r="L1469" s="32">
        <v>0</v>
      </c>
      <c r="M1469" s="21">
        <v>0</v>
      </c>
      <c r="N1469" s="21">
        <v>0</v>
      </c>
      <c r="O1469" s="21">
        <v>2</v>
      </c>
      <c r="P1469" s="21">
        <v>1</v>
      </c>
      <c r="Q1469" s="21">
        <v>0.2</v>
      </c>
      <c r="R1469" s="21">
        <v>0</v>
      </c>
      <c r="S1469" s="19">
        <v>0</v>
      </c>
      <c r="T1469" s="21">
        <v>0</v>
      </c>
      <c r="U1469" s="21">
        <v>1</v>
      </c>
      <c r="V1469" s="21">
        <v>2</v>
      </c>
      <c r="W1469" s="21">
        <v>0</v>
      </c>
      <c r="X1469" s="21">
        <v>0</v>
      </c>
      <c r="Y1469" s="19">
        <v>0</v>
      </c>
      <c r="Z1469" s="21">
        <v>0</v>
      </c>
      <c r="AA1469" s="21">
        <v>0</v>
      </c>
      <c r="AB1469" s="21">
        <v>0</v>
      </c>
      <c r="AC1469" s="21">
        <v>0</v>
      </c>
      <c r="AD1469" s="21">
        <v>0</v>
      </c>
      <c r="AE1469" s="21">
        <v>0</v>
      </c>
      <c r="AF1469" s="21">
        <v>30</v>
      </c>
      <c r="AG1469" s="21">
        <v>0</v>
      </c>
      <c r="AH1469" s="21">
        <v>0</v>
      </c>
      <c r="AI1469" s="19">
        <v>2</v>
      </c>
      <c r="AJ1469" s="19">
        <v>2</v>
      </c>
      <c r="AK1469" s="19">
        <v>0</v>
      </c>
      <c r="AL1469" s="19">
        <v>1.5</v>
      </c>
      <c r="AM1469" s="21">
        <v>0</v>
      </c>
      <c r="AN1469" s="21">
        <v>0</v>
      </c>
      <c r="AO1469" s="21">
        <v>0</v>
      </c>
      <c r="AP1469" s="32">
        <v>0</v>
      </c>
      <c r="AQ1469" s="21">
        <v>3000</v>
      </c>
      <c r="AR1469" s="21">
        <v>0</v>
      </c>
      <c r="AS1469" s="21">
        <v>0</v>
      </c>
      <c r="AT1469" s="19">
        <v>0</v>
      </c>
      <c r="AU1469" s="21" t="s">
        <v>204</v>
      </c>
      <c r="AV1469" s="21"/>
      <c r="AW1469" s="30" t="s">
        <v>205</v>
      </c>
      <c r="AX1469" s="21" t="s">
        <v>551</v>
      </c>
      <c r="AY1469" s="32">
        <v>0</v>
      </c>
      <c r="AZ1469" s="32">
        <v>21101051</v>
      </c>
      <c r="BA1469" s="30" t="s">
        <v>1180</v>
      </c>
      <c r="BB1469" s="353" t="s">
        <v>3285</v>
      </c>
      <c r="BC1469" s="31">
        <v>0</v>
      </c>
      <c r="BD1469" s="31">
        <v>0</v>
      </c>
      <c r="BE1469" s="33" t="s">
        <v>3286</v>
      </c>
      <c r="BF1469" s="33" t="s">
        <v>3287</v>
      </c>
      <c r="BG1469" s="21">
        <v>0</v>
      </c>
      <c r="BH1469" s="21">
        <v>0</v>
      </c>
      <c r="BI1469" s="21">
        <v>0</v>
      </c>
      <c r="BJ1469" s="21">
        <v>0</v>
      </c>
      <c r="BK1469" s="21">
        <v>0</v>
      </c>
      <c r="BL1469" s="21">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64100009</v>
      </c>
      <c r="D1470" s="35" t="s">
        <v>1935</v>
      </c>
      <c r="E1470" s="35" t="s">
        <v>1936</v>
      </c>
      <c r="F1470" s="21">
        <v>1</v>
      </c>
      <c r="G1470" s="32">
        <v>62021301</v>
      </c>
      <c r="H1470" s="32">
        <v>0</v>
      </c>
      <c r="I1470" s="31">
        <v>0</v>
      </c>
      <c r="J1470" s="21">
        <v>1</v>
      </c>
      <c r="K1470" s="32">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1500</v>
      </c>
      <c r="AA1470" s="32">
        <v>0</v>
      </c>
      <c r="AB1470" s="32">
        <v>0</v>
      </c>
      <c r="AC1470" s="32">
        <v>0</v>
      </c>
      <c r="AD1470" s="32">
        <v>0</v>
      </c>
      <c r="AE1470" s="32">
        <v>0</v>
      </c>
      <c r="AF1470" s="32">
        <v>5</v>
      </c>
      <c r="AG1470" s="32">
        <v>1</v>
      </c>
      <c r="AH1470" s="32">
        <v>2</v>
      </c>
      <c r="AI1470" s="19">
        <v>2</v>
      </c>
      <c r="AJ1470" s="19">
        <v>2</v>
      </c>
      <c r="AK1470" s="19">
        <v>0</v>
      </c>
      <c r="AL1470" s="19">
        <v>4</v>
      </c>
      <c r="AM1470" s="32">
        <v>0</v>
      </c>
      <c r="AN1470" s="32">
        <v>0</v>
      </c>
      <c r="AO1470" s="32">
        <v>0</v>
      </c>
      <c r="AP1470" s="32">
        <v>0</v>
      </c>
      <c r="AQ1470" s="32">
        <v>30000</v>
      </c>
      <c r="AR1470" s="32">
        <v>0.5</v>
      </c>
      <c r="AS1470" s="32">
        <v>10</v>
      </c>
      <c r="AT1470" s="19">
        <v>0</v>
      </c>
      <c r="AU1470" s="32">
        <v>92002001</v>
      </c>
      <c r="AV1470" s="32"/>
      <c r="AW1470" s="35" t="s">
        <v>205</v>
      </c>
      <c r="AX1470" s="32" t="s">
        <v>551</v>
      </c>
      <c r="AY1470" s="32">
        <v>10003002</v>
      </c>
      <c r="AZ1470" s="32">
        <v>70204006</v>
      </c>
      <c r="BA1470" s="35" t="s">
        <v>592</v>
      </c>
      <c r="BB1470" s="35">
        <v>0</v>
      </c>
      <c r="BC1470" s="31">
        <v>0</v>
      </c>
      <c r="BD1470" s="31">
        <v>0</v>
      </c>
      <c r="BE1470" s="185" t="str">
        <f t="shared" ref="BE1470" si="148">"立即对指定前方区域释放冲击波,冲击波对触碰的怪物造成"&amp;X1470*100&amp;"%攻击伤害+"&amp;Z1470&amp;"点固定伤害"</f>
        <v>立即对指定前方区域释放冲击波,冲击波对触碰的怪物造成250%攻击伤害+1500点固定伤害</v>
      </c>
      <c r="BF1470" s="185" t="s">
        <v>1937</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64100010</v>
      </c>
      <c r="D1471" s="35" t="s">
        <v>1938</v>
      </c>
      <c r="E1471" s="35" t="s">
        <v>1939</v>
      </c>
      <c r="F1471" s="21">
        <v>1</v>
      </c>
      <c r="G1471" s="32">
        <v>62011101</v>
      </c>
      <c r="H1471" s="21">
        <v>0</v>
      </c>
      <c r="I1471" s="31">
        <v>0</v>
      </c>
      <c r="J1471" s="21">
        <v>1</v>
      </c>
      <c r="K1471" s="21">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1000</v>
      </c>
      <c r="AA1471" s="32">
        <v>0</v>
      </c>
      <c r="AB1471" s="32">
        <v>0</v>
      </c>
      <c r="AC1471" s="32">
        <v>0</v>
      </c>
      <c r="AD1471" s="32">
        <v>0</v>
      </c>
      <c r="AE1471" s="32">
        <v>0</v>
      </c>
      <c r="AF1471" s="32">
        <v>8</v>
      </c>
      <c r="AG1471" s="32">
        <v>1</v>
      </c>
      <c r="AH1471" s="32">
        <v>3</v>
      </c>
      <c r="AI1471" s="19">
        <v>2</v>
      </c>
      <c r="AJ1471" s="19">
        <v>1</v>
      </c>
      <c r="AK1471" s="19">
        <v>0</v>
      </c>
      <c r="AL1471" s="19">
        <v>6</v>
      </c>
      <c r="AM1471" s="32">
        <v>0</v>
      </c>
      <c r="AN1471" s="32">
        <v>0</v>
      </c>
      <c r="AO1471" s="32">
        <v>0</v>
      </c>
      <c r="AP1471" s="32">
        <v>0.25</v>
      </c>
      <c r="AQ1471" s="32">
        <v>3000</v>
      </c>
      <c r="AR1471" s="32">
        <v>0.5</v>
      </c>
      <c r="AS1471" s="32">
        <v>0</v>
      </c>
      <c r="AT1471" s="19">
        <v>0</v>
      </c>
      <c r="AU1471" s="32">
        <v>0</v>
      </c>
      <c r="AV1471" s="32"/>
      <c r="AW1471" s="35" t="s">
        <v>205</v>
      </c>
      <c r="AX1471" s="32" t="s">
        <v>1849</v>
      </c>
      <c r="AY1471" s="32">
        <v>10000006</v>
      </c>
      <c r="AZ1471" s="32">
        <v>21100010</v>
      </c>
      <c r="BA1471" s="35" t="s">
        <v>206</v>
      </c>
      <c r="BB1471" s="35">
        <v>0</v>
      </c>
      <c r="BC1471" s="31">
        <v>0</v>
      </c>
      <c r="BD1471" s="31">
        <v>0</v>
      </c>
      <c r="BE1471" s="185" t="str">
        <f t="shared" ref="BE1471" si="149">"立即对目标范围内的怪物造成"&amp;X1471*100&amp;"%攻击伤害+"&amp;Z1471&amp;"点固定伤害"</f>
        <v>立即对目标范围内的怪物造成250%攻击伤害+1000点固定伤害</v>
      </c>
      <c r="BF1471" s="185" t="s">
        <v>3288</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64100011</v>
      </c>
      <c r="D1472" s="30" t="s">
        <v>2207</v>
      </c>
      <c r="E1472" s="30" t="s">
        <v>2208</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2209</v>
      </c>
      <c r="BC1472" s="31">
        <v>0</v>
      </c>
      <c r="BD1472" s="31">
        <v>0</v>
      </c>
      <c r="BE1472" s="33" t="s">
        <v>2210</v>
      </c>
      <c r="BF1472" s="33" t="s">
        <v>2211</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64100012</v>
      </c>
      <c r="D1473" s="30" t="s">
        <v>2212</v>
      </c>
      <c r="E1473" s="30" t="s">
        <v>2213</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2214</v>
      </c>
      <c r="BC1473" s="31">
        <v>0</v>
      </c>
      <c r="BD1473" s="31">
        <v>0</v>
      </c>
      <c r="BE1473" s="33" t="s">
        <v>2215</v>
      </c>
      <c r="BF1473" s="33" t="s">
        <v>2216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64100013</v>
      </c>
      <c r="D1474" s="30" t="s">
        <v>1941</v>
      </c>
      <c r="E1474" s="30" t="s">
        <v>1942</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3289</v>
      </c>
      <c r="BC1474" s="31">
        <v>0</v>
      </c>
      <c r="BD1474" s="31">
        <v>0</v>
      </c>
      <c r="BE1474" s="33" t="s">
        <v>2092</v>
      </c>
      <c r="BF1474" s="33" t="s">
        <v>2093</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64100014</v>
      </c>
      <c r="D1475" s="30" t="s">
        <v>1941</v>
      </c>
      <c r="E1475" s="30" t="s">
        <v>1942</v>
      </c>
      <c r="F1475" s="21">
        <v>1</v>
      </c>
      <c r="G1475" s="21">
        <v>60011301</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3290</v>
      </c>
      <c r="BC1475" s="31">
        <v>0</v>
      </c>
      <c r="BD1475" s="31">
        <v>0</v>
      </c>
      <c r="BE1475" s="33" t="s">
        <v>2325</v>
      </c>
      <c r="BF1475" s="33" t="s">
        <v>2326</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65000001</v>
      </c>
      <c r="D1476" s="42" t="s">
        <v>1620</v>
      </c>
      <c r="E1476" s="42" t="s">
        <v>1621</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95000001</v>
      </c>
      <c r="AU1476" s="38" t="s">
        <v>204</v>
      </c>
      <c r="AV1476" s="38"/>
      <c r="AW1476" s="42" t="s">
        <v>205</v>
      </c>
      <c r="AX1476" s="38" t="s">
        <v>3291</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65000002</v>
      </c>
      <c r="D1477" s="42" t="s">
        <v>1620</v>
      </c>
      <c r="E1477" s="42" t="s">
        <v>1621</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95000002</v>
      </c>
      <c r="AU1477" s="38" t="s">
        <v>204</v>
      </c>
      <c r="AV1477" s="38"/>
      <c r="AW1477" s="42" t="s">
        <v>205</v>
      </c>
      <c r="AX1477" s="38" t="s">
        <v>3291</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65000003</v>
      </c>
      <c r="D1478" s="42" t="s">
        <v>1620</v>
      </c>
      <c r="E1478" s="42" t="s">
        <v>1621</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95000003</v>
      </c>
      <c r="AU1478" s="38" t="s">
        <v>204</v>
      </c>
      <c r="AV1478" s="38"/>
      <c r="AW1478" s="42" t="s">
        <v>205</v>
      </c>
      <c r="AX1478" s="38" t="s">
        <v>3291</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65000004</v>
      </c>
      <c r="D1479" s="42" t="s">
        <v>1620</v>
      </c>
      <c r="E1479" s="42" t="s">
        <v>1621</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95000004</v>
      </c>
      <c r="AU1479" s="38" t="s">
        <v>204</v>
      </c>
      <c r="AV1479" s="38"/>
      <c r="AW1479" s="42" t="s">
        <v>205</v>
      </c>
      <c r="AX1479" s="38" t="s">
        <v>3291</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65000005</v>
      </c>
      <c r="D1480" s="42" t="s">
        <v>1620</v>
      </c>
      <c r="E1480" s="42" t="s">
        <v>1621</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95000005</v>
      </c>
      <c r="AU1480" s="38" t="s">
        <v>204</v>
      </c>
      <c r="AV1480" s="38"/>
      <c r="AW1480" s="42" t="s">
        <v>205</v>
      </c>
      <c r="AX1480" s="38" t="s">
        <v>3291</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65001001</v>
      </c>
      <c r="D1481" s="35" t="s">
        <v>3292</v>
      </c>
      <c r="E1481" s="35" t="s">
        <v>3293</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10</v>
      </c>
      <c r="AG1481" s="32">
        <v>0</v>
      </c>
      <c r="AH1481" s="32">
        <v>0</v>
      </c>
      <c r="AI1481" s="19">
        <v>2</v>
      </c>
      <c r="AJ1481" s="19">
        <v>0</v>
      </c>
      <c r="AK1481" s="19">
        <v>0</v>
      </c>
      <c r="AL1481" s="19">
        <v>0</v>
      </c>
      <c r="AM1481" s="32">
        <v>0</v>
      </c>
      <c r="AN1481" s="32">
        <v>0</v>
      </c>
      <c r="AO1481" s="32">
        <v>0</v>
      </c>
      <c r="AP1481" s="32">
        <v>0</v>
      </c>
      <c r="AQ1481" s="32">
        <v>1000</v>
      </c>
      <c r="AR1481" s="32">
        <v>0</v>
      </c>
      <c r="AS1481" s="32">
        <v>0</v>
      </c>
      <c r="AT1481" s="341" t="s">
        <v>3294</v>
      </c>
      <c r="AU1481" s="32" t="s">
        <v>204</v>
      </c>
      <c r="AV1481" s="32"/>
      <c r="AW1481" s="35" t="s">
        <v>205</v>
      </c>
      <c r="AX1481" s="32" t="s">
        <v>3291</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65001002</v>
      </c>
      <c r="D1482" s="35" t="s">
        <v>3295</v>
      </c>
      <c r="E1482" s="35" t="s">
        <v>3296</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v>95001021</v>
      </c>
      <c r="AU1482" s="32" t="s">
        <v>204</v>
      </c>
      <c r="AV1482" s="32"/>
      <c r="AW1482" s="35" t="s">
        <v>205</v>
      </c>
      <c r="AX1482" s="32" t="s">
        <v>3291</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65001003</v>
      </c>
      <c r="D1483" s="35" t="s">
        <v>3297</v>
      </c>
      <c r="E1483" s="35" t="s">
        <v>3298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t="s">
        <v>3299</v>
      </c>
      <c r="AU1483" s="32" t="s">
        <v>204</v>
      </c>
      <c r="AV1483" s="32"/>
      <c r="AW1483" s="35" t="s">
        <v>205</v>
      </c>
      <c r="AX1483" s="32" t="s">
        <v>3291</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65001004</v>
      </c>
      <c r="D1484" s="35" t="s">
        <v>3300</v>
      </c>
      <c r="E1484" s="35" t="s">
        <v>3301</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95001041</v>
      </c>
      <c r="AU1484" s="32" t="s">
        <v>204</v>
      </c>
      <c r="AV1484" s="32"/>
      <c r="AW1484" s="35" t="s">
        <v>205</v>
      </c>
      <c r="AX1484" s="32" t="s">
        <v>3291</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65001005</v>
      </c>
      <c r="D1485" s="35" t="s">
        <v>3302</v>
      </c>
      <c r="E1485" s="35" t="s">
        <v>3296</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95001051</v>
      </c>
      <c r="AU1485" s="32" t="s">
        <v>204</v>
      </c>
      <c r="AV1485" s="32"/>
      <c r="AW1485" s="35" t="s">
        <v>205</v>
      </c>
      <c r="AX1485" s="32" t="s">
        <v>3291</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65001006</v>
      </c>
      <c r="D1486" s="35" t="s">
        <v>3303</v>
      </c>
      <c r="E1486" s="35" t="s">
        <v>3304</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t="s">
        <v>3305</v>
      </c>
      <c r="AU1486" s="32" t="s">
        <v>204</v>
      </c>
      <c r="AV1486" s="32"/>
      <c r="AW1486" s="35" t="s">
        <v>205</v>
      </c>
      <c r="AX1486" s="32" t="s">
        <v>3291</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65001101</v>
      </c>
      <c r="D1487" s="35" t="s">
        <v>3306</v>
      </c>
      <c r="E1487" s="35" t="s">
        <v>3307</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95001101</v>
      </c>
      <c r="AU1487" s="32" t="s">
        <v>204</v>
      </c>
      <c r="AV1487" s="32"/>
      <c r="AW1487" s="35" t="s">
        <v>205</v>
      </c>
      <c r="AX1487" s="32" t="s">
        <v>3291</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65001102</v>
      </c>
      <c r="D1488" s="35" t="s">
        <v>3308</v>
      </c>
      <c r="E1488" s="35" t="s">
        <v>3309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95001102</v>
      </c>
      <c r="AU1488" s="32" t="s">
        <v>204</v>
      </c>
      <c r="AV1488" s="32"/>
      <c r="AW1488" s="35" t="s">
        <v>205</v>
      </c>
      <c r="AX1488" s="32" t="s">
        <v>3291</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65001103</v>
      </c>
      <c r="D1489" s="35" t="s">
        <v>3310</v>
      </c>
      <c r="E1489" s="35" t="s">
        <v>3311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95001103</v>
      </c>
      <c r="AU1489" s="32" t="s">
        <v>204</v>
      </c>
      <c r="AV1489" s="32"/>
      <c r="AW1489" s="35" t="s">
        <v>205</v>
      </c>
      <c r="AX1489" s="32" t="s">
        <v>3291</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65001104</v>
      </c>
      <c r="D1490" s="35" t="s">
        <v>3312</v>
      </c>
      <c r="E1490" s="35" t="s">
        <v>3313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95001104</v>
      </c>
      <c r="AU1490" s="32" t="s">
        <v>204</v>
      </c>
      <c r="AV1490" s="32"/>
      <c r="AW1490" s="35" t="s">
        <v>205</v>
      </c>
      <c r="AX1490" s="32" t="s">
        <v>3291</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65001105</v>
      </c>
      <c r="D1491" s="35" t="s">
        <v>3314</v>
      </c>
      <c r="E1491" s="35" t="s">
        <v>3315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95001105</v>
      </c>
      <c r="AU1491" s="32" t="s">
        <v>204</v>
      </c>
      <c r="AV1491" s="32"/>
      <c r="AW1491" s="35" t="s">
        <v>205</v>
      </c>
      <c r="AX1491" s="32" t="s">
        <v>3291</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65002001</v>
      </c>
      <c r="D1492" s="35" t="s">
        <v>3316</v>
      </c>
      <c r="E1492" s="35" t="s">
        <v>3317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10</v>
      </c>
      <c r="AG1492" s="32">
        <v>0</v>
      </c>
      <c r="AH1492" s="32">
        <v>0</v>
      </c>
      <c r="AI1492" s="19">
        <v>2</v>
      </c>
      <c r="AJ1492" s="19">
        <v>0</v>
      </c>
      <c r="AK1492" s="19">
        <v>0</v>
      </c>
      <c r="AL1492" s="19">
        <v>0</v>
      </c>
      <c r="AM1492" s="32">
        <v>0</v>
      </c>
      <c r="AN1492" s="32">
        <v>0</v>
      </c>
      <c r="AO1492" s="32">
        <v>0</v>
      </c>
      <c r="AP1492" s="32">
        <v>0</v>
      </c>
      <c r="AQ1492" s="32">
        <v>1000</v>
      </c>
      <c r="AR1492" s="32">
        <v>0</v>
      </c>
      <c r="AS1492" s="32">
        <v>0</v>
      </c>
      <c r="AT1492" s="341" t="s">
        <v>3318</v>
      </c>
      <c r="AU1492" s="32" t="s">
        <v>204</v>
      </c>
      <c r="AV1492" s="32"/>
      <c r="AW1492" s="35" t="s">
        <v>205</v>
      </c>
      <c r="AX1492" s="32" t="s">
        <v>3291</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65002002</v>
      </c>
      <c r="D1493" s="35" t="s">
        <v>3319</v>
      </c>
      <c r="E1493" s="35" t="s">
        <v>3320</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v>95002021</v>
      </c>
      <c r="AU1493" s="32" t="s">
        <v>204</v>
      </c>
      <c r="AV1493" s="32"/>
      <c r="AW1493" s="35" t="s">
        <v>205</v>
      </c>
      <c r="AX1493" s="32" t="s">
        <v>3291</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65002003</v>
      </c>
      <c r="D1494" s="35" t="s">
        <v>3321</v>
      </c>
      <c r="E1494" s="35" t="s">
        <v>3322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t="s">
        <v>3323</v>
      </c>
      <c r="AU1494" s="32" t="s">
        <v>204</v>
      </c>
      <c r="AV1494" s="32"/>
      <c r="AW1494" s="35" t="s">
        <v>205</v>
      </c>
      <c r="AX1494" s="32" t="s">
        <v>3291</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65002004</v>
      </c>
      <c r="D1495" s="35" t="s">
        <v>3324</v>
      </c>
      <c r="E1495" s="35" t="s">
        <v>3325</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95002041</v>
      </c>
      <c r="AU1495" s="32" t="s">
        <v>204</v>
      </c>
      <c r="AV1495" s="32"/>
      <c r="AW1495" s="35" t="s">
        <v>205</v>
      </c>
      <c r="AX1495" s="32" t="s">
        <v>3291</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65002005</v>
      </c>
      <c r="D1496" s="35" t="s">
        <v>3326</v>
      </c>
      <c r="E1496" s="35" t="s">
        <v>3327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95002051</v>
      </c>
      <c r="AU1496" s="32" t="s">
        <v>204</v>
      </c>
      <c r="AV1496" s="32"/>
      <c r="AW1496" s="35" t="s">
        <v>205</v>
      </c>
      <c r="AX1496" s="32" t="s">
        <v>3291</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65002006</v>
      </c>
      <c r="D1497" s="35" t="s">
        <v>3328</v>
      </c>
      <c r="E1497" s="35" t="s">
        <v>3329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t="s">
        <v>3330</v>
      </c>
      <c r="AU1497" s="32" t="s">
        <v>204</v>
      </c>
      <c r="AV1497" s="32"/>
      <c r="AW1497" s="35" t="s">
        <v>205</v>
      </c>
      <c r="AX1497" s="32" t="s">
        <v>3291</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65002101</v>
      </c>
      <c r="D1498" s="35" t="s">
        <v>3331</v>
      </c>
      <c r="E1498" s="35" t="s">
        <v>3332</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95002101</v>
      </c>
      <c r="AU1498" s="32" t="s">
        <v>204</v>
      </c>
      <c r="AV1498" s="32"/>
      <c r="AW1498" s="35" t="s">
        <v>205</v>
      </c>
      <c r="AX1498" s="32" t="s">
        <v>3291</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65002102</v>
      </c>
      <c r="D1499" s="35" t="s">
        <v>3333</v>
      </c>
      <c r="E1499" s="35" t="s">
        <v>3334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95002102</v>
      </c>
      <c r="AU1499" s="32" t="s">
        <v>204</v>
      </c>
      <c r="AV1499" s="32"/>
      <c r="AW1499" s="35" t="s">
        <v>205</v>
      </c>
      <c r="AX1499" s="32" t="s">
        <v>3291</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65002103</v>
      </c>
      <c r="D1500" s="35" t="s">
        <v>3335</v>
      </c>
      <c r="E1500" s="35" t="s">
        <v>3336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95002103</v>
      </c>
      <c r="AU1500" s="32" t="s">
        <v>204</v>
      </c>
      <c r="AV1500" s="32"/>
      <c r="AW1500" s="35" t="s">
        <v>205</v>
      </c>
      <c r="AX1500" s="32" t="s">
        <v>3291</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65002104</v>
      </c>
      <c r="D1501" s="35" t="s">
        <v>3337</v>
      </c>
      <c r="E1501" s="35" t="s">
        <v>3338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95002104</v>
      </c>
      <c r="AU1501" s="32" t="s">
        <v>204</v>
      </c>
      <c r="AV1501" s="32"/>
      <c r="AW1501" s="35" t="s">
        <v>205</v>
      </c>
      <c r="AX1501" s="32" t="s">
        <v>3291</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65002105</v>
      </c>
      <c r="D1502" s="35" t="s">
        <v>3339</v>
      </c>
      <c r="E1502" s="35" t="s">
        <v>3340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95002105</v>
      </c>
      <c r="AU1502" s="32" t="s">
        <v>204</v>
      </c>
      <c r="AV1502" s="32"/>
      <c r="AW1502" s="35" t="s">
        <v>205</v>
      </c>
      <c r="AX1502" s="32" t="s">
        <v>3291</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65003001</v>
      </c>
      <c r="D1503" s="35" t="s">
        <v>3341</v>
      </c>
      <c r="E1503" s="35" t="s">
        <v>3342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10</v>
      </c>
      <c r="AG1503" s="32">
        <v>0</v>
      </c>
      <c r="AH1503" s="32">
        <v>0</v>
      </c>
      <c r="AI1503" s="19">
        <v>2</v>
      </c>
      <c r="AJ1503" s="19">
        <v>0</v>
      </c>
      <c r="AK1503" s="19">
        <v>0</v>
      </c>
      <c r="AL1503" s="19">
        <v>0</v>
      </c>
      <c r="AM1503" s="32">
        <v>0</v>
      </c>
      <c r="AN1503" s="32">
        <v>0</v>
      </c>
      <c r="AO1503" s="32">
        <v>0</v>
      </c>
      <c r="AP1503" s="32">
        <v>0</v>
      </c>
      <c r="AQ1503" s="32">
        <v>1000</v>
      </c>
      <c r="AR1503" s="32">
        <v>0</v>
      </c>
      <c r="AS1503" s="32">
        <v>0</v>
      </c>
      <c r="AT1503" s="341" t="s">
        <v>3343</v>
      </c>
      <c r="AU1503" s="32" t="s">
        <v>204</v>
      </c>
      <c r="AV1503" s="32"/>
      <c r="AW1503" s="35" t="s">
        <v>205</v>
      </c>
      <c r="AX1503" s="32" t="s">
        <v>3291</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65003002</v>
      </c>
      <c r="D1504" s="35" t="s">
        <v>3344</v>
      </c>
      <c r="E1504" s="35" t="s">
        <v>3345</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v>95003021</v>
      </c>
      <c r="AU1504" s="32" t="s">
        <v>204</v>
      </c>
      <c r="AV1504" s="32"/>
      <c r="AW1504" s="35" t="s">
        <v>205</v>
      </c>
      <c r="AX1504" s="32" t="s">
        <v>3291</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65003003</v>
      </c>
      <c r="D1505" s="35" t="s">
        <v>3346</v>
      </c>
      <c r="E1505" s="35" t="s">
        <v>3347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t="s">
        <v>3348</v>
      </c>
      <c r="AU1505" s="32" t="s">
        <v>204</v>
      </c>
      <c r="AV1505" s="32"/>
      <c r="AW1505" s="35" t="s">
        <v>205</v>
      </c>
      <c r="AX1505" s="32" t="s">
        <v>3291</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65003004</v>
      </c>
      <c r="D1506" s="35" t="s">
        <v>3349</v>
      </c>
      <c r="E1506" s="35" t="s">
        <v>3350</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95003041</v>
      </c>
      <c r="AU1506" s="32" t="s">
        <v>204</v>
      </c>
      <c r="AV1506" s="32"/>
      <c r="AW1506" s="35" t="s">
        <v>205</v>
      </c>
      <c r="AX1506" s="32" t="s">
        <v>3291</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65003005</v>
      </c>
      <c r="D1507" s="35" t="s">
        <v>3351</v>
      </c>
      <c r="E1507" s="35" t="s">
        <v>3352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95003051</v>
      </c>
      <c r="AU1507" s="32" t="s">
        <v>204</v>
      </c>
      <c r="AV1507" s="32"/>
      <c r="AW1507" s="35" t="s">
        <v>205</v>
      </c>
      <c r="AX1507" s="32" t="s">
        <v>3291</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65003006</v>
      </c>
      <c r="D1508" s="35" t="s">
        <v>3353</v>
      </c>
      <c r="E1508" s="35" t="s">
        <v>3354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t="s">
        <v>3355</v>
      </c>
      <c r="AU1508" s="32" t="s">
        <v>204</v>
      </c>
      <c r="AV1508" s="32"/>
      <c r="AW1508" s="35" t="s">
        <v>205</v>
      </c>
      <c r="AX1508" s="32" t="s">
        <v>3291</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65003101</v>
      </c>
      <c r="D1509" s="35" t="s">
        <v>3356</v>
      </c>
      <c r="E1509" s="35" t="s">
        <v>3357</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95003101</v>
      </c>
      <c r="AU1509" s="32" t="s">
        <v>204</v>
      </c>
      <c r="AV1509" s="32"/>
      <c r="AW1509" s="35" t="s">
        <v>205</v>
      </c>
      <c r="AX1509" s="32" t="s">
        <v>3291</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65003102</v>
      </c>
      <c r="D1510" s="35" t="s">
        <v>3358</v>
      </c>
      <c r="E1510" s="35" t="s">
        <v>3359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95003102</v>
      </c>
      <c r="AU1510" s="32" t="s">
        <v>204</v>
      </c>
      <c r="AV1510" s="32"/>
      <c r="AW1510" s="35" t="s">
        <v>205</v>
      </c>
      <c r="AX1510" s="32" t="s">
        <v>3291</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65003103</v>
      </c>
      <c r="D1511" s="35" t="s">
        <v>3360</v>
      </c>
      <c r="E1511" s="35" t="s">
        <v>3361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95003103</v>
      </c>
      <c r="AU1511" s="32" t="s">
        <v>204</v>
      </c>
      <c r="AV1511" s="32"/>
      <c r="AW1511" s="35" t="s">
        <v>205</v>
      </c>
      <c r="AX1511" s="32" t="s">
        <v>3291</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65003104</v>
      </c>
      <c r="D1512" s="35" t="s">
        <v>3362</v>
      </c>
      <c r="E1512" s="35" t="s">
        <v>3363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95003104</v>
      </c>
      <c r="AU1512" s="32" t="s">
        <v>204</v>
      </c>
      <c r="AV1512" s="32"/>
      <c r="AW1512" s="35" t="s">
        <v>205</v>
      </c>
      <c r="AX1512" s="32" t="s">
        <v>3291</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65003105</v>
      </c>
      <c r="D1513" s="35" t="s">
        <v>3364</v>
      </c>
      <c r="E1513" s="35" t="s">
        <v>3365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95003105</v>
      </c>
      <c r="AU1513" s="32" t="s">
        <v>204</v>
      </c>
      <c r="AV1513" s="32"/>
      <c r="AW1513" s="35" t="s">
        <v>205</v>
      </c>
      <c r="AX1513" s="32" t="s">
        <v>3291</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65004001</v>
      </c>
      <c r="D1514" s="35" t="s">
        <v>3366</v>
      </c>
      <c r="E1514" s="35" t="s">
        <v>3367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10</v>
      </c>
      <c r="AG1514" s="32">
        <v>0</v>
      </c>
      <c r="AH1514" s="32">
        <v>0</v>
      </c>
      <c r="AI1514" s="19">
        <v>2</v>
      </c>
      <c r="AJ1514" s="19">
        <v>0</v>
      </c>
      <c r="AK1514" s="19">
        <v>0</v>
      </c>
      <c r="AL1514" s="19">
        <v>0</v>
      </c>
      <c r="AM1514" s="32">
        <v>0</v>
      </c>
      <c r="AN1514" s="32">
        <v>0</v>
      </c>
      <c r="AO1514" s="32">
        <v>0</v>
      </c>
      <c r="AP1514" s="32">
        <v>0</v>
      </c>
      <c r="AQ1514" s="32">
        <v>1000</v>
      </c>
      <c r="AR1514" s="32">
        <v>0</v>
      </c>
      <c r="AS1514" s="32">
        <v>0</v>
      </c>
      <c r="AT1514" s="341" t="s">
        <v>3368</v>
      </c>
      <c r="AU1514" s="32" t="s">
        <v>204</v>
      </c>
      <c r="AV1514" s="32"/>
      <c r="AW1514" s="35" t="s">
        <v>205</v>
      </c>
      <c r="AX1514" s="32" t="s">
        <v>3291</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65004002</v>
      </c>
      <c r="D1515" s="35" t="s">
        <v>3369</v>
      </c>
      <c r="E1515" s="35" t="s">
        <v>3370</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v>95004021</v>
      </c>
      <c r="AU1515" s="32" t="s">
        <v>204</v>
      </c>
      <c r="AV1515" s="32"/>
      <c r="AW1515" s="35" t="s">
        <v>205</v>
      </c>
      <c r="AX1515" s="32" t="s">
        <v>3291</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65004003</v>
      </c>
      <c r="D1516" s="35" t="s">
        <v>3371</v>
      </c>
      <c r="E1516" s="35" t="s">
        <v>3372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t="s">
        <v>3373</v>
      </c>
      <c r="AU1516" s="32" t="s">
        <v>204</v>
      </c>
      <c r="AV1516" s="32"/>
      <c r="AW1516" s="35" t="s">
        <v>205</v>
      </c>
      <c r="AX1516" s="32" t="s">
        <v>3291</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65004004</v>
      </c>
      <c r="D1517" s="35" t="s">
        <v>3374</v>
      </c>
      <c r="E1517" s="35" t="s">
        <v>3375</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95004041</v>
      </c>
      <c r="AU1517" s="32" t="s">
        <v>204</v>
      </c>
      <c r="AV1517" s="32"/>
      <c r="AW1517" s="35" t="s">
        <v>205</v>
      </c>
      <c r="AX1517" s="32" t="s">
        <v>3291</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65004005</v>
      </c>
      <c r="D1518" s="35" t="s">
        <v>3376</v>
      </c>
      <c r="E1518" s="35" t="s">
        <v>3377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95004051</v>
      </c>
      <c r="AU1518" s="32" t="s">
        <v>204</v>
      </c>
      <c r="AV1518" s="32"/>
      <c r="AW1518" s="35" t="s">
        <v>205</v>
      </c>
      <c r="AX1518" s="32" t="s">
        <v>3291</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65004006</v>
      </c>
      <c r="D1519" s="35" t="s">
        <v>3378</v>
      </c>
      <c r="E1519" s="35" t="s">
        <v>3379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t="s">
        <v>3380</v>
      </c>
      <c r="AU1519" s="32" t="s">
        <v>204</v>
      </c>
      <c r="AV1519" s="32"/>
      <c r="AW1519" s="35" t="s">
        <v>205</v>
      </c>
      <c r="AX1519" s="32" t="s">
        <v>3291</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65004101</v>
      </c>
      <c r="D1520" s="35" t="s">
        <v>3381</v>
      </c>
      <c r="E1520" s="35" t="s">
        <v>3382</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95004101</v>
      </c>
      <c r="AU1520" s="32" t="s">
        <v>204</v>
      </c>
      <c r="AV1520" s="32"/>
      <c r="AW1520" s="35" t="s">
        <v>205</v>
      </c>
      <c r="AX1520" s="32" t="s">
        <v>3291</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65004102</v>
      </c>
      <c r="D1521" s="35" t="s">
        <v>3383</v>
      </c>
      <c r="E1521" s="35" t="s">
        <v>3384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95004102</v>
      </c>
      <c r="AU1521" s="32" t="s">
        <v>204</v>
      </c>
      <c r="AV1521" s="32"/>
      <c r="AW1521" s="35" t="s">
        <v>205</v>
      </c>
      <c r="AX1521" s="32" t="s">
        <v>3291</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65004103</v>
      </c>
      <c r="D1522" s="35" t="s">
        <v>3385</v>
      </c>
      <c r="E1522" s="35" t="s">
        <v>3361</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95004103</v>
      </c>
      <c r="AU1522" s="32" t="s">
        <v>204</v>
      </c>
      <c r="AV1522" s="32"/>
      <c r="AW1522" s="35" t="s">
        <v>205</v>
      </c>
      <c r="AX1522" s="32" t="s">
        <v>3291</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65004104</v>
      </c>
      <c r="D1523" s="35" t="s">
        <v>3386</v>
      </c>
      <c r="E1523" s="35" t="s">
        <v>3387</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95004104</v>
      </c>
      <c r="AU1523" s="32" t="s">
        <v>204</v>
      </c>
      <c r="AV1523" s="32"/>
      <c r="AW1523" s="35" t="s">
        <v>205</v>
      </c>
      <c r="AX1523" s="32" t="s">
        <v>3291</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65004105</v>
      </c>
      <c r="D1524" s="35" t="s">
        <v>3388</v>
      </c>
      <c r="E1524" s="35" t="s">
        <v>3389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95004105</v>
      </c>
      <c r="AU1524" s="32" t="s">
        <v>204</v>
      </c>
      <c r="AV1524" s="32"/>
      <c r="AW1524" s="35" t="s">
        <v>205</v>
      </c>
      <c r="AX1524" s="32" t="s">
        <v>3291</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65005001</v>
      </c>
      <c r="D1525" s="35" t="s">
        <v>3390</v>
      </c>
      <c r="E1525" s="35" t="s">
        <v>3391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10</v>
      </c>
      <c r="AG1525" s="32">
        <v>0</v>
      </c>
      <c r="AH1525" s="32">
        <v>0</v>
      </c>
      <c r="AI1525" s="19">
        <v>2</v>
      </c>
      <c r="AJ1525" s="19">
        <v>0</v>
      </c>
      <c r="AK1525" s="19">
        <v>0</v>
      </c>
      <c r="AL1525" s="19">
        <v>0</v>
      </c>
      <c r="AM1525" s="32">
        <v>0</v>
      </c>
      <c r="AN1525" s="32">
        <v>0</v>
      </c>
      <c r="AO1525" s="32">
        <v>0</v>
      </c>
      <c r="AP1525" s="32">
        <v>0</v>
      </c>
      <c r="AQ1525" s="32">
        <v>1000</v>
      </c>
      <c r="AR1525" s="32">
        <v>0</v>
      </c>
      <c r="AS1525" s="32">
        <v>0</v>
      </c>
      <c r="AT1525" s="341" t="s">
        <v>3392</v>
      </c>
      <c r="AU1525" s="32" t="s">
        <v>204</v>
      </c>
      <c r="AV1525" s="32"/>
      <c r="AW1525" s="35" t="s">
        <v>205</v>
      </c>
      <c r="AX1525" s="32" t="s">
        <v>3291</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65005002</v>
      </c>
      <c r="D1526" s="35" t="s">
        <v>3393</v>
      </c>
      <c r="E1526" s="35" t="s">
        <v>3394</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v>95005021</v>
      </c>
      <c r="AU1526" s="32" t="s">
        <v>204</v>
      </c>
      <c r="AV1526" s="32"/>
      <c r="AW1526" s="35" t="s">
        <v>205</v>
      </c>
      <c r="AX1526" s="32" t="s">
        <v>3291</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65005003</v>
      </c>
      <c r="D1527" s="35" t="s">
        <v>3395</v>
      </c>
      <c r="E1527" s="35" t="s">
        <v>3396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t="s">
        <v>3397</v>
      </c>
      <c r="AU1527" s="32" t="s">
        <v>204</v>
      </c>
      <c r="AV1527" s="32"/>
      <c r="AW1527" s="35" t="s">
        <v>205</v>
      </c>
      <c r="AX1527" s="32" t="s">
        <v>3291</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65005004</v>
      </c>
      <c r="D1528" s="35" t="s">
        <v>3398</v>
      </c>
      <c r="E1528" s="35" t="s">
        <v>3399</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95005041</v>
      </c>
      <c r="AU1528" s="32" t="s">
        <v>204</v>
      </c>
      <c r="AV1528" s="32"/>
      <c r="AW1528" s="35" t="s">
        <v>205</v>
      </c>
      <c r="AX1528" s="32" t="s">
        <v>3291</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65005005</v>
      </c>
      <c r="D1529" s="35" t="s">
        <v>3400</v>
      </c>
      <c r="E1529" s="35" t="s">
        <v>3401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95005051</v>
      </c>
      <c r="AU1529" s="32" t="s">
        <v>204</v>
      </c>
      <c r="AV1529" s="32"/>
      <c r="AW1529" s="35" t="s">
        <v>205</v>
      </c>
      <c r="AX1529" s="32" t="s">
        <v>3291</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65005006</v>
      </c>
      <c r="D1530" s="35" t="s">
        <v>3402</v>
      </c>
      <c r="E1530" s="35" t="s">
        <v>3403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t="s">
        <v>3404</v>
      </c>
      <c r="AU1530" s="32" t="s">
        <v>204</v>
      </c>
      <c r="AV1530" s="32"/>
      <c r="AW1530" s="35" t="s">
        <v>205</v>
      </c>
      <c r="AX1530" s="32" t="s">
        <v>3291</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65005101</v>
      </c>
      <c r="D1531" s="35" t="s">
        <v>3405</v>
      </c>
      <c r="E1531" s="35" t="s">
        <v>3406</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95005101</v>
      </c>
      <c r="AU1531" s="32" t="s">
        <v>204</v>
      </c>
      <c r="AV1531" s="32"/>
      <c r="AW1531" s="35" t="s">
        <v>205</v>
      </c>
      <c r="AX1531" s="32" t="s">
        <v>3291</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65005102</v>
      </c>
      <c r="D1532" s="35" t="s">
        <v>3407</v>
      </c>
      <c r="E1532" s="35" t="s">
        <v>3408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95005102</v>
      </c>
      <c r="AU1532" s="32" t="s">
        <v>204</v>
      </c>
      <c r="AV1532" s="32"/>
      <c r="AW1532" s="35" t="s">
        <v>205</v>
      </c>
      <c r="AX1532" s="32" t="s">
        <v>3291</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65005103</v>
      </c>
      <c r="D1533" s="35" t="s">
        <v>3409</v>
      </c>
      <c r="E1533" s="35" t="s">
        <v>3410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95005103</v>
      </c>
      <c r="AU1533" s="32" t="s">
        <v>204</v>
      </c>
      <c r="AV1533" s="32"/>
      <c r="AW1533" s="35" t="s">
        <v>205</v>
      </c>
      <c r="AX1533" s="32" t="s">
        <v>3291</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65005104</v>
      </c>
      <c r="D1534" s="35" t="s">
        <v>3411</v>
      </c>
      <c r="E1534" s="35" t="s">
        <v>3412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95005104</v>
      </c>
      <c r="AU1534" s="32" t="s">
        <v>204</v>
      </c>
      <c r="AV1534" s="32"/>
      <c r="AW1534" s="35" t="s">
        <v>205</v>
      </c>
      <c r="AX1534" s="32" t="s">
        <v>3291</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65005105</v>
      </c>
      <c r="D1535" s="35" t="s">
        <v>3413</v>
      </c>
      <c r="E1535" s="35" t="s">
        <v>3414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95005105</v>
      </c>
      <c r="AU1535" s="32" t="s">
        <v>204</v>
      </c>
      <c r="AV1535" s="32"/>
      <c r="AW1535" s="35" t="s">
        <v>205</v>
      </c>
      <c r="AX1535" s="32" t="s">
        <v>3291</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65006001</v>
      </c>
      <c r="D1536" s="35" t="s">
        <v>3415</v>
      </c>
      <c r="E1536" s="35" t="s">
        <v>3416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341" t="s">
        <v>3417</v>
      </c>
      <c r="AU1536" s="32" t="s">
        <v>204</v>
      </c>
      <c r="AV1536" s="32"/>
      <c r="AW1536" s="35" t="s">
        <v>205</v>
      </c>
      <c r="AX1536" s="32" t="s">
        <v>3291</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65006002</v>
      </c>
      <c r="D1537" s="35" t="s">
        <v>3418</v>
      </c>
      <c r="E1537" s="35" t="s">
        <v>3419</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19">
        <v>95006021</v>
      </c>
      <c r="AU1537" s="32" t="s">
        <v>204</v>
      </c>
      <c r="AV1537" s="32"/>
      <c r="AW1537" s="35" t="s">
        <v>205</v>
      </c>
      <c r="AX1537" s="32" t="s">
        <v>3291</v>
      </c>
      <c r="AY1537" s="32">
        <v>0</v>
      </c>
      <c r="AZ1537" s="32">
        <v>40000003</v>
      </c>
      <c r="BA1537" s="35" t="s">
        <v>206</v>
      </c>
      <c r="BB1537" s="35" t="s">
        <v>204</v>
      </c>
      <c r="BC1537" s="31">
        <v>0</v>
      </c>
      <c r="BD1537" s="31">
        <v>0</v>
      </c>
      <c r="BE1537" s="60" t="s">
        <v>3420</v>
      </c>
      <c r="BF1537" s="60" t="s">
        <v>3421</v>
      </c>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65006003</v>
      </c>
      <c r="D1538" s="30" t="s">
        <v>3422</v>
      </c>
      <c r="E1538" s="30" t="s">
        <v>3423</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2.5</v>
      </c>
      <c r="Y1538" s="19">
        <v>0</v>
      </c>
      <c r="Z1538" s="21">
        <v>0</v>
      </c>
      <c r="AA1538" s="21">
        <v>1</v>
      </c>
      <c r="AB1538" s="21">
        <v>0</v>
      </c>
      <c r="AC1538" s="21">
        <v>0</v>
      </c>
      <c r="AD1538" s="21">
        <v>0</v>
      </c>
      <c r="AE1538" s="21">
        <v>0</v>
      </c>
      <c r="AF1538" s="21">
        <v>10</v>
      </c>
      <c r="AG1538" s="21">
        <v>1</v>
      </c>
      <c r="AH1538" s="21">
        <v>3</v>
      </c>
      <c r="AI1538" s="19">
        <v>2</v>
      </c>
      <c r="AJ1538" s="19">
        <v>1</v>
      </c>
      <c r="AK1538" s="19">
        <v>0</v>
      </c>
      <c r="AL1538" s="19">
        <v>6</v>
      </c>
      <c r="AM1538" s="21">
        <v>0</v>
      </c>
      <c r="AN1538" s="21">
        <v>0</v>
      </c>
      <c r="AO1538" s="21">
        <v>0</v>
      </c>
      <c r="AP1538" s="21">
        <v>0</v>
      </c>
      <c r="AQ1538" s="21">
        <v>1000</v>
      </c>
      <c r="AR1538" s="21">
        <v>0.5</v>
      </c>
      <c r="AS1538" s="21">
        <v>0</v>
      </c>
      <c r="AT1538" s="19">
        <v>0</v>
      </c>
      <c r="AU1538" s="21">
        <v>0</v>
      </c>
      <c r="AV1538" s="21"/>
      <c r="AW1538" s="35" t="s">
        <v>205</v>
      </c>
      <c r="AX1538" s="72" t="s">
        <v>221</v>
      </c>
      <c r="AY1538" s="32">
        <v>10000007</v>
      </c>
      <c r="AZ1538" s="32">
        <v>70203006</v>
      </c>
      <c r="BA1538" s="30" t="s">
        <v>206</v>
      </c>
      <c r="BB1538" s="21">
        <v>0</v>
      </c>
      <c r="BC1538" s="31">
        <v>0</v>
      </c>
      <c r="BD1538" s="31">
        <v>0</v>
      </c>
      <c r="BE1538" s="33" t="s">
        <v>3424</v>
      </c>
      <c r="BF1538" s="33" t="s">
        <v>3425</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65006004</v>
      </c>
      <c r="D1539" s="30" t="s">
        <v>3426</v>
      </c>
      <c r="E1539" s="30" t="s">
        <v>3427</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0.8</v>
      </c>
      <c r="Y1539" s="19">
        <v>0</v>
      </c>
      <c r="Z1539" s="21">
        <v>0</v>
      </c>
      <c r="AA1539" s="21">
        <v>1</v>
      </c>
      <c r="AB1539" s="21">
        <v>0</v>
      </c>
      <c r="AC1539" s="21">
        <v>0</v>
      </c>
      <c r="AD1539" s="21">
        <v>0</v>
      </c>
      <c r="AE1539" s="21">
        <v>0</v>
      </c>
      <c r="AF1539" s="21">
        <v>15</v>
      </c>
      <c r="AG1539" s="21">
        <v>1</v>
      </c>
      <c r="AH1539" s="21">
        <v>3</v>
      </c>
      <c r="AI1539" s="19">
        <v>2</v>
      </c>
      <c r="AJ1539" s="19">
        <v>1</v>
      </c>
      <c r="AK1539" s="19">
        <v>0</v>
      </c>
      <c r="AL1539" s="19">
        <v>6</v>
      </c>
      <c r="AM1539" s="21">
        <v>0</v>
      </c>
      <c r="AN1539" s="21">
        <v>0</v>
      </c>
      <c r="AO1539" s="21">
        <v>0</v>
      </c>
      <c r="AP1539" s="21">
        <v>0</v>
      </c>
      <c r="AQ1539" s="21">
        <v>6000</v>
      </c>
      <c r="AR1539" s="21">
        <v>0.5</v>
      </c>
      <c r="AS1539" s="21">
        <v>0</v>
      </c>
      <c r="AT1539" s="19">
        <v>0</v>
      </c>
      <c r="AU1539" s="21">
        <v>95006031</v>
      </c>
      <c r="AV1539" s="21"/>
      <c r="AW1539" s="35" t="s">
        <v>623</v>
      </c>
      <c r="AX1539" s="19" t="s">
        <v>1849</v>
      </c>
      <c r="AY1539" s="32">
        <v>10000007</v>
      </c>
      <c r="AZ1539" s="32">
        <v>70203007</v>
      </c>
      <c r="BA1539" s="35" t="s">
        <v>321</v>
      </c>
      <c r="BB1539" s="35" t="s">
        <v>377</v>
      </c>
      <c r="BC1539" s="31">
        <v>0</v>
      </c>
      <c r="BD1539" s="31">
        <v>0</v>
      </c>
      <c r="BE1539" s="33" t="s">
        <v>3428</v>
      </c>
      <c r="BF1539" s="33" t="s">
        <v>3429</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66001001</v>
      </c>
      <c r="D1540" s="35" t="s">
        <v>387</v>
      </c>
      <c r="E1540" s="35" t="s">
        <v>388</v>
      </c>
      <c r="F1540" s="32">
        <v>1</v>
      </c>
      <c r="G1540" s="32">
        <v>66001001</v>
      </c>
      <c r="H1540" s="32">
        <v>0</v>
      </c>
      <c r="I1540" s="31">
        <v>0</v>
      </c>
      <c r="J1540" s="32">
        <v>1</v>
      </c>
      <c r="K1540" s="32">
        <v>0</v>
      </c>
      <c r="L1540" s="32">
        <v>0</v>
      </c>
      <c r="M1540" s="32">
        <v>0</v>
      </c>
      <c r="N1540" s="32">
        <v>0</v>
      </c>
      <c r="O1540" s="32">
        <v>1</v>
      </c>
      <c r="P1540" s="32">
        <v>0</v>
      </c>
      <c r="Q1540" s="32">
        <v>0</v>
      </c>
      <c r="R1540" s="32">
        <v>0</v>
      </c>
      <c r="S1540" s="19">
        <v>0</v>
      </c>
      <c r="T1540" s="31">
        <v>0</v>
      </c>
      <c r="U1540" s="21">
        <v>1</v>
      </c>
      <c r="V1540" s="32">
        <v>2</v>
      </c>
      <c r="W1540" s="32">
        <v>0</v>
      </c>
      <c r="X1540" s="32">
        <v>0</v>
      </c>
      <c r="Y1540" s="19">
        <v>0</v>
      </c>
      <c r="Z1540" s="32">
        <v>0</v>
      </c>
      <c r="AA1540" s="32">
        <v>0</v>
      </c>
      <c r="AB1540" s="32">
        <v>0</v>
      </c>
      <c r="AC1540" s="32">
        <v>0</v>
      </c>
      <c r="AD1540" s="32">
        <v>0</v>
      </c>
      <c r="AE1540" s="32">
        <v>0</v>
      </c>
      <c r="AF1540" s="32">
        <v>18</v>
      </c>
      <c r="AG1540" s="32">
        <v>0</v>
      </c>
      <c r="AH1540" s="32">
        <v>0</v>
      </c>
      <c r="AI1540" s="19">
        <v>2</v>
      </c>
      <c r="AJ1540" s="19">
        <v>0</v>
      </c>
      <c r="AK1540" s="19">
        <v>0</v>
      </c>
      <c r="AL1540" s="19">
        <v>0</v>
      </c>
      <c r="AM1540" s="32">
        <v>0</v>
      </c>
      <c r="AN1540" s="32">
        <v>0</v>
      </c>
      <c r="AO1540" s="32">
        <v>0</v>
      </c>
      <c r="AP1540" s="32">
        <v>0</v>
      </c>
      <c r="AQ1540" s="32">
        <v>1000</v>
      </c>
      <c r="AR1540" s="32">
        <v>0</v>
      </c>
      <c r="AS1540" s="32">
        <v>0</v>
      </c>
      <c r="AT1540" s="19" t="s">
        <v>3430</v>
      </c>
      <c r="AU1540" s="32" t="s">
        <v>204</v>
      </c>
      <c r="AV1540" s="32"/>
      <c r="AW1540" s="35" t="s">
        <v>205</v>
      </c>
      <c r="AX1540" s="32" t="s">
        <v>3291</v>
      </c>
      <c r="AY1540" s="32">
        <v>0</v>
      </c>
      <c r="AZ1540" s="32">
        <v>66001001</v>
      </c>
      <c r="BA1540" s="35" t="s">
        <v>206</v>
      </c>
      <c r="BB1540" s="35" t="s">
        <v>204</v>
      </c>
      <c r="BC1540" s="31">
        <v>0</v>
      </c>
      <c r="BD1540" s="31">
        <v>0</v>
      </c>
      <c r="BE1540" s="60" t="s">
        <v>3431</v>
      </c>
      <c r="BF1540" s="60" t="s">
        <v>3432</v>
      </c>
      <c r="BG1540" s="32">
        <v>0</v>
      </c>
      <c r="BH1540" s="21">
        <v>0</v>
      </c>
      <c r="BI1540" s="32">
        <v>0</v>
      </c>
      <c r="BJ1540" s="32">
        <v>0</v>
      </c>
      <c r="BK1540" s="32">
        <v>0</v>
      </c>
      <c r="BL1540" s="32">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66001002</v>
      </c>
      <c r="D1541" s="35" t="s">
        <v>3433</v>
      </c>
      <c r="E1541" s="35" t="s">
        <v>3434</v>
      </c>
      <c r="F1541" s="21">
        <v>1</v>
      </c>
      <c r="G1541" s="32">
        <v>66001002</v>
      </c>
      <c r="H1541" s="32">
        <v>0</v>
      </c>
      <c r="I1541" s="31">
        <v>0</v>
      </c>
      <c r="J1541" s="32">
        <v>1</v>
      </c>
      <c r="K1541" s="32">
        <v>0</v>
      </c>
      <c r="L1541" s="21">
        <v>0</v>
      </c>
      <c r="M1541" s="32">
        <v>0</v>
      </c>
      <c r="N1541" s="32">
        <v>0</v>
      </c>
      <c r="O1541" s="32">
        <v>1</v>
      </c>
      <c r="P1541" s="32">
        <v>0</v>
      </c>
      <c r="Q1541" s="32">
        <v>0</v>
      </c>
      <c r="R1541" s="32">
        <v>0</v>
      </c>
      <c r="S1541" s="19">
        <v>0</v>
      </c>
      <c r="T1541" s="31">
        <v>0</v>
      </c>
      <c r="U1541" s="21">
        <v>1</v>
      </c>
      <c r="V1541" s="32">
        <v>2</v>
      </c>
      <c r="W1541" s="32">
        <v>0</v>
      </c>
      <c r="X1541" s="32">
        <v>0.75</v>
      </c>
      <c r="Y1541" s="19">
        <v>0</v>
      </c>
      <c r="Z1541" s="32">
        <v>0</v>
      </c>
      <c r="AA1541" s="32">
        <v>0</v>
      </c>
      <c r="AB1541" s="32">
        <v>0</v>
      </c>
      <c r="AC1541" s="32">
        <v>0</v>
      </c>
      <c r="AD1541" s="32">
        <v>0</v>
      </c>
      <c r="AE1541" s="32">
        <v>0</v>
      </c>
      <c r="AF1541" s="32">
        <v>24</v>
      </c>
      <c r="AG1541" s="32">
        <v>1</v>
      </c>
      <c r="AH1541" s="32">
        <v>4</v>
      </c>
      <c r="AI1541" s="19">
        <v>2</v>
      </c>
      <c r="AJ1541" s="19">
        <v>1</v>
      </c>
      <c r="AK1541" s="19">
        <v>0</v>
      </c>
      <c r="AL1541" s="19">
        <v>6</v>
      </c>
      <c r="AM1541" s="32">
        <v>0</v>
      </c>
      <c r="AN1541" s="32">
        <v>0</v>
      </c>
      <c r="AO1541" s="32">
        <v>0</v>
      </c>
      <c r="AP1541" s="32">
        <v>0.5</v>
      </c>
      <c r="AQ1541" s="32">
        <v>9000</v>
      </c>
      <c r="AR1541" s="32">
        <v>0.5</v>
      </c>
      <c r="AS1541" s="32">
        <v>0</v>
      </c>
      <c r="AT1541" s="19">
        <v>0</v>
      </c>
      <c r="AU1541" s="32" t="s">
        <v>204</v>
      </c>
      <c r="AV1541" s="32"/>
      <c r="AW1541" s="35" t="s">
        <v>1711</v>
      </c>
      <c r="AX1541" s="32" t="s">
        <v>1414</v>
      </c>
      <c r="AY1541" s="32">
        <v>10002001</v>
      </c>
      <c r="AZ1541" s="32">
        <v>66001002</v>
      </c>
      <c r="BA1541" s="35" t="s">
        <v>321</v>
      </c>
      <c r="BB1541" s="35" t="s">
        <v>377</v>
      </c>
      <c r="BC1541" s="31">
        <v>0</v>
      </c>
      <c r="BD1541" s="31">
        <v>0</v>
      </c>
      <c r="BE1541" s="60" t="s">
        <v>3435</v>
      </c>
      <c r="BF1541" s="60" t="s">
        <v>3436</v>
      </c>
      <c r="BG1541" s="32">
        <v>0</v>
      </c>
      <c r="BH1541" s="21">
        <v>0</v>
      </c>
      <c r="BI1541" s="32">
        <v>0</v>
      </c>
      <c r="BJ1541" s="32">
        <v>0</v>
      </c>
      <c r="BK1541" s="32">
        <v>0</v>
      </c>
      <c r="BL1541" s="32">
        <v>0</v>
      </c>
      <c r="BM1541" s="25">
        <v>0</v>
      </c>
      <c r="BN1541" s="19">
        <v>0</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66001003</v>
      </c>
      <c r="D1542" s="35" t="s">
        <v>3437</v>
      </c>
      <c r="E1542" s="35" t="s">
        <v>3438</v>
      </c>
      <c r="F1542" s="32">
        <v>1</v>
      </c>
      <c r="G1542" s="32">
        <v>66001003</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96001003</v>
      </c>
      <c r="AU1542" s="32" t="s">
        <v>204</v>
      </c>
      <c r="AV1542" s="32"/>
      <c r="AW1542" s="35" t="s">
        <v>205</v>
      </c>
      <c r="AX1542" s="32" t="s">
        <v>3291</v>
      </c>
      <c r="AY1542" s="32">
        <v>0</v>
      </c>
      <c r="AZ1542" s="32">
        <v>66001003</v>
      </c>
      <c r="BA1542" s="35" t="s">
        <v>206</v>
      </c>
      <c r="BB1542" s="35" t="s">
        <v>204</v>
      </c>
      <c r="BC1542" s="31">
        <v>0</v>
      </c>
      <c r="BD1542" s="31">
        <v>0</v>
      </c>
      <c r="BE1542" s="60" t="s">
        <v>3439</v>
      </c>
      <c r="BF1542" s="60" t="s">
        <v>3440</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66001004</v>
      </c>
      <c r="D1543" s="35" t="s">
        <v>3441</v>
      </c>
      <c r="E1543" s="35" t="s">
        <v>3442</v>
      </c>
      <c r="F1543" s="32">
        <v>1</v>
      </c>
      <c r="G1543" s="32">
        <v>66001004</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96001004</v>
      </c>
      <c r="AU1543" s="32" t="s">
        <v>204</v>
      </c>
      <c r="AV1543" s="32"/>
      <c r="AW1543" s="35" t="s">
        <v>205</v>
      </c>
      <c r="AX1543" s="32" t="s">
        <v>3291</v>
      </c>
      <c r="AY1543" s="32">
        <v>0</v>
      </c>
      <c r="AZ1543" s="32">
        <v>66001004</v>
      </c>
      <c r="BA1543" s="35" t="s">
        <v>206</v>
      </c>
      <c r="BB1543" s="35" t="s">
        <v>204</v>
      </c>
      <c r="BC1543" s="31">
        <v>0</v>
      </c>
      <c r="BD1543" s="31">
        <v>0</v>
      </c>
      <c r="BE1543" s="60" t="s">
        <v>3443</v>
      </c>
      <c r="BF1543" s="60" t="s">
        <v>3444</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19">
        <v>66001005</v>
      </c>
      <c r="D1544" s="20" t="s">
        <v>3445</v>
      </c>
      <c r="E1544" s="20" t="s">
        <v>3446</v>
      </c>
      <c r="F1544" s="19">
        <v>1</v>
      </c>
      <c r="G1544" s="19">
        <v>66001005</v>
      </c>
      <c r="H1544" s="19">
        <v>0</v>
      </c>
      <c r="I1544" s="19">
        <v>0</v>
      </c>
      <c r="J1544" s="32">
        <v>1</v>
      </c>
      <c r="K1544" s="32">
        <v>0</v>
      </c>
      <c r="L1544" s="19">
        <v>0</v>
      </c>
      <c r="M1544" s="19">
        <v>0</v>
      </c>
      <c r="N1544" s="19">
        <v>0</v>
      </c>
      <c r="O1544" s="19">
        <v>1</v>
      </c>
      <c r="P1544" s="19">
        <v>0</v>
      </c>
      <c r="Q1544" s="19">
        <v>0</v>
      </c>
      <c r="R1544" s="19">
        <v>0</v>
      </c>
      <c r="S1544" s="19">
        <v>0</v>
      </c>
      <c r="T1544" s="19">
        <v>0</v>
      </c>
      <c r="U1544" s="21">
        <v>1</v>
      </c>
      <c r="V1544" s="19">
        <v>2</v>
      </c>
      <c r="W1544" s="19">
        <v>0</v>
      </c>
      <c r="X1544" s="19">
        <v>0</v>
      </c>
      <c r="Y1544" s="19">
        <v>0</v>
      </c>
      <c r="Z1544" s="19">
        <v>0</v>
      </c>
      <c r="AA1544" s="19">
        <v>1</v>
      </c>
      <c r="AB1544" s="19">
        <v>0</v>
      </c>
      <c r="AC1544" s="19">
        <v>0</v>
      </c>
      <c r="AD1544" s="32">
        <v>0</v>
      </c>
      <c r="AE1544" s="19">
        <v>0</v>
      </c>
      <c r="AF1544" s="19">
        <v>18</v>
      </c>
      <c r="AG1544" s="19">
        <v>1</v>
      </c>
      <c r="AH1544" s="19">
        <v>3</v>
      </c>
      <c r="AI1544" s="19">
        <v>2</v>
      </c>
      <c r="AJ1544" s="19">
        <v>0</v>
      </c>
      <c r="AK1544" s="19">
        <v>1</v>
      </c>
      <c r="AL1544" s="19">
        <v>1.6</v>
      </c>
      <c r="AM1544" s="19">
        <v>0</v>
      </c>
      <c r="AN1544" s="19">
        <v>0</v>
      </c>
      <c r="AO1544" s="19">
        <v>0</v>
      </c>
      <c r="AP1544" s="19">
        <v>0.25</v>
      </c>
      <c r="AQ1544" s="19">
        <v>3000</v>
      </c>
      <c r="AR1544" s="19">
        <v>0.1</v>
      </c>
      <c r="AS1544" s="19">
        <v>0</v>
      </c>
      <c r="AT1544" s="19">
        <v>0</v>
      </c>
      <c r="AU1544" s="19">
        <v>96001005</v>
      </c>
      <c r="AV1544" s="19"/>
      <c r="AW1544" s="20" t="s">
        <v>262</v>
      </c>
      <c r="AX1544" s="32" t="s">
        <v>3291</v>
      </c>
      <c r="AY1544" s="19" t="s">
        <v>204</v>
      </c>
      <c r="AZ1544" s="19">
        <v>66001005</v>
      </c>
      <c r="BA1544" s="20" t="s">
        <v>206</v>
      </c>
      <c r="BB1544" s="19">
        <v>0</v>
      </c>
      <c r="BC1544" s="19">
        <v>0</v>
      </c>
      <c r="BD1544" s="19">
        <v>0</v>
      </c>
      <c r="BE1544" s="22" t="s">
        <v>3447</v>
      </c>
      <c r="BF1544" s="22" t="s">
        <v>3448</v>
      </c>
      <c r="BG1544" s="19">
        <v>0</v>
      </c>
      <c r="BH1544" s="21">
        <v>0</v>
      </c>
      <c r="BI1544" s="19">
        <v>0</v>
      </c>
      <c r="BJ1544" s="19">
        <v>0</v>
      </c>
      <c r="BK1544" s="19">
        <v>0</v>
      </c>
      <c r="BL1544" s="19">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66001006</v>
      </c>
      <c r="D1545" s="35" t="s">
        <v>3449</v>
      </c>
      <c r="E1545" s="35" t="s">
        <v>3450</v>
      </c>
      <c r="F1545" s="32">
        <v>1</v>
      </c>
      <c r="G1545" s="32">
        <v>66001006</v>
      </c>
      <c r="H1545" s="32">
        <v>0</v>
      </c>
      <c r="I1545" s="31">
        <v>0</v>
      </c>
      <c r="J1545" s="32">
        <v>1</v>
      </c>
      <c r="K1545" s="32">
        <v>0</v>
      </c>
      <c r="L1545" s="32">
        <v>0</v>
      </c>
      <c r="M1545" s="32">
        <v>0</v>
      </c>
      <c r="N1545" s="32">
        <v>0</v>
      </c>
      <c r="O1545" s="32">
        <v>1</v>
      </c>
      <c r="P1545" s="32">
        <v>0</v>
      </c>
      <c r="Q1545" s="32">
        <v>0</v>
      </c>
      <c r="R1545" s="32">
        <v>0</v>
      </c>
      <c r="S1545" s="19">
        <v>0</v>
      </c>
      <c r="T1545" s="31">
        <v>0</v>
      </c>
      <c r="U1545" s="21">
        <v>1</v>
      </c>
      <c r="V1545" s="32">
        <v>2</v>
      </c>
      <c r="W1545" s="32">
        <v>0</v>
      </c>
      <c r="X1545" s="32">
        <v>0</v>
      </c>
      <c r="Y1545" s="19">
        <v>0</v>
      </c>
      <c r="Z1545" s="32">
        <v>0</v>
      </c>
      <c r="AA1545" s="32">
        <v>0</v>
      </c>
      <c r="AB1545" s="32">
        <v>0</v>
      </c>
      <c r="AC1545" s="32">
        <v>0</v>
      </c>
      <c r="AD1545" s="32">
        <v>0</v>
      </c>
      <c r="AE1545" s="32">
        <v>0</v>
      </c>
      <c r="AF1545" s="32">
        <v>18</v>
      </c>
      <c r="AG1545" s="32">
        <v>0</v>
      </c>
      <c r="AH1545" s="32">
        <v>0</v>
      </c>
      <c r="AI1545" s="19">
        <v>2</v>
      </c>
      <c r="AJ1545" s="19">
        <v>0</v>
      </c>
      <c r="AK1545" s="19">
        <v>0</v>
      </c>
      <c r="AL1545" s="19">
        <v>0</v>
      </c>
      <c r="AM1545" s="32">
        <v>0</v>
      </c>
      <c r="AN1545" s="32">
        <v>0</v>
      </c>
      <c r="AO1545" s="32">
        <v>0</v>
      </c>
      <c r="AP1545" s="32">
        <v>0</v>
      </c>
      <c r="AQ1545" s="32">
        <v>1000</v>
      </c>
      <c r="AR1545" s="32">
        <v>0</v>
      </c>
      <c r="AS1545" s="32">
        <v>0</v>
      </c>
      <c r="AT1545" s="19">
        <v>96001006</v>
      </c>
      <c r="AU1545" s="32" t="s">
        <v>204</v>
      </c>
      <c r="AV1545" s="32"/>
      <c r="AW1545" s="35" t="s">
        <v>205</v>
      </c>
      <c r="AX1545" s="32" t="s">
        <v>3291</v>
      </c>
      <c r="AY1545" s="32">
        <v>0</v>
      </c>
      <c r="AZ1545" s="32">
        <v>66001006</v>
      </c>
      <c r="BA1545" s="35" t="s">
        <v>206</v>
      </c>
      <c r="BB1545" s="35" t="s">
        <v>204</v>
      </c>
      <c r="BC1545" s="31">
        <v>0</v>
      </c>
      <c r="BD1545" s="31">
        <v>0</v>
      </c>
      <c r="BE1545" s="60" t="s">
        <v>3451</v>
      </c>
      <c r="BF1545" s="60" t="s">
        <v>3452</v>
      </c>
      <c r="BG1545" s="32">
        <v>0</v>
      </c>
      <c r="BH1545" s="21">
        <v>0</v>
      </c>
      <c r="BI1545" s="32">
        <v>0</v>
      </c>
      <c r="BJ1545" s="32">
        <v>0</v>
      </c>
      <c r="BK1545" s="32">
        <v>0</v>
      </c>
      <c r="BL1545" s="32">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66001007</v>
      </c>
      <c r="D1546" s="20" t="s">
        <v>3453</v>
      </c>
      <c r="E1546" s="20" t="s">
        <v>3454</v>
      </c>
      <c r="F1546" s="32">
        <v>1</v>
      </c>
      <c r="G1546" s="32">
        <v>66001007</v>
      </c>
      <c r="H1546" s="19">
        <v>0</v>
      </c>
      <c r="I1546" s="19">
        <v>0</v>
      </c>
      <c r="J1546" s="32">
        <v>1</v>
      </c>
      <c r="K1546" s="32">
        <v>0</v>
      </c>
      <c r="L1546" s="19">
        <v>0</v>
      </c>
      <c r="M1546" s="19">
        <v>0</v>
      </c>
      <c r="N1546" s="19">
        <v>0</v>
      </c>
      <c r="O1546" s="19">
        <v>1</v>
      </c>
      <c r="P1546" s="19">
        <v>0</v>
      </c>
      <c r="Q1546" s="19">
        <v>0</v>
      </c>
      <c r="R1546" s="19">
        <v>0</v>
      </c>
      <c r="S1546" s="19">
        <v>0</v>
      </c>
      <c r="T1546" s="19">
        <v>0</v>
      </c>
      <c r="U1546" s="21">
        <v>1</v>
      </c>
      <c r="V1546" s="19">
        <v>2</v>
      </c>
      <c r="W1546" s="19">
        <v>0</v>
      </c>
      <c r="X1546" s="19">
        <v>2.75</v>
      </c>
      <c r="Y1546" s="19">
        <v>0</v>
      </c>
      <c r="Z1546" s="19">
        <v>0</v>
      </c>
      <c r="AA1546" s="19">
        <v>0</v>
      </c>
      <c r="AB1546" s="19">
        <v>0</v>
      </c>
      <c r="AC1546" s="19">
        <v>0</v>
      </c>
      <c r="AD1546" s="32">
        <v>0</v>
      </c>
      <c r="AE1546" s="19">
        <v>0</v>
      </c>
      <c r="AF1546" s="19">
        <v>15</v>
      </c>
      <c r="AG1546" s="19">
        <v>0</v>
      </c>
      <c r="AH1546" s="19">
        <v>0</v>
      </c>
      <c r="AI1546" s="19">
        <v>7</v>
      </c>
      <c r="AJ1546" s="19">
        <v>0</v>
      </c>
      <c r="AK1546" s="19">
        <v>0</v>
      </c>
      <c r="AL1546" s="19">
        <v>6</v>
      </c>
      <c r="AM1546" s="19">
        <v>0</v>
      </c>
      <c r="AN1546" s="19">
        <v>0</v>
      </c>
      <c r="AO1546" s="19">
        <v>0</v>
      </c>
      <c r="AP1546" s="19">
        <v>0.25</v>
      </c>
      <c r="AQ1546" s="19">
        <v>1000</v>
      </c>
      <c r="AR1546" s="19">
        <v>0</v>
      </c>
      <c r="AS1546" s="19">
        <v>0</v>
      </c>
      <c r="AT1546" s="19">
        <v>0</v>
      </c>
      <c r="AU1546" s="19" t="s">
        <v>204</v>
      </c>
      <c r="AV1546" s="19"/>
      <c r="AW1546" s="20" t="s">
        <v>262</v>
      </c>
      <c r="AX1546" s="19" t="s">
        <v>1849</v>
      </c>
      <c r="AY1546" s="19" t="s">
        <v>204</v>
      </c>
      <c r="AZ1546" s="19" t="s">
        <v>2081</v>
      </c>
      <c r="BA1546" s="20" t="s">
        <v>206</v>
      </c>
      <c r="BB1546" s="19">
        <v>0</v>
      </c>
      <c r="BC1546" s="31">
        <v>0</v>
      </c>
      <c r="BD1546" s="31">
        <v>0</v>
      </c>
      <c r="BE1546" s="22" t="s">
        <v>3455</v>
      </c>
      <c r="BF1546" s="22" t="s">
        <v>3456</v>
      </c>
      <c r="BG1546" s="19">
        <v>0</v>
      </c>
      <c r="BH1546" s="21">
        <v>0</v>
      </c>
      <c r="BI1546" s="19">
        <v>0</v>
      </c>
      <c r="BJ1546" s="19">
        <v>0</v>
      </c>
      <c r="BK1546" s="19">
        <v>0</v>
      </c>
      <c r="BL1546" s="19">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66001008</v>
      </c>
      <c r="D1547" s="35" t="s">
        <v>3457</v>
      </c>
      <c r="E1547" s="35" t="s">
        <v>3458</v>
      </c>
      <c r="F1547" s="21">
        <v>1</v>
      </c>
      <c r="G1547" s="32">
        <v>66001008</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2.5</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t="s">
        <v>204</v>
      </c>
      <c r="AV1547" s="32"/>
      <c r="AW1547" s="35" t="s">
        <v>1701</v>
      </c>
      <c r="AX1547" s="32" t="s">
        <v>1702</v>
      </c>
      <c r="AY1547" s="32">
        <v>10000006</v>
      </c>
      <c r="AZ1547" s="32">
        <v>66001008</v>
      </c>
      <c r="BA1547" s="35" t="s">
        <v>206</v>
      </c>
      <c r="BB1547" s="35">
        <v>0</v>
      </c>
      <c r="BC1547" s="31">
        <v>0</v>
      </c>
      <c r="BD1547" s="31">
        <v>0</v>
      </c>
      <c r="BE1547" s="60" t="s">
        <v>3459</v>
      </c>
      <c r="BF1547" s="60" t="s">
        <v>3460</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66001009</v>
      </c>
      <c r="D1548" s="35" t="s">
        <v>3461</v>
      </c>
      <c r="E1548" s="35" t="s">
        <v>3462</v>
      </c>
      <c r="F1548" s="21">
        <v>1</v>
      </c>
      <c r="G1548" s="32">
        <v>66001009</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v>96001009</v>
      </c>
      <c r="AV1548" s="32"/>
      <c r="AW1548" s="35" t="s">
        <v>1701</v>
      </c>
      <c r="AX1548" s="32" t="s">
        <v>1702</v>
      </c>
      <c r="AY1548" s="32">
        <v>10000006</v>
      </c>
      <c r="AZ1548" s="32">
        <v>66001009</v>
      </c>
      <c r="BA1548" s="35" t="s">
        <v>206</v>
      </c>
      <c r="BB1548" s="35">
        <v>0</v>
      </c>
      <c r="BC1548" s="31">
        <v>0</v>
      </c>
      <c r="BD1548" s="31">
        <v>0</v>
      </c>
      <c r="BE1548" s="60" t="s">
        <v>3463</v>
      </c>
      <c r="BF1548" s="60" t="s">
        <v>3464</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66001010</v>
      </c>
      <c r="D1549" s="35" t="s">
        <v>913</v>
      </c>
      <c r="E1549" s="35" t="s">
        <v>388</v>
      </c>
      <c r="F1549" s="32">
        <v>1</v>
      </c>
      <c r="G1549" s="32">
        <v>66001010</v>
      </c>
      <c r="H1549" s="32">
        <v>0</v>
      </c>
      <c r="I1549" s="31">
        <v>0</v>
      </c>
      <c r="J1549" s="32">
        <v>1</v>
      </c>
      <c r="K1549" s="32">
        <v>0</v>
      </c>
      <c r="L1549" s="32">
        <v>0</v>
      </c>
      <c r="M1549" s="32">
        <v>0</v>
      </c>
      <c r="N1549" s="32">
        <v>0</v>
      </c>
      <c r="O1549" s="32">
        <v>1</v>
      </c>
      <c r="P1549" s="32">
        <v>0</v>
      </c>
      <c r="Q1549" s="32">
        <v>0</v>
      </c>
      <c r="R1549" s="32">
        <v>0</v>
      </c>
      <c r="S1549" s="19">
        <v>0</v>
      </c>
      <c r="T1549" s="31">
        <v>0</v>
      </c>
      <c r="U1549" s="21">
        <v>1</v>
      </c>
      <c r="V1549" s="32">
        <v>2</v>
      </c>
      <c r="W1549" s="32">
        <v>0</v>
      </c>
      <c r="X1549" s="32">
        <v>0</v>
      </c>
      <c r="Y1549" s="19">
        <v>0</v>
      </c>
      <c r="Z1549" s="32">
        <v>0</v>
      </c>
      <c r="AA1549" s="32">
        <v>0</v>
      </c>
      <c r="AB1549" s="32">
        <v>0</v>
      </c>
      <c r="AC1549" s="32">
        <v>0</v>
      </c>
      <c r="AD1549" s="32">
        <v>0</v>
      </c>
      <c r="AE1549" s="32">
        <v>0</v>
      </c>
      <c r="AF1549" s="32">
        <v>18</v>
      </c>
      <c r="AG1549" s="32">
        <v>0</v>
      </c>
      <c r="AH1549" s="32">
        <v>0</v>
      </c>
      <c r="AI1549" s="19">
        <v>2</v>
      </c>
      <c r="AJ1549" s="19">
        <v>0</v>
      </c>
      <c r="AK1549" s="19">
        <v>0</v>
      </c>
      <c r="AL1549" s="19">
        <v>0</v>
      </c>
      <c r="AM1549" s="32">
        <v>0</v>
      </c>
      <c r="AN1549" s="32">
        <v>0</v>
      </c>
      <c r="AO1549" s="32">
        <v>0</v>
      </c>
      <c r="AP1549" s="32">
        <v>0</v>
      </c>
      <c r="AQ1549" s="32">
        <v>1000</v>
      </c>
      <c r="AR1549" s="32">
        <v>0</v>
      </c>
      <c r="AS1549" s="32">
        <v>0</v>
      </c>
      <c r="AT1549" s="19">
        <v>96001010</v>
      </c>
      <c r="AU1549" s="32" t="s">
        <v>204</v>
      </c>
      <c r="AV1549" s="32"/>
      <c r="AW1549" s="35" t="s">
        <v>205</v>
      </c>
      <c r="AX1549" s="32" t="s">
        <v>3291</v>
      </c>
      <c r="AY1549" s="32">
        <v>0</v>
      </c>
      <c r="AZ1549" s="32">
        <v>66001010</v>
      </c>
      <c r="BA1549" s="35" t="s">
        <v>206</v>
      </c>
      <c r="BB1549" s="35" t="s">
        <v>204</v>
      </c>
      <c r="BC1549" s="31">
        <v>0</v>
      </c>
      <c r="BD1549" s="31">
        <v>0</v>
      </c>
      <c r="BE1549" s="60" t="s">
        <v>3465</v>
      </c>
      <c r="BF1549" s="60" t="s">
        <v>3466</v>
      </c>
      <c r="BG1549" s="32">
        <v>0</v>
      </c>
      <c r="BH1549" s="21">
        <v>0</v>
      </c>
      <c r="BI1549" s="32">
        <v>0</v>
      </c>
      <c r="BJ1549" s="32">
        <v>0</v>
      </c>
      <c r="BK1549" s="32">
        <v>0</v>
      </c>
      <c r="BL1549" s="32">
        <v>0</v>
      </c>
      <c r="BM1549" s="25">
        <v>0</v>
      </c>
      <c r="BN1549" s="19">
        <v>1</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66001011</v>
      </c>
      <c r="D1550" s="30" t="s">
        <v>3467</v>
      </c>
      <c r="E1550" s="30" t="s">
        <v>3468</v>
      </c>
      <c r="F1550" s="21">
        <v>1</v>
      </c>
      <c r="G1550" s="32">
        <v>66001011</v>
      </c>
      <c r="H1550" s="21">
        <v>0</v>
      </c>
      <c r="I1550" s="31">
        <v>0</v>
      </c>
      <c r="J1550" s="32">
        <v>1</v>
      </c>
      <c r="K1550" s="32">
        <v>0</v>
      </c>
      <c r="L1550" s="21">
        <v>0</v>
      </c>
      <c r="M1550" s="21">
        <v>0</v>
      </c>
      <c r="N1550" s="21">
        <v>0</v>
      </c>
      <c r="O1550" s="21">
        <v>1</v>
      </c>
      <c r="P1550" s="21">
        <v>0</v>
      </c>
      <c r="Q1550" s="21">
        <v>0</v>
      </c>
      <c r="R1550" s="21">
        <v>0</v>
      </c>
      <c r="S1550" s="19">
        <v>0</v>
      </c>
      <c r="T1550" s="21">
        <v>0</v>
      </c>
      <c r="U1550" s="21">
        <v>1</v>
      </c>
      <c r="V1550" s="21">
        <v>2</v>
      </c>
      <c r="W1550" s="21">
        <v>0</v>
      </c>
      <c r="X1550" s="21">
        <v>3</v>
      </c>
      <c r="Y1550" s="19">
        <v>0</v>
      </c>
      <c r="Z1550" s="21">
        <v>0</v>
      </c>
      <c r="AA1550" s="21">
        <v>0</v>
      </c>
      <c r="AB1550" s="21">
        <v>0</v>
      </c>
      <c r="AC1550" s="21">
        <v>0</v>
      </c>
      <c r="AD1550" s="32">
        <v>0</v>
      </c>
      <c r="AE1550" s="21">
        <v>0</v>
      </c>
      <c r="AF1550" s="21">
        <v>18</v>
      </c>
      <c r="AG1550" s="21">
        <v>2</v>
      </c>
      <c r="AH1550" s="21" t="s">
        <v>1651</v>
      </c>
      <c r="AI1550" s="19">
        <v>2</v>
      </c>
      <c r="AJ1550" s="19">
        <v>2</v>
      </c>
      <c r="AK1550" s="19">
        <v>0</v>
      </c>
      <c r="AL1550" s="19">
        <v>1.5</v>
      </c>
      <c r="AM1550" s="21">
        <v>0</v>
      </c>
      <c r="AN1550" s="21">
        <v>0</v>
      </c>
      <c r="AO1550" s="21">
        <v>0</v>
      </c>
      <c r="AP1550" s="21">
        <v>0.25</v>
      </c>
      <c r="AQ1550" s="21">
        <v>3000</v>
      </c>
      <c r="AR1550" s="21">
        <v>0.25</v>
      </c>
      <c r="AS1550" s="21">
        <v>0</v>
      </c>
      <c r="AT1550" s="19">
        <v>0</v>
      </c>
      <c r="AU1550" s="21" t="s">
        <v>204</v>
      </c>
      <c r="AV1550" s="21"/>
      <c r="AW1550" s="30" t="s">
        <v>293</v>
      </c>
      <c r="AX1550" s="21" t="s">
        <v>1652</v>
      </c>
      <c r="AY1550" s="32">
        <v>10001007</v>
      </c>
      <c r="AZ1550" s="32">
        <v>66001011</v>
      </c>
      <c r="BA1550" s="30" t="s">
        <v>206</v>
      </c>
      <c r="BB1550" s="21">
        <v>0</v>
      </c>
      <c r="BC1550" s="31">
        <v>0</v>
      </c>
      <c r="BD1550" s="31">
        <v>0</v>
      </c>
      <c r="BE1550" s="33" t="s">
        <v>3469</v>
      </c>
      <c r="BF1550" s="33" t="s">
        <v>3470</v>
      </c>
      <c r="BG1550" s="21">
        <v>0</v>
      </c>
      <c r="BH1550" s="21">
        <v>0</v>
      </c>
      <c r="BI1550" s="21">
        <v>0</v>
      </c>
      <c r="BJ1550" s="21">
        <v>0</v>
      </c>
      <c r="BK1550" s="21">
        <v>0</v>
      </c>
      <c r="BL1550" s="21">
        <v>0</v>
      </c>
      <c r="BM1550" s="25">
        <v>0</v>
      </c>
      <c r="BN1550" s="19">
        <v>0</v>
      </c>
      <c r="BO1550" s="19">
        <v>0</v>
      </c>
      <c r="BP1550" s="19">
        <v>0</v>
      </c>
      <c r="BQ1550" s="19">
        <v>0</v>
      </c>
      <c r="BR1550" s="19">
        <v>0</v>
      </c>
      <c r="BS1550" s="19">
        <v>0</v>
      </c>
      <c r="BT1550" s="19">
        <v>0</v>
      </c>
      <c r="BU1550" s="23">
        <v>0</v>
      </c>
      <c r="BV1550" s="23"/>
      <c r="BW1550" s="23"/>
      <c r="BX1550" s="23"/>
      <c r="BY1550" s="23"/>
      <c r="BZ1550" s="23"/>
    </row>
    <row r="1551" spans="3:78" ht="19.5" customHeight="1">
      <c r="C1551" s="74">
        <v>66001012</v>
      </c>
      <c r="D1551" s="88" t="s">
        <v>957</v>
      </c>
      <c r="E1551" s="88" t="s">
        <v>958</v>
      </c>
      <c r="F1551" s="72">
        <v>1</v>
      </c>
      <c r="G1551" s="74">
        <v>66001012</v>
      </c>
      <c r="H1551" s="74">
        <v>0</v>
      </c>
      <c r="I1551" s="75">
        <v>0</v>
      </c>
      <c r="J1551" s="74">
        <v>1</v>
      </c>
      <c r="K1551" s="74">
        <v>0</v>
      </c>
      <c r="L1551" s="72">
        <v>0</v>
      </c>
      <c r="M1551" s="74">
        <v>0</v>
      </c>
      <c r="N1551" s="74">
        <v>0</v>
      </c>
      <c r="O1551" s="74">
        <v>1</v>
      </c>
      <c r="P1551" s="74">
        <v>0</v>
      </c>
      <c r="Q1551" s="74">
        <v>0</v>
      </c>
      <c r="R1551" s="74">
        <v>0</v>
      </c>
      <c r="S1551" s="73">
        <v>0</v>
      </c>
      <c r="T1551" s="75">
        <v>0</v>
      </c>
      <c r="U1551" s="72">
        <v>1</v>
      </c>
      <c r="V1551" s="74">
        <v>2</v>
      </c>
      <c r="W1551" s="74">
        <v>0</v>
      </c>
      <c r="X1551" s="74">
        <v>2.75</v>
      </c>
      <c r="Y1551" s="19">
        <v>0</v>
      </c>
      <c r="Z1551" s="74">
        <v>0</v>
      </c>
      <c r="AA1551" s="74">
        <v>0</v>
      </c>
      <c r="AB1551" s="74">
        <v>0</v>
      </c>
      <c r="AC1551" s="74">
        <v>0</v>
      </c>
      <c r="AD1551" s="74">
        <v>0</v>
      </c>
      <c r="AE1551" s="74">
        <v>0</v>
      </c>
      <c r="AF1551" s="74">
        <v>15</v>
      </c>
      <c r="AG1551" s="74">
        <v>1</v>
      </c>
      <c r="AH1551" s="74">
        <v>3</v>
      </c>
      <c r="AI1551" s="73">
        <v>2</v>
      </c>
      <c r="AJ1551" s="73">
        <v>1</v>
      </c>
      <c r="AK1551" s="19">
        <v>0</v>
      </c>
      <c r="AL1551" s="73">
        <v>6</v>
      </c>
      <c r="AM1551" s="74">
        <v>0</v>
      </c>
      <c r="AN1551" s="74">
        <v>0</v>
      </c>
      <c r="AO1551" s="74">
        <v>0</v>
      </c>
      <c r="AP1551" s="74">
        <v>0.75</v>
      </c>
      <c r="AQ1551" s="74">
        <v>3000</v>
      </c>
      <c r="AR1551" s="74">
        <v>1.5</v>
      </c>
      <c r="AS1551" s="74">
        <v>0</v>
      </c>
      <c r="AT1551" s="73">
        <v>0</v>
      </c>
      <c r="AU1551" s="74" t="s">
        <v>204</v>
      </c>
      <c r="AV1551" s="74"/>
      <c r="AW1551" s="88" t="s">
        <v>1701</v>
      </c>
      <c r="AX1551" s="74" t="s">
        <v>1702</v>
      </c>
      <c r="AY1551" s="74">
        <v>10000006</v>
      </c>
      <c r="AZ1551" s="74">
        <v>70405004</v>
      </c>
      <c r="BA1551" s="88" t="s">
        <v>206</v>
      </c>
      <c r="BB1551" s="88">
        <v>0</v>
      </c>
      <c r="BC1551" s="75">
        <v>0</v>
      </c>
      <c r="BD1551" s="75">
        <v>0</v>
      </c>
      <c r="BE1551" s="89" t="s">
        <v>3471</v>
      </c>
      <c r="BF1551" s="89" t="s">
        <v>3472</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66001013</v>
      </c>
      <c r="D1552" s="88" t="s">
        <v>3473</v>
      </c>
      <c r="E1552" s="88" t="s">
        <v>1070</v>
      </c>
      <c r="F1552" s="72">
        <v>1</v>
      </c>
      <c r="G1552" s="74">
        <v>66001013</v>
      </c>
      <c r="H1552" s="74">
        <v>0</v>
      </c>
      <c r="I1552" s="75">
        <v>0</v>
      </c>
      <c r="J1552" s="74">
        <v>1</v>
      </c>
      <c r="K1552" s="74">
        <v>0</v>
      </c>
      <c r="L1552" s="72">
        <v>0</v>
      </c>
      <c r="M1552" s="74">
        <v>0</v>
      </c>
      <c r="N1552" s="74">
        <v>0</v>
      </c>
      <c r="O1552" s="74">
        <v>1</v>
      </c>
      <c r="P1552" s="74">
        <v>1</v>
      </c>
      <c r="Q1552" s="74">
        <v>0</v>
      </c>
      <c r="R1552" s="74">
        <v>0</v>
      </c>
      <c r="S1552" s="73">
        <v>0</v>
      </c>
      <c r="T1552" s="75">
        <v>0</v>
      </c>
      <c r="U1552" s="72">
        <v>1</v>
      </c>
      <c r="V1552" s="74">
        <v>2</v>
      </c>
      <c r="W1552" s="74">
        <v>0</v>
      </c>
      <c r="X1552" s="74">
        <v>0.5</v>
      </c>
      <c r="Y1552" s="19">
        <v>0</v>
      </c>
      <c r="Z1552" s="74">
        <v>0</v>
      </c>
      <c r="AA1552" s="74">
        <v>0</v>
      </c>
      <c r="AB1552" s="74">
        <v>0</v>
      </c>
      <c r="AC1552" s="74">
        <v>0</v>
      </c>
      <c r="AD1552" s="74">
        <v>0</v>
      </c>
      <c r="AE1552" s="74">
        <v>0</v>
      </c>
      <c r="AF1552" s="74">
        <v>9</v>
      </c>
      <c r="AG1552" s="74">
        <v>1</v>
      </c>
      <c r="AH1552" s="74">
        <v>4</v>
      </c>
      <c r="AI1552" s="73">
        <v>9</v>
      </c>
      <c r="AJ1552" s="73">
        <v>0</v>
      </c>
      <c r="AK1552" s="19">
        <v>0</v>
      </c>
      <c r="AL1552" s="73">
        <v>6</v>
      </c>
      <c r="AM1552" s="74">
        <v>0</v>
      </c>
      <c r="AN1552" s="74">
        <v>0</v>
      </c>
      <c r="AO1552" s="74">
        <v>0</v>
      </c>
      <c r="AP1552" s="74">
        <v>0.5</v>
      </c>
      <c r="AQ1552" s="74">
        <v>30000</v>
      </c>
      <c r="AR1552" s="74">
        <v>0.5</v>
      </c>
      <c r="AS1552" s="74">
        <v>0</v>
      </c>
      <c r="AT1552" s="73">
        <v>0</v>
      </c>
      <c r="AU1552" s="74">
        <v>96001013</v>
      </c>
      <c r="AV1552" s="74"/>
      <c r="AW1552" s="88" t="s">
        <v>205</v>
      </c>
      <c r="AX1552" s="74" t="s">
        <v>1414</v>
      </c>
      <c r="AY1552" s="74">
        <v>10000009</v>
      </c>
      <c r="AZ1552" s="74">
        <v>70405005</v>
      </c>
      <c r="BA1552" s="88" t="s">
        <v>321</v>
      </c>
      <c r="BB1552" s="88" t="s">
        <v>377</v>
      </c>
      <c r="BC1552" s="75">
        <v>0</v>
      </c>
      <c r="BD1552" s="75">
        <v>0</v>
      </c>
      <c r="BE1552" s="208" t="s">
        <v>3474</v>
      </c>
      <c r="BF1552" s="208" t="s">
        <v>3475</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66001014</v>
      </c>
      <c r="D1553" s="88" t="s">
        <v>3476</v>
      </c>
      <c r="E1553" s="88" t="s">
        <v>3477</v>
      </c>
      <c r="F1553" s="72">
        <v>1</v>
      </c>
      <c r="G1553" s="74">
        <v>66001014</v>
      </c>
      <c r="H1553" s="74">
        <v>0</v>
      </c>
      <c r="I1553" s="75">
        <v>0</v>
      </c>
      <c r="J1553" s="74">
        <v>1</v>
      </c>
      <c r="K1553" s="74">
        <v>0</v>
      </c>
      <c r="L1553" s="72">
        <v>0</v>
      </c>
      <c r="M1553" s="74">
        <v>0</v>
      </c>
      <c r="N1553" s="74">
        <v>0</v>
      </c>
      <c r="O1553" s="74">
        <v>1</v>
      </c>
      <c r="P1553" s="74">
        <v>0</v>
      </c>
      <c r="Q1553" s="74">
        <v>0</v>
      </c>
      <c r="R1553" s="74">
        <v>0</v>
      </c>
      <c r="S1553" s="73">
        <v>0</v>
      </c>
      <c r="T1553" s="75">
        <v>0</v>
      </c>
      <c r="U1553" s="72">
        <v>1</v>
      </c>
      <c r="V1553" s="74">
        <v>2</v>
      </c>
      <c r="W1553" s="74">
        <v>0</v>
      </c>
      <c r="X1553" s="74">
        <v>2</v>
      </c>
      <c r="Y1553" s="19">
        <v>0</v>
      </c>
      <c r="Z1553" s="74">
        <v>0</v>
      </c>
      <c r="AA1553" s="74">
        <v>0</v>
      </c>
      <c r="AB1553" s="74">
        <v>0</v>
      </c>
      <c r="AC1553" s="74">
        <v>0</v>
      </c>
      <c r="AD1553" s="74">
        <v>0</v>
      </c>
      <c r="AE1553" s="74">
        <v>0</v>
      </c>
      <c r="AF1553" s="74">
        <v>12</v>
      </c>
      <c r="AG1553" s="74">
        <v>1</v>
      </c>
      <c r="AH1553" s="74">
        <v>3.5</v>
      </c>
      <c r="AI1553" s="73">
        <v>0</v>
      </c>
      <c r="AJ1553" s="73">
        <v>0</v>
      </c>
      <c r="AK1553" s="19">
        <v>0</v>
      </c>
      <c r="AL1553" s="73">
        <v>4</v>
      </c>
      <c r="AM1553" s="74">
        <v>0</v>
      </c>
      <c r="AN1553" s="74">
        <v>0</v>
      </c>
      <c r="AO1553" s="74">
        <v>0</v>
      </c>
      <c r="AP1553" s="74">
        <v>0.5</v>
      </c>
      <c r="AQ1553" s="74">
        <v>3000</v>
      </c>
      <c r="AR1553" s="74">
        <v>0</v>
      </c>
      <c r="AS1553" s="74">
        <v>0</v>
      </c>
      <c r="AT1553" s="73">
        <v>0</v>
      </c>
      <c r="AU1553" s="74">
        <v>92005001</v>
      </c>
      <c r="AV1553" s="74"/>
      <c r="AW1553" s="88" t="s">
        <v>205</v>
      </c>
      <c r="AX1553" s="74" t="s">
        <v>540</v>
      </c>
      <c r="AY1553" s="74">
        <v>10000009</v>
      </c>
      <c r="AZ1553" s="74">
        <v>70405006</v>
      </c>
      <c r="BA1553" s="88" t="s">
        <v>206</v>
      </c>
      <c r="BB1553" s="88">
        <v>0</v>
      </c>
      <c r="BC1553" s="75">
        <v>0</v>
      </c>
      <c r="BD1553" s="75">
        <v>0</v>
      </c>
      <c r="BE1553" s="208" t="s">
        <v>3478</v>
      </c>
      <c r="BF1553" s="208" t="s">
        <v>3479</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66001015</v>
      </c>
      <c r="D1554" s="88" t="s">
        <v>3480</v>
      </c>
      <c r="E1554" s="88" t="s">
        <v>3481</v>
      </c>
      <c r="F1554" s="72">
        <v>1</v>
      </c>
      <c r="G1554" s="74">
        <v>66001015</v>
      </c>
      <c r="H1554" s="74">
        <v>0</v>
      </c>
      <c r="I1554" s="75">
        <v>0</v>
      </c>
      <c r="J1554" s="74">
        <v>1</v>
      </c>
      <c r="K1554" s="74">
        <v>0</v>
      </c>
      <c r="L1554" s="72">
        <v>0</v>
      </c>
      <c r="M1554" s="74">
        <v>0</v>
      </c>
      <c r="N1554" s="74">
        <v>0</v>
      </c>
      <c r="O1554" s="74">
        <v>2</v>
      </c>
      <c r="P1554" s="74">
        <v>1</v>
      </c>
      <c r="Q1554" s="74">
        <v>0.05</v>
      </c>
      <c r="R1554" s="74">
        <v>0</v>
      </c>
      <c r="S1554" s="73">
        <v>0</v>
      </c>
      <c r="T1554" s="75">
        <v>0</v>
      </c>
      <c r="U1554" s="72">
        <v>1</v>
      </c>
      <c r="V1554" s="74">
        <v>2</v>
      </c>
      <c r="W1554" s="74">
        <v>0</v>
      </c>
      <c r="X1554" s="74">
        <v>1.8</v>
      </c>
      <c r="Y1554" s="19">
        <v>0</v>
      </c>
      <c r="Z1554" s="74">
        <v>700</v>
      </c>
      <c r="AA1554" s="74">
        <v>0</v>
      </c>
      <c r="AB1554" s="74">
        <v>0</v>
      </c>
      <c r="AC1554" s="74">
        <v>0</v>
      </c>
      <c r="AD1554" s="74">
        <v>1</v>
      </c>
      <c r="AE1554" s="74">
        <v>0</v>
      </c>
      <c r="AF1554" s="74">
        <v>10</v>
      </c>
      <c r="AG1554" s="74">
        <v>1</v>
      </c>
      <c r="AH1554" s="74">
        <v>1</v>
      </c>
      <c r="AI1554" s="73">
        <v>2</v>
      </c>
      <c r="AJ1554" s="73">
        <v>2</v>
      </c>
      <c r="AK1554" s="19">
        <v>0</v>
      </c>
      <c r="AL1554" s="73">
        <v>4</v>
      </c>
      <c r="AM1554" s="74">
        <v>0</v>
      </c>
      <c r="AN1554" s="74">
        <v>0</v>
      </c>
      <c r="AO1554" s="74">
        <v>0</v>
      </c>
      <c r="AP1554" s="74">
        <v>0.5</v>
      </c>
      <c r="AQ1554" s="74">
        <v>30000</v>
      </c>
      <c r="AR1554" s="74">
        <v>0.5</v>
      </c>
      <c r="AS1554" s="74">
        <v>5</v>
      </c>
      <c r="AT1554" s="73">
        <v>0</v>
      </c>
      <c r="AU1554" s="74">
        <v>92003001</v>
      </c>
      <c r="AV1554" s="74"/>
      <c r="AW1554" s="88" t="s">
        <v>205</v>
      </c>
      <c r="AX1554" s="74" t="s">
        <v>551</v>
      </c>
      <c r="AY1554" s="74">
        <v>10003002</v>
      </c>
      <c r="AZ1554" s="74">
        <v>70405009</v>
      </c>
      <c r="BA1554" s="88" t="s">
        <v>592</v>
      </c>
      <c r="BB1554" s="88">
        <v>0</v>
      </c>
      <c r="BC1554" s="75">
        <v>0</v>
      </c>
      <c r="BD1554" s="75">
        <v>0</v>
      </c>
      <c r="BE1554" s="208" t="s">
        <v>3482</v>
      </c>
      <c r="BF1554" s="208" t="s">
        <v>3483</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66001016</v>
      </c>
      <c r="D1555" s="88" t="s">
        <v>3484</v>
      </c>
      <c r="E1555" s="88" t="s">
        <v>3485</v>
      </c>
      <c r="F1555" s="72">
        <v>1</v>
      </c>
      <c r="G1555" s="74">
        <v>66001016</v>
      </c>
      <c r="H1555" s="74">
        <v>0</v>
      </c>
      <c r="I1555" s="75">
        <v>0</v>
      </c>
      <c r="J1555" s="74">
        <v>1</v>
      </c>
      <c r="K1555" s="74">
        <v>0</v>
      </c>
      <c r="L1555" s="72">
        <v>0</v>
      </c>
      <c r="M1555" s="74">
        <v>0</v>
      </c>
      <c r="N1555" s="74">
        <v>0</v>
      </c>
      <c r="O1555" s="74">
        <v>1</v>
      </c>
      <c r="P1555" s="74">
        <v>0</v>
      </c>
      <c r="Q1555" s="74">
        <v>0</v>
      </c>
      <c r="R1555" s="74">
        <v>0</v>
      </c>
      <c r="S1555" s="73">
        <v>0</v>
      </c>
      <c r="T1555" s="75">
        <v>0</v>
      </c>
      <c r="U1555" s="72">
        <v>1</v>
      </c>
      <c r="V1555" s="74">
        <v>2</v>
      </c>
      <c r="W1555" s="74">
        <v>0</v>
      </c>
      <c r="X1555" s="74">
        <v>0.75</v>
      </c>
      <c r="Y1555" s="19">
        <v>0</v>
      </c>
      <c r="Z1555" s="74">
        <v>0</v>
      </c>
      <c r="AA1555" s="74">
        <v>0</v>
      </c>
      <c r="AB1555" s="74">
        <v>0</v>
      </c>
      <c r="AC1555" s="74">
        <v>0</v>
      </c>
      <c r="AD1555" s="74">
        <v>0</v>
      </c>
      <c r="AE1555" s="74">
        <v>0</v>
      </c>
      <c r="AF1555" s="74">
        <v>24</v>
      </c>
      <c r="AG1555" s="74">
        <v>1</v>
      </c>
      <c r="AH1555" s="74">
        <v>4</v>
      </c>
      <c r="AI1555" s="73">
        <v>2</v>
      </c>
      <c r="AJ1555" s="73">
        <v>1</v>
      </c>
      <c r="AK1555" s="19">
        <v>0</v>
      </c>
      <c r="AL1555" s="73">
        <v>6</v>
      </c>
      <c r="AM1555" s="74">
        <v>0</v>
      </c>
      <c r="AN1555" s="74">
        <v>0</v>
      </c>
      <c r="AO1555" s="74">
        <v>0</v>
      </c>
      <c r="AP1555" s="74">
        <v>0.5</v>
      </c>
      <c r="AQ1555" s="74">
        <v>9000</v>
      </c>
      <c r="AR1555" s="74">
        <v>0.5</v>
      </c>
      <c r="AS1555" s="74">
        <v>0</v>
      </c>
      <c r="AT1555" s="73">
        <v>0</v>
      </c>
      <c r="AU1555" s="74">
        <v>92002002</v>
      </c>
      <c r="AV1555" s="74"/>
      <c r="AW1555" s="88" t="s">
        <v>1711</v>
      </c>
      <c r="AX1555" s="74" t="s">
        <v>1414</v>
      </c>
      <c r="AY1555" s="74">
        <v>10002001</v>
      </c>
      <c r="AZ1555" s="74">
        <v>70405008</v>
      </c>
      <c r="BA1555" s="88" t="s">
        <v>321</v>
      </c>
      <c r="BB1555" s="88" t="s">
        <v>377</v>
      </c>
      <c r="BC1555" s="75">
        <v>0</v>
      </c>
      <c r="BD1555" s="75">
        <v>0</v>
      </c>
      <c r="BE1555" s="89" t="s">
        <v>3486</v>
      </c>
      <c r="BF1555" s="89" t="s">
        <v>3487</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66001017</v>
      </c>
      <c r="D1556" s="71" t="s">
        <v>3488</v>
      </c>
      <c r="E1556" s="71" t="s">
        <v>3489</v>
      </c>
      <c r="F1556" s="74">
        <v>1</v>
      </c>
      <c r="G1556" s="74">
        <v>66001017</v>
      </c>
      <c r="H1556" s="74">
        <v>0</v>
      </c>
      <c r="I1556" s="75">
        <v>0</v>
      </c>
      <c r="J1556" s="74">
        <v>1</v>
      </c>
      <c r="K1556" s="74">
        <v>0</v>
      </c>
      <c r="L1556" s="74">
        <v>0</v>
      </c>
      <c r="M1556" s="72">
        <v>0</v>
      </c>
      <c r="N1556" s="72">
        <v>0</v>
      </c>
      <c r="O1556" s="72">
        <v>1</v>
      </c>
      <c r="P1556" s="72">
        <v>0</v>
      </c>
      <c r="Q1556" s="72">
        <v>0</v>
      </c>
      <c r="R1556" s="72">
        <v>0</v>
      </c>
      <c r="S1556" s="73">
        <v>0</v>
      </c>
      <c r="T1556" s="72">
        <v>0</v>
      </c>
      <c r="U1556" s="72">
        <v>1</v>
      </c>
      <c r="V1556" s="72">
        <v>2</v>
      </c>
      <c r="W1556" s="72">
        <v>0</v>
      </c>
      <c r="X1556" s="72">
        <v>0</v>
      </c>
      <c r="Y1556" s="19">
        <v>0</v>
      </c>
      <c r="Z1556" s="72">
        <v>0</v>
      </c>
      <c r="AA1556" s="72">
        <v>0</v>
      </c>
      <c r="AB1556" s="72">
        <v>0</v>
      </c>
      <c r="AC1556" s="72">
        <v>0</v>
      </c>
      <c r="AD1556" s="72">
        <v>0</v>
      </c>
      <c r="AE1556" s="72">
        <v>0</v>
      </c>
      <c r="AF1556" s="72">
        <v>15</v>
      </c>
      <c r="AG1556" s="72">
        <v>0</v>
      </c>
      <c r="AH1556" s="72">
        <v>0</v>
      </c>
      <c r="AI1556" s="73">
        <v>0</v>
      </c>
      <c r="AJ1556" s="73">
        <v>0</v>
      </c>
      <c r="AK1556" s="19">
        <v>0</v>
      </c>
      <c r="AL1556" s="73">
        <f>H67+AL7819</f>
        <v>60010602</v>
      </c>
      <c r="AM1556" s="72">
        <v>0</v>
      </c>
      <c r="AN1556" s="72">
        <v>0</v>
      </c>
      <c r="AO1556" s="72">
        <v>0</v>
      </c>
      <c r="AP1556" s="74">
        <v>0.5</v>
      </c>
      <c r="AQ1556" s="72">
        <v>3000</v>
      </c>
      <c r="AR1556" s="72">
        <v>0.5</v>
      </c>
      <c r="AS1556" s="72">
        <v>0</v>
      </c>
      <c r="AT1556" s="73">
        <v>0</v>
      </c>
      <c r="AU1556" s="72" t="s">
        <v>204</v>
      </c>
      <c r="AV1556" s="72"/>
      <c r="AW1556" s="71" t="s">
        <v>205</v>
      </c>
      <c r="AX1556" s="72" t="s">
        <v>551</v>
      </c>
      <c r="AY1556" s="74">
        <v>0</v>
      </c>
      <c r="AZ1556" s="74">
        <v>21101051</v>
      </c>
      <c r="BA1556" s="71" t="s">
        <v>1180</v>
      </c>
      <c r="BB1556" s="366" t="s">
        <v>3490</v>
      </c>
      <c r="BC1556" s="75">
        <v>0</v>
      </c>
      <c r="BD1556" s="75">
        <v>0</v>
      </c>
      <c r="BE1556" s="76" t="s">
        <v>3491</v>
      </c>
      <c r="BF1556" s="76" t="s">
        <v>3492</v>
      </c>
      <c r="BG1556" s="72">
        <v>0</v>
      </c>
      <c r="BH1556" s="72">
        <v>0</v>
      </c>
      <c r="BI1556" s="72">
        <v>0</v>
      </c>
      <c r="BJ1556" s="72">
        <v>0</v>
      </c>
      <c r="BK1556" s="72">
        <v>0</v>
      </c>
      <c r="BL1556" s="72">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66001018</v>
      </c>
      <c r="D1557" s="88" t="s">
        <v>3493</v>
      </c>
      <c r="E1557" s="88" t="s">
        <v>3494</v>
      </c>
      <c r="F1557" s="72">
        <v>1</v>
      </c>
      <c r="G1557" s="74">
        <v>66001018</v>
      </c>
      <c r="H1557" s="74">
        <v>0</v>
      </c>
      <c r="I1557" s="75">
        <v>0</v>
      </c>
      <c r="J1557" s="74">
        <v>1</v>
      </c>
      <c r="K1557" s="74">
        <v>0</v>
      </c>
      <c r="L1557" s="72">
        <v>0</v>
      </c>
      <c r="M1557" s="74">
        <v>0</v>
      </c>
      <c r="N1557" s="74">
        <v>0</v>
      </c>
      <c r="O1557" s="74">
        <v>2</v>
      </c>
      <c r="P1557" s="74">
        <v>3</v>
      </c>
      <c r="Q1557" s="74">
        <v>0.05</v>
      </c>
      <c r="R1557" s="74">
        <v>0</v>
      </c>
      <c r="S1557" s="73">
        <v>0</v>
      </c>
      <c r="T1557" s="75">
        <v>0</v>
      </c>
      <c r="U1557" s="72">
        <v>1</v>
      </c>
      <c r="V1557" s="74">
        <v>2</v>
      </c>
      <c r="W1557" s="74">
        <v>0</v>
      </c>
      <c r="X1557" s="74">
        <v>1.8</v>
      </c>
      <c r="Y1557" s="19">
        <v>0</v>
      </c>
      <c r="Z1557" s="74">
        <v>700</v>
      </c>
      <c r="AA1557" s="74">
        <v>0</v>
      </c>
      <c r="AB1557" s="74">
        <v>0</v>
      </c>
      <c r="AC1557" s="74">
        <v>0</v>
      </c>
      <c r="AD1557" s="74">
        <v>1</v>
      </c>
      <c r="AE1557" s="74">
        <v>0</v>
      </c>
      <c r="AF1557" s="74">
        <v>10</v>
      </c>
      <c r="AG1557" s="74">
        <v>1</v>
      </c>
      <c r="AH1557" s="74">
        <v>1</v>
      </c>
      <c r="AI1557" s="73">
        <v>2</v>
      </c>
      <c r="AJ1557" s="73">
        <v>2</v>
      </c>
      <c r="AK1557" s="19">
        <v>0</v>
      </c>
      <c r="AL1557" s="73">
        <v>4</v>
      </c>
      <c r="AM1557" s="74">
        <v>0</v>
      </c>
      <c r="AN1557" s="74">
        <v>0</v>
      </c>
      <c r="AO1557" s="74">
        <v>0</v>
      </c>
      <c r="AP1557" s="74">
        <v>0.5</v>
      </c>
      <c r="AQ1557" s="74">
        <v>30000</v>
      </c>
      <c r="AR1557" s="74">
        <v>0.5</v>
      </c>
      <c r="AS1557" s="74">
        <v>10</v>
      </c>
      <c r="AT1557" s="73">
        <v>0</v>
      </c>
      <c r="AU1557" s="74">
        <v>93000208</v>
      </c>
      <c r="AV1557" s="74"/>
      <c r="AW1557" s="88" t="s">
        <v>205</v>
      </c>
      <c r="AX1557" s="74" t="s">
        <v>551</v>
      </c>
      <c r="AY1557" s="74">
        <v>10003002</v>
      </c>
      <c r="AZ1557" s="74">
        <v>21100020</v>
      </c>
      <c r="BA1557" s="88" t="s">
        <v>592</v>
      </c>
      <c r="BB1557" s="88">
        <v>0</v>
      </c>
      <c r="BC1557" s="75">
        <v>0</v>
      </c>
      <c r="BD1557" s="75">
        <v>0</v>
      </c>
      <c r="BE1557" s="208" t="s">
        <v>3495</v>
      </c>
      <c r="BF1557" s="208" t="s">
        <v>3496</v>
      </c>
      <c r="BG1557" s="74">
        <v>0</v>
      </c>
      <c r="BH1557" s="72">
        <v>0</v>
      </c>
      <c r="BI1557" s="74">
        <v>0</v>
      </c>
      <c r="BJ1557" s="74">
        <v>0</v>
      </c>
      <c r="BK1557" s="74">
        <v>0</v>
      </c>
      <c r="BL1557" s="74">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66001019</v>
      </c>
      <c r="D1558" s="71" t="s">
        <v>3497</v>
      </c>
      <c r="E1558" s="71" t="s">
        <v>3498</v>
      </c>
      <c r="F1558" s="72">
        <v>1</v>
      </c>
      <c r="G1558" s="74">
        <v>66001019</v>
      </c>
      <c r="H1558" s="72">
        <v>0</v>
      </c>
      <c r="I1558" s="75">
        <v>0</v>
      </c>
      <c r="J1558" s="74">
        <v>1</v>
      </c>
      <c r="K1558" s="74">
        <v>0</v>
      </c>
      <c r="L1558" s="72">
        <v>0</v>
      </c>
      <c r="M1558" s="72">
        <v>0</v>
      </c>
      <c r="N1558" s="72">
        <v>0</v>
      </c>
      <c r="O1558" s="72">
        <v>2</v>
      </c>
      <c r="P1558" s="72">
        <v>12</v>
      </c>
      <c r="Q1558" s="72">
        <v>1</v>
      </c>
      <c r="R1558" s="72">
        <v>0</v>
      </c>
      <c r="S1558" s="73">
        <v>0</v>
      </c>
      <c r="T1558" s="72">
        <v>0</v>
      </c>
      <c r="U1558" s="72">
        <v>1</v>
      </c>
      <c r="V1558" s="72">
        <v>2</v>
      </c>
      <c r="W1558" s="72">
        <v>0</v>
      </c>
      <c r="X1558" s="74">
        <v>0</v>
      </c>
      <c r="Y1558" s="19">
        <v>0</v>
      </c>
      <c r="Z1558" s="74">
        <v>0</v>
      </c>
      <c r="AA1558" s="72">
        <v>0</v>
      </c>
      <c r="AB1558" s="72">
        <v>0</v>
      </c>
      <c r="AC1558" s="72">
        <v>0</v>
      </c>
      <c r="AD1558" s="72">
        <v>1</v>
      </c>
      <c r="AE1558" s="72">
        <v>0</v>
      </c>
      <c r="AF1558" s="72">
        <v>60</v>
      </c>
      <c r="AG1558" s="72">
        <v>1</v>
      </c>
      <c r="AH1558" s="72">
        <v>10</v>
      </c>
      <c r="AI1558" s="73">
        <v>0</v>
      </c>
      <c r="AJ1558" s="73">
        <v>0</v>
      </c>
      <c r="AK1558" s="19">
        <v>0</v>
      </c>
      <c r="AL1558" s="73">
        <v>0</v>
      </c>
      <c r="AM1558" s="72">
        <v>0</v>
      </c>
      <c r="AN1558" s="72">
        <v>0</v>
      </c>
      <c r="AO1558" s="72">
        <v>0</v>
      </c>
      <c r="AP1558" s="72">
        <v>1</v>
      </c>
      <c r="AQ1558" s="72">
        <v>50000</v>
      </c>
      <c r="AR1558" s="72">
        <v>0</v>
      </c>
      <c r="AS1558" s="72">
        <v>0</v>
      </c>
      <c r="AT1558" s="73">
        <v>90503002</v>
      </c>
      <c r="AU1558" s="72">
        <v>90503002</v>
      </c>
      <c r="AV1558" s="72"/>
      <c r="AW1558" s="71" t="s">
        <v>204</v>
      </c>
      <c r="AX1558" s="72">
        <v>0</v>
      </c>
      <c r="AY1558" s="74">
        <v>0</v>
      </c>
      <c r="AZ1558" s="74">
        <v>0</v>
      </c>
      <c r="BA1558" s="71" t="s">
        <v>3005</v>
      </c>
      <c r="BB1558" s="72">
        <v>0</v>
      </c>
      <c r="BC1558" s="75">
        <v>0</v>
      </c>
      <c r="BD1558" s="75">
        <v>0</v>
      </c>
      <c r="BE1558" s="76" t="s">
        <v>3499</v>
      </c>
      <c r="BF1558" s="76" t="s">
        <v>3500</v>
      </c>
      <c r="BG1558" s="72">
        <v>0</v>
      </c>
      <c r="BH1558" s="72">
        <v>0</v>
      </c>
      <c r="BI1558" s="72">
        <v>0</v>
      </c>
      <c r="BJ1558" s="72">
        <v>0</v>
      </c>
      <c r="BK1558" s="72">
        <v>0</v>
      </c>
      <c r="BL1558" s="72">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19.5" customHeight="1">
      <c r="C1559" s="32">
        <v>66001020</v>
      </c>
      <c r="D1559" s="35" t="s">
        <v>3501</v>
      </c>
      <c r="E1559" s="35" t="s">
        <v>3502</v>
      </c>
      <c r="F1559" s="21">
        <v>0</v>
      </c>
      <c r="G1559" s="32">
        <v>62022401</v>
      </c>
      <c r="H1559" s="32">
        <v>0</v>
      </c>
      <c r="I1559" s="31">
        <v>0</v>
      </c>
      <c r="J1559" s="21">
        <v>1</v>
      </c>
      <c r="K1559" s="32">
        <v>0</v>
      </c>
      <c r="L1559" s="21">
        <v>0</v>
      </c>
      <c r="M1559" s="32">
        <v>0</v>
      </c>
      <c r="N1559" s="32">
        <v>0</v>
      </c>
      <c r="O1559" s="32">
        <v>2</v>
      </c>
      <c r="P1559" s="32">
        <v>1</v>
      </c>
      <c r="Q1559" s="32">
        <v>1</v>
      </c>
      <c r="R1559" s="32">
        <v>0</v>
      </c>
      <c r="S1559" s="19">
        <v>0</v>
      </c>
      <c r="T1559" s="31">
        <v>0</v>
      </c>
      <c r="U1559" s="21">
        <v>1</v>
      </c>
      <c r="V1559" s="32">
        <v>2</v>
      </c>
      <c r="W1559" s="32">
        <v>0</v>
      </c>
      <c r="X1559" s="32">
        <v>3</v>
      </c>
      <c r="Y1559" s="19">
        <v>0</v>
      </c>
      <c r="Z1559" s="32">
        <v>0</v>
      </c>
      <c r="AA1559" s="32">
        <v>0</v>
      </c>
      <c r="AB1559" s="32">
        <v>0</v>
      </c>
      <c r="AC1559" s="32">
        <v>0</v>
      </c>
      <c r="AD1559" s="32">
        <v>0</v>
      </c>
      <c r="AE1559" s="32">
        <v>0</v>
      </c>
      <c r="AF1559" s="32">
        <v>1</v>
      </c>
      <c r="AG1559" s="32">
        <v>1</v>
      </c>
      <c r="AH1559" s="32">
        <v>3</v>
      </c>
      <c r="AI1559" s="19">
        <v>2</v>
      </c>
      <c r="AJ1559" s="19">
        <v>1</v>
      </c>
      <c r="AK1559" s="19">
        <v>0</v>
      </c>
      <c r="AL1559" s="19">
        <v>6</v>
      </c>
      <c r="AM1559" s="32">
        <v>0</v>
      </c>
      <c r="AN1559" s="32">
        <v>0</v>
      </c>
      <c r="AO1559" s="32">
        <v>0</v>
      </c>
      <c r="AP1559" s="32">
        <v>0</v>
      </c>
      <c r="AQ1559" s="32">
        <v>30000</v>
      </c>
      <c r="AR1559" s="32">
        <v>0</v>
      </c>
      <c r="AS1559" s="32">
        <v>0</v>
      </c>
      <c r="AT1559" s="19">
        <v>96001014</v>
      </c>
      <c r="AU1559" s="32">
        <v>0</v>
      </c>
      <c r="AV1559" s="32"/>
      <c r="AW1559" s="35" t="s">
        <v>205</v>
      </c>
      <c r="AX1559" s="32" t="s">
        <v>1980</v>
      </c>
      <c r="AY1559" s="32">
        <v>10003002</v>
      </c>
      <c r="AZ1559" s="32">
        <v>21102031</v>
      </c>
      <c r="BA1559" s="35" t="s">
        <v>206</v>
      </c>
      <c r="BB1559" s="35">
        <v>0</v>
      </c>
      <c r="BC1559" s="31">
        <v>0</v>
      </c>
      <c r="BD1559" s="31">
        <v>0</v>
      </c>
      <c r="BE1559" s="185"/>
      <c r="BF1559" s="185"/>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68000001</v>
      </c>
      <c r="D1560" s="35" t="s">
        <v>437</v>
      </c>
      <c r="E1560" s="35" t="s">
        <v>3503</v>
      </c>
      <c r="F1560" s="32">
        <v>1</v>
      </c>
      <c r="G1560" s="32">
        <v>68000001</v>
      </c>
      <c r="H1560" s="32">
        <v>0</v>
      </c>
      <c r="I1560" s="31">
        <v>0</v>
      </c>
      <c r="J1560" s="32">
        <v>1</v>
      </c>
      <c r="K1560" s="32">
        <v>0</v>
      </c>
      <c r="L1560" s="32">
        <v>0</v>
      </c>
      <c r="M1560" s="32">
        <v>0</v>
      </c>
      <c r="N1560" s="32">
        <v>0</v>
      </c>
      <c r="O1560" s="32">
        <v>5</v>
      </c>
      <c r="P1560" s="32">
        <v>0</v>
      </c>
      <c r="Q1560" s="32">
        <v>0</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0</v>
      </c>
      <c r="AU1560" s="32" t="s">
        <v>204</v>
      </c>
      <c r="AV1560" s="32"/>
      <c r="AW1560" s="35" t="s">
        <v>205</v>
      </c>
      <c r="AX1560" s="32">
        <v>0</v>
      </c>
      <c r="AY1560" s="32">
        <v>0</v>
      </c>
      <c r="AZ1560" s="32">
        <v>0</v>
      </c>
      <c r="BA1560" s="35" t="s">
        <v>206</v>
      </c>
      <c r="BB1560" s="35" t="s">
        <v>3504</v>
      </c>
      <c r="BC1560" s="31">
        <v>0</v>
      </c>
      <c r="BD1560" s="31">
        <v>0</v>
      </c>
      <c r="BE1560" s="60" t="s">
        <v>3505</v>
      </c>
      <c r="BF1560" s="60" t="s">
        <v>3506</v>
      </c>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68000002</v>
      </c>
      <c r="D1561" s="35" t="s">
        <v>3507</v>
      </c>
      <c r="E1561" s="35" t="s">
        <v>3508</v>
      </c>
      <c r="F1561" s="32">
        <v>1</v>
      </c>
      <c r="G1561" s="32">
        <v>68000002</v>
      </c>
      <c r="H1561" s="32">
        <v>0</v>
      </c>
      <c r="I1561" s="31">
        <v>0</v>
      </c>
      <c r="J1561" s="32">
        <v>1</v>
      </c>
      <c r="K1561" s="32">
        <v>0</v>
      </c>
      <c r="L1561" s="32">
        <v>0</v>
      </c>
      <c r="M1561" s="32">
        <v>0</v>
      </c>
      <c r="N1561" s="32">
        <v>0</v>
      </c>
      <c r="O1561" s="32">
        <v>2</v>
      </c>
      <c r="P1561" s="32">
        <v>2</v>
      </c>
      <c r="Q1561" s="32">
        <v>0.1</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98000020</v>
      </c>
      <c r="AU1561" s="32" t="s">
        <v>204</v>
      </c>
      <c r="AV1561" s="32"/>
      <c r="AW1561" s="35" t="s">
        <v>205</v>
      </c>
      <c r="AX1561" s="32">
        <v>0</v>
      </c>
      <c r="AY1561" s="32">
        <v>0</v>
      </c>
      <c r="AZ1561" s="32">
        <v>0</v>
      </c>
      <c r="BA1561" s="35" t="s">
        <v>206</v>
      </c>
      <c r="BB1561" s="35" t="s">
        <v>204</v>
      </c>
      <c r="BC1561" s="31">
        <v>0</v>
      </c>
      <c r="BD1561" s="31">
        <v>0</v>
      </c>
      <c r="BE1561" s="60" t="s">
        <v>3509</v>
      </c>
      <c r="BF1561" s="60" t="s">
        <v>3510</v>
      </c>
      <c r="BG1561" s="32">
        <v>0</v>
      </c>
      <c r="BH1561" s="21">
        <v>0</v>
      </c>
      <c r="BI1561" s="32">
        <v>0</v>
      </c>
      <c r="BJ1561" s="32">
        <v>0</v>
      </c>
      <c r="BK1561" s="32">
        <v>0</v>
      </c>
      <c r="BL1561" s="32">
        <v>0</v>
      </c>
      <c r="BM1561" s="25">
        <v>0</v>
      </c>
      <c r="BN1561" s="19">
        <v>1</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68000003</v>
      </c>
      <c r="D1562" s="35" t="s">
        <v>3511</v>
      </c>
      <c r="E1562" s="35" t="s">
        <v>3512</v>
      </c>
      <c r="F1562" s="21">
        <v>1</v>
      </c>
      <c r="G1562" s="32">
        <v>68000003</v>
      </c>
      <c r="H1562" s="21">
        <v>0</v>
      </c>
      <c r="I1562" s="31">
        <v>0</v>
      </c>
      <c r="J1562" s="32">
        <v>1</v>
      </c>
      <c r="K1562" s="32">
        <v>0</v>
      </c>
      <c r="L1562" s="21">
        <v>0</v>
      </c>
      <c r="M1562" s="21">
        <v>0</v>
      </c>
      <c r="N1562" s="21">
        <v>0</v>
      </c>
      <c r="O1562" s="21">
        <v>2</v>
      </c>
      <c r="P1562" s="21">
        <v>1</v>
      </c>
      <c r="Q1562" s="21">
        <v>1</v>
      </c>
      <c r="R1562" s="21">
        <v>0</v>
      </c>
      <c r="S1562" s="19">
        <v>0</v>
      </c>
      <c r="T1562" s="21">
        <v>0</v>
      </c>
      <c r="U1562" s="21">
        <v>0</v>
      </c>
      <c r="V1562" s="21">
        <v>1</v>
      </c>
      <c r="W1562" s="21">
        <v>0</v>
      </c>
      <c r="X1562" s="21">
        <v>0.2</v>
      </c>
      <c r="Y1562" s="19">
        <v>0</v>
      </c>
      <c r="Z1562" s="32">
        <v>0</v>
      </c>
      <c r="AA1562" s="21">
        <v>0</v>
      </c>
      <c r="AB1562" s="21">
        <v>0</v>
      </c>
      <c r="AC1562" s="21">
        <v>0</v>
      </c>
      <c r="AD1562" s="21">
        <v>1</v>
      </c>
      <c r="AE1562" s="21">
        <v>0</v>
      </c>
      <c r="AF1562" s="21">
        <v>0</v>
      </c>
      <c r="AG1562" s="21">
        <v>2</v>
      </c>
      <c r="AH1562" s="21" t="s">
        <v>237</v>
      </c>
      <c r="AI1562" s="19">
        <v>2</v>
      </c>
      <c r="AJ1562" s="19">
        <v>0</v>
      </c>
      <c r="AK1562" s="19">
        <v>0</v>
      </c>
      <c r="AL1562" s="19">
        <v>3</v>
      </c>
      <c r="AM1562" s="21">
        <v>0</v>
      </c>
      <c r="AN1562" s="21">
        <v>0</v>
      </c>
      <c r="AO1562" s="21">
        <v>0</v>
      </c>
      <c r="AP1562" s="21">
        <v>0</v>
      </c>
      <c r="AQ1562" s="21">
        <v>1000</v>
      </c>
      <c r="AR1562" s="21">
        <v>0</v>
      </c>
      <c r="AS1562" s="21">
        <v>0</v>
      </c>
      <c r="AT1562" s="19">
        <v>0</v>
      </c>
      <c r="AU1562" s="21" t="s">
        <v>204</v>
      </c>
      <c r="AV1562" s="21"/>
      <c r="AW1562" s="35" t="s">
        <v>205</v>
      </c>
      <c r="AX1562" s="21">
        <v>0</v>
      </c>
      <c r="AY1562" s="32">
        <v>0</v>
      </c>
      <c r="AZ1562" s="26">
        <v>0</v>
      </c>
      <c r="BA1562" s="30" t="s">
        <v>206</v>
      </c>
      <c r="BB1562" s="21">
        <v>0</v>
      </c>
      <c r="BC1562" s="31">
        <v>0</v>
      </c>
      <c r="BD1562" s="31">
        <v>0</v>
      </c>
      <c r="BE1562" s="60" t="s">
        <v>3513</v>
      </c>
      <c r="BF1562" s="60" t="s">
        <v>3514</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68000004</v>
      </c>
      <c r="D1563" s="35" t="s">
        <v>3515</v>
      </c>
      <c r="E1563" s="35" t="s">
        <v>3516</v>
      </c>
      <c r="F1563" s="32">
        <v>1</v>
      </c>
      <c r="G1563" s="32">
        <v>68000004</v>
      </c>
      <c r="H1563" s="21">
        <v>0</v>
      </c>
      <c r="I1563" s="31">
        <v>0</v>
      </c>
      <c r="J1563" s="32">
        <v>1</v>
      </c>
      <c r="K1563" s="32">
        <v>0</v>
      </c>
      <c r="L1563" s="32">
        <v>0</v>
      </c>
      <c r="M1563" s="21">
        <v>0</v>
      </c>
      <c r="N1563" s="21">
        <v>0</v>
      </c>
      <c r="O1563" s="21">
        <v>1</v>
      </c>
      <c r="P1563" s="21">
        <v>1</v>
      </c>
      <c r="Q1563" s="21">
        <v>0.05</v>
      </c>
      <c r="R1563" s="21">
        <v>0</v>
      </c>
      <c r="S1563" s="19">
        <v>0</v>
      </c>
      <c r="T1563" s="21">
        <v>0</v>
      </c>
      <c r="U1563" s="21">
        <v>1</v>
      </c>
      <c r="V1563" s="21">
        <v>2</v>
      </c>
      <c r="W1563" s="21">
        <v>0</v>
      </c>
      <c r="X1563" s="21">
        <v>0</v>
      </c>
      <c r="Y1563" s="19">
        <v>0</v>
      </c>
      <c r="Z1563" s="21">
        <v>0</v>
      </c>
      <c r="AA1563" s="21">
        <v>0</v>
      </c>
      <c r="AB1563" s="21">
        <v>0</v>
      </c>
      <c r="AC1563" s="21">
        <v>0</v>
      </c>
      <c r="AD1563" s="21">
        <v>1</v>
      </c>
      <c r="AE1563" s="21">
        <v>68000008</v>
      </c>
      <c r="AF1563" s="21">
        <v>30</v>
      </c>
      <c r="AG1563" s="21">
        <v>0</v>
      </c>
      <c r="AH1563" s="21">
        <v>0</v>
      </c>
      <c r="AI1563" s="19">
        <v>2</v>
      </c>
      <c r="AJ1563" s="19">
        <v>2</v>
      </c>
      <c r="AK1563" s="19">
        <v>0</v>
      </c>
      <c r="AL1563" s="19">
        <v>1.5</v>
      </c>
      <c r="AM1563" s="21">
        <v>0</v>
      </c>
      <c r="AN1563" s="21">
        <v>0</v>
      </c>
      <c r="AO1563" s="21">
        <v>0</v>
      </c>
      <c r="AP1563" s="21">
        <v>0.5</v>
      </c>
      <c r="AQ1563" s="21">
        <v>3000</v>
      </c>
      <c r="AR1563" s="21">
        <v>0.5</v>
      </c>
      <c r="AS1563" s="21">
        <v>0</v>
      </c>
      <c r="AT1563" s="19">
        <v>0</v>
      </c>
      <c r="AU1563" s="21" t="s">
        <v>204</v>
      </c>
      <c r="AV1563" s="21"/>
      <c r="AW1563" s="30" t="s">
        <v>205</v>
      </c>
      <c r="AX1563" s="21" t="s">
        <v>551</v>
      </c>
      <c r="AY1563" s="32">
        <v>0</v>
      </c>
      <c r="AZ1563" s="32">
        <v>21101051</v>
      </c>
      <c r="BA1563" s="30" t="s">
        <v>1180</v>
      </c>
      <c r="BB1563" s="353" t="s">
        <v>3517</v>
      </c>
      <c r="BC1563" s="31">
        <v>0</v>
      </c>
      <c r="BD1563" s="31">
        <v>0</v>
      </c>
      <c r="BE1563" s="33" t="s">
        <v>3518</v>
      </c>
      <c r="BF1563" s="33" t="s">
        <v>3519</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68000005</v>
      </c>
      <c r="D1564" s="35" t="s">
        <v>3520</v>
      </c>
      <c r="E1564" s="35" t="s">
        <v>3521</v>
      </c>
      <c r="F1564" s="32">
        <v>1</v>
      </c>
      <c r="G1564" s="32">
        <v>68000005</v>
      </c>
      <c r="H1564" s="32">
        <v>0</v>
      </c>
      <c r="I1564" s="31">
        <v>0</v>
      </c>
      <c r="J1564" s="32">
        <v>1</v>
      </c>
      <c r="K1564" s="32">
        <v>0</v>
      </c>
      <c r="L1564" s="32">
        <v>0</v>
      </c>
      <c r="M1564" s="32">
        <v>0</v>
      </c>
      <c r="N1564" s="32">
        <v>0</v>
      </c>
      <c r="O1564" s="32">
        <v>2</v>
      </c>
      <c r="P1564" s="32">
        <v>3</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v>
      </c>
      <c r="AG1564" s="32">
        <v>0</v>
      </c>
      <c r="AH1564" s="32">
        <v>0</v>
      </c>
      <c r="AI1564" s="19">
        <v>2</v>
      </c>
      <c r="AJ1564" s="19">
        <v>0</v>
      </c>
      <c r="AK1564" s="19">
        <v>0</v>
      </c>
      <c r="AL1564" s="19">
        <v>0</v>
      </c>
      <c r="AM1564" s="32">
        <v>0</v>
      </c>
      <c r="AN1564" s="32">
        <v>0</v>
      </c>
      <c r="AO1564" s="32">
        <v>0</v>
      </c>
      <c r="AP1564" s="32">
        <v>0</v>
      </c>
      <c r="AQ1564" s="32">
        <v>1000</v>
      </c>
      <c r="AR1564" s="32">
        <v>0</v>
      </c>
      <c r="AS1564" s="32">
        <v>0</v>
      </c>
      <c r="AT1564" s="19">
        <v>98000050</v>
      </c>
      <c r="AU1564" s="32" t="s">
        <v>204</v>
      </c>
      <c r="AV1564" s="32"/>
      <c r="AW1564" s="35" t="s">
        <v>205</v>
      </c>
      <c r="AX1564" s="32">
        <v>0</v>
      </c>
      <c r="AY1564" s="32">
        <v>0</v>
      </c>
      <c r="AZ1564" s="32">
        <v>0</v>
      </c>
      <c r="BA1564" s="35" t="s">
        <v>206</v>
      </c>
      <c r="BB1564" s="35" t="s">
        <v>204</v>
      </c>
      <c r="BC1564" s="31">
        <v>0</v>
      </c>
      <c r="BD1564" s="31">
        <v>0</v>
      </c>
      <c r="BE1564" s="60" t="s">
        <v>3522</v>
      </c>
      <c r="BF1564" s="60" t="s">
        <v>3523</v>
      </c>
      <c r="BG1564" s="32">
        <v>0</v>
      </c>
      <c r="BH1564" s="21">
        <v>0</v>
      </c>
      <c r="BI1564" s="32">
        <v>0</v>
      </c>
      <c r="BJ1564" s="32">
        <v>0</v>
      </c>
      <c r="BK1564" s="32">
        <v>0</v>
      </c>
      <c r="BL1564" s="32">
        <v>0</v>
      </c>
      <c r="BM1564" s="25">
        <v>0</v>
      </c>
      <c r="BN1564" s="19">
        <v>1</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68000006</v>
      </c>
      <c r="D1565" s="35" t="s">
        <v>3524</v>
      </c>
      <c r="E1565" s="35" t="s">
        <v>3525</v>
      </c>
      <c r="F1565" s="32">
        <v>1</v>
      </c>
      <c r="G1565" s="32">
        <v>68000006</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7</v>
      </c>
      <c r="AJ1565" s="19">
        <v>0</v>
      </c>
      <c r="AK1565" s="19">
        <v>0</v>
      </c>
      <c r="AL1565" s="19">
        <v>0</v>
      </c>
      <c r="AM1565" s="32">
        <v>0</v>
      </c>
      <c r="AN1565" s="32">
        <v>0</v>
      </c>
      <c r="AO1565" s="32">
        <v>0</v>
      </c>
      <c r="AP1565" s="32">
        <v>0</v>
      </c>
      <c r="AQ1565" s="32">
        <v>1000</v>
      </c>
      <c r="AR1565" s="32">
        <v>0</v>
      </c>
      <c r="AS1565" s="32">
        <v>0</v>
      </c>
      <c r="AT1565" s="19">
        <v>0</v>
      </c>
      <c r="AU1565" s="19">
        <v>98000060</v>
      </c>
      <c r="AV1565" s="19"/>
      <c r="AW1565" s="35" t="s">
        <v>205</v>
      </c>
      <c r="AX1565" s="32">
        <v>0</v>
      </c>
      <c r="AY1565" s="32">
        <v>0</v>
      </c>
      <c r="AZ1565" s="32">
        <v>0</v>
      </c>
      <c r="BA1565" s="35" t="s">
        <v>206</v>
      </c>
      <c r="BB1565" s="35" t="s">
        <v>204</v>
      </c>
      <c r="BC1565" s="31">
        <v>0</v>
      </c>
      <c r="BD1565" s="31">
        <v>0</v>
      </c>
      <c r="BE1565" s="60" t="s">
        <v>3526</v>
      </c>
      <c r="BF1565" s="60" t="s">
        <v>3527</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68000007</v>
      </c>
      <c r="D1566" s="35" t="s">
        <v>419</v>
      </c>
      <c r="E1566" s="35" t="s">
        <v>3528</v>
      </c>
      <c r="F1566" s="32">
        <v>1</v>
      </c>
      <c r="G1566" s="32">
        <v>68000007</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2</v>
      </c>
      <c r="AJ1566" s="19">
        <v>0</v>
      </c>
      <c r="AK1566" s="19">
        <v>0</v>
      </c>
      <c r="AL1566" s="19">
        <v>0</v>
      </c>
      <c r="AM1566" s="32">
        <v>0</v>
      </c>
      <c r="AN1566" s="32">
        <v>0</v>
      </c>
      <c r="AO1566" s="32">
        <v>0</v>
      </c>
      <c r="AP1566" s="32">
        <v>0</v>
      </c>
      <c r="AQ1566" s="32">
        <v>1000</v>
      </c>
      <c r="AR1566" s="32">
        <v>0</v>
      </c>
      <c r="AS1566" s="32">
        <v>0</v>
      </c>
      <c r="AT1566" s="19">
        <v>98000070</v>
      </c>
      <c r="AU1566" s="32" t="s">
        <v>204</v>
      </c>
      <c r="AV1566" s="32"/>
      <c r="AW1566" s="35" t="s">
        <v>205</v>
      </c>
      <c r="AX1566" s="32">
        <v>0</v>
      </c>
      <c r="AY1566" s="32">
        <v>0</v>
      </c>
      <c r="AZ1566" s="32">
        <v>0</v>
      </c>
      <c r="BA1566" s="35" t="s">
        <v>206</v>
      </c>
      <c r="BB1566" s="35" t="s">
        <v>204</v>
      </c>
      <c r="BC1566" s="31">
        <v>0</v>
      </c>
      <c r="BD1566" s="31">
        <v>0</v>
      </c>
      <c r="BE1566" s="60" t="s">
        <v>3529</v>
      </c>
      <c r="BF1566" s="60" t="s">
        <v>3530</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68000008</v>
      </c>
      <c r="D1567" s="35" t="s">
        <v>3531</v>
      </c>
      <c r="E1567" s="35" t="s">
        <v>3256</v>
      </c>
      <c r="F1567" s="21">
        <v>1</v>
      </c>
      <c r="G1567" s="32">
        <v>68000008</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t="s">
        <v>3532</v>
      </c>
      <c r="BC1567" s="31">
        <v>0</v>
      </c>
      <c r="BD1567" s="31">
        <v>0</v>
      </c>
      <c r="BE1567" s="60" t="s">
        <v>3533</v>
      </c>
      <c r="BF1567" s="60" t="s">
        <v>3534</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68000009</v>
      </c>
      <c r="D1568" s="35" t="s">
        <v>3535</v>
      </c>
      <c r="E1568" s="35" t="s">
        <v>3536</v>
      </c>
      <c r="F1568" s="21">
        <v>1</v>
      </c>
      <c r="G1568" s="32">
        <v>68000009</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c r="BC1568" s="31">
        <v>0</v>
      </c>
      <c r="BD1568" s="31">
        <v>0</v>
      </c>
      <c r="BE1568" s="60" t="s">
        <v>3537</v>
      </c>
      <c r="BF1568" s="60" t="s">
        <v>3538</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68000010</v>
      </c>
      <c r="D1569" s="35" t="s">
        <v>3539</v>
      </c>
      <c r="E1569" s="35" t="s">
        <v>3540</v>
      </c>
      <c r="F1569" s="32">
        <v>1</v>
      </c>
      <c r="G1569" s="32">
        <v>68000010</v>
      </c>
      <c r="H1569" s="32">
        <v>0</v>
      </c>
      <c r="I1569" s="31">
        <v>0</v>
      </c>
      <c r="J1569" s="32">
        <v>1</v>
      </c>
      <c r="K1569" s="32">
        <v>0</v>
      </c>
      <c r="L1569" s="32">
        <v>0</v>
      </c>
      <c r="M1569" s="32">
        <v>0</v>
      </c>
      <c r="N1569" s="32">
        <v>0</v>
      </c>
      <c r="O1569" s="32">
        <v>5</v>
      </c>
      <c r="P1569" s="32">
        <v>0</v>
      </c>
      <c r="Q1569" s="32">
        <v>0</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0</v>
      </c>
      <c r="AU1569" s="32" t="s">
        <v>204</v>
      </c>
      <c r="AV1569" s="32"/>
      <c r="AW1569" s="35" t="s">
        <v>205</v>
      </c>
      <c r="AX1569" s="32">
        <v>0</v>
      </c>
      <c r="AY1569" s="32">
        <v>0</v>
      </c>
      <c r="AZ1569" s="32">
        <v>0</v>
      </c>
      <c r="BA1569" s="35" t="s">
        <v>206</v>
      </c>
      <c r="BB1569" s="35" t="s">
        <v>3541</v>
      </c>
      <c r="BC1569" s="31">
        <v>0</v>
      </c>
      <c r="BD1569" s="31">
        <v>0</v>
      </c>
      <c r="BE1569" s="60" t="s">
        <v>3542</v>
      </c>
      <c r="BF1569" s="60" t="s">
        <v>3543</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68000011</v>
      </c>
      <c r="D1570" s="35" t="s">
        <v>3544</v>
      </c>
      <c r="E1570" s="35" t="s">
        <v>3545</v>
      </c>
      <c r="F1570" s="32">
        <v>1</v>
      </c>
      <c r="G1570" s="32">
        <v>68000011</v>
      </c>
      <c r="H1570" s="32">
        <v>0</v>
      </c>
      <c r="I1570" s="31">
        <v>0</v>
      </c>
      <c r="J1570" s="32">
        <v>1</v>
      </c>
      <c r="K1570" s="32">
        <v>0</v>
      </c>
      <c r="L1570" s="32">
        <v>0</v>
      </c>
      <c r="M1570" s="32">
        <v>0</v>
      </c>
      <c r="N1570" s="32">
        <v>0</v>
      </c>
      <c r="O1570" s="32">
        <v>2</v>
      </c>
      <c r="P1570" s="32">
        <v>1</v>
      </c>
      <c r="Q1570" s="32">
        <v>0.05</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98000080</v>
      </c>
      <c r="AU1570" s="32" t="s">
        <v>204</v>
      </c>
      <c r="AV1570" s="32"/>
      <c r="AW1570" s="35" t="s">
        <v>205</v>
      </c>
      <c r="AX1570" s="32">
        <v>0</v>
      </c>
      <c r="AY1570" s="32">
        <v>0</v>
      </c>
      <c r="AZ1570" s="32">
        <v>0</v>
      </c>
      <c r="BA1570" s="35" t="s">
        <v>206</v>
      </c>
      <c r="BB1570" s="35" t="s">
        <v>204</v>
      </c>
      <c r="BC1570" s="31">
        <v>0</v>
      </c>
      <c r="BD1570" s="31">
        <v>0</v>
      </c>
      <c r="BE1570" s="60" t="s">
        <v>3546</v>
      </c>
      <c r="BF1570" s="60" t="s">
        <v>3547</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68000012</v>
      </c>
      <c r="D1571" s="35" t="s">
        <v>3548</v>
      </c>
      <c r="E1571" s="35" t="s">
        <v>301</v>
      </c>
      <c r="F1571" s="32">
        <v>1</v>
      </c>
      <c r="G1571" s="32">
        <v>68000012</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3549</v>
      </c>
      <c r="BC1571" s="31">
        <v>0</v>
      </c>
      <c r="BD1571" s="31">
        <v>0</v>
      </c>
      <c r="BE1571" s="60" t="s">
        <v>3550</v>
      </c>
      <c r="BF1571" s="60" t="s">
        <v>3551</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68000013</v>
      </c>
      <c r="D1572" s="35" t="s">
        <v>3552</v>
      </c>
      <c r="E1572" s="35" t="s">
        <v>3553</v>
      </c>
      <c r="F1572" s="32">
        <v>1</v>
      </c>
      <c r="G1572" s="32">
        <v>68000013</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3554</v>
      </c>
      <c r="BC1572" s="31">
        <v>0</v>
      </c>
      <c r="BD1572" s="31">
        <v>0</v>
      </c>
      <c r="BE1572" s="60" t="s">
        <v>3555</v>
      </c>
      <c r="BF1572" s="60" t="s">
        <v>3556</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68000014</v>
      </c>
      <c r="D1573" s="35" t="s">
        <v>3557</v>
      </c>
      <c r="E1573" s="35" t="s">
        <v>3558</v>
      </c>
      <c r="F1573" s="32">
        <v>1</v>
      </c>
      <c r="G1573" s="32">
        <v>68000014</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3559</v>
      </c>
      <c r="BC1573" s="31">
        <v>0</v>
      </c>
      <c r="BD1573" s="31">
        <v>0</v>
      </c>
      <c r="BE1573" s="60" t="s">
        <v>3560</v>
      </c>
      <c r="BF1573" s="60" t="s">
        <v>3561</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68000015</v>
      </c>
      <c r="D1574" s="35" t="s">
        <v>3562</v>
      </c>
      <c r="E1574" s="35" t="s">
        <v>3563</v>
      </c>
      <c r="F1574" s="32">
        <v>1</v>
      </c>
      <c r="G1574" s="32">
        <v>68000015</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3564</v>
      </c>
      <c r="BC1574" s="31">
        <v>0</v>
      </c>
      <c r="BD1574" s="31">
        <v>0</v>
      </c>
      <c r="BE1574" s="60" t="s">
        <v>3565</v>
      </c>
      <c r="BF1574" s="60" t="s">
        <v>3566</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68000016</v>
      </c>
      <c r="D1575" s="35" t="s">
        <v>3567</v>
      </c>
      <c r="E1575" s="35" t="s">
        <v>3568</v>
      </c>
      <c r="F1575" s="32">
        <v>1</v>
      </c>
      <c r="G1575" s="32">
        <v>68000016</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1596</v>
      </c>
      <c r="BC1575" s="31">
        <v>0</v>
      </c>
      <c r="BD1575" s="31">
        <v>0</v>
      </c>
      <c r="BE1575" s="60" t="s">
        <v>3569</v>
      </c>
      <c r="BF1575" s="60" t="s">
        <v>3570</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68000017</v>
      </c>
      <c r="D1576" s="35" t="s">
        <v>3571</v>
      </c>
      <c r="E1576" s="35" t="s">
        <v>3572</v>
      </c>
      <c r="F1576" s="32">
        <v>1</v>
      </c>
      <c r="G1576" s="32">
        <v>68000017</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3573</v>
      </c>
      <c r="BC1576" s="31">
        <v>0</v>
      </c>
      <c r="BD1576" s="31">
        <v>0</v>
      </c>
      <c r="BE1576" s="60" t="s">
        <v>3574</v>
      </c>
      <c r="BF1576" s="60" t="s">
        <v>3575</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68000018</v>
      </c>
      <c r="D1577" s="35" t="s">
        <v>3576</v>
      </c>
      <c r="E1577" s="35" t="s">
        <v>3577</v>
      </c>
      <c r="F1577" s="32">
        <v>1</v>
      </c>
      <c r="G1577" s="32">
        <v>68000004</v>
      </c>
      <c r="H1577" s="21">
        <v>0</v>
      </c>
      <c r="I1577" s="31">
        <v>0</v>
      </c>
      <c r="J1577" s="32">
        <v>1</v>
      </c>
      <c r="K1577" s="32">
        <v>0</v>
      </c>
      <c r="L1577" s="32">
        <v>0</v>
      </c>
      <c r="M1577" s="21">
        <v>0</v>
      </c>
      <c r="N1577" s="21">
        <v>0</v>
      </c>
      <c r="O1577" s="21">
        <v>2</v>
      </c>
      <c r="P1577" s="21">
        <v>1</v>
      </c>
      <c r="Q1577" s="21">
        <v>7.4999999999999997E-2</v>
      </c>
      <c r="R1577" s="21">
        <v>0</v>
      </c>
      <c r="S1577" s="19">
        <v>0</v>
      </c>
      <c r="T1577" s="21">
        <v>0</v>
      </c>
      <c r="U1577" s="21">
        <v>1</v>
      </c>
      <c r="V1577" s="21">
        <v>2</v>
      </c>
      <c r="W1577" s="21">
        <v>0</v>
      </c>
      <c r="X1577" s="21">
        <v>0</v>
      </c>
      <c r="Y1577" s="19">
        <v>0</v>
      </c>
      <c r="Z1577" s="21">
        <v>0</v>
      </c>
      <c r="AA1577" s="21">
        <v>0</v>
      </c>
      <c r="AB1577" s="21">
        <v>0</v>
      </c>
      <c r="AC1577" s="21">
        <v>0</v>
      </c>
      <c r="AD1577" s="21">
        <v>1</v>
      </c>
      <c r="AE1577" s="21">
        <v>0</v>
      </c>
      <c r="AF1577" s="21">
        <v>20</v>
      </c>
      <c r="AG1577" s="21">
        <v>0</v>
      </c>
      <c r="AH1577" s="21">
        <v>0</v>
      </c>
      <c r="AI1577" s="19">
        <v>2</v>
      </c>
      <c r="AJ1577" s="19">
        <v>2</v>
      </c>
      <c r="AK1577" s="19">
        <v>0</v>
      </c>
      <c r="AL1577" s="19">
        <v>1.5</v>
      </c>
      <c r="AM1577" s="21">
        <v>0</v>
      </c>
      <c r="AN1577" s="21">
        <v>0</v>
      </c>
      <c r="AO1577" s="21">
        <v>0</v>
      </c>
      <c r="AP1577" s="21">
        <v>0</v>
      </c>
      <c r="AQ1577" s="21">
        <v>3000</v>
      </c>
      <c r="AR1577" s="21">
        <v>0</v>
      </c>
      <c r="AS1577" s="21">
        <v>0</v>
      </c>
      <c r="AT1577" s="19">
        <v>0</v>
      </c>
      <c r="AU1577" s="21" t="s">
        <v>204</v>
      </c>
      <c r="AV1577" s="21"/>
      <c r="AW1577" s="30" t="s">
        <v>205</v>
      </c>
      <c r="AX1577" s="21" t="s">
        <v>551</v>
      </c>
      <c r="AY1577" s="32">
        <v>0</v>
      </c>
      <c r="AZ1577" s="32">
        <v>21101051</v>
      </c>
      <c r="BA1577" s="30" t="s">
        <v>534</v>
      </c>
      <c r="BB1577" s="21" t="s">
        <v>3578</v>
      </c>
      <c r="BC1577" s="31">
        <v>0</v>
      </c>
      <c r="BD1577" s="31">
        <v>0</v>
      </c>
      <c r="BE1577" s="33" t="s">
        <v>3579</v>
      </c>
      <c r="BF1577" s="33" t="s">
        <v>3580</v>
      </c>
      <c r="BG1577" s="21">
        <v>0</v>
      </c>
      <c r="BH1577" s="21">
        <v>0</v>
      </c>
      <c r="BI1577" s="21">
        <v>0</v>
      </c>
      <c r="BJ1577" s="21">
        <v>0</v>
      </c>
      <c r="BK1577" s="21">
        <v>0</v>
      </c>
      <c r="BL1577" s="21">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68000101</v>
      </c>
      <c r="D1578" s="35" t="s">
        <v>3581</v>
      </c>
      <c r="E1578" s="35" t="s">
        <v>3582</v>
      </c>
      <c r="F1578" s="32">
        <v>1</v>
      </c>
      <c r="G1578" s="32">
        <v>68000101</v>
      </c>
      <c r="H1578" s="32">
        <v>0</v>
      </c>
      <c r="I1578" s="31">
        <v>0</v>
      </c>
      <c r="J1578" s="32">
        <v>1</v>
      </c>
      <c r="K1578" s="32">
        <v>0</v>
      </c>
      <c r="L1578" s="32">
        <v>0</v>
      </c>
      <c r="M1578" s="32">
        <v>0</v>
      </c>
      <c r="N1578" s="32">
        <v>0</v>
      </c>
      <c r="O1578" s="32">
        <v>5</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3583</v>
      </c>
      <c r="BC1578" s="31">
        <v>0</v>
      </c>
      <c r="BD1578" s="31">
        <v>0</v>
      </c>
      <c r="BE1578" s="60" t="s">
        <v>3584</v>
      </c>
      <c r="BF1578" s="60" t="s">
        <v>3585</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68000102</v>
      </c>
      <c r="D1579" s="35" t="s">
        <v>3586</v>
      </c>
      <c r="E1579" s="35" t="s">
        <v>3587</v>
      </c>
      <c r="F1579" s="32">
        <v>1</v>
      </c>
      <c r="G1579" s="32">
        <v>68000102</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3588</v>
      </c>
      <c r="BF1579" s="60" t="s">
        <v>3589</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68000103</v>
      </c>
      <c r="D1580" s="35" t="s">
        <v>3590</v>
      </c>
      <c r="E1580" s="35" t="s">
        <v>3591</v>
      </c>
      <c r="F1580" s="32">
        <v>1</v>
      </c>
      <c r="G1580" s="32">
        <v>68000103</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3592</v>
      </c>
      <c r="BF1580" s="60" t="s">
        <v>3593</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68000104</v>
      </c>
      <c r="D1581" s="35" t="s">
        <v>3594</v>
      </c>
      <c r="E1581" s="35" t="s">
        <v>3595</v>
      </c>
      <c r="F1581" s="32">
        <v>1</v>
      </c>
      <c r="G1581" s="32">
        <v>68000104</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3596</v>
      </c>
      <c r="BF1581" s="60" t="s">
        <v>3597</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68000105</v>
      </c>
      <c r="D1582" s="35" t="s">
        <v>3598</v>
      </c>
      <c r="E1582" s="35" t="s">
        <v>3599</v>
      </c>
      <c r="F1582" s="32">
        <v>1</v>
      </c>
      <c r="G1582" s="32">
        <v>68000105</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3600</v>
      </c>
      <c r="BF1582" s="60" t="s">
        <v>3601</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68000106</v>
      </c>
      <c r="D1583" s="35" t="s">
        <v>3602</v>
      </c>
      <c r="E1583" s="35" t="s">
        <v>3603</v>
      </c>
      <c r="F1583" s="32">
        <v>1</v>
      </c>
      <c r="G1583" s="32">
        <v>68000106</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3604</v>
      </c>
      <c r="BF1583" s="60" t="s">
        <v>3605</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68000107</v>
      </c>
      <c r="D1584" s="35" t="s">
        <v>3606</v>
      </c>
      <c r="E1584" s="35" t="s">
        <v>3607</v>
      </c>
      <c r="F1584" s="32">
        <v>1</v>
      </c>
      <c r="G1584" s="32">
        <v>68000107</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3608</v>
      </c>
      <c r="BF1584" s="60" t="s">
        <v>3609</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68000108</v>
      </c>
      <c r="D1585" s="35" t="s">
        <v>3610</v>
      </c>
      <c r="E1585" s="35" t="s">
        <v>3611</v>
      </c>
      <c r="F1585" s="32">
        <v>1</v>
      </c>
      <c r="G1585" s="32">
        <v>68000108</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3612</v>
      </c>
      <c r="BF1585" s="60" t="s">
        <v>3613</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68000109</v>
      </c>
      <c r="D1586" s="35" t="s">
        <v>3614</v>
      </c>
      <c r="E1586" s="35" t="s">
        <v>3615</v>
      </c>
      <c r="F1586" s="32">
        <v>1</v>
      </c>
      <c r="G1586" s="32">
        <v>68000109</v>
      </c>
      <c r="H1586" s="32">
        <v>0</v>
      </c>
      <c r="I1586" s="31">
        <v>0</v>
      </c>
      <c r="J1586" s="32">
        <v>1</v>
      </c>
      <c r="K1586" s="32">
        <v>0</v>
      </c>
      <c r="L1586" s="32">
        <v>0</v>
      </c>
      <c r="M1586" s="32">
        <v>0</v>
      </c>
      <c r="N1586" s="32">
        <v>0</v>
      </c>
      <c r="O1586" s="32">
        <v>5</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3616</v>
      </c>
      <c r="BC1586" s="31">
        <v>0</v>
      </c>
      <c r="BD1586" s="31">
        <v>0</v>
      </c>
      <c r="BE1586" s="60" t="s">
        <v>3617</v>
      </c>
      <c r="BF1586" s="60" t="s">
        <v>3618</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68000110</v>
      </c>
      <c r="D1587" s="35" t="s">
        <v>3619</v>
      </c>
      <c r="E1587" s="35" t="s">
        <v>3620</v>
      </c>
      <c r="F1587" s="32">
        <v>1</v>
      </c>
      <c r="G1587" s="32">
        <v>68000110</v>
      </c>
      <c r="H1587" s="32">
        <v>0</v>
      </c>
      <c r="I1587" s="31">
        <v>0</v>
      </c>
      <c r="J1587" s="32">
        <v>1</v>
      </c>
      <c r="K1587" s="32">
        <v>0</v>
      </c>
      <c r="L1587" s="32">
        <v>0</v>
      </c>
      <c r="M1587" s="32">
        <v>0</v>
      </c>
      <c r="N1587" s="32">
        <v>0</v>
      </c>
      <c r="O1587" s="32">
        <v>2</v>
      </c>
      <c r="P1587" s="32">
        <v>1</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3621</v>
      </c>
      <c r="AU1587" s="32" t="s">
        <v>204</v>
      </c>
      <c r="AV1587" s="32"/>
      <c r="AW1587" s="35" t="s">
        <v>205</v>
      </c>
      <c r="AX1587" s="32">
        <v>0</v>
      </c>
      <c r="AY1587" s="32">
        <v>0</v>
      </c>
      <c r="AZ1587" s="32">
        <v>0</v>
      </c>
      <c r="BA1587" s="35" t="s">
        <v>206</v>
      </c>
      <c r="BB1587" s="35" t="s">
        <v>204</v>
      </c>
      <c r="BC1587" s="31">
        <v>0</v>
      </c>
      <c r="BD1587" s="31">
        <v>0</v>
      </c>
      <c r="BE1587" s="60" t="s">
        <v>3622</v>
      </c>
      <c r="BF1587" s="60" t="s">
        <v>3623</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68000111</v>
      </c>
      <c r="D1588" s="35" t="s">
        <v>3624</v>
      </c>
      <c r="E1588" s="35" t="s">
        <v>3625</v>
      </c>
      <c r="F1588" s="32">
        <v>1</v>
      </c>
      <c r="G1588" s="32">
        <v>68000111</v>
      </c>
      <c r="H1588" s="32">
        <v>0</v>
      </c>
      <c r="I1588" s="31">
        <v>0</v>
      </c>
      <c r="J1588" s="32">
        <v>1</v>
      </c>
      <c r="K1588" s="32">
        <v>0</v>
      </c>
      <c r="L1588" s="32">
        <v>0</v>
      </c>
      <c r="M1588" s="32">
        <v>0</v>
      </c>
      <c r="N1588" s="32">
        <v>0</v>
      </c>
      <c r="O1588" s="32">
        <v>2</v>
      </c>
      <c r="P1588" s="32">
        <v>3</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3621</v>
      </c>
      <c r="AU1588" s="32" t="s">
        <v>204</v>
      </c>
      <c r="AV1588" s="32"/>
      <c r="AW1588" s="35" t="s">
        <v>205</v>
      </c>
      <c r="AX1588" s="32">
        <v>0</v>
      </c>
      <c r="AY1588" s="32">
        <v>0</v>
      </c>
      <c r="AZ1588" s="32">
        <v>0</v>
      </c>
      <c r="BA1588" s="35" t="s">
        <v>206</v>
      </c>
      <c r="BB1588" s="35" t="s">
        <v>204</v>
      </c>
      <c r="BC1588" s="31">
        <v>0</v>
      </c>
      <c r="BD1588" s="31">
        <v>0</v>
      </c>
      <c r="BE1588" s="60" t="s">
        <v>3626</v>
      </c>
      <c r="BF1588" s="60" t="s">
        <v>3627</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68000112</v>
      </c>
      <c r="D1589" s="35" t="s">
        <v>3628</v>
      </c>
      <c r="E1589" s="35" t="s">
        <v>3629</v>
      </c>
      <c r="F1589" s="32">
        <v>1</v>
      </c>
      <c r="G1589" s="32">
        <v>68000112</v>
      </c>
      <c r="H1589" s="32">
        <v>0</v>
      </c>
      <c r="I1589" s="31">
        <v>0</v>
      </c>
      <c r="J1589" s="32">
        <v>1</v>
      </c>
      <c r="K1589" s="32">
        <v>0</v>
      </c>
      <c r="L1589" s="32">
        <v>0</v>
      </c>
      <c r="M1589" s="32">
        <v>0</v>
      </c>
      <c r="N1589" s="32">
        <v>0</v>
      </c>
      <c r="O1589" s="32">
        <v>2</v>
      </c>
      <c r="P1589" s="32">
        <v>2</v>
      </c>
      <c r="Q1589" s="32">
        <v>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30</v>
      </c>
      <c r="AG1589" s="32">
        <v>0</v>
      </c>
      <c r="AH1589" s="32">
        <v>0</v>
      </c>
      <c r="AI1589" s="19">
        <v>2</v>
      </c>
      <c r="AJ1589" s="19">
        <v>0</v>
      </c>
      <c r="AK1589" s="19">
        <v>0</v>
      </c>
      <c r="AL1589" s="19">
        <v>0</v>
      </c>
      <c r="AM1589" s="32">
        <v>0</v>
      </c>
      <c r="AN1589" s="32">
        <v>0</v>
      </c>
      <c r="AO1589" s="32">
        <v>0</v>
      </c>
      <c r="AP1589" s="32">
        <v>0</v>
      </c>
      <c r="AQ1589" s="32">
        <v>1000</v>
      </c>
      <c r="AR1589" s="32">
        <v>0</v>
      </c>
      <c r="AS1589" s="32">
        <v>0</v>
      </c>
      <c r="AT1589" s="369" t="s">
        <v>3621</v>
      </c>
      <c r="AU1589" s="32" t="s">
        <v>204</v>
      </c>
      <c r="AV1589" s="32"/>
      <c r="AW1589" s="35" t="s">
        <v>205</v>
      </c>
      <c r="AX1589" s="32">
        <v>0</v>
      </c>
      <c r="AY1589" s="32">
        <v>0</v>
      </c>
      <c r="AZ1589" s="32">
        <v>0</v>
      </c>
      <c r="BA1589" s="35" t="s">
        <v>206</v>
      </c>
      <c r="BB1589" s="35" t="s">
        <v>204</v>
      </c>
      <c r="BC1589" s="31">
        <v>0</v>
      </c>
      <c r="BD1589" s="31">
        <v>0</v>
      </c>
      <c r="BE1589" s="60" t="s">
        <v>3630</v>
      </c>
      <c r="BF1589" s="60" t="s">
        <v>3631</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68000113</v>
      </c>
      <c r="D1590" s="35" t="s">
        <v>3226</v>
      </c>
      <c r="E1590" s="35" t="s">
        <v>3632</v>
      </c>
      <c r="F1590" s="32">
        <v>1</v>
      </c>
      <c r="G1590" s="32">
        <v>68000113</v>
      </c>
      <c r="H1590" s="32">
        <v>0</v>
      </c>
      <c r="I1590" s="31">
        <v>0</v>
      </c>
      <c r="J1590" s="32">
        <v>1</v>
      </c>
      <c r="K1590" s="32">
        <v>0</v>
      </c>
      <c r="L1590" s="32">
        <v>0</v>
      </c>
      <c r="M1590" s="32">
        <v>0</v>
      </c>
      <c r="N1590" s="32">
        <v>0</v>
      </c>
      <c r="O1590" s="32">
        <v>2</v>
      </c>
      <c r="P1590" s="32">
        <v>20</v>
      </c>
      <c r="Q1590" s="32">
        <v>1</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6</v>
      </c>
      <c r="AG1590" s="32">
        <v>0</v>
      </c>
      <c r="AH1590" s="32">
        <v>0</v>
      </c>
      <c r="AI1590" s="19">
        <v>2</v>
      </c>
      <c r="AJ1590" s="19">
        <v>0</v>
      </c>
      <c r="AK1590" s="19">
        <v>0</v>
      </c>
      <c r="AL1590" s="19">
        <v>0</v>
      </c>
      <c r="AM1590" s="32">
        <v>0</v>
      </c>
      <c r="AN1590" s="32">
        <v>0</v>
      </c>
      <c r="AO1590" s="32">
        <v>0</v>
      </c>
      <c r="AP1590" s="32">
        <v>0</v>
      </c>
      <c r="AQ1590" s="32">
        <v>1000</v>
      </c>
      <c r="AR1590" s="32">
        <v>0</v>
      </c>
      <c r="AS1590" s="32">
        <v>0</v>
      </c>
      <c r="AT1590" s="19">
        <v>98001104</v>
      </c>
      <c r="AU1590" s="32" t="s">
        <v>204</v>
      </c>
      <c r="AV1590" s="32"/>
      <c r="AW1590" s="35" t="s">
        <v>205</v>
      </c>
      <c r="AX1590" s="32">
        <v>0</v>
      </c>
      <c r="AY1590" s="32">
        <v>0</v>
      </c>
      <c r="AZ1590" s="32">
        <v>0</v>
      </c>
      <c r="BA1590" s="35" t="s">
        <v>206</v>
      </c>
      <c r="BB1590" s="35" t="s">
        <v>204</v>
      </c>
      <c r="BC1590" s="31">
        <v>0</v>
      </c>
      <c r="BD1590" s="31">
        <v>0</v>
      </c>
      <c r="BE1590" s="60" t="s">
        <v>3633</v>
      </c>
      <c r="BF1590" s="60" t="s">
        <v>3634</v>
      </c>
      <c r="BG1590" s="32">
        <v>0</v>
      </c>
      <c r="BH1590" s="21">
        <v>0</v>
      </c>
      <c r="BI1590" s="32">
        <v>0</v>
      </c>
      <c r="BJ1590" s="32">
        <v>0</v>
      </c>
      <c r="BK1590" s="32">
        <v>0</v>
      </c>
      <c r="BL1590" s="32">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69000001</v>
      </c>
      <c r="D1591" s="94" t="s">
        <v>3635</v>
      </c>
      <c r="E1591" s="94" t="s">
        <v>3636</v>
      </c>
      <c r="F1591" s="25">
        <v>1</v>
      </c>
      <c r="G1591" s="32">
        <v>60090002</v>
      </c>
      <c r="H1591" s="25">
        <v>0</v>
      </c>
      <c r="I1591" s="26">
        <v>0</v>
      </c>
      <c r="J1591" s="25">
        <v>1</v>
      </c>
      <c r="K1591" s="25">
        <v>0</v>
      </c>
      <c r="L1591" s="26">
        <v>0</v>
      </c>
      <c r="M1591" s="26">
        <v>0</v>
      </c>
      <c r="N1591" s="25" t="s">
        <v>3637</v>
      </c>
      <c r="O1591" s="25">
        <v>3</v>
      </c>
      <c r="P1591" s="25">
        <v>0</v>
      </c>
      <c r="Q1591" s="25">
        <v>0</v>
      </c>
      <c r="R1591" s="25">
        <v>0</v>
      </c>
      <c r="S1591" s="19">
        <v>0</v>
      </c>
      <c r="T1591" s="25">
        <v>0</v>
      </c>
      <c r="U1591" s="21">
        <v>1</v>
      </c>
      <c r="V1591" s="25">
        <v>0</v>
      </c>
      <c r="W1591" s="26">
        <v>0</v>
      </c>
      <c r="X1591" s="25">
        <v>0</v>
      </c>
      <c r="Y1591" s="19">
        <v>0</v>
      </c>
      <c r="Z1591" s="25">
        <v>0</v>
      </c>
      <c r="AA1591" s="25">
        <v>0</v>
      </c>
      <c r="AB1591" s="25">
        <v>0</v>
      </c>
      <c r="AC1591" s="26">
        <v>0</v>
      </c>
      <c r="AD1591" s="25">
        <v>0</v>
      </c>
      <c r="AE1591" s="25">
        <v>0</v>
      </c>
      <c r="AF1591" s="25">
        <v>0</v>
      </c>
      <c r="AG1591" s="25">
        <v>0</v>
      </c>
      <c r="AH1591" s="25">
        <v>0</v>
      </c>
      <c r="AI1591" s="26">
        <v>0</v>
      </c>
      <c r="AJ1591" s="56">
        <v>0</v>
      </c>
      <c r="AK1591" s="19">
        <v>0</v>
      </c>
      <c r="AL1591" s="25">
        <v>0</v>
      </c>
      <c r="AM1591" s="27">
        <v>0</v>
      </c>
      <c r="AN1591" s="25">
        <v>0</v>
      </c>
      <c r="AO1591" s="25">
        <v>0</v>
      </c>
      <c r="AP1591" s="25">
        <v>0</v>
      </c>
      <c r="AQ1591" s="25">
        <v>0</v>
      </c>
      <c r="AR1591" s="25">
        <v>0</v>
      </c>
      <c r="AS1591" s="25">
        <v>0</v>
      </c>
      <c r="AT1591" s="19">
        <v>0</v>
      </c>
      <c r="AU1591" s="28">
        <v>0</v>
      </c>
      <c r="AV1591" s="28"/>
      <c r="AW1591" s="25">
        <v>0</v>
      </c>
      <c r="AX1591" s="26">
        <v>0</v>
      </c>
      <c r="AY1591" s="26">
        <v>0</v>
      </c>
      <c r="AZ1591" s="26">
        <v>0</v>
      </c>
      <c r="BA1591" s="35" t="s">
        <v>206</v>
      </c>
      <c r="BB1591" s="62">
        <v>0</v>
      </c>
      <c r="BC1591" s="31">
        <v>0</v>
      </c>
      <c r="BD1591" s="31">
        <v>1</v>
      </c>
      <c r="BE1591" s="254" t="s">
        <v>3638</v>
      </c>
      <c r="BF1591" s="254" t="s">
        <v>3639</v>
      </c>
      <c r="BG1591" s="25">
        <v>0</v>
      </c>
      <c r="BH1591" s="25">
        <v>0</v>
      </c>
      <c r="BI1591" s="32">
        <v>0</v>
      </c>
      <c r="BJ1591" s="25">
        <v>0</v>
      </c>
      <c r="BK1591" s="25">
        <v>0</v>
      </c>
      <c r="BL1591" s="27">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69000002</v>
      </c>
      <c r="D1592" s="35" t="s">
        <v>3640</v>
      </c>
      <c r="E1592" s="35" t="s">
        <v>3641</v>
      </c>
      <c r="F1592" s="32">
        <v>1</v>
      </c>
      <c r="G1592" s="32">
        <v>68000110</v>
      </c>
      <c r="H1592" s="32">
        <v>0</v>
      </c>
      <c r="I1592" s="31">
        <v>0</v>
      </c>
      <c r="J1592" s="25">
        <v>1</v>
      </c>
      <c r="K1592" s="32">
        <v>0</v>
      </c>
      <c r="L1592" s="32">
        <v>0</v>
      </c>
      <c r="M1592" s="32">
        <v>0</v>
      </c>
      <c r="N1592" s="32">
        <v>0</v>
      </c>
      <c r="O1592" s="32">
        <v>2</v>
      </c>
      <c r="P1592" s="32">
        <v>1</v>
      </c>
      <c r="Q1592" s="32">
        <v>0.05</v>
      </c>
      <c r="R1592" s="32">
        <v>0</v>
      </c>
      <c r="S1592" s="19">
        <v>0</v>
      </c>
      <c r="T1592" s="31">
        <v>0</v>
      </c>
      <c r="U1592" s="21">
        <v>1</v>
      </c>
      <c r="V1592" s="32">
        <v>2</v>
      </c>
      <c r="W1592" s="32">
        <v>0</v>
      </c>
      <c r="X1592" s="32">
        <v>0</v>
      </c>
      <c r="Y1592" s="19">
        <v>0</v>
      </c>
      <c r="Z1592" s="32">
        <v>0</v>
      </c>
      <c r="AA1592" s="32">
        <v>0</v>
      </c>
      <c r="AB1592" s="32">
        <v>0</v>
      </c>
      <c r="AC1592" s="32">
        <v>0</v>
      </c>
      <c r="AD1592" s="32">
        <v>1</v>
      </c>
      <c r="AE1592" s="32">
        <v>0</v>
      </c>
      <c r="AF1592" s="32">
        <v>18</v>
      </c>
      <c r="AG1592" s="32">
        <v>0</v>
      </c>
      <c r="AH1592" s="32">
        <v>0</v>
      </c>
      <c r="AI1592" s="19">
        <v>2</v>
      </c>
      <c r="AJ1592" s="19">
        <v>0</v>
      </c>
      <c r="AK1592" s="19">
        <v>0</v>
      </c>
      <c r="AL1592" s="19">
        <v>0</v>
      </c>
      <c r="AM1592" s="32">
        <v>0</v>
      </c>
      <c r="AN1592" s="32">
        <v>0</v>
      </c>
      <c r="AO1592" s="32">
        <v>0</v>
      </c>
      <c r="AP1592" s="32">
        <v>0</v>
      </c>
      <c r="AQ1592" s="32">
        <v>1000</v>
      </c>
      <c r="AR1592" s="32">
        <v>0</v>
      </c>
      <c r="AS1592" s="32">
        <v>0</v>
      </c>
      <c r="AT1592" s="253">
        <v>69000021</v>
      </c>
      <c r="AU1592" s="32" t="s">
        <v>204</v>
      </c>
      <c r="AV1592" s="32"/>
      <c r="AW1592" s="35" t="s">
        <v>205</v>
      </c>
      <c r="AX1592" s="32">
        <v>0</v>
      </c>
      <c r="AY1592" s="32">
        <v>0</v>
      </c>
      <c r="AZ1592" s="32">
        <v>0</v>
      </c>
      <c r="BA1592" s="35" t="s">
        <v>206</v>
      </c>
      <c r="BB1592" s="35" t="s">
        <v>204</v>
      </c>
      <c r="BC1592" s="31">
        <v>0</v>
      </c>
      <c r="BD1592" s="31">
        <v>1</v>
      </c>
      <c r="BE1592" s="60" t="s">
        <v>3642</v>
      </c>
      <c r="BF1592" s="60" t="s">
        <v>3643</v>
      </c>
      <c r="BG1592" s="32">
        <v>0</v>
      </c>
      <c r="BH1592" s="21">
        <v>0</v>
      </c>
      <c r="BI1592" s="32">
        <v>0</v>
      </c>
      <c r="BJ1592" s="32">
        <v>0</v>
      </c>
      <c r="BK1592" s="32">
        <v>0</v>
      </c>
      <c r="BL1592" s="32">
        <v>0</v>
      </c>
      <c r="BM1592" s="25">
        <v>0</v>
      </c>
      <c r="BN1592" s="19">
        <v>1</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69000003</v>
      </c>
      <c r="D1593" s="94" t="s">
        <v>3644</v>
      </c>
      <c r="E1593" s="94" t="s">
        <v>3645</v>
      </c>
      <c r="F1593" s="25">
        <v>1</v>
      </c>
      <c r="G1593" s="32">
        <v>60090002</v>
      </c>
      <c r="H1593" s="25">
        <v>0</v>
      </c>
      <c r="I1593" s="26">
        <v>0</v>
      </c>
      <c r="J1593" s="25">
        <v>1</v>
      </c>
      <c r="K1593" s="25">
        <v>0</v>
      </c>
      <c r="L1593" s="26">
        <v>0</v>
      </c>
      <c r="M1593" s="26">
        <v>0</v>
      </c>
      <c r="N1593" s="25" t="s">
        <v>3646</v>
      </c>
      <c r="O1593" s="25">
        <v>3</v>
      </c>
      <c r="P1593" s="25">
        <v>0</v>
      </c>
      <c r="Q1593" s="25">
        <v>0</v>
      </c>
      <c r="R1593" s="25">
        <v>0</v>
      </c>
      <c r="S1593" s="19">
        <v>0</v>
      </c>
      <c r="T1593" s="25">
        <v>0</v>
      </c>
      <c r="U1593" s="21">
        <v>1</v>
      </c>
      <c r="V1593" s="25">
        <v>0</v>
      </c>
      <c r="W1593" s="26">
        <v>0</v>
      </c>
      <c r="X1593" s="25">
        <v>0</v>
      </c>
      <c r="Y1593" s="19">
        <v>0</v>
      </c>
      <c r="Z1593" s="25">
        <v>0</v>
      </c>
      <c r="AA1593" s="25">
        <v>0</v>
      </c>
      <c r="AB1593" s="25">
        <v>0</v>
      </c>
      <c r="AC1593" s="26">
        <v>0</v>
      </c>
      <c r="AD1593" s="25">
        <v>0</v>
      </c>
      <c r="AE1593" s="25">
        <v>0</v>
      </c>
      <c r="AF1593" s="25">
        <v>0</v>
      </c>
      <c r="AG1593" s="25">
        <v>0</v>
      </c>
      <c r="AH1593" s="25">
        <v>0</v>
      </c>
      <c r="AI1593" s="26">
        <v>0</v>
      </c>
      <c r="AJ1593" s="56">
        <v>0</v>
      </c>
      <c r="AK1593" s="19">
        <v>0</v>
      </c>
      <c r="AL1593" s="25">
        <v>0</v>
      </c>
      <c r="AM1593" s="27">
        <v>0</v>
      </c>
      <c r="AN1593" s="25">
        <v>0</v>
      </c>
      <c r="AO1593" s="25">
        <v>0</v>
      </c>
      <c r="AP1593" s="25">
        <v>0</v>
      </c>
      <c r="AQ1593" s="25">
        <v>0</v>
      </c>
      <c r="AR1593" s="25">
        <v>0</v>
      </c>
      <c r="AS1593" s="25">
        <v>0</v>
      </c>
      <c r="AT1593" s="19">
        <v>0</v>
      </c>
      <c r="AU1593" s="28">
        <v>0</v>
      </c>
      <c r="AV1593" s="28"/>
      <c r="AW1593" s="25">
        <v>0</v>
      </c>
      <c r="AX1593" s="26">
        <v>0</v>
      </c>
      <c r="AY1593" s="26">
        <v>0</v>
      </c>
      <c r="AZ1593" s="26">
        <v>0</v>
      </c>
      <c r="BA1593" s="35" t="s">
        <v>206</v>
      </c>
      <c r="BB1593" s="62">
        <v>0</v>
      </c>
      <c r="BC1593" s="31">
        <v>0</v>
      </c>
      <c r="BD1593" s="31">
        <v>1</v>
      </c>
      <c r="BE1593" s="254" t="s">
        <v>3638</v>
      </c>
      <c r="BF1593" s="254" t="s">
        <v>3639</v>
      </c>
      <c r="BG1593" s="25">
        <v>0</v>
      </c>
      <c r="BH1593" s="25">
        <v>0</v>
      </c>
      <c r="BI1593" s="32">
        <v>0</v>
      </c>
      <c r="BJ1593" s="25">
        <v>0</v>
      </c>
      <c r="BK1593" s="25">
        <v>0</v>
      </c>
      <c r="BL1593" s="27">
        <v>0</v>
      </c>
      <c r="BM1593" s="25">
        <v>0</v>
      </c>
      <c r="BN1593" s="19">
        <v>0</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69000004</v>
      </c>
      <c r="D1594" s="35" t="s">
        <v>3647</v>
      </c>
      <c r="E1594" s="35" t="s">
        <v>3648</v>
      </c>
      <c r="F1594" s="32">
        <v>1</v>
      </c>
      <c r="G1594" s="32">
        <v>68000110</v>
      </c>
      <c r="H1594" s="32">
        <v>0</v>
      </c>
      <c r="I1594" s="31">
        <v>0</v>
      </c>
      <c r="J1594" s="25">
        <v>1</v>
      </c>
      <c r="K1594" s="32">
        <v>0</v>
      </c>
      <c r="L1594" s="32">
        <v>0</v>
      </c>
      <c r="M1594" s="32">
        <v>0</v>
      </c>
      <c r="N1594" s="32">
        <v>0</v>
      </c>
      <c r="O1594" s="32">
        <v>2</v>
      </c>
      <c r="P1594" s="32">
        <v>3</v>
      </c>
      <c r="Q1594" s="32">
        <v>0.2</v>
      </c>
      <c r="R1594" s="32">
        <v>0</v>
      </c>
      <c r="S1594" s="19">
        <v>0</v>
      </c>
      <c r="T1594" s="31">
        <v>0</v>
      </c>
      <c r="U1594" s="21">
        <v>1</v>
      </c>
      <c r="V1594" s="32">
        <v>2</v>
      </c>
      <c r="W1594" s="32">
        <v>0</v>
      </c>
      <c r="X1594" s="32">
        <v>0</v>
      </c>
      <c r="Y1594" s="19">
        <v>0</v>
      </c>
      <c r="Z1594" s="32">
        <v>0</v>
      </c>
      <c r="AA1594" s="32">
        <v>0</v>
      </c>
      <c r="AB1594" s="32">
        <v>0</v>
      </c>
      <c r="AC1594" s="32">
        <v>0</v>
      </c>
      <c r="AD1594" s="32">
        <v>1</v>
      </c>
      <c r="AE1594" s="32">
        <v>0</v>
      </c>
      <c r="AF1594" s="32">
        <v>18</v>
      </c>
      <c r="AG1594" s="32">
        <v>0</v>
      </c>
      <c r="AH1594" s="32">
        <v>0</v>
      </c>
      <c r="AI1594" s="19">
        <v>2</v>
      </c>
      <c r="AJ1594" s="19">
        <v>0</v>
      </c>
      <c r="AK1594" s="19">
        <v>0</v>
      </c>
      <c r="AL1594" s="19">
        <v>0</v>
      </c>
      <c r="AM1594" s="32">
        <v>0</v>
      </c>
      <c r="AN1594" s="32">
        <v>0</v>
      </c>
      <c r="AO1594" s="32">
        <v>0</v>
      </c>
      <c r="AP1594" s="32">
        <v>0</v>
      </c>
      <c r="AQ1594" s="32">
        <v>1000</v>
      </c>
      <c r="AR1594" s="32">
        <v>0</v>
      </c>
      <c r="AS1594" s="32">
        <v>0</v>
      </c>
      <c r="AT1594" s="253">
        <v>69000041</v>
      </c>
      <c r="AU1594" s="32" t="s">
        <v>204</v>
      </c>
      <c r="AV1594" s="32"/>
      <c r="AW1594" s="35" t="s">
        <v>205</v>
      </c>
      <c r="AX1594" s="32">
        <v>0</v>
      </c>
      <c r="AY1594" s="32">
        <v>0</v>
      </c>
      <c r="AZ1594" s="32">
        <v>0</v>
      </c>
      <c r="BA1594" s="35" t="s">
        <v>206</v>
      </c>
      <c r="BB1594" s="35" t="s">
        <v>204</v>
      </c>
      <c r="BC1594" s="31">
        <v>0</v>
      </c>
      <c r="BD1594" s="31">
        <v>1</v>
      </c>
      <c r="BE1594" s="22" t="s">
        <v>3649</v>
      </c>
      <c r="BF1594" s="22" t="s">
        <v>3650</v>
      </c>
      <c r="BG1594" s="32">
        <v>0</v>
      </c>
      <c r="BH1594" s="21">
        <v>0</v>
      </c>
      <c r="BI1594" s="32">
        <v>0</v>
      </c>
      <c r="BJ1594" s="32">
        <v>0</v>
      </c>
      <c r="BK1594" s="32">
        <v>0</v>
      </c>
      <c r="BL1594" s="32">
        <v>0</v>
      </c>
      <c r="BM1594" s="25">
        <v>0</v>
      </c>
      <c r="BN1594" s="19">
        <v>1</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69000005</v>
      </c>
      <c r="D1595" s="94" t="s">
        <v>3651</v>
      </c>
      <c r="E1595" s="94" t="s">
        <v>3652</v>
      </c>
      <c r="F1595" s="25">
        <v>1</v>
      </c>
      <c r="G1595" s="32">
        <v>60090002</v>
      </c>
      <c r="H1595" s="25">
        <v>0</v>
      </c>
      <c r="I1595" s="26">
        <v>0</v>
      </c>
      <c r="J1595" s="25">
        <v>1</v>
      </c>
      <c r="K1595" s="25">
        <v>0</v>
      </c>
      <c r="L1595" s="26">
        <v>0</v>
      </c>
      <c r="M1595" s="26">
        <v>0</v>
      </c>
      <c r="N1595" s="25" t="s">
        <v>3653</v>
      </c>
      <c r="O1595" s="25">
        <v>3</v>
      </c>
      <c r="P1595" s="25">
        <v>0</v>
      </c>
      <c r="Q1595" s="25">
        <v>0</v>
      </c>
      <c r="R1595" s="25">
        <v>0</v>
      </c>
      <c r="S1595" s="19">
        <v>0</v>
      </c>
      <c r="T1595" s="25">
        <v>0</v>
      </c>
      <c r="U1595" s="21">
        <v>1</v>
      </c>
      <c r="V1595" s="25">
        <v>0</v>
      </c>
      <c r="W1595" s="26">
        <v>0</v>
      </c>
      <c r="X1595" s="25">
        <v>0</v>
      </c>
      <c r="Y1595" s="19">
        <v>0</v>
      </c>
      <c r="Z1595" s="25">
        <v>0</v>
      </c>
      <c r="AA1595" s="25">
        <v>0</v>
      </c>
      <c r="AB1595" s="25">
        <v>0</v>
      </c>
      <c r="AC1595" s="26">
        <v>0</v>
      </c>
      <c r="AD1595" s="25">
        <v>0</v>
      </c>
      <c r="AE1595" s="25">
        <v>0</v>
      </c>
      <c r="AF1595" s="25">
        <v>0</v>
      </c>
      <c r="AG1595" s="25">
        <v>0</v>
      </c>
      <c r="AH1595" s="25">
        <v>0</v>
      </c>
      <c r="AI1595" s="26">
        <v>0</v>
      </c>
      <c r="AJ1595" s="56">
        <v>0</v>
      </c>
      <c r="AK1595" s="19">
        <v>0</v>
      </c>
      <c r="AL1595" s="25">
        <v>0</v>
      </c>
      <c r="AM1595" s="27">
        <v>0</v>
      </c>
      <c r="AN1595" s="25">
        <v>0</v>
      </c>
      <c r="AO1595" s="25">
        <v>0</v>
      </c>
      <c r="AP1595" s="25">
        <v>0</v>
      </c>
      <c r="AQ1595" s="25">
        <v>0</v>
      </c>
      <c r="AR1595" s="25">
        <v>0</v>
      </c>
      <c r="AS1595" s="25">
        <v>0</v>
      </c>
      <c r="AT1595" s="19">
        <v>0</v>
      </c>
      <c r="AU1595" s="28">
        <v>0</v>
      </c>
      <c r="AV1595" s="28"/>
      <c r="AW1595" s="25">
        <v>0</v>
      </c>
      <c r="AX1595" s="26">
        <v>0</v>
      </c>
      <c r="AY1595" s="26">
        <v>0</v>
      </c>
      <c r="AZ1595" s="26">
        <v>0</v>
      </c>
      <c r="BA1595" s="35" t="s">
        <v>206</v>
      </c>
      <c r="BB1595" s="62">
        <v>0</v>
      </c>
      <c r="BC1595" s="31">
        <v>0</v>
      </c>
      <c r="BD1595" s="31">
        <v>1</v>
      </c>
      <c r="BE1595" s="254" t="s">
        <v>3638</v>
      </c>
      <c r="BF1595" s="254" t="s">
        <v>3639</v>
      </c>
      <c r="BG1595" s="25">
        <v>0</v>
      </c>
      <c r="BH1595" s="25">
        <v>0</v>
      </c>
      <c r="BI1595" s="32">
        <v>0</v>
      </c>
      <c r="BJ1595" s="25">
        <v>0</v>
      </c>
      <c r="BK1595" s="25">
        <v>0</v>
      </c>
      <c r="BL1595" s="27">
        <v>0</v>
      </c>
      <c r="BM1595" s="25">
        <v>0</v>
      </c>
      <c r="BN1595" s="19">
        <v>0</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69000006</v>
      </c>
      <c r="D1596" s="20" t="s">
        <v>3654</v>
      </c>
      <c r="E1596" s="20" t="s">
        <v>3655</v>
      </c>
      <c r="F1596" s="32">
        <v>1</v>
      </c>
      <c r="G1596" s="32">
        <v>66001007</v>
      </c>
      <c r="H1596" s="19">
        <v>0</v>
      </c>
      <c r="I1596" s="19">
        <v>0</v>
      </c>
      <c r="J1596" s="25">
        <v>1</v>
      </c>
      <c r="K1596" s="32">
        <v>0</v>
      </c>
      <c r="L1596" s="19">
        <v>0</v>
      </c>
      <c r="M1596" s="19">
        <v>0</v>
      </c>
      <c r="N1596" s="19">
        <v>0</v>
      </c>
      <c r="O1596" s="19">
        <v>2</v>
      </c>
      <c r="P1596" s="19">
        <v>3</v>
      </c>
      <c r="Q1596" s="19">
        <v>0.05</v>
      </c>
      <c r="R1596" s="19">
        <v>0</v>
      </c>
      <c r="S1596" s="19">
        <v>0</v>
      </c>
      <c r="T1596" s="19">
        <v>0</v>
      </c>
      <c r="U1596" s="21">
        <v>1</v>
      </c>
      <c r="V1596" s="19">
        <v>2</v>
      </c>
      <c r="W1596" s="19">
        <v>1000</v>
      </c>
      <c r="X1596" s="19">
        <v>0</v>
      </c>
      <c r="Y1596" s="19">
        <v>0</v>
      </c>
      <c r="Z1596" s="19">
        <v>0</v>
      </c>
      <c r="AA1596" s="19">
        <v>0</v>
      </c>
      <c r="AB1596" s="19">
        <v>0</v>
      </c>
      <c r="AC1596" s="19">
        <v>0</v>
      </c>
      <c r="AD1596" s="32">
        <v>0</v>
      </c>
      <c r="AE1596" s="19">
        <v>0</v>
      </c>
      <c r="AF1596" s="19">
        <v>15</v>
      </c>
      <c r="AG1596" s="19">
        <v>0</v>
      </c>
      <c r="AH1596" s="19">
        <v>0</v>
      </c>
      <c r="AI1596" s="19">
        <v>7</v>
      </c>
      <c r="AJ1596" s="19">
        <v>0</v>
      </c>
      <c r="AK1596" s="19">
        <v>0</v>
      </c>
      <c r="AL1596" s="19">
        <v>6</v>
      </c>
      <c r="AM1596" s="19">
        <v>0</v>
      </c>
      <c r="AN1596" s="19">
        <v>0</v>
      </c>
      <c r="AO1596" s="19">
        <v>0</v>
      </c>
      <c r="AP1596" s="19">
        <v>0.5</v>
      </c>
      <c r="AQ1596" s="19">
        <v>1000</v>
      </c>
      <c r="AR1596" s="19">
        <v>0</v>
      </c>
      <c r="AS1596" s="19">
        <v>0</v>
      </c>
      <c r="AT1596" s="19">
        <v>0</v>
      </c>
      <c r="AU1596" s="19" t="s">
        <v>204</v>
      </c>
      <c r="AV1596" s="19"/>
      <c r="AW1596" s="20" t="s">
        <v>262</v>
      </c>
      <c r="AX1596" s="19" t="s">
        <v>1849</v>
      </c>
      <c r="AY1596" s="19" t="s">
        <v>204</v>
      </c>
      <c r="AZ1596" s="19" t="s">
        <v>2081</v>
      </c>
      <c r="BA1596" s="20" t="s">
        <v>206</v>
      </c>
      <c r="BB1596" s="19">
        <v>0</v>
      </c>
      <c r="BC1596" s="31">
        <v>0</v>
      </c>
      <c r="BD1596" s="31">
        <v>1</v>
      </c>
      <c r="BE1596" s="22" t="s">
        <v>3656</v>
      </c>
      <c r="BF1596" s="22" t="s">
        <v>3657</v>
      </c>
      <c r="BG1596" s="19">
        <v>0</v>
      </c>
      <c r="BH1596" s="21">
        <v>0</v>
      </c>
      <c r="BI1596" s="19">
        <v>0</v>
      </c>
      <c r="BJ1596" s="19">
        <v>0</v>
      </c>
      <c r="BK1596" s="19">
        <v>0</v>
      </c>
      <c r="BL1596" s="19">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69000007</v>
      </c>
      <c r="D1597" s="20" t="s">
        <v>3658</v>
      </c>
      <c r="E1597" s="20" t="s">
        <v>3659</v>
      </c>
      <c r="F1597" s="32">
        <v>1</v>
      </c>
      <c r="G1597" s="32">
        <v>68000110</v>
      </c>
      <c r="H1597" s="32">
        <v>0</v>
      </c>
      <c r="I1597" s="31">
        <v>0</v>
      </c>
      <c r="J1597" s="25">
        <v>1</v>
      </c>
      <c r="K1597" s="32">
        <v>0</v>
      </c>
      <c r="L1597" s="32">
        <v>0</v>
      </c>
      <c r="M1597" s="32">
        <v>0</v>
      </c>
      <c r="N1597" s="32">
        <v>0</v>
      </c>
      <c r="O1597" s="32">
        <v>2</v>
      </c>
      <c r="P1597" s="32">
        <v>1</v>
      </c>
      <c r="Q1597" s="32">
        <v>0.05</v>
      </c>
      <c r="R1597" s="32">
        <v>0</v>
      </c>
      <c r="S1597" s="19">
        <v>0</v>
      </c>
      <c r="T1597" s="31">
        <v>0</v>
      </c>
      <c r="U1597" s="21">
        <v>1</v>
      </c>
      <c r="V1597" s="32">
        <v>2</v>
      </c>
      <c r="W1597" s="32">
        <v>0</v>
      </c>
      <c r="X1597" s="32">
        <v>0</v>
      </c>
      <c r="Y1597" s="19">
        <v>0</v>
      </c>
      <c r="Z1597" s="32">
        <v>0</v>
      </c>
      <c r="AA1597" s="32">
        <v>0</v>
      </c>
      <c r="AB1597" s="32">
        <v>0</v>
      </c>
      <c r="AC1597" s="32">
        <v>0</v>
      </c>
      <c r="AD1597" s="32">
        <v>1</v>
      </c>
      <c r="AE1597" s="32">
        <v>0</v>
      </c>
      <c r="AF1597" s="32">
        <v>18</v>
      </c>
      <c r="AG1597" s="32">
        <v>0</v>
      </c>
      <c r="AH1597" s="32">
        <v>0</v>
      </c>
      <c r="AI1597" s="19">
        <v>2</v>
      </c>
      <c r="AJ1597" s="19">
        <v>0</v>
      </c>
      <c r="AK1597" s="19">
        <v>0</v>
      </c>
      <c r="AL1597" s="19">
        <v>0</v>
      </c>
      <c r="AM1597" s="32">
        <v>0</v>
      </c>
      <c r="AN1597" s="32">
        <v>0</v>
      </c>
      <c r="AO1597" s="32">
        <v>0</v>
      </c>
      <c r="AP1597" s="32">
        <v>0</v>
      </c>
      <c r="AQ1597" s="32">
        <v>1000</v>
      </c>
      <c r="AR1597" s="32">
        <v>0</v>
      </c>
      <c r="AS1597" s="32">
        <v>0</v>
      </c>
      <c r="AT1597" s="253">
        <v>69000071</v>
      </c>
      <c r="AU1597" s="32" t="s">
        <v>204</v>
      </c>
      <c r="AV1597" s="32"/>
      <c r="AW1597" s="35" t="s">
        <v>205</v>
      </c>
      <c r="AX1597" s="32">
        <v>0</v>
      </c>
      <c r="AY1597" s="32">
        <v>0</v>
      </c>
      <c r="AZ1597" s="32">
        <v>0</v>
      </c>
      <c r="BA1597" s="35" t="s">
        <v>206</v>
      </c>
      <c r="BB1597" s="35" t="s">
        <v>204</v>
      </c>
      <c r="BC1597" s="31">
        <v>0</v>
      </c>
      <c r="BD1597" s="31">
        <v>1</v>
      </c>
      <c r="BE1597" s="22" t="s">
        <v>3660</v>
      </c>
      <c r="BF1597" s="22" t="s">
        <v>3661</v>
      </c>
      <c r="BG1597" s="32">
        <v>0</v>
      </c>
      <c r="BH1597" s="21">
        <v>0</v>
      </c>
      <c r="BI1597" s="32">
        <v>0</v>
      </c>
      <c r="BJ1597" s="32">
        <v>0</v>
      </c>
      <c r="BK1597" s="32">
        <v>0</v>
      </c>
      <c r="BL1597" s="32">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69000008</v>
      </c>
      <c r="D1598" s="94" t="s">
        <v>3662</v>
      </c>
      <c r="E1598" s="94" t="s">
        <v>3663</v>
      </c>
      <c r="F1598" s="25">
        <v>1</v>
      </c>
      <c r="G1598" s="32">
        <v>60090002</v>
      </c>
      <c r="H1598" s="25">
        <v>0</v>
      </c>
      <c r="I1598" s="26">
        <v>0</v>
      </c>
      <c r="J1598" s="25">
        <v>1</v>
      </c>
      <c r="K1598" s="25">
        <v>0</v>
      </c>
      <c r="L1598" s="26">
        <v>0</v>
      </c>
      <c r="M1598" s="26">
        <v>0</v>
      </c>
      <c r="N1598" s="25" t="s">
        <v>3664</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3638</v>
      </c>
      <c r="BF1598" s="254" t="s">
        <v>3639</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69000009</v>
      </c>
      <c r="D1599" s="94" t="s">
        <v>3665</v>
      </c>
      <c r="E1599" s="94" t="s">
        <v>3666</v>
      </c>
      <c r="F1599" s="25">
        <v>1</v>
      </c>
      <c r="G1599" s="32">
        <v>60090002</v>
      </c>
      <c r="H1599" s="25">
        <v>0</v>
      </c>
      <c r="I1599" s="26">
        <v>0</v>
      </c>
      <c r="J1599" s="25">
        <v>1</v>
      </c>
      <c r="K1599" s="25">
        <v>0</v>
      </c>
      <c r="L1599" s="26">
        <v>0</v>
      </c>
      <c r="M1599" s="26">
        <v>0</v>
      </c>
      <c r="N1599" s="25" t="s">
        <v>3664</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3638</v>
      </c>
      <c r="BF1599" s="254" t="s">
        <v>3639</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69000010</v>
      </c>
      <c r="D1600" s="35" t="s">
        <v>3667</v>
      </c>
      <c r="E1600" s="35" t="s">
        <v>3668</v>
      </c>
      <c r="F1600" s="32">
        <v>1</v>
      </c>
      <c r="G1600" s="32">
        <v>68000110</v>
      </c>
      <c r="H1600" s="32">
        <v>0</v>
      </c>
      <c r="I1600" s="31">
        <v>0</v>
      </c>
      <c r="J1600" s="25">
        <v>1</v>
      </c>
      <c r="K1600" s="32">
        <v>0</v>
      </c>
      <c r="L1600" s="32">
        <v>0</v>
      </c>
      <c r="M1600" s="32">
        <v>0</v>
      </c>
      <c r="N1600" s="32">
        <v>0</v>
      </c>
      <c r="O1600" s="32">
        <v>2</v>
      </c>
      <c r="P1600" s="32">
        <v>3</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69000101</v>
      </c>
      <c r="AU1600" s="32" t="s">
        <v>204</v>
      </c>
      <c r="AV1600" s="32"/>
      <c r="AW1600" s="35" t="s">
        <v>205</v>
      </c>
      <c r="AX1600" s="32">
        <v>0</v>
      </c>
      <c r="AY1600" s="32">
        <v>0</v>
      </c>
      <c r="AZ1600" s="32">
        <v>0</v>
      </c>
      <c r="BA1600" s="35" t="s">
        <v>206</v>
      </c>
      <c r="BB1600" s="35" t="s">
        <v>204</v>
      </c>
      <c r="BC1600" s="31">
        <v>0</v>
      </c>
      <c r="BD1600" s="31">
        <v>1</v>
      </c>
      <c r="BE1600" s="60" t="s">
        <v>3642</v>
      </c>
      <c r="BF1600" s="60" t="s">
        <v>3643</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69000011</v>
      </c>
      <c r="D1601" s="20" t="s">
        <v>3669</v>
      </c>
      <c r="E1601" s="20" t="s">
        <v>3670</v>
      </c>
      <c r="F1601" s="32">
        <v>1</v>
      </c>
      <c r="G1601" s="32">
        <v>68000110</v>
      </c>
      <c r="H1601" s="32">
        <v>0</v>
      </c>
      <c r="I1601" s="31">
        <v>0</v>
      </c>
      <c r="J1601" s="25">
        <v>1</v>
      </c>
      <c r="K1601" s="32">
        <v>0</v>
      </c>
      <c r="L1601" s="32">
        <v>0</v>
      </c>
      <c r="M1601" s="32">
        <v>0</v>
      </c>
      <c r="N1601" s="32">
        <v>0</v>
      </c>
      <c r="O1601" s="32">
        <v>2</v>
      </c>
      <c r="P1601" s="32">
        <v>1</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69000111</v>
      </c>
      <c r="AU1601" s="32" t="s">
        <v>204</v>
      </c>
      <c r="AV1601" s="32"/>
      <c r="AW1601" s="35" t="s">
        <v>205</v>
      </c>
      <c r="AX1601" s="32">
        <v>0</v>
      </c>
      <c r="AY1601" s="32">
        <v>0</v>
      </c>
      <c r="AZ1601" s="32">
        <v>0</v>
      </c>
      <c r="BA1601" s="35" t="s">
        <v>206</v>
      </c>
      <c r="BB1601" s="35" t="s">
        <v>204</v>
      </c>
      <c r="BC1601" s="31">
        <v>0</v>
      </c>
      <c r="BD1601" s="31">
        <v>1</v>
      </c>
      <c r="BE1601" s="22" t="s">
        <v>3660</v>
      </c>
      <c r="BF1601" s="22" t="s">
        <v>3661</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69000012</v>
      </c>
      <c r="D1602" s="20" t="s">
        <v>3671</v>
      </c>
      <c r="E1602" s="20" t="s">
        <v>3672</v>
      </c>
      <c r="F1602" s="32">
        <v>1</v>
      </c>
      <c r="G1602" s="32">
        <v>66001007</v>
      </c>
      <c r="H1602" s="19">
        <v>0</v>
      </c>
      <c r="I1602" s="19">
        <v>0</v>
      </c>
      <c r="J1602" s="32">
        <v>1</v>
      </c>
      <c r="K1602" s="32">
        <v>0</v>
      </c>
      <c r="L1602" s="19">
        <v>0</v>
      </c>
      <c r="M1602" s="19">
        <v>0</v>
      </c>
      <c r="N1602" s="19">
        <v>0</v>
      </c>
      <c r="O1602" s="19">
        <v>2</v>
      </c>
      <c r="P1602" s="19">
        <v>3</v>
      </c>
      <c r="Q1602" s="19">
        <v>0.15</v>
      </c>
      <c r="R1602" s="19">
        <v>0</v>
      </c>
      <c r="S1602" s="19">
        <v>0</v>
      </c>
      <c r="T1602" s="19">
        <v>0</v>
      </c>
      <c r="U1602" s="21">
        <v>1</v>
      </c>
      <c r="V1602" s="19">
        <v>2</v>
      </c>
      <c r="W1602" s="19">
        <v>0</v>
      </c>
      <c r="X1602" s="19">
        <v>0</v>
      </c>
      <c r="Y1602" s="19">
        <v>0</v>
      </c>
      <c r="Z1602" s="19">
        <v>0</v>
      </c>
      <c r="AA1602" s="19">
        <v>0</v>
      </c>
      <c r="AB1602" s="19">
        <v>0</v>
      </c>
      <c r="AC1602" s="19">
        <v>0</v>
      </c>
      <c r="AD1602" s="32">
        <v>0</v>
      </c>
      <c r="AE1602" s="19">
        <v>0</v>
      </c>
      <c r="AF1602" s="19">
        <v>15</v>
      </c>
      <c r="AG1602" s="19">
        <v>0</v>
      </c>
      <c r="AH1602" s="19">
        <v>0</v>
      </c>
      <c r="AI1602" s="19">
        <v>7</v>
      </c>
      <c r="AJ1602" s="19">
        <v>0</v>
      </c>
      <c r="AK1602" s="19">
        <v>0</v>
      </c>
      <c r="AL1602" s="19">
        <v>6</v>
      </c>
      <c r="AM1602" s="19">
        <v>0</v>
      </c>
      <c r="AN1602" s="19">
        <v>0</v>
      </c>
      <c r="AO1602" s="19">
        <v>0</v>
      </c>
      <c r="AP1602" s="19">
        <v>0.5</v>
      </c>
      <c r="AQ1602" s="19">
        <v>1000</v>
      </c>
      <c r="AR1602" s="19">
        <v>0</v>
      </c>
      <c r="AS1602" s="19">
        <v>0</v>
      </c>
      <c r="AT1602" s="253">
        <v>0</v>
      </c>
      <c r="AU1602" s="19">
        <v>69000121</v>
      </c>
      <c r="AV1602" s="19"/>
      <c r="AW1602" s="20" t="s">
        <v>262</v>
      </c>
      <c r="AX1602" s="19" t="s">
        <v>1849</v>
      </c>
      <c r="AY1602" s="19" t="s">
        <v>204</v>
      </c>
      <c r="AZ1602" s="19" t="s">
        <v>2081</v>
      </c>
      <c r="BA1602" s="20" t="s">
        <v>206</v>
      </c>
      <c r="BB1602" s="19">
        <v>0</v>
      </c>
      <c r="BC1602" s="31">
        <v>0</v>
      </c>
      <c r="BD1602" s="31">
        <v>1</v>
      </c>
      <c r="BE1602" s="22" t="s">
        <v>3673</v>
      </c>
      <c r="BF1602" s="22" t="s">
        <v>3674</v>
      </c>
      <c r="BG1602" s="19">
        <v>0</v>
      </c>
      <c r="BH1602" s="21">
        <v>0</v>
      </c>
      <c r="BI1602" s="19">
        <v>0</v>
      </c>
      <c r="BJ1602" s="19">
        <v>0</v>
      </c>
      <c r="BK1602" s="19">
        <v>0</v>
      </c>
      <c r="BL1602" s="19">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69000013</v>
      </c>
      <c r="D1603" s="255" t="s">
        <v>3675</v>
      </c>
      <c r="E1603" s="255" t="s">
        <v>3676</v>
      </c>
      <c r="F1603" s="25">
        <v>1</v>
      </c>
      <c r="G1603" s="32">
        <v>60090002</v>
      </c>
      <c r="H1603" s="25">
        <v>0</v>
      </c>
      <c r="I1603" s="26">
        <v>0</v>
      </c>
      <c r="J1603" s="25">
        <v>1</v>
      </c>
      <c r="K1603" s="25">
        <v>0</v>
      </c>
      <c r="L1603" s="26">
        <v>0</v>
      </c>
      <c r="M1603" s="26">
        <v>0</v>
      </c>
      <c r="N1603" s="25" t="s">
        <v>3677</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3638</v>
      </c>
      <c r="BF1603" s="254" t="s">
        <v>3639</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69000014</v>
      </c>
      <c r="D1604" s="255" t="s">
        <v>3678</v>
      </c>
      <c r="E1604" s="255" t="s">
        <v>3679</v>
      </c>
      <c r="F1604" s="25">
        <v>1</v>
      </c>
      <c r="G1604" s="32">
        <v>60090002</v>
      </c>
      <c r="H1604" s="25">
        <v>0</v>
      </c>
      <c r="I1604" s="26">
        <v>0</v>
      </c>
      <c r="J1604" s="25">
        <v>1</v>
      </c>
      <c r="K1604" s="25">
        <v>0</v>
      </c>
      <c r="L1604" s="26">
        <v>0</v>
      </c>
      <c r="M1604" s="26">
        <v>0</v>
      </c>
      <c r="N1604" s="25" t="s">
        <v>3680</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3638</v>
      </c>
      <c r="BF1604" s="254" t="s">
        <v>3639</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69000015</v>
      </c>
      <c r="D1605" s="255" t="s">
        <v>3681</v>
      </c>
      <c r="E1605" s="255" t="s">
        <v>3682</v>
      </c>
      <c r="F1605" s="25">
        <v>1</v>
      </c>
      <c r="G1605" s="32">
        <v>60090002</v>
      </c>
      <c r="H1605" s="25">
        <v>0</v>
      </c>
      <c r="I1605" s="26">
        <v>0</v>
      </c>
      <c r="J1605" s="25">
        <v>1</v>
      </c>
      <c r="K1605" s="25">
        <v>0</v>
      </c>
      <c r="L1605" s="26">
        <v>0</v>
      </c>
      <c r="M1605" s="26">
        <v>0</v>
      </c>
      <c r="N1605" s="25" t="s">
        <v>3683</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3638</v>
      </c>
      <c r="BF1605" s="254" t="s">
        <v>3639</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69000016</v>
      </c>
      <c r="D1606" s="255" t="s">
        <v>3684</v>
      </c>
      <c r="E1606" s="255" t="s">
        <v>3685</v>
      </c>
      <c r="F1606" s="25">
        <v>1</v>
      </c>
      <c r="G1606" s="32">
        <v>60090002</v>
      </c>
      <c r="H1606" s="25">
        <v>0</v>
      </c>
      <c r="I1606" s="26">
        <v>0</v>
      </c>
      <c r="J1606" s="25">
        <v>1</v>
      </c>
      <c r="K1606" s="25">
        <v>0</v>
      </c>
      <c r="L1606" s="26">
        <v>0</v>
      </c>
      <c r="M1606" s="26">
        <v>0</v>
      </c>
      <c r="N1606" s="25" t="s">
        <v>3686</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3638</v>
      </c>
      <c r="BF1606" s="254" t="s">
        <v>3639</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69000017</v>
      </c>
      <c r="D1607" s="255" t="s">
        <v>3687</v>
      </c>
      <c r="E1607" s="255" t="s">
        <v>3688</v>
      </c>
      <c r="F1607" s="25">
        <v>1</v>
      </c>
      <c r="G1607" s="32">
        <v>60090002</v>
      </c>
      <c r="H1607" s="25">
        <v>0</v>
      </c>
      <c r="I1607" s="26">
        <v>0</v>
      </c>
      <c r="J1607" s="25">
        <v>1</v>
      </c>
      <c r="K1607" s="25">
        <v>0</v>
      </c>
      <c r="L1607" s="26">
        <v>0</v>
      </c>
      <c r="M1607" s="26">
        <v>0</v>
      </c>
      <c r="N1607" s="25" t="s">
        <v>3689</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3638</v>
      </c>
      <c r="BF1607" s="254" t="s">
        <v>3639</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74">
        <v>69000018</v>
      </c>
      <c r="D1608" s="256" t="s">
        <v>3690</v>
      </c>
      <c r="E1608" s="256" t="s">
        <v>3691</v>
      </c>
      <c r="F1608" s="90">
        <v>1</v>
      </c>
      <c r="G1608" s="74">
        <v>60090002</v>
      </c>
      <c r="H1608" s="90">
        <v>0</v>
      </c>
      <c r="I1608" s="127">
        <v>0</v>
      </c>
      <c r="J1608" s="90">
        <v>1</v>
      </c>
      <c r="K1608" s="90">
        <v>0</v>
      </c>
      <c r="L1608" s="127">
        <v>0</v>
      </c>
      <c r="M1608" s="127">
        <v>0</v>
      </c>
      <c r="N1608" s="90" t="s">
        <v>3692</v>
      </c>
      <c r="O1608" s="90">
        <v>3</v>
      </c>
      <c r="P1608" s="90">
        <v>0</v>
      </c>
      <c r="Q1608" s="90">
        <v>0</v>
      </c>
      <c r="R1608" s="90">
        <v>0</v>
      </c>
      <c r="S1608" s="73">
        <v>0</v>
      </c>
      <c r="T1608" s="90">
        <v>0</v>
      </c>
      <c r="U1608" s="72">
        <v>1</v>
      </c>
      <c r="V1608" s="90">
        <v>0</v>
      </c>
      <c r="W1608" s="127">
        <v>0</v>
      </c>
      <c r="X1608" s="90">
        <v>0</v>
      </c>
      <c r="Y1608" s="19">
        <v>0</v>
      </c>
      <c r="Z1608" s="90">
        <v>0</v>
      </c>
      <c r="AA1608" s="90">
        <v>0</v>
      </c>
      <c r="AB1608" s="90">
        <v>0</v>
      </c>
      <c r="AC1608" s="127">
        <v>0</v>
      </c>
      <c r="AD1608" s="90">
        <v>0</v>
      </c>
      <c r="AE1608" s="90">
        <v>0</v>
      </c>
      <c r="AF1608" s="90">
        <v>0</v>
      </c>
      <c r="AG1608" s="90">
        <v>0</v>
      </c>
      <c r="AH1608" s="90">
        <v>0</v>
      </c>
      <c r="AI1608" s="127">
        <v>0</v>
      </c>
      <c r="AJ1608" s="128">
        <v>0</v>
      </c>
      <c r="AK1608" s="73">
        <v>0</v>
      </c>
      <c r="AL1608" s="90">
        <v>0</v>
      </c>
      <c r="AM1608" s="129">
        <v>0</v>
      </c>
      <c r="AN1608" s="90">
        <v>0</v>
      </c>
      <c r="AO1608" s="90">
        <v>0</v>
      </c>
      <c r="AP1608" s="90">
        <v>0</v>
      </c>
      <c r="AQ1608" s="90">
        <v>0</v>
      </c>
      <c r="AR1608" s="90">
        <v>0</v>
      </c>
      <c r="AS1608" s="90">
        <v>0</v>
      </c>
      <c r="AT1608" s="73">
        <v>0</v>
      </c>
      <c r="AU1608" s="257">
        <v>0</v>
      </c>
      <c r="AV1608" s="257"/>
      <c r="AW1608" s="90">
        <v>0</v>
      </c>
      <c r="AX1608" s="127">
        <v>0</v>
      </c>
      <c r="AY1608" s="127">
        <v>0</v>
      </c>
      <c r="AZ1608" s="127">
        <v>0</v>
      </c>
      <c r="BA1608" s="88" t="s">
        <v>206</v>
      </c>
      <c r="BB1608" s="258">
        <v>0</v>
      </c>
      <c r="BC1608" s="75">
        <v>0</v>
      </c>
      <c r="BD1608" s="75">
        <v>1</v>
      </c>
      <c r="BE1608" s="259" t="s">
        <v>3638</v>
      </c>
      <c r="BF1608" s="259" t="s">
        <v>3639</v>
      </c>
      <c r="BG1608" s="90">
        <v>0</v>
      </c>
      <c r="BH1608" s="90">
        <v>0</v>
      </c>
      <c r="BI1608" s="74">
        <v>0</v>
      </c>
      <c r="BJ1608" s="90">
        <v>0</v>
      </c>
      <c r="BK1608" s="90">
        <v>0</v>
      </c>
      <c r="BL1608" s="129">
        <v>0</v>
      </c>
      <c r="BM1608" s="90">
        <v>0</v>
      </c>
      <c r="BN1608" s="73">
        <v>0</v>
      </c>
      <c r="BO1608" s="73">
        <v>0</v>
      </c>
      <c r="BP1608" s="73">
        <v>0</v>
      </c>
      <c r="BQ1608" s="73">
        <v>0</v>
      </c>
      <c r="BR1608" s="73">
        <v>0</v>
      </c>
      <c r="BS1608" s="73">
        <v>0</v>
      </c>
      <c r="BT1608" s="19">
        <v>0</v>
      </c>
      <c r="BU1608" s="23">
        <v>0</v>
      </c>
      <c r="BV1608" s="23"/>
      <c r="BW1608" s="23"/>
      <c r="BX1608" s="23"/>
      <c r="BY1608" s="23"/>
      <c r="BZ1608" s="23"/>
    </row>
    <row r="1609" spans="3:78" ht="20.100000000000001" customHeight="1">
      <c r="C1609" s="32">
        <v>69011001</v>
      </c>
      <c r="D1609" s="260" t="s">
        <v>3693</v>
      </c>
      <c r="E1609" s="260" t="s">
        <v>3694</v>
      </c>
      <c r="F1609" s="69">
        <v>1</v>
      </c>
      <c r="G1609" s="69">
        <v>60090002</v>
      </c>
      <c r="H1609" s="59">
        <v>0</v>
      </c>
      <c r="I1609" s="59">
        <v>0</v>
      </c>
      <c r="J1609" s="69">
        <v>1</v>
      </c>
      <c r="K1609" s="69">
        <v>0</v>
      </c>
      <c r="L1609" s="59">
        <v>0</v>
      </c>
      <c r="M1609" s="59">
        <v>0</v>
      </c>
      <c r="N1609" s="59" t="s">
        <v>3695</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3693</v>
      </c>
      <c r="BF1609" s="260" t="s">
        <v>3694</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69011002</v>
      </c>
      <c r="D1610" s="260" t="s">
        <v>3696</v>
      </c>
      <c r="E1610" s="260" t="s">
        <v>3697</v>
      </c>
      <c r="F1610" s="69">
        <v>1</v>
      </c>
      <c r="G1610" s="69">
        <v>60090002</v>
      </c>
      <c r="H1610" s="59">
        <v>0</v>
      </c>
      <c r="I1610" s="59">
        <v>0</v>
      </c>
      <c r="J1610" s="69">
        <v>1</v>
      </c>
      <c r="K1610" s="69">
        <v>0</v>
      </c>
      <c r="L1610" s="59">
        <v>0</v>
      </c>
      <c r="M1610" s="59">
        <v>0</v>
      </c>
      <c r="N1610" s="59" t="s">
        <v>3664</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3696</v>
      </c>
      <c r="BF1610" s="260" t="s">
        <v>3697</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69011003</v>
      </c>
      <c r="D1611" s="260" t="s">
        <v>3698</v>
      </c>
      <c r="E1611" s="260" t="s">
        <v>3699</v>
      </c>
      <c r="F1611" s="69">
        <v>1</v>
      </c>
      <c r="G1611" s="69">
        <v>60090002</v>
      </c>
      <c r="H1611" s="59">
        <v>0</v>
      </c>
      <c r="I1611" s="59">
        <v>0</v>
      </c>
      <c r="J1611" s="69">
        <v>1</v>
      </c>
      <c r="K1611" s="69">
        <v>0</v>
      </c>
      <c r="L1611" s="59">
        <v>0</v>
      </c>
      <c r="M1611" s="59">
        <v>0</v>
      </c>
      <c r="N1611" s="59" t="s">
        <v>3700</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3698</v>
      </c>
      <c r="BF1611" s="260" t="s">
        <v>3699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69011004</v>
      </c>
      <c r="D1612" s="260" t="s">
        <v>3701</v>
      </c>
      <c r="E1612" s="260" t="s">
        <v>3702</v>
      </c>
      <c r="F1612" s="69">
        <v>1</v>
      </c>
      <c r="G1612" s="69">
        <v>60090002</v>
      </c>
      <c r="H1612" s="59">
        <v>0</v>
      </c>
      <c r="I1612" s="59">
        <v>0</v>
      </c>
      <c r="J1612" s="69">
        <v>1</v>
      </c>
      <c r="K1612" s="69">
        <v>0</v>
      </c>
      <c r="L1612" s="59">
        <v>0</v>
      </c>
      <c r="M1612" s="59">
        <v>0</v>
      </c>
      <c r="N1612" s="59" t="s">
        <v>3703</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3701</v>
      </c>
      <c r="BF1612" s="260" t="s">
        <v>3702</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69011005</v>
      </c>
      <c r="D1613" s="260" t="s">
        <v>3704</v>
      </c>
      <c r="E1613" s="260" t="s">
        <v>3705</v>
      </c>
      <c r="F1613" s="69">
        <v>1</v>
      </c>
      <c r="G1613" s="69">
        <v>60090002</v>
      </c>
      <c r="H1613" s="59">
        <v>0</v>
      </c>
      <c r="I1613" s="59">
        <v>0</v>
      </c>
      <c r="J1613" s="69">
        <v>1</v>
      </c>
      <c r="K1613" s="69">
        <v>0</v>
      </c>
      <c r="L1613" s="59">
        <v>0</v>
      </c>
      <c r="M1613" s="59">
        <v>0</v>
      </c>
      <c r="N1613" s="59" t="s">
        <v>3637</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3704</v>
      </c>
      <c r="BF1613" s="260" t="s">
        <v>3705</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69011006</v>
      </c>
      <c r="D1614" s="260" t="s">
        <v>3706</v>
      </c>
      <c r="E1614" s="260" t="s">
        <v>3707</v>
      </c>
      <c r="F1614" s="69">
        <v>1</v>
      </c>
      <c r="G1614" s="69">
        <v>60090002</v>
      </c>
      <c r="H1614" s="59">
        <v>0</v>
      </c>
      <c r="I1614" s="59">
        <v>0</v>
      </c>
      <c r="J1614" s="69">
        <v>1</v>
      </c>
      <c r="K1614" s="69">
        <v>0</v>
      </c>
      <c r="L1614" s="59">
        <v>0</v>
      </c>
      <c r="M1614" s="59">
        <v>0</v>
      </c>
      <c r="N1614" s="59" t="s">
        <v>3677</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3706</v>
      </c>
      <c r="BF1614" s="260" t="s">
        <v>3707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69011101</v>
      </c>
      <c r="D1615" s="260" t="s">
        <v>3708</v>
      </c>
      <c r="E1615" s="260" t="s">
        <v>3709</v>
      </c>
      <c r="F1615" s="69">
        <v>1</v>
      </c>
      <c r="G1615" s="69">
        <v>60090002</v>
      </c>
      <c r="H1615" s="59">
        <v>0</v>
      </c>
      <c r="I1615" s="59">
        <v>0</v>
      </c>
      <c r="J1615" s="69">
        <v>1</v>
      </c>
      <c r="K1615" s="69">
        <v>0</v>
      </c>
      <c r="L1615" s="59">
        <v>0</v>
      </c>
      <c r="M1615" s="59">
        <v>0</v>
      </c>
      <c r="N1615" s="59" t="s">
        <v>3710</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3708</v>
      </c>
      <c r="BF1615" s="260" t="s">
        <v>3709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69011102</v>
      </c>
      <c r="D1616" s="260" t="s">
        <v>3711</v>
      </c>
      <c r="E1616" s="260" t="s">
        <v>3712</v>
      </c>
      <c r="F1616" s="69">
        <v>1</v>
      </c>
      <c r="G1616" s="69">
        <v>60090002</v>
      </c>
      <c r="H1616" s="59">
        <v>0</v>
      </c>
      <c r="I1616" s="59">
        <v>0</v>
      </c>
      <c r="J1616" s="69">
        <v>1</v>
      </c>
      <c r="K1616" s="69">
        <v>0</v>
      </c>
      <c r="L1616" s="59">
        <v>0</v>
      </c>
      <c r="M1616" s="59">
        <v>0</v>
      </c>
      <c r="N1616" s="59" t="s">
        <v>3713</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3711</v>
      </c>
      <c r="BF1616" s="260" t="s">
        <v>3712</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69011103</v>
      </c>
      <c r="D1617" s="260" t="s">
        <v>3714</v>
      </c>
      <c r="E1617" s="260" t="s">
        <v>3715</v>
      </c>
      <c r="F1617" s="69">
        <v>1</v>
      </c>
      <c r="G1617" s="69">
        <v>60090002</v>
      </c>
      <c r="H1617" s="59">
        <v>0</v>
      </c>
      <c r="I1617" s="59">
        <v>0</v>
      </c>
      <c r="J1617" s="69">
        <v>1</v>
      </c>
      <c r="K1617" s="69">
        <v>0</v>
      </c>
      <c r="L1617" s="59">
        <v>0</v>
      </c>
      <c r="M1617" s="59">
        <v>0</v>
      </c>
      <c r="N1617" s="59" t="s">
        <v>3716</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3714</v>
      </c>
      <c r="BF1617" s="260" t="s">
        <v>3715</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69011104</v>
      </c>
      <c r="D1618" s="260" t="s">
        <v>3717</v>
      </c>
      <c r="E1618" s="260" t="s">
        <v>3718</v>
      </c>
      <c r="F1618" s="69">
        <v>1</v>
      </c>
      <c r="G1618" s="69">
        <v>60090002</v>
      </c>
      <c r="H1618" s="59">
        <v>0</v>
      </c>
      <c r="I1618" s="59">
        <v>0</v>
      </c>
      <c r="J1618" s="69">
        <v>1</v>
      </c>
      <c r="K1618" s="69">
        <v>0</v>
      </c>
      <c r="L1618" s="59">
        <v>0</v>
      </c>
      <c r="M1618" s="59">
        <v>0</v>
      </c>
      <c r="N1618" s="59" t="s">
        <v>3719</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3717</v>
      </c>
      <c r="BF1618" s="260" t="s">
        <v>3718</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69011201</v>
      </c>
      <c r="D1619" s="260" t="s">
        <v>3720</v>
      </c>
      <c r="E1619" s="260" t="s">
        <v>3721</v>
      </c>
      <c r="F1619" s="69">
        <v>1</v>
      </c>
      <c r="G1619" s="69">
        <v>60090002</v>
      </c>
      <c r="H1619" s="59">
        <v>0</v>
      </c>
      <c r="I1619" s="59">
        <v>0</v>
      </c>
      <c r="J1619" s="69">
        <v>1</v>
      </c>
      <c r="K1619" s="69">
        <v>0</v>
      </c>
      <c r="L1619" s="59">
        <v>0</v>
      </c>
      <c r="M1619" s="59">
        <v>0</v>
      </c>
      <c r="N1619" s="59" t="s">
        <v>3722</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3720</v>
      </c>
      <c r="BF1619" s="260" t="s">
        <v>3721</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69011202</v>
      </c>
      <c r="D1620" s="260" t="s">
        <v>3723</v>
      </c>
      <c r="E1620" s="260" t="s">
        <v>3724</v>
      </c>
      <c r="F1620" s="69">
        <v>1</v>
      </c>
      <c r="G1620" s="69">
        <v>60090002</v>
      </c>
      <c r="H1620" s="59">
        <v>0</v>
      </c>
      <c r="I1620" s="59">
        <v>0</v>
      </c>
      <c r="J1620" s="69">
        <v>1</v>
      </c>
      <c r="K1620" s="69">
        <v>0</v>
      </c>
      <c r="L1620" s="59">
        <v>0</v>
      </c>
      <c r="M1620" s="59">
        <v>0</v>
      </c>
      <c r="N1620" s="59" t="s">
        <v>3725</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3723</v>
      </c>
      <c r="BF1620" s="260" t="s">
        <v>3724</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69011203</v>
      </c>
      <c r="D1621" s="260" t="s">
        <v>3726</v>
      </c>
      <c r="E1621" s="260" t="s">
        <v>3727</v>
      </c>
      <c r="F1621" s="69">
        <v>1</v>
      </c>
      <c r="G1621" s="69">
        <v>60090002</v>
      </c>
      <c r="H1621" s="59">
        <v>0</v>
      </c>
      <c r="I1621" s="59">
        <v>0</v>
      </c>
      <c r="J1621" s="69">
        <v>1</v>
      </c>
      <c r="K1621" s="69">
        <v>0</v>
      </c>
      <c r="L1621" s="59">
        <v>0</v>
      </c>
      <c r="M1621" s="59">
        <v>0</v>
      </c>
      <c r="N1621" s="59" t="s">
        <v>3728</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3726</v>
      </c>
      <c r="BF1621" s="260" t="s">
        <v>3727</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69011204</v>
      </c>
      <c r="D1622" s="260" t="s">
        <v>3729</v>
      </c>
      <c r="E1622" s="260" t="s">
        <v>3730</v>
      </c>
      <c r="F1622" s="69">
        <v>1</v>
      </c>
      <c r="G1622" s="69">
        <v>60090002</v>
      </c>
      <c r="H1622" s="59">
        <v>0</v>
      </c>
      <c r="I1622" s="59">
        <v>0</v>
      </c>
      <c r="J1622" s="69">
        <v>1</v>
      </c>
      <c r="K1622" s="69">
        <v>0</v>
      </c>
      <c r="L1622" s="59">
        <v>0</v>
      </c>
      <c r="M1622" s="59">
        <v>0</v>
      </c>
      <c r="N1622" s="59" t="s">
        <v>3731</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3729</v>
      </c>
      <c r="BF1622" s="260" t="s">
        <v>3730</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69011301</v>
      </c>
      <c r="D1623" s="260" t="s">
        <v>3732</v>
      </c>
      <c r="E1623" s="260" t="s">
        <v>3733</v>
      </c>
      <c r="F1623" s="69">
        <v>1</v>
      </c>
      <c r="G1623" s="69">
        <v>60090002</v>
      </c>
      <c r="H1623" s="59">
        <v>0</v>
      </c>
      <c r="I1623" s="59">
        <v>0</v>
      </c>
      <c r="J1623" s="69">
        <v>1</v>
      </c>
      <c r="K1623" s="69">
        <v>0</v>
      </c>
      <c r="L1623" s="59">
        <v>0</v>
      </c>
      <c r="M1623" s="59">
        <v>0</v>
      </c>
      <c r="N1623" s="59" t="s">
        <v>3734</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3732</v>
      </c>
      <c r="BF1623" s="260" t="s">
        <v>3733</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69011302</v>
      </c>
      <c r="D1624" s="260" t="s">
        <v>3735</v>
      </c>
      <c r="E1624" s="260" t="s">
        <v>3736</v>
      </c>
      <c r="F1624" s="69">
        <v>1</v>
      </c>
      <c r="G1624" s="69">
        <v>60090002</v>
      </c>
      <c r="H1624" s="59">
        <v>0</v>
      </c>
      <c r="I1624" s="59">
        <v>0</v>
      </c>
      <c r="J1624" s="69">
        <v>1</v>
      </c>
      <c r="K1624" s="69">
        <v>0</v>
      </c>
      <c r="L1624" s="59">
        <v>0</v>
      </c>
      <c r="M1624" s="59">
        <v>0</v>
      </c>
      <c r="N1624" s="59" t="s">
        <v>3737</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3735</v>
      </c>
      <c r="BF1624" s="260" t="s">
        <v>3736</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69011303</v>
      </c>
      <c r="D1625" s="260" t="s">
        <v>3738</v>
      </c>
      <c r="E1625" s="260" t="s">
        <v>3739</v>
      </c>
      <c r="F1625" s="69">
        <v>1</v>
      </c>
      <c r="G1625" s="69">
        <v>60090002</v>
      </c>
      <c r="H1625" s="59">
        <v>0</v>
      </c>
      <c r="I1625" s="59">
        <v>0</v>
      </c>
      <c r="J1625" s="69">
        <v>1</v>
      </c>
      <c r="K1625" s="69">
        <v>0</v>
      </c>
      <c r="L1625" s="59">
        <v>0</v>
      </c>
      <c r="M1625" s="59">
        <v>0</v>
      </c>
      <c r="N1625" s="59" t="s">
        <v>3740</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3738</v>
      </c>
      <c r="BF1625" s="260" t="s">
        <v>3739</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69011304</v>
      </c>
      <c r="D1626" s="260" t="s">
        <v>3741</v>
      </c>
      <c r="E1626" s="260" t="s">
        <v>3742</v>
      </c>
      <c r="F1626" s="69">
        <v>1</v>
      </c>
      <c r="G1626" s="69">
        <v>60090002</v>
      </c>
      <c r="H1626" s="59">
        <v>0</v>
      </c>
      <c r="I1626" s="59">
        <v>0</v>
      </c>
      <c r="J1626" s="69">
        <v>1</v>
      </c>
      <c r="K1626" s="69">
        <v>0</v>
      </c>
      <c r="L1626" s="59">
        <v>0</v>
      </c>
      <c r="M1626" s="59">
        <v>0</v>
      </c>
      <c r="N1626" s="59" t="s">
        <v>3743</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3741</v>
      </c>
      <c r="BF1626" s="260" t="s">
        <v>3742</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69012001</v>
      </c>
      <c r="D1627" s="260" t="s">
        <v>3744</v>
      </c>
      <c r="E1627" s="260" t="s">
        <v>3745</v>
      </c>
      <c r="F1627" s="69">
        <v>1</v>
      </c>
      <c r="G1627" s="69">
        <v>60090002</v>
      </c>
      <c r="H1627" s="59">
        <v>0</v>
      </c>
      <c r="I1627" s="59">
        <v>0</v>
      </c>
      <c r="J1627" s="69">
        <v>1</v>
      </c>
      <c r="K1627" s="69">
        <v>0</v>
      </c>
      <c r="L1627" s="59">
        <v>0</v>
      </c>
      <c r="M1627" s="59">
        <v>0</v>
      </c>
      <c r="N1627" s="59" t="s">
        <v>3692</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3744</v>
      </c>
      <c r="BF1627" s="260" t="s">
        <v>3745</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69012002</v>
      </c>
      <c r="D1628" s="260" t="s">
        <v>3746</v>
      </c>
      <c r="E1628" s="260" t="s">
        <v>3747</v>
      </c>
      <c r="F1628" s="69">
        <v>1</v>
      </c>
      <c r="G1628" s="69">
        <v>60090002</v>
      </c>
      <c r="H1628" s="59">
        <v>0</v>
      </c>
      <c r="I1628" s="59">
        <v>0</v>
      </c>
      <c r="J1628" s="69">
        <v>1</v>
      </c>
      <c r="K1628" s="69">
        <v>0</v>
      </c>
      <c r="L1628" s="59">
        <v>0</v>
      </c>
      <c r="M1628" s="59">
        <v>0</v>
      </c>
      <c r="N1628" s="59" t="s">
        <v>3653</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3746</v>
      </c>
      <c r="BF1628" s="260" t="s">
        <v>3747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69012003</v>
      </c>
      <c r="D1629" s="260" t="s">
        <v>3748</v>
      </c>
      <c r="E1629" s="260" t="s">
        <v>3749</v>
      </c>
      <c r="F1629" s="69">
        <v>1</v>
      </c>
      <c r="G1629" s="69">
        <v>60090002</v>
      </c>
      <c r="H1629" s="59">
        <v>0</v>
      </c>
      <c r="I1629" s="59">
        <v>0</v>
      </c>
      <c r="J1629" s="69">
        <v>1</v>
      </c>
      <c r="K1629" s="69">
        <v>0</v>
      </c>
      <c r="L1629" s="59">
        <v>0</v>
      </c>
      <c r="M1629" s="59">
        <v>0</v>
      </c>
      <c r="N1629" s="59" t="s">
        <v>3750</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3748</v>
      </c>
      <c r="BF1629" s="260" t="s">
        <v>3749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69012004</v>
      </c>
      <c r="D1630" s="260" t="s">
        <v>3751</v>
      </c>
      <c r="E1630" s="260" t="s">
        <v>3752</v>
      </c>
      <c r="F1630" s="69">
        <v>1</v>
      </c>
      <c r="G1630" s="69">
        <v>60090002</v>
      </c>
      <c r="H1630" s="59">
        <v>0</v>
      </c>
      <c r="I1630" s="59">
        <v>0</v>
      </c>
      <c r="J1630" s="69">
        <v>1</v>
      </c>
      <c r="K1630" s="69">
        <v>0</v>
      </c>
      <c r="L1630" s="59">
        <v>0</v>
      </c>
      <c r="M1630" s="59">
        <v>0</v>
      </c>
      <c r="N1630" s="59" t="s">
        <v>3753</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3751</v>
      </c>
      <c r="BF1630" s="260" t="s">
        <v>3752</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69012005</v>
      </c>
      <c r="D1631" s="260" t="s">
        <v>3754</v>
      </c>
      <c r="E1631" s="260" t="s">
        <v>3755</v>
      </c>
      <c r="F1631" s="69">
        <v>1</v>
      </c>
      <c r="G1631" s="69">
        <v>60090002</v>
      </c>
      <c r="H1631" s="59">
        <v>0</v>
      </c>
      <c r="I1631" s="59">
        <v>0</v>
      </c>
      <c r="J1631" s="69">
        <v>1</v>
      </c>
      <c r="K1631" s="69">
        <v>0</v>
      </c>
      <c r="L1631" s="59">
        <v>0</v>
      </c>
      <c r="M1631" s="59">
        <v>0</v>
      </c>
      <c r="N1631" s="59" t="s">
        <v>3646</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3754</v>
      </c>
      <c r="BF1631" s="260" t="s">
        <v>3755</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69012006</v>
      </c>
      <c r="D1632" s="260" t="s">
        <v>3756</v>
      </c>
      <c r="E1632" s="260" t="s">
        <v>3757</v>
      </c>
      <c r="F1632" s="69">
        <v>1</v>
      </c>
      <c r="G1632" s="69">
        <v>60090002</v>
      </c>
      <c r="H1632" s="59">
        <v>0</v>
      </c>
      <c r="I1632" s="59">
        <v>0</v>
      </c>
      <c r="J1632" s="69">
        <v>1</v>
      </c>
      <c r="K1632" s="69">
        <v>0</v>
      </c>
      <c r="L1632" s="59">
        <v>0</v>
      </c>
      <c r="M1632" s="59">
        <v>0</v>
      </c>
      <c r="N1632" s="59" t="s">
        <v>3758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3756</v>
      </c>
      <c r="BF1632" s="260" t="s">
        <v>3757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69012101</v>
      </c>
      <c r="D1633" s="260" t="s">
        <v>3759</v>
      </c>
      <c r="E1633" s="260" t="s">
        <v>3760</v>
      </c>
      <c r="F1633" s="69">
        <v>1</v>
      </c>
      <c r="G1633" s="69">
        <v>60090002</v>
      </c>
      <c r="H1633" s="59">
        <v>0</v>
      </c>
      <c r="I1633" s="59">
        <v>0</v>
      </c>
      <c r="J1633" s="69">
        <v>1</v>
      </c>
      <c r="K1633" s="69">
        <v>0</v>
      </c>
      <c r="L1633" s="59">
        <v>0</v>
      </c>
      <c r="M1633" s="59">
        <v>0</v>
      </c>
      <c r="N1633" s="59" t="s">
        <v>3761</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3759</v>
      </c>
      <c r="BF1633" s="260" t="s">
        <v>3760</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69012102</v>
      </c>
      <c r="D1634" s="260" t="s">
        <v>3762</v>
      </c>
      <c r="E1634" s="260" t="s">
        <v>3763</v>
      </c>
      <c r="F1634" s="69">
        <v>1</v>
      </c>
      <c r="G1634" s="69">
        <v>60090002</v>
      </c>
      <c r="H1634" s="59">
        <v>0</v>
      </c>
      <c r="I1634" s="59">
        <v>0</v>
      </c>
      <c r="J1634" s="69">
        <v>1</v>
      </c>
      <c r="K1634" s="69">
        <v>0</v>
      </c>
      <c r="L1634" s="59">
        <v>0</v>
      </c>
      <c r="M1634" s="59">
        <v>0</v>
      </c>
      <c r="N1634" s="59" t="s">
        <v>3764</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3762</v>
      </c>
      <c r="BF1634" s="260" t="s">
        <v>3763</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69012103</v>
      </c>
      <c r="D1635" s="260" t="s">
        <v>3765</v>
      </c>
      <c r="E1635" s="260" t="s">
        <v>3766</v>
      </c>
      <c r="F1635" s="69">
        <v>1</v>
      </c>
      <c r="G1635" s="69">
        <v>60090002</v>
      </c>
      <c r="H1635" s="59">
        <v>0</v>
      </c>
      <c r="I1635" s="59">
        <v>0</v>
      </c>
      <c r="J1635" s="69">
        <v>1</v>
      </c>
      <c r="K1635" s="69">
        <v>0</v>
      </c>
      <c r="L1635" s="59">
        <v>0</v>
      </c>
      <c r="M1635" s="59">
        <v>0</v>
      </c>
      <c r="N1635" s="59" t="s">
        <v>3767</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3765</v>
      </c>
      <c r="BF1635" s="260" t="s">
        <v>3766</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69012104</v>
      </c>
      <c r="D1636" s="260" t="s">
        <v>3768</v>
      </c>
      <c r="E1636" s="260" t="s">
        <v>3769</v>
      </c>
      <c r="F1636" s="69">
        <v>1</v>
      </c>
      <c r="G1636" s="69">
        <v>60090002</v>
      </c>
      <c r="H1636" s="59">
        <v>0</v>
      </c>
      <c r="I1636" s="59">
        <v>0</v>
      </c>
      <c r="J1636" s="69">
        <v>1</v>
      </c>
      <c r="K1636" s="69">
        <v>0</v>
      </c>
      <c r="L1636" s="59">
        <v>0</v>
      </c>
      <c r="M1636" s="59">
        <v>0</v>
      </c>
      <c r="N1636" s="59" t="s">
        <v>3770</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3768</v>
      </c>
      <c r="BF1636" s="260" t="s">
        <v>3769</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69012201</v>
      </c>
      <c r="D1637" s="260" t="s">
        <v>3771</v>
      </c>
      <c r="E1637" s="260" t="s">
        <v>3772</v>
      </c>
      <c r="F1637" s="69">
        <v>1</v>
      </c>
      <c r="G1637" s="69">
        <v>60090002</v>
      </c>
      <c r="H1637" s="59">
        <v>0</v>
      </c>
      <c r="I1637" s="59">
        <v>0</v>
      </c>
      <c r="J1637" s="69">
        <v>1</v>
      </c>
      <c r="K1637" s="69">
        <v>0</v>
      </c>
      <c r="L1637" s="59">
        <v>0</v>
      </c>
      <c r="M1637" s="59">
        <v>0</v>
      </c>
      <c r="N1637" s="59" t="s">
        <v>3773</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3771</v>
      </c>
      <c r="BF1637" s="260" t="s">
        <v>3772</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69012202</v>
      </c>
      <c r="D1638" s="260" t="s">
        <v>3774</v>
      </c>
      <c r="E1638" s="260" t="s">
        <v>3775</v>
      </c>
      <c r="F1638" s="69">
        <v>1</v>
      </c>
      <c r="G1638" s="69">
        <v>60090002</v>
      </c>
      <c r="H1638" s="59">
        <v>0</v>
      </c>
      <c r="I1638" s="59">
        <v>0</v>
      </c>
      <c r="J1638" s="69">
        <v>1</v>
      </c>
      <c r="K1638" s="69">
        <v>0</v>
      </c>
      <c r="L1638" s="59">
        <v>0</v>
      </c>
      <c r="M1638" s="59">
        <v>0</v>
      </c>
      <c r="N1638" s="59" t="s">
        <v>3776</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3774</v>
      </c>
      <c r="BF1638" s="260" t="s">
        <v>3775</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69012203</v>
      </c>
      <c r="D1639" s="260" t="s">
        <v>3777</v>
      </c>
      <c r="E1639" s="260" t="s">
        <v>3778</v>
      </c>
      <c r="F1639" s="69">
        <v>1</v>
      </c>
      <c r="G1639" s="69">
        <v>60090002</v>
      </c>
      <c r="H1639" s="59">
        <v>0</v>
      </c>
      <c r="I1639" s="59">
        <v>0</v>
      </c>
      <c r="J1639" s="69">
        <v>1</v>
      </c>
      <c r="K1639" s="69">
        <v>0</v>
      </c>
      <c r="L1639" s="59">
        <v>0</v>
      </c>
      <c r="M1639" s="59">
        <v>0</v>
      </c>
      <c r="N1639" s="59" t="s">
        <v>3779</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3777</v>
      </c>
      <c r="BF1639" s="260" t="s">
        <v>3778</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69012204</v>
      </c>
      <c r="D1640" s="260" t="s">
        <v>3780</v>
      </c>
      <c r="E1640" s="260" t="s">
        <v>3781</v>
      </c>
      <c r="F1640" s="69">
        <v>1</v>
      </c>
      <c r="G1640" s="69">
        <v>60090002</v>
      </c>
      <c r="H1640" s="59">
        <v>0</v>
      </c>
      <c r="I1640" s="59">
        <v>0</v>
      </c>
      <c r="J1640" s="69">
        <v>1</v>
      </c>
      <c r="K1640" s="69">
        <v>0</v>
      </c>
      <c r="L1640" s="59">
        <v>0</v>
      </c>
      <c r="M1640" s="59">
        <v>0</v>
      </c>
      <c r="N1640" s="59" t="s">
        <v>3782</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3780</v>
      </c>
      <c r="BF1640" s="260" t="s">
        <v>3781</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69012301</v>
      </c>
      <c r="D1641" s="260" t="s">
        <v>3783</v>
      </c>
      <c r="E1641" s="260" t="s">
        <v>3784</v>
      </c>
      <c r="F1641" s="69">
        <v>1</v>
      </c>
      <c r="G1641" s="69">
        <v>60090002</v>
      </c>
      <c r="H1641" s="59">
        <v>0</v>
      </c>
      <c r="I1641" s="59">
        <v>0</v>
      </c>
      <c r="J1641" s="69">
        <v>1</v>
      </c>
      <c r="K1641" s="69">
        <v>0</v>
      </c>
      <c r="L1641" s="59">
        <v>0</v>
      </c>
      <c r="M1641" s="59">
        <v>0</v>
      </c>
      <c r="N1641" s="59" t="s">
        <v>3785</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3783</v>
      </c>
      <c r="BF1641" s="260" t="s">
        <v>3784</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69012302</v>
      </c>
      <c r="D1642" s="260" t="s">
        <v>3786</v>
      </c>
      <c r="E1642" s="260" t="s">
        <v>3787</v>
      </c>
      <c r="F1642" s="69">
        <v>1</v>
      </c>
      <c r="G1642" s="69">
        <v>60090002</v>
      </c>
      <c r="H1642" s="59">
        <v>0</v>
      </c>
      <c r="I1642" s="59">
        <v>0</v>
      </c>
      <c r="J1642" s="69">
        <v>1</v>
      </c>
      <c r="K1642" s="69">
        <v>0</v>
      </c>
      <c r="L1642" s="59">
        <v>0</v>
      </c>
      <c r="M1642" s="59">
        <v>0</v>
      </c>
      <c r="N1642" s="59" t="s">
        <v>3788</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3786</v>
      </c>
      <c r="BF1642" s="260" t="s">
        <v>3787</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69012303</v>
      </c>
      <c r="D1643" s="260" t="s">
        <v>3789</v>
      </c>
      <c r="E1643" s="260" t="s">
        <v>3790</v>
      </c>
      <c r="F1643" s="69">
        <v>1</v>
      </c>
      <c r="G1643" s="69">
        <v>60090002</v>
      </c>
      <c r="H1643" s="59">
        <v>0</v>
      </c>
      <c r="I1643" s="59">
        <v>0</v>
      </c>
      <c r="J1643" s="69">
        <v>1</v>
      </c>
      <c r="K1643" s="69">
        <v>0</v>
      </c>
      <c r="L1643" s="59">
        <v>0</v>
      </c>
      <c r="M1643" s="59">
        <v>0</v>
      </c>
      <c r="N1643" s="59" t="s">
        <v>3791</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3789</v>
      </c>
      <c r="BF1643" s="260" t="s">
        <v>3790</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69012304</v>
      </c>
      <c r="D1644" s="260" t="s">
        <v>3792</v>
      </c>
      <c r="E1644" s="260" t="s">
        <v>3793</v>
      </c>
      <c r="F1644" s="69">
        <v>1</v>
      </c>
      <c r="G1644" s="69">
        <v>60090002</v>
      </c>
      <c r="H1644" s="59">
        <v>0</v>
      </c>
      <c r="I1644" s="59">
        <v>0</v>
      </c>
      <c r="J1644" s="69">
        <v>1</v>
      </c>
      <c r="K1644" s="69">
        <v>0</v>
      </c>
      <c r="L1644" s="59">
        <v>0</v>
      </c>
      <c r="M1644" s="59">
        <v>0</v>
      </c>
      <c r="N1644" s="59" t="s">
        <v>3794</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3792</v>
      </c>
      <c r="BF1644" s="260" t="s">
        <v>3793</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69013001</v>
      </c>
      <c r="D1645" s="263" t="s">
        <v>3795</v>
      </c>
      <c r="E1645" s="263" t="s">
        <v>3796</v>
      </c>
      <c r="F1645" s="264">
        <v>1</v>
      </c>
      <c r="G1645" s="264">
        <v>60090002</v>
      </c>
      <c r="H1645" s="265">
        <v>0</v>
      </c>
      <c r="I1645" s="265">
        <v>0</v>
      </c>
      <c r="J1645" s="264">
        <v>1</v>
      </c>
      <c r="K1645" s="264">
        <v>0</v>
      </c>
      <c r="L1645" s="265">
        <v>0</v>
      </c>
      <c r="M1645" s="265">
        <v>0</v>
      </c>
      <c r="N1645" s="265" t="s">
        <v>3797</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3795</v>
      </c>
      <c r="BF1645" s="260" t="s">
        <v>3796</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69013002</v>
      </c>
      <c r="D1646" s="263" t="s">
        <v>3798</v>
      </c>
      <c r="E1646" s="263" t="s">
        <v>3799</v>
      </c>
      <c r="F1646" s="264">
        <v>1</v>
      </c>
      <c r="G1646" s="264">
        <v>60090002</v>
      </c>
      <c r="H1646" s="265">
        <v>0</v>
      </c>
      <c r="I1646" s="265">
        <v>0</v>
      </c>
      <c r="J1646" s="264">
        <v>1</v>
      </c>
      <c r="K1646" s="264">
        <v>0</v>
      </c>
      <c r="L1646" s="265">
        <v>0</v>
      </c>
      <c r="M1646" s="265">
        <v>0</v>
      </c>
      <c r="N1646" s="265" t="s">
        <v>3683</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3798</v>
      </c>
      <c r="BF1646" s="260" t="s">
        <v>3799</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69013003</v>
      </c>
      <c r="D1647" s="263" t="s">
        <v>3800</v>
      </c>
      <c r="E1647" s="263" t="s">
        <v>3801</v>
      </c>
      <c r="F1647" s="264">
        <v>1</v>
      </c>
      <c r="G1647" s="264">
        <v>60090002</v>
      </c>
      <c r="H1647" s="265">
        <v>0</v>
      </c>
      <c r="I1647" s="265">
        <v>0</v>
      </c>
      <c r="J1647" s="264">
        <v>1</v>
      </c>
      <c r="K1647" s="264">
        <v>0</v>
      </c>
      <c r="L1647" s="265">
        <v>0</v>
      </c>
      <c r="M1647" s="265">
        <v>0</v>
      </c>
      <c r="N1647" s="265" t="s">
        <v>3680</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3800</v>
      </c>
      <c r="BF1647" s="260" t="s">
        <v>3801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69013004</v>
      </c>
      <c r="D1648" s="263" t="s">
        <v>3802</v>
      </c>
      <c r="E1648" s="263" t="s">
        <v>3803</v>
      </c>
      <c r="F1648" s="264">
        <v>1</v>
      </c>
      <c r="G1648" s="264">
        <v>60090002</v>
      </c>
      <c r="H1648" s="265">
        <v>0</v>
      </c>
      <c r="I1648" s="265">
        <v>0</v>
      </c>
      <c r="J1648" s="264">
        <v>1</v>
      </c>
      <c r="K1648" s="264">
        <v>0</v>
      </c>
      <c r="L1648" s="265">
        <v>0</v>
      </c>
      <c r="M1648" s="265">
        <v>0</v>
      </c>
      <c r="N1648" s="265" t="s">
        <v>3686</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3802</v>
      </c>
      <c r="BF1648" s="260" t="s">
        <v>3803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69013005</v>
      </c>
      <c r="D1649" s="263" t="s">
        <v>3804</v>
      </c>
      <c r="E1649" s="263" t="s">
        <v>3805</v>
      </c>
      <c r="F1649" s="264">
        <v>1</v>
      </c>
      <c r="G1649" s="264">
        <v>60090002</v>
      </c>
      <c r="H1649" s="265">
        <v>0</v>
      </c>
      <c r="I1649" s="265">
        <v>0</v>
      </c>
      <c r="J1649" s="264">
        <v>1</v>
      </c>
      <c r="K1649" s="264">
        <v>0</v>
      </c>
      <c r="L1649" s="265">
        <v>0</v>
      </c>
      <c r="M1649" s="265">
        <v>0</v>
      </c>
      <c r="N1649" s="265" t="s">
        <v>3806</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3804</v>
      </c>
      <c r="BF1649" s="260" t="s">
        <v>3805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69013006</v>
      </c>
      <c r="D1650" s="263" t="s">
        <v>3807</v>
      </c>
      <c r="E1650" s="263" t="s">
        <v>3808</v>
      </c>
      <c r="F1650" s="264">
        <v>1</v>
      </c>
      <c r="G1650" s="264">
        <v>60090002</v>
      </c>
      <c r="H1650" s="265">
        <v>0</v>
      </c>
      <c r="I1650" s="265">
        <v>0</v>
      </c>
      <c r="J1650" s="264">
        <v>1</v>
      </c>
      <c r="K1650" s="264">
        <v>0</v>
      </c>
      <c r="L1650" s="265">
        <v>0</v>
      </c>
      <c r="M1650" s="265">
        <v>0</v>
      </c>
      <c r="N1650" s="265" t="s">
        <v>3689</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3807</v>
      </c>
      <c r="BF1650" s="260" t="s">
        <v>3808</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69013101</v>
      </c>
      <c r="D1651" s="263" t="s">
        <v>3809</v>
      </c>
      <c r="E1651" s="263" t="s">
        <v>3810</v>
      </c>
      <c r="F1651" s="264">
        <v>1</v>
      </c>
      <c r="G1651" s="264">
        <v>60090002</v>
      </c>
      <c r="H1651" s="265">
        <v>0</v>
      </c>
      <c r="I1651" s="265">
        <v>0</v>
      </c>
      <c r="J1651" s="264">
        <v>1</v>
      </c>
      <c r="K1651" s="264">
        <v>0</v>
      </c>
      <c r="L1651" s="265">
        <v>0</v>
      </c>
      <c r="M1651" s="265">
        <v>0</v>
      </c>
      <c r="N1651" s="265" t="s">
        <v>3811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3809</v>
      </c>
      <c r="BF1651" s="260" t="s">
        <v>3810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69013102</v>
      </c>
      <c r="D1652" s="263" t="s">
        <v>3812</v>
      </c>
      <c r="E1652" s="263" t="s">
        <v>3813</v>
      </c>
      <c r="F1652" s="264">
        <v>1</v>
      </c>
      <c r="G1652" s="264">
        <v>60090002</v>
      </c>
      <c r="H1652" s="265">
        <v>0</v>
      </c>
      <c r="I1652" s="265">
        <v>0</v>
      </c>
      <c r="J1652" s="264">
        <v>1</v>
      </c>
      <c r="K1652" s="264">
        <v>0</v>
      </c>
      <c r="L1652" s="265">
        <v>0</v>
      </c>
      <c r="M1652" s="265">
        <v>0</v>
      </c>
      <c r="N1652" s="265" t="s">
        <v>3814</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3812</v>
      </c>
      <c r="BF1652" s="260" t="s">
        <v>3813</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69013103</v>
      </c>
      <c r="D1653" s="263" t="s">
        <v>3815</v>
      </c>
      <c r="E1653" s="263" t="s">
        <v>3816</v>
      </c>
      <c r="F1653" s="264">
        <v>1</v>
      </c>
      <c r="G1653" s="264">
        <v>60090002</v>
      </c>
      <c r="H1653" s="265">
        <v>0</v>
      </c>
      <c r="I1653" s="265">
        <v>0</v>
      </c>
      <c r="J1653" s="264">
        <v>1</v>
      </c>
      <c r="K1653" s="264">
        <v>0</v>
      </c>
      <c r="L1653" s="265">
        <v>0</v>
      </c>
      <c r="M1653" s="265">
        <v>0</v>
      </c>
      <c r="N1653" s="265" t="s">
        <v>3817</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3815</v>
      </c>
      <c r="BF1653" s="260" t="s">
        <v>3816</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69013104</v>
      </c>
      <c r="D1654" s="263" t="s">
        <v>3818</v>
      </c>
      <c r="E1654" s="263" t="s">
        <v>3819</v>
      </c>
      <c r="F1654" s="264">
        <v>1</v>
      </c>
      <c r="G1654" s="264">
        <v>60090002</v>
      </c>
      <c r="H1654" s="265">
        <v>0</v>
      </c>
      <c r="I1654" s="265">
        <v>0</v>
      </c>
      <c r="J1654" s="264">
        <v>1</v>
      </c>
      <c r="K1654" s="264">
        <v>0</v>
      </c>
      <c r="L1654" s="265">
        <v>0</v>
      </c>
      <c r="M1654" s="265">
        <v>0</v>
      </c>
      <c r="N1654" s="265" t="s">
        <v>3820</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3818</v>
      </c>
      <c r="BF1654" s="260" t="s">
        <v>3819</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69013201</v>
      </c>
      <c r="D1655" s="263" t="s">
        <v>3821</v>
      </c>
      <c r="E1655" s="263" t="s">
        <v>3822</v>
      </c>
      <c r="F1655" s="264">
        <v>1</v>
      </c>
      <c r="G1655" s="264">
        <v>60090002</v>
      </c>
      <c r="H1655" s="265">
        <v>0</v>
      </c>
      <c r="I1655" s="265">
        <v>0</v>
      </c>
      <c r="J1655" s="264">
        <v>1</v>
      </c>
      <c r="K1655" s="264">
        <v>0</v>
      </c>
      <c r="L1655" s="265">
        <v>0</v>
      </c>
      <c r="M1655" s="265">
        <v>0</v>
      </c>
      <c r="N1655" s="265" t="s">
        <v>3823</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3821</v>
      </c>
      <c r="BF1655" s="260" t="s">
        <v>3822</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69013202</v>
      </c>
      <c r="D1656" s="263" t="s">
        <v>3824</v>
      </c>
      <c r="E1656" s="263" t="s">
        <v>3825</v>
      </c>
      <c r="F1656" s="264">
        <v>1</v>
      </c>
      <c r="G1656" s="264">
        <v>60090002</v>
      </c>
      <c r="H1656" s="265">
        <v>0</v>
      </c>
      <c r="I1656" s="265">
        <v>0</v>
      </c>
      <c r="J1656" s="264">
        <v>1</v>
      </c>
      <c r="K1656" s="264">
        <v>0</v>
      </c>
      <c r="L1656" s="265">
        <v>0</v>
      </c>
      <c r="M1656" s="265">
        <v>0</v>
      </c>
      <c r="N1656" s="265" t="s">
        <v>3826</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3824</v>
      </c>
      <c r="BF1656" s="260" t="s">
        <v>3825</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69013203</v>
      </c>
      <c r="D1657" s="263" t="s">
        <v>3827</v>
      </c>
      <c r="E1657" s="263" t="s">
        <v>3828</v>
      </c>
      <c r="F1657" s="264">
        <v>1</v>
      </c>
      <c r="G1657" s="264">
        <v>60090002</v>
      </c>
      <c r="H1657" s="265">
        <v>0</v>
      </c>
      <c r="I1657" s="265">
        <v>0</v>
      </c>
      <c r="J1657" s="264">
        <v>1</v>
      </c>
      <c r="K1657" s="264">
        <v>0</v>
      </c>
      <c r="L1657" s="265">
        <v>0</v>
      </c>
      <c r="M1657" s="265">
        <v>0</v>
      </c>
      <c r="N1657" s="265" t="s">
        <v>3829</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3827</v>
      </c>
      <c r="BF1657" s="260" t="s">
        <v>3828</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69013204</v>
      </c>
      <c r="D1658" s="263" t="s">
        <v>3830</v>
      </c>
      <c r="E1658" s="263" t="s">
        <v>3831</v>
      </c>
      <c r="F1658" s="264">
        <v>1</v>
      </c>
      <c r="G1658" s="264">
        <v>60090002</v>
      </c>
      <c r="H1658" s="265">
        <v>0</v>
      </c>
      <c r="I1658" s="265">
        <v>0</v>
      </c>
      <c r="J1658" s="264">
        <v>1</v>
      </c>
      <c r="K1658" s="264">
        <v>0</v>
      </c>
      <c r="L1658" s="265">
        <v>0</v>
      </c>
      <c r="M1658" s="265">
        <v>0</v>
      </c>
      <c r="N1658" s="265" t="s">
        <v>3832</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3830</v>
      </c>
      <c r="BF1658" s="260" t="s">
        <v>3831</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69013301</v>
      </c>
      <c r="D1659" s="263" t="s">
        <v>3833</v>
      </c>
      <c r="E1659" s="263" t="s">
        <v>3834</v>
      </c>
      <c r="F1659" s="264">
        <v>1</v>
      </c>
      <c r="G1659" s="264">
        <v>60090002</v>
      </c>
      <c r="H1659" s="265">
        <v>0</v>
      </c>
      <c r="I1659" s="265">
        <v>0</v>
      </c>
      <c r="J1659" s="264">
        <v>1</v>
      </c>
      <c r="K1659" s="264">
        <v>0</v>
      </c>
      <c r="L1659" s="265">
        <v>0</v>
      </c>
      <c r="M1659" s="265">
        <v>0</v>
      </c>
      <c r="N1659" s="265" t="s">
        <v>3835</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3833</v>
      </c>
      <c r="BF1659" s="260" t="s">
        <v>3834</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69013302</v>
      </c>
      <c r="D1660" s="263" t="s">
        <v>3836</v>
      </c>
      <c r="E1660" s="263" t="s">
        <v>3837</v>
      </c>
      <c r="F1660" s="264">
        <v>1</v>
      </c>
      <c r="G1660" s="264">
        <v>60090002</v>
      </c>
      <c r="H1660" s="265">
        <v>0</v>
      </c>
      <c r="I1660" s="265">
        <v>0</v>
      </c>
      <c r="J1660" s="264">
        <v>1</v>
      </c>
      <c r="K1660" s="264">
        <v>0</v>
      </c>
      <c r="L1660" s="265">
        <v>0</v>
      </c>
      <c r="M1660" s="265">
        <v>0</v>
      </c>
      <c r="N1660" s="265" t="s">
        <v>3838</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3836</v>
      </c>
      <c r="BF1660" s="260" t="s">
        <v>3837</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69013303</v>
      </c>
      <c r="D1661" s="263" t="s">
        <v>3839</v>
      </c>
      <c r="E1661" s="263" t="s">
        <v>3840</v>
      </c>
      <c r="F1661" s="264">
        <v>1</v>
      </c>
      <c r="G1661" s="264">
        <v>60090002</v>
      </c>
      <c r="H1661" s="265">
        <v>0</v>
      </c>
      <c r="I1661" s="265">
        <v>0</v>
      </c>
      <c r="J1661" s="264">
        <v>1</v>
      </c>
      <c r="K1661" s="264">
        <v>0</v>
      </c>
      <c r="L1661" s="265">
        <v>0</v>
      </c>
      <c r="M1661" s="265">
        <v>0</v>
      </c>
      <c r="N1661" s="265" t="s">
        <v>3841</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3839</v>
      </c>
      <c r="BF1661" s="260" t="s">
        <v>3840</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69013304</v>
      </c>
      <c r="D1662" s="263" t="s">
        <v>3842</v>
      </c>
      <c r="E1662" s="263" t="s">
        <v>3843</v>
      </c>
      <c r="F1662" s="264">
        <v>1</v>
      </c>
      <c r="G1662" s="264">
        <v>60090002</v>
      </c>
      <c r="H1662" s="265">
        <v>0</v>
      </c>
      <c r="I1662" s="265">
        <v>0</v>
      </c>
      <c r="J1662" s="264">
        <v>1</v>
      </c>
      <c r="K1662" s="264">
        <v>0</v>
      </c>
      <c r="L1662" s="265">
        <v>0</v>
      </c>
      <c r="M1662" s="265">
        <v>0</v>
      </c>
      <c r="N1662" s="265" t="s">
        <v>3844</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3842</v>
      </c>
      <c r="BF1662" s="260" t="s">
        <v>3843</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69021001</v>
      </c>
      <c r="D1663" s="35" t="s">
        <v>3845</v>
      </c>
      <c r="E1663" s="35" t="s">
        <v>3846</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3847</v>
      </c>
      <c r="BC1663" s="31">
        <v>0</v>
      </c>
      <c r="BD1663" s="31">
        <v>1</v>
      </c>
      <c r="BE1663" s="35" t="s">
        <v>3848</v>
      </c>
      <c r="BF1663" s="35" t="s">
        <v>3849</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69021002</v>
      </c>
      <c r="D1664" s="35" t="s">
        <v>3850</v>
      </c>
      <c r="E1664" s="35" t="s">
        <v>3851</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3852</v>
      </c>
      <c r="BC1664" s="31">
        <v>0</v>
      </c>
      <c r="BD1664" s="31">
        <v>1</v>
      </c>
      <c r="BE1664" s="35" t="s">
        <v>3853</v>
      </c>
      <c r="BF1664" s="35" t="s">
        <v>3854</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69021003</v>
      </c>
      <c r="D1665" s="35" t="s">
        <v>3855</v>
      </c>
      <c r="E1665" s="35" t="s">
        <v>3856</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3857</v>
      </c>
      <c r="BC1665" s="31">
        <v>0</v>
      </c>
      <c r="BD1665" s="31">
        <v>1</v>
      </c>
      <c r="BE1665" s="35" t="s">
        <v>3858</v>
      </c>
      <c r="BF1665" s="35" t="s">
        <v>3859</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69021004</v>
      </c>
      <c r="D1666" s="35" t="s">
        <v>3860</v>
      </c>
      <c r="E1666" s="35" t="s">
        <v>3861</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3862</v>
      </c>
      <c r="BC1666" s="31">
        <v>0</v>
      </c>
      <c r="BD1666" s="31">
        <v>1</v>
      </c>
      <c r="BE1666" s="35" t="s">
        <v>3863</v>
      </c>
      <c r="BF1666" s="35" t="s">
        <v>3864</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69021005</v>
      </c>
      <c r="D1667" s="35" t="s">
        <v>3865</v>
      </c>
      <c r="E1667" s="35" t="s">
        <v>3866</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3867</v>
      </c>
      <c r="BC1667" s="31">
        <v>0</v>
      </c>
      <c r="BD1667" s="31">
        <v>1</v>
      </c>
      <c r="BE1667" s="35" t="s">
        <v>3868</v>
      </c>
      <c r="BF1667" s="35" t="s">
        <v>3869</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69021006</v>
      </c>
      <c r="D1668" s="35" t="s">
        <v>3870</v>
      </c>
      <c r="E1668" s="35" t="s">
        <v>3871</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3872</v>
      </c>
      <c r="BC1668" s="31">
        <v>0</v>
      </c>
      <c r="BD1668" s="31">
        <v>1</v>
      </c>
      <c r="BE1668" s="35" t="s">
        <v>3873</v>
      </c>
      <c r="BF1668" s="35" t="s">
        <v>3874</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69021007</v>
      </c>
      <c r="D1669" s="35" t="s">
        <v>3875</v>
      </c>
      <c r="E1669" s="35" t="s">
        <v>3876</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3877</v>
      </c>
      <c r="BC1669" s="31">
        <v>0</v>
      </c>
      <c r="BD1669" s="31">
        <v>1</v>
      </c>
      <c r="BE1669" s="35" t="s">
        <v>3878</v>
      </c>
      <c r="BF1669" s="35" t="s">
        <v>3879</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69021008</v>
      </c>
      <c r="D1670" s="35" t="s">
        <v>3880</v>
      </c>
      <c r="E1670" s="35" t="s">
        <v>3881</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3882</v>
      </c>
      <c r="BC1670" s="31">
        <v>0</v>
      </c>
      <c r="BD1670" s="31">
        <v>1</v>
      </c>
      <c r="BE1670" s="35" t="s">
        <v>3883</v>
      </c>
      <c r="BF1670" s="35" t="s">
        <v>3884</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69021009</v>
      </c>
      <c r="D1671" s="35" t="s">
        <v>3885</v>
      </c>
      <c r="E1671" s="35" t="s">
        <v>3886</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3564</v>
      </c>
      <c r="BC1671" s="31">
        <v>0</v>
      </c>
      <c r="BD1671" s="31">
        <v>1</v>
      </c>
      <c r="BE1671" s="35" t="s">
        <v>3887</v>
      </c>
      <c r="BF1671" s="35" t="s">
        <v>3888</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69021010</v>
      </c>
      <c r="D1672" s="35" t="s">
        <v>3889</v>
      </c>
      <c r="E1672" s="35" t="s">
        <v>3890</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3891</v>
      </c>
      <c r="BC1672" s="31">
        <v>0</v>
      </c>
      <c r="BD1672" s="31">
        <v>1</v>
      </c>
      <c r="BE1672" s="35" t="s">
        <v>3892</v>
      </c>
      <c r="BF1672" s="35" t="s">
        <v>3893</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69021011</v>
      </c>
      <c r="D1673" s="35" t="s">
        <v>3894</v>
      </c>
      <c r="E1673" s="35" t="s">
        <v>3895</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3896</v>
      </c>
      <c r="BC1673" s="31">
        <v>0</v>
      </c>
      <c r="BD1673" s="31">
        <v>1</v>
      </c>
      <c r="BE1673" s="35" t="s">
        <v>3897</v>
      </c>
      <c r="BF1673" s="35" t="s">
        <v>3898</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69021012</v>
      </c>
      <c r="D1674" s="35" t="s">
        <v>3894</v>
      </c>
      <c r="E1674" s="35" t="s">
        <v>3895</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3032</v>
      </c>
      <c r="BC1674" s="31">
        <v>0</v>
      </c>
      <c r="BD1674" s="31">
        <v>1</v>
      </c>
      <c r="BE1674" s="35" t="s">
        <v>3899</v>
      </c>
      <c r="BF1674" s="35" t="s">
        <v>3900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69021013</v>
      </c>
      <c r="D1675" s="35" t="s">
        <v>3894</v>
      </c>
      <c r="E1675" s="35" t="s">
        <v>3895</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3084</v>
      </c>
      <c r="BC1675" s="31">
        <v>0</v>
      </c>
      <c r="BD1675" s="31">
        <v>1</v>
      </c>
      <c r="BE1675" s="35" t="s">
        <v>3901</v>
      </c>
      <c r="BF1675" s="35" t="s">
        <v>3902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69021014</v>
      </c>
      <c r="D1676" s="35" t="s">
        <v>3894</v>
      </c>
      <c r="E1676" s="35" t="s">
        <v>3895</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3067</v>
      </c>
      <c r="BC1676" s="31">
        <v>0</v>
      </c>
      <c r="BD1676" s="31">
        <v>1</v>
      </c>
      <c r="BE1676" s="35" t="s">
        <v>3903</v>
      </c>
      <c r="BF1676" s="35" t="s">
        <v>3904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69031001</v>
      </c>
      <c r="D1677" s="35" t="s">
        <v>763</v>
      </c>
      <c r="E1677" s="35" t="s">
        <v>405</v>
      </c>
      <c r="F1677" s="32">
        <v>1</v>
      </c>
      <c r="G1677" s="32">
        <v>68000110</v>
      </c>
      <c r="H1677" s="32">
        <v>0</v>
      </c>
      <c r="I1677" s="31">
        <v>0</v>
      </c>
      <c r="J1677" s="25">
        <v>1</v>
      </c>
      <c r="K1677" s="32">
        <v>0</v>
      </c>
      <c r="L1677" s="32">
        <v>0</v>
      </c>
      <c r="M1677" s="32">
        <v>0</v>
      </c>
      <c r="N1677" s="32">
        <v>0</v>
      </c>
      <c r="O1677" s="32">
        <v>2</v>
      </c>
      <c r="P1677" s="32">
        <v>1</v>
      </c>
      <c r="Q1677" s="32">
        <v>0.05</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253">
        <v>69000021</v>
      </c>
      <c r="AU1677" s="32" t="s">
        <v>204</v>
      </c>
      <c r="AV1677" s="32"/>
      <c r="AW1677" s="35" t="s">
        <v>205</v>
      </c>
      <c r="AX1677" s="32">
        <v>0</v>
      </c>
      <c r="AY1677" s="32">
        <v>0</v>
      </c>
      <c r="AZ1677" s="32">
        <v>0</v>
      </c>
      <c r="BA1677" s="35" t="s">
        <v>206</v>
      </c>
      <c r="BB1677" s="35" t="s">
        <v>204</v>
      </c>
      <c r="BC1677" s="31">
        <v>0</v>
      </c>
      <c r="BD1677" s="31">
        <v>1</v>
      </c>
      <c r="BE1677" s="60" t="s">
        <v>3905</v>
      </c>
      <c r="BF1677" s="60" t="s">
        <v>3906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69031002</v>
      </c>
      <c r="D1678" s="35" t="s">
        <v>3907</v>
      </c>
      <c r="E1678" s="35" t="s">
        <v>3908</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3909</v>
      </c>
      <c r="BC1678" s="31">
        <v>0</v>
      </c>
      <c r="BD1678" s="31">
        <v>1</v>
      </c>
      <c r="BE1678" s="35" t="s">
        <v>3910</v>
      </c>
      <c r="BF1678" s="35" t="s">
        <v>3911</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69031003</v>
      </c>
      <c r="D1679" s="35" t="s">
        <v>3912</v>
      </c>
      <c r="E1679" s="35" t="s">
        <v>3913</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3914</v>
      </c>
      <c r="BC1679" s="31">
        <v>0</v>
      </c>
      <c r="BD1679" s="31">
        <v>1</v>
      </c>
      <c r="BE1679" s="35" t="s">
        <v>3915</v>
      </c>
      <c r="BF1679" s="35" t="s">
        <v>3916</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69031004</v>
      </c>
      <c r="D1680" s="35" t="s">
        <v>3917</v>
      </c>
      <c r="E1680" s="35" t="s">
        <v>3235</v>
      </c>
      <c r="F1680" s="32">
        <v>1</v>
      </c>
      <c r="G1680" s="32">
        <v>68000110</v>
      </c>
      <c r="H1680" s="32">
        <v>0</v>
      </c>
      <c r="I1680" s="31">
        <v>0</v>
      </c>
      <c r="J1680" s="25">
        <v>1</v>
      </c>
      <c r="K1680" s="32">
        <v>0</v>
      </c>
      <c r="L1680" s="32">
        <v>0</v>
      </c>
      <c r="M1680" s="32">
        <v>0</v>
      </c>
      <c r="N1680" s="32">
        <v>0</v>
      </c>
      <c r="O1680" s="32">
        <v>2</v>
      </c>
      <c r="P1680" s="32">
        <v>1</v>
      </c>
      <c r="Q1680" s="32">
        <v>0.05</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253">
        <v>69000071</v>
      </c>
      <c r="AU1680" s="32" t="s">
        <v>204</v>
      </c>
      <c r="AV1680" s="32"/>
      <c r="AW1680" s="35" t="s">
        <v>205</v>
      </c>
      <c r="AX1680" s="32">
        <v>0</v>
      </c>
      <c r="AY1680" s="32">
        <v>0</v>
      </c>
      <c r="AZ1680" s="32">
        <v>0</v>
      </c>
      <c r="BA1680" s="35" t="s">
        <v>206</v>
      </c>
      <c r="BB1680" s="35" t="s">
        <v>204</v>
      </c>
      <c r="BC1680" s="31">
        <v>0</v>
      </c>
      <c r="BD1680" s="31">
        <v>1</v>
      </c>
      <c r="BE1680" s="22" t="s">
        <v>3918</v>
      </c>
      <c r="BF1680" s="22" t="s">
        <v>3919</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69031005</v>
      </c>
      <c r="D1681" s="35" t="s">
        <v>2900</v>
      </c>
      <c r="E1681" s="35" t="s">
        <v>2901</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3920</v>
      </c>
      <c r="BC1681" s="31">
        <v>0</v>
      </c>
      <c r="BD1681" s="31">
        <v>1</v>
      </c>
      <c r="BE1681" s="35" t="s">
        <v>3921</v>
      </c>
      <c r="BF1681" s="35" t="s">
        <v>3922</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69031006</v>
      </c>
      <c r="D1682" s="35" t="s">
        <v>3923</v>
      </c>
      <c r="E1682" s="35" t="s">
        <v>3924</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3925</v>
      </c>
      <c r="BC1682" s="31">
        <v>0</v>
      </c>
      <c r="BD1682" s="31">
        <v>1</v>
      </c>
      <c r="BE1682" s="35" t="s">
        <v>3926</v>
      </c>
      <c r="BF1682" s="35" t="s">
        <v>3927</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69031007</v>
      </c>
      <c r="D1683" s="35" t="s">
        <v>3928</v>
      </c>
      <c r="E1683" s="35" t="s">
        <v>3929</v>
      </c>
      <c r="F1683" s="32">
        <v>1</v>
      </c>
      <c r="G1683" s="32">
        <v>68000110</v>
      </c>
      <c r="H1683" s="32">
        <v>0</v>
      </c>
      <c r="I1683" s="31">
        <v>0</v>
      </c>
      <c r="J1683" s="25">
        <v>1</v>
      </c>
      <c r="K1683" s="32">
        <v>0</v>
      </c>
      <c r="L1683" s="32">
        <v>0</v>
      </c>
      <c r="M1683" s="32">
        <v>0</v>
      </c>
      <c r="N1683" s="32">
        <v>0</v>
      </c>
      <c r="O1683" s="32">
        <v>2</v>
      </c>
      <c r="P1683" s="32">
        <v>1</v>
      </c>
      <c r="Q1683" s="32">
        <v>0.15</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5</v>
      </c>
      <c r="AG1683" s="32">
        <v>0</v>
      </c>
      <c r="AH1683" s="32">
        <v>0</v>
      </c>
      <c r="AI1683" s="19">
        <v>2</v>
      </c>
      <c r="AJ1683" s="19">
        <v>0</v>
      </c>
      <c r="AK1683" s="19">
        <v>0</v>
      </c>
      <c r="AL1683" s="19">
        <v>0</v>
      </c>
      <c r="AM1683" s="32">
        <v>0</v>
      </c>
      <c r="AN1683" s="32">
        <v>0</v>
      </c>
      <c r="AO1683" s="32">
        <v>0</v>
      </c>
      <c r="AP1683" s="32">
        <v>0</v>
      </c>
      <c r="AQ1683" s="32">
        <v>1000</v>
      </c>
      <c r="AR1683" s="32">
        <v>0</v>
      </c>
      <c r="AS1683" s="32">
        <v>0</v>
      </c>
      <c r="AT1683" s="266">
        <v>10001001</v>
      </c>
      <c r="AU1683" s="32" t="s">
        <v>204</v>
      </c>
      <c r="AV1683" s="32"/>
      <c r="AW1683" s="35" t="s">
        <v>205</v>
      </c>
      <c r="AX1683" s="32">
        <v>0</v>
      </c>
      <c r="AY1683" s="32">
        <v>0</v>
      </c>
      <c r="AZ1683" s="32">
        <v>0</v>
      </c>
      <c r="BA1683" s="35" t="s">
        <v>206</v>
      </c>
      <c r="BB1683" s="35" t="s">
        <v>204</v>
      </c>
      <c r="BC1683" s="31">
        <v>0</v>
      </c>
      <c r="BD1683" s="31">
        <v>1</v>
      </c>
      <c r="BE1683" s="60" t="s">
        <v>3930</v>
      </c>
      <c r="BF1683" s="60" t="s">
        <v>3931</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69031008</v>
      </c>
      <c r="D1684" s="35" t="s">
        <v>3932</v>
      </c>
      <c r="E1684" s="35" t="s">
        <v>3933</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3934</v>
      </c>
      <c r="BC1684" s="31">
        <v>0</v>
      </c>
      <c r="BD1684" s="31">
        <v>1</v>
      </c>
      <c r="BE1684" s="35" t="s">
        <v>3935</v>
      </c>
      <c r="BF1684" s="35" t="s">
        <v>3936</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69031009</v>
      </c>
      <c r="D1685" s="35" t="s">
        <v>3917</v>
      </c>
      <c r="E1685" s="35" t="s">
        <v>3235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3937</v>
      </c>
      <c r="BC1685" s="31">
        <v>0</v>
      </c>
      <c r="BD1685" s="31">
        <v>1</v>
      </c>
      <c r="BE1685" s="35" t="s">
        <v>3938</v>
      </c>
      <c r="BF1685" s="35" t="s">
        <v>3939</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69031010</v>
      </c>
      <c r="D1686" s="35" t="s">
        <v>3940</v>
      </c>
      <c r="E1686" s="35" t="s">
        <v>3941</v>
      </c>
      <c r="F1686" s="32">
        <v>1</v>
      </c>
      <c r="G1686" s="32">
        <v>68000110</v>
      </c>
      <c r="H1686" s="32">
        <v>0</v>
      </c>
      <c r="I1686" s="31">
        <v>0</v>
      </c>
      <c r="J1686" s="25">
        <v>1</v>
      </c>
      <c r="K1686" s="32">
        <v>0</v>
      </c>
      <c r="L1686" s="32">
        <v>0</v>
      </c>
      <c r="M1686" s="32">
        <v>0</v>
      </c>
      <c r="N1686" s="32">
        <v>0</v>
      </c>
      <c r="O1686" s="32">
        <v>2</v>
      </c>
      <c r="P1686" s="32">
        <v>4</v>
      </c>
      <c r="Q1686" s="32">
        <v>0.3</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253">
        <v>69000022</v>
      </c>
      <c r="AU1686" s="32" t="s">
        <v>204</v>
      </c>
      <c r="AV1686" s="32"/>
      <c r="AW1686" s="35" t="s">
        <v>205</v>
      </c>
      <c r="AX1686" s="32">
        <v>0</v>
      </c>
      <c r="AY1686" s="32">
        <v>0</v>
      </c>
      <c r="AZ1686" s="32">
        <v>0</v>
      </c>
      <c r="BA1686" s="35" t="s">
        <v>206</v>
      </c>
      <c r="BB1686" s="35" t="s">
        <v>204</v>
      </c>
      <c r="BC1686" s="31">
        <v>0</v>
      </c>
      <c r="BD1686" s="31">
        <v>1</v>
      </c>
      <c r="BE1686" s="35" t="s">
        <v>3942</v>
      </c>
      <c r="BF1686" s="35" t="s">
        <v>3943</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69032001</v>
      </c>
      <c r="D1687" s="35" t="s">
        <v>3944</v>
      </c>
      <c r="E1687" s="35" t="s">
        <v>3945</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3946</v>
      </c>
      <c r="BC1687" s="31">
        <v>0</v>
      </c>
      <c r="BD1687" s="31">
        <v>1</v>
      </c>
      <c r="BE1687" s="267" t="s">
        <v>3947</v>
      </c>
      <c r="BF1687" s="267" t="s">
        <v>3948</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69032002</v>
      </c>
      <c r="D1688" s="35" t="s">
        <v>3949</v>
      </c>
      <c r="E1688" s="35" t="s">
        <v>3950</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3951</v>
      </c>
      <c r="BC1688" s="31">
        <v>0</v>
      </c>
      <c r="BD1688" s="31">
        <v>1</v>
      </c>
      <c r="BE1688" s="267" t="s">
        <v>3952</v>
      </c>
      <c r="BF1688" s="267" t="s">
        <v>3953</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69032003</v>
      </c>
      <c r="D1689" s="35" t="s">
        <v>3954</v>
      </c>
      <c r="E1689" s="35" t="s">
        <v>3955</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3956</v>
      </c>
      <c r="BC1689" s="31">
        <v>0</v>
      </c>
      <c r="BD1689" s="31">
        <v>1</v>
      </c>
      <c r="BE1689" s="267" t="s">
        <v>3957</v>
      </c>
      <c r="BF1689" s="267" t="s">
        <v>3958</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69032004</v>
      </c>
      <c r="D1690" s="35" t="s">
        <v>3959</v>
      </c>
      <c r="E1690" s="35" t="s">
        <v>3960</v>
      </c>
      <c r="F1690" s="32">
        <v>1</v>
      </c>
      <c r="G1690" s="32">
        <v>68000110</v>
      </c>
      <c r="H1690" s="32">
        <v>0</v>
      </c>
      <c r="I1690" s="31">
        <v>0</v>
      </c>
      <c r="J1690" s="25">
        <v>1</v>
      </c>
      <c r="K1690" s="32">
        <v>0</v>
      </c>
      <c r="L1690" s="32">
        <v>0</v>
      </c>
      <c r="M1690" s="32">
        <v>0</v>
      </c>
      <c r="N1690" s="32">
        <v>0</v>
      </c>
      <c r="O1690" s="32">
        <v>2</v>
      </c>
      <c r="P1690" s="32">
        <v>3</v>
      </c>
      <c r="Q1690" s="32">
        <v>0.05</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253">
        <v>69000101</v>
      </c>
      <c r="AU1690" s="32" t="s">
        <v>204</v>
      </c>
      <c r="AV1690" s="32"/>
      <c r="AW1690" s="35" t="s">
        <v>205</v>
      </c>
      <c r="AX1690" s="32">
        <v>0</v>
      </c>
      <c r="AY1690" s="32">
        <v>0</v>
      </c>
      <c r="AZ1690" s="32">
        <v>0</v>
      </c>
      <c r="BA1690" s="35" t="s">
        <v>206</v>
      </c>
      <c r="BB1690" s="35" t="s">
        <v>204</v>
      </c>
      <c r="BC1690" s="31">
        <v>0</v>
      </c>
      <c r="BD1690" s="31">
        <v>1</v>
      </c>
      <c r="BE1690" s="60" t="s">
        <v>3961</v>
      </c>
      <c r="BF1690" s="60" t="s">
        <v>3962</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69032005</v>
      </c>
      <c r="D1691" s="20" t="s">
        <v>3963</v>
      </c>
      <c r="E1691" s="20" t="s">
        <v>3964</v>
      </c>
      <c r="F1691" s="32">
        <v>1</v>
      </c>
      <c r="G1691" s="32">
        <v>66001007</v>
      </c>
      <c r="H1691" s="19">
        <v>0</v>
      </c>
      <c r="I1691" s="19">
        <v>0</v>
      </c>
      <c r="J1691" s="32">
        <v>1</v>
      </c>
      <c r="K1691" s="32">
        <v>0</v>
      </c>
      <c r="L1691" s="19">
        <v>0</v>
      </c>
      <c r="M1691" s="19">
        <v>0</v>
      </c>
      <c r="N1691" s="19">
        <v>0</v>
      </c>
      <c r="O1691" s="19">
        <v>2</v>
      </c>
      <c r="P1691" s="19">
        <v>3</v>
      </c>
      <c r="Q1691" s="19">
        <v>0.15</v>
      </c>
      <c r="R1691" s="19">
        <v>0</v>
      </c>
      <c r="S1691" s="19">
        <v>0</v>
      </c>
      <c r="T1691" s="19">
        <v>0</v>
      </c>
      <c r="U1691" s="21">
        <v>1</v>
      </c>
      <c r="V1691" s="19">
        <v>2</v>
      </c>
      <c r="W1691" s="19">
        <v>0</v>
      </c>
      <c r="X1691" s="19">
        <v>0</v>
      </c>
      <c r="Y1691" s="19">
        <v>0</v>
      </c>
      <c r="Z1691" s="19">
        <v>0</v>
      </c>
      <c r="AA1691" s="19">
        <v>0</v>
      </c>
      <c r="AB1691" s="19">
        <v>0</v>
      </c>
      <c r="AC1691" s="19">
        <v>0</v>
      </c>
      <c r="AD1691" s="32">
        <v>1</v>
      </c>
      <c r="AE1691" s="19">
        <v>0</v>
      </c>
      <c r="AF1691" s="19">
        <v>15</v>
      </c>
      <c r="AG1691" s="19">
        <v>0</v>
      </c>
      <c r="AH1691" s="19">
        <v>0</v>
      </c>
      <c r="AI1691" s="19">
        <v>7</v>
      </c>
      <c r="AJ1691" s="19">
        <v>0</v>
      </c>
      <c r="AK1691" s="19">
        <v>0</v>
      </c>
      <c r="AL1691" s="19">
        <v>6</v>
      </c>
      <c r="AM1691" s="19">
        <v>0</v>
      </c>
      <c r="AN1691" s="19">
        <v>0</v>
      </c>
      <c r="AO1691" s="19">
        <v>0</v>
      </c>
      <c r="AP1691" s="19">
        <v>0.5</v>
      </c>
      <c r="AQ1691" s="19">
        <v>1000</v>
      </c>
      <c r="AR1691" s="19">
        <v>0</v>
      </c>
      <c r="AS1691" s="19">
        <v>0</v>
      </c>
      <c r="AT1691" s="253">
        <v>0</v>
      </c>
      <c r="AU1691" s="19">
        <v>69000121</v>
      </c>
      <c r="AV1691" s="19"/>
      <c r="AW1691" s="20" t="s">
        <v>262</v>
      </c>
      <c r="AX1691" s="19" t="s">
        <v>1849</v>
      </c>
      <c r="AY1691" s="19" t="s">
        <v>204</v>
      </c>
      <c r="AZ1691" s="19" t="s">
        <v>2081</v>
      </c>
      <c r="BA1691" s="20" t="s">
        <v>206</v>
      </c>
      <c r="BB1691" s="19">
        <v>0</v>
      </c>
      <c r="BC1691" s="31">
        <v>0</v>
      </c>
      <c r="BD1691" s="31">
        <v>1</v>
      </c>
      <c r="BE1691" s="267" t="s">
        <v>3673</v>
      </c>
      <c r="BF1691" s="267" t="s">
        <v>3965</v>
      </c>
      <c r="BG1691" s="19">
        <v>0</v>
      </c>
      <c r="BH1691" s="21">
        <v>0</v>
      </c>
      <c r="BI1691" s="19">
        <v>0</v>
      </c>
      <c r="BJ1691" s="19">
        <v>0</v>
      </c>
      <c r="BK1691" s="19">
        <v>0</v>
      </c>
      <c r="BL1691" s="19">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69032006</v>
      </c>
      <c r="D1692" s="179" t="s">
        <v>3966</v>
      </c>
      <c r="E1692" s="179" t="s">
        <v>3967</v>
      </c>
      <c r="F1692" s="180">
        <v>1</v>
      </c>
      <c r="G1692" s="180">
        <v>66001007</v>
      </c>
      <c r="H1692" s="180">
        <v>0</v>
      </c>
      <c r="I1692" s="180">
        <v>0</v>
      </c>
      <c r="J1692" s="180">
        <v>1</v>
      </c>
      <c r="K1692" s="180">
        <v>0</v>
      </c>
      <c r="L1692" s="180">
        <v>0</v>
      </c>
      <c r="M1692" s="180">
        <v>0</v>
      </c>
      <c r="N1692" s="180">
        <v>0</v>
      </c>
      <c r="O1692" s="180">
        <v>2</v>
      </c>
      <c r="P1692" s="180">
        <v>2</v>
      </c>
      <c r="Q1692" s="180">
        <v>0.1</v>
      </c>
      <c r="R1692" s="180">
        <v>0</v>
      </c>
      <c r="S1692" s="180">
        <v>0</v>
      </c>
      <c r="T1692" s="180">
        <v>0</v>
      </c>
      <c r="U1692" s="180">
        <v>1</v>
      </c>
      <c r="V1692" s="180">
        <v>2</v>
      </c>
      <c r="W1692" s="180">
        <v>0</v>
      </c>
      <c r="X1692" s="180">
        <v>0</v>
      </c>
      <c r="Y1692" s="19">
        <v>0</v>
      </c>
      <c r="Z1692" s="180">
        <v>0</v>
      </c>
      <c r="AA1692" s="180">
        <v>0</v>
      </c>
      <c r="AB1692" s="180">
        <v>0</v>
      </c>
      <c r="AC1692" s="180">
        <v>0</v>
      </c>
      <c r="AD1692" s="180">
        <v>1</v>
      </c>
      <c r="AE1692" s="180">
        <v>0</v>
      </c>
      <c r="AF1692" s="180">
        <v>15</v>
      </c>
      <c r="AG1692" s="180">
        <v>0</v>
      </c>
      <c r="AH1692" s="180">
        <v>0</v>
      </c>
      <c r="AI1692" s="180">
        <v>7</v>
      </c>
      <c r="AJ1692" s="180">
        <v>0</v>
      </c>
      <c r="AK1692" s="180">
        <v>0</v>
      </c>
      <c r="AL1692" s="180">
        <v>6</v>
      </c>
      <c r="AM1692" s="180">
        <v>0</v>
      </c>
      <c r="AN1692" s="180">
        <v>0</v>
      </c>
      <c r="AO1692" s="180">
        <v>0</v>
      </c>
      <c r="AP1692" s="180">
        <v>0</v>
      </c>
      <c r="AQ1692" s="180">
        <v>1000</v>
      </c>
      <c r="AR1692" s="180">
        <v>0</v>
      </c>
      <c r="AS1692" s="180">
        <v>0</v>
      </c>
      <c r="AT1692" s="268">
        <v>10001003</v>
      </c>
      <c r="AU1692" s="180">
        <v>0</v>
      </c>
      <c r="AV1692" s="180"/>
      <c r="AW1692" s="179" t="s">
        <v>262</v>
      </c>
      <c r="AX1692" s="180" t="s">
        <v>1849</v>
      </c>
      <c r="AY1692" s="180" t="s">
        <v>204</v>
      </c>
      <c r="AZ1692" s="180">
        <v>0</v>
      </c>
      <c r="BA1692" s="179" t="s">
        <v>206</v>
      </c>
      <c r="BB1692" s="180">
        <v>0</v>
      </c>
      <c r="BC1692" s="180">
        <v>0</v>
      </c>
      <c r="BD1692" s="31">
        <v>1</v>
      </c>
      <c r="BE1692" s="269" t="s">
        <v>3968</v>
      </c>
      <c r="BF1692" s="269" t="s">
        <v>3969</v>
      </c>
      <c r="BG1692" s="180">
        <v>0</v>
      </c>
      <c r="BH1692" s="180">
        <v>0</v>
      </c>
      <c r="BI1692" s="180">
        <v>0</v>
      </c>
      <c r="BJ1692" s="180">
        <v>0</v>
      </c>
      <c r="BK1692" s="180">
        <v>0</v>
      </c>
      <c r="BL1692" s="180">
        <v>0</v>
      </c>
      <c r="BM1692" s="244">
        <v>0</v>
      </c>
      <c r="BN1692" s="19">
        <v>1</v>
      </c>
      <c r="BO1692" s="180">
        <v>0</v>
      </c>
      <c r="BP1692" s="180">
        <v>0</v>
      </c>
      <c r="BQ1692" s="180">
        <v>0</v>
      </c>
      <c r="BR1692" s="180">
        <v>0</v>
      </c>
      <c r="BS1692" s="180">
        <v>0</v>
      </c>
      <c r="BT1692" s="19">
        <v>0</v>
      </c>
      <c r="BU1692" s="23">
        <v>0</v>
      </c>
      <c r="BV1692" s="23"/>
      <c r="BW1692" s="23"/>
      <c r="BX1692" s="23"/>
      <c r="BY1692" s="23"/>
      <c r="BZ1692" s="23"/>
    </row>
    <row r="1693" spans="3:78" ht="19.5" customHeight="1">
      <c r="C1693" s="32">
        <v>69032007</v>
      </c>
      <c r="D1693" s="35" t="s">
        <v>3970</v>
      </c>
      <c r="E1693" s="35" t="s">
        <v>3971</v>
      </c>
      <c r="F1693" s="21">
        <v>1</v>
      </c>
      <c r="G1693" s="32">
        <v>62021301</v>
      </c>
      <c r="H1693" s="21">
        <v>62021203</v>
      </c>
      <c r="I1693" s="31">
        <v>0</v>
      </c>
      <c r="J1693" s="21">
        <v>32</v>
      </c>
      <c r="K1693" s="21">
        <v>2</v>
      </c>
      <c r="L1693" s="21">
        <v>0</v>
      </c>
      <c r="M1693" s="32">
        <v>0</v>
      </c>
      <c r="N1693" s="32">
        <v>0</v>
      </c>
      <c r="O1693" s="32">
        <v>2</v>
      </c>
      <c r="P1693" s="32">
        <v>14</v>
      </c>
      <c r="Q1693" s="32">
        <v>1</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3</v>
      </c>
      <c r="AG1693" s="32">
        <v>1</v>
      </c>
      <c r="AH1693" s="32">
        <v>3</v>
      </c>
      <c r="AI1693" s="19">
        <v>2</v>
      </c>
      <c r="AJ1693" s="19">
        <v>2</v>
      </c>
      <c r="AK1693" s="19">
        <v>0</v>
      </c>
      <c r="AL1693" s="19">
        <v>0</v>
      </c>
      <c r="AM1693" s="32">
        <v>0</v>
      </c>
      <c r="AN1693" s="32">
        <v>0</v>
      </c>
      <c r="AO1693" s="32">
        <v>0</v>
      </c>
      <c r="AP1693" s="32">
        <v>0</v>
      </c>
      <c r="AQ1693" s="32">
        <v>2000</v>
      </c>
      <c r="AR1693" s="32">
        <v>0</v>
      </c>
      <c r="AS1693" s="32">
        <v>0</v>
      </c>
      <c r="AT1693" s="19">
        <v>69000141</v>
      </c>
      <c r="AU1693" s="32">
        <v>0</v>
      </c>
      <c r="AV1693" s="32"/>
      <c r="AW1693" s="35" t="s">
        <v>205</v>
      </c>
      <c r="AX1693" s="32" t="s">
        <v>551</v>
      </c>
      <c r="AY1693" s="32">
        <v>0</v>
      </c>
      <c r="AZ1693" s="32">
        <v>0</v>
      </c>
      <c r="BA1693" s="35" t="s">
        <v>206</v>
      </c>
      <c r="BB1693" s="35">
        <v>0</v>
      </c>
      <c r="BC1693" s="31">
        <v>0</v>
      </c>
      <c r="BD1693" s="31">
        <v>0</v>
      </c>
      <c r="BE1693" s="267" t="s">
        <v>3972</v>
      </c>
      <c r="BF1693" s="267" t="s">
        <v>3973</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69032008</v>
      </c>
      <c r="D1694" s="35" t="s">
        <v>3974</v>
      </c>
      <c r="E1694" s="35" t="s">
        <v>3975</v>
      </c>
      <c r="F1694" s="32">
        <v>1</v>
      </c>
      <c r="G1694" s="32">
        <v>68000002</v>
      </c>
      <c r="H1694" s="32">
        <v>0</v>
      </c>
      <c r="I1694" s="31">
        <v>0</v>
      </c>
      <c r="J1694" s="32">
        <v>1</v>
      </c>
      <c r="K1694" s="32">
        <v>0</v>
      </c>
      <c r="L1694" s="32">
        <v>0</v>
      </c>
      <c r="M1694" s="32">
        <v>0</v>
      </c>
      <c r="N1694" s="32">
        <v>0</v>
      </c>
      <c r="O1694" s="32">
        <v>2</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3976</v>
      </c>
      <c r="BC1694" s="31">
        <v>0</v>
      </c>
      <c r="BD1694" s="31">
        <v>1</v>
      </c>
      <c r="BE1694" s="60" t="s">
        <v>3977</v>
      </c>
      <c r="BF1694" s="60" t="s">
        <v>3978</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69032009</v>
      </c>
      <c r="D1695" s="35" t="s">
        <v>3979</v>
      </c>
      <c r="E1695" s="35" t="s">
        <v>3980</v>
      </c>
      <c r="F1695" s="32">
        <v>1</v>
      </c>
      <c r="G1695" s="32">
        <v>68000002</v>
      </c>
      <c r="H1695" s="32">
        <v>0</v>
      </c>
      <c r="I1695" s="31">
        <v>0</v>
      </c>
      <c r="J1695" s="32">
        <v>1</v>
      </c>
      <c r="K1695" s="32">
        <v>0</v>
      </c>
      <c r="L1695" s="32">
        <v>0</v>
      </c>
      <c r="M1695" s="32">
        <v>0</v>
      </c>
      <c r="N1695" s="32">
        <v>0</v>
      </c>
      <c r="O1695" s="32">
        <v>8</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3981</v>
      </c>
      <c r="BC1695" s="31">
        <v>0</v>
      </c>
      <c r="BD1695" s="31">
        <v>1</v>
      </c>
      <c r="BE1695" s="60" t="s">
        <v>3982</v>
      </c>
      <c r="BF1695" s="60" t="s">
        <v>3983</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69032010</v>
      </c>
      <c r="D1696" s="35" t="s">
        <v>3984</v>
      </c>
      <c r="E1696" s="35" t="s">
        <v>3985</v>
      </c>
      <c r="F1696" s="32">
        <v>1</v>
      </c>
      <c r="G1696" s="32">
        <v>68000002</v>
      </c>
      <c r="H1696" s="32">
        <v>0</v>
      </c>
      <c r="I1696" s="31">
        <v>0</v>
      </c>
      <c r="J1696" s="32">
        <v>1</v>
      </c>
      <c r="K1696" s="32">
        <v>0</v>
      </c>
      <c r="L1696" s="32">
        <v>0</v>
      </c>
      <c r="M1696" s="32">
        <v>0</v>
      </c>
      <c r="N1696" s="32">
        <v>0</v>
      </c>
      <c r="O1696" s="32">
        <v>2</v>
      </c>
      <c r="P1696" s="32">
        <v>5</v>
      </c>
      <c r="Q1696" s="32">
        <v>0.2</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10001002</v>
      </c>
      <c r="AU1696" s="32" t="s">
        <v>204</v>
      </c>
      <c r="AV1696" s="32"/>
      <c r="AW1696" s="35" t="s">
        <v>205</v>
      </c>
      <c r="AX1696" s="32">
        <v>0</v>
      </c>
      <c r="AY1696" s="32">
        <v>0</v>
      </c>
      <c r="AZ1696" s="32">
        <v>0</v>
      </c>
      <c r="BA1696" s="35" t="s">
        <v>206</v>
      </c>
      <c r="BB1696" s="35" t="s">
        <v>204</v>
      </c>
      <c r="BC1696" s="31">
        <v>0</v>
      </c>
      <c r="BD1696" s="31">
        <v>1</v>
      </c>
      <c r="BE1696" s="60" t="s">
        <v>3986</v>
      </c>
      <c r="BF1696" s="60" t="s">
        <v>3987</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69033101</v>
      </c>
      <c r="D1697" s="35" t="s">
        <v>3988</v>
      </c>
      <c r="E1697" s="35" t="s">
        <v>3989</v>
      </c>
      <c r="F1697" s="32">
        <v>1</v>
      </c>
      <c r="G1697" s="32">
        <v>68000015</v>
      </c>
      <c r="H1697" s="32">
        <v>0</v>
      </c>
      <c r="I1697" s="31">
        <v>0</v>
      </c>
      <c r="J1697" s="32">
        <v>1</v>
      </c>
      <c r="K1697" s="32">
        <v>0</v>
      </c>
      <c r="L1697" s="32">
        <v>0</v>
      </c>
      <c r="M1697" s="32">
        <v>0</v>
      </c>
      <c r="N1697" s="32">
        <v>0</v>
      </c>
      <c r="O1697" s="32">
        <v>5</v>
      </c>
      <c r="P1697" s="32">
        <v>11</v>
      </c>
      <c r="Q1697" s="32">
        <v>200001</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200001</v>
      </c>
      <c r="BD1697" s="31">
        <v>1</v>
      </c>
      <c r="BE1697" s="35" t="s">
        <v>3990</v>
      </c>
      <c r="BF1697" s="35" t="s">
        <v>3991</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69033102</v>
      </c>
      <c r="D1698" s="35" t="s">
        <v>3988</v>
      </c>
      <c r="E1698" s="35" t="s">
        <v>3989</v>
      </c>
      <c r="F1698" s="32">
        <v>1</v>
      </c>
      <c r="G1698" s="32">
        <v>68000015</v>
      </c>
      <c r="H1698" s="32">
        <v>0</v>
      </c>
      <c r="I1698" s="31">
        <v>0</v>
      </c>
      <c r="J1698" s="32">
        <v>1</v>
      </c>
      <c r="K1698" s="32">
        <v>0</v>
      </c>
      <c r="L1698" s="32">
        <v>0</v>
      </c>
      <c r="M1698" s="32">
        <v>0</v>
      </c>
      <c r="N1698" s="32">
        <v>0</v>
      </c>
      <c r="O1698" s="32">
        <v>5</v>
      </c>
      <c r="P1698" s="32">
        <v>11</v>
      </c>
      <c r="Q1698" s="32">
        <v>200002</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200002</v>
      </c>
      <c r="BD1698" s="31">
        <v>1</v>
      </c>
      <c r="BE1698" s="35" t="s">
        <v>3992</v>
      </c>
      <c r="BF1698" s="35" t="s">
        <v>3993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69033103</v>
      </c>
      <c r="D1699" s="35" t="s">
        <v>3988</v>
      </c>
      <c r="E1699" s="35" t="s">
        <v>3989</v>
      </c>
      <c r="F1699" s="32">
        <v>1</v>
      </c>
      <c r="G1699" s="32">
        <v>68000015</v>
      </c>
      <c r="H1699" s="32">
        <v>0</v>
      </c>
      <c r="I1699" s="31">
        <v>0</v>
      </c>
      <c r="J1699" s="32">
        <v>1</v>
      </c>
      <c r="K1699" s="32">
        <v>0</v>
      </c>
      <c r="L1699" s="32">
        <v>0</v>
      </c>
      <c r="M1699" s="32">
        <v>0</v>
      </c>
      <c r="N1699" s="32">
        <v>0</v>
      </c>
      <c r="O1699" s="32">
        <v>5</v>
      </c>
      <c r="P1699" s="32">
        <v>11</v>
      </c>
      <c r="Q1699" s="32">
        <v>200003</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200003</v>
      </c>
      <c r="BD1699" s="31">
        <v>1</v>
      </c>
      <c r="BE1699" s="35" t="s">
        <v>3994</v>
      </c>
      <c r="BF1699" s="35" t="s">
        <v>3995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69033104</v>
      </c>
      <c r="D1700" s="35" t="s">
        <v>3988</v>
      </c>
      <c r="E1700" s="35" t="s">
        <v>3989</v>
      </c>
      <c r="F1700" s="32">
        <v>1</v>
      </c>
      <c r="G1700" s="32">
        <v>68000015</v>
      </c>
      <c r="H1700" s="32">
        <v>0</v>
      </c>
      <c r="I1700" s="31">
        <v>0</v>
      </c>
      <c r="J1700" s="32">
        <v>1</v>
      </c>
      <c r="K1700" s="32">
        <v>0</v>
      </c>
      <c r="L1700" s="32">
        <v>0</v>
      </c>
      <c r="M1700" s="32">
        <v>0</v>
      </c>
      <c r="N1700" s="32">
        <v>0</v>
      </c>
      <c r="O1700" s="32">
        <v>5</v>
      </c>
      <c r="P1700" s="32">
        <v>11</v>
      </c>
      <c r="Q1700" s="32">
        <v>200005</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200005</v>
      </c>
      <c r="BD1700" s="31">
        <v>1</v>
      </c>
      <c r="BE1700" s="35" t="s">
        <v>3996</v>
      </c>
      <c r="BF1700" s="35" t="s">
        <v>3997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69033105</v>
      </c>
      <c r="D1701" s="35" t="s">
        <v>3988</v>
      </c>
      <c r="E1701" s="35" t="s">
        <v>3989</v>
      </c>
      <c r="F1701" s="32">
        <v>1</v>
      </c>
      <c r="G1701" s="32">
        <v>68000015</v>
      </c>
      <c r="H1701" s="32">
        <v>0</v>
      </c>
      <c r="I1701" s="31">
        <v>0</v>
      </c>
      <c r="J1701" s="32">
        <v>1</v>
      </c>
      <c r="K1701" s="32">
        <v>0</v>
      </c>
      <c r="L1701" s="32">
        <v>0</v>
      </c>
      <c r="M1701" s="32">
        <v>0</v>
      </c>
      <c r="N1701" s="32">
        <v>0</v>
      </c>
      <c r="O1701" s="32">
        <v>5</v>
      </c>
      <c r="P1701" s="32">
        <v>11</v>
      </c>
      <c r="Q1701" s="32">
        <v>200007</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200007</v>
      </c>
      <c r="BD1701" s="31">
        <v>1</v>
      </c>
      <c r="BE1701" s="35" t="s">
        <v>3998</v>
      </c>
      <c r="BF1701" s="35" t="s">
        <v>3999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69033106</v>
      </c>
      <c r="D1702" s="35" t="s">
        <v>3988</v>
      </c>
      <c r="E1702" s="35" t="s">
        <v>3989</v>
      </c>
      <c r="F1702" s="32">
        <v>1</v>
      </c>
      <c r="G1702" s="32">
        <v>68000015</v>
      </c>
      <c r="H1702" s="32">
        <v>0</v>
      </c>
      <c r="I1702" s="31">
        <v>0</v>
      </c>
      <c r="J1702" s="32">
        <v>1</v>
      </c>
      <c r="K1702" s="32">
        <v>0</v>
      </c>
      <c r="L1702" s="32">
        <v>0</v>
      </c>
      <c r="M1702" s="32">
        <v>0</v>
      </c>
      <c r="N1702" s="32">
        <v>0</v>
      </c>
      <c r="O1702" s="32">
        <v>5</v>
      </c>
      <c r="P1702" s="32">
        <v>11</v>
      </c>
      <c r="Q1702" s="32">
        <v>200008</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200008</v>
      </c>
      <c r="BD1702" s="31">
        <v>1</v>
      </c>
      <c r="BE1702" s="35" t="s">
        <v>4000</v>
      </c>
      <c r="BF1702" s="35" t="s">
        <v>4001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69033201</v>
      </c>
      <c r="D1703" s="35" t="s">
        <v>3988</v>
      </c>
      <c r="E1703" s="35" t="s">
        <v>3989</v>
      </c>
      <c r="F1703" s="32">
        <v>1</v>
      </c>
      <c r="G1703" s="32">
        <v>68000015</v>
      </c>
      <c r="H1703" s="32">
        <v>0</v>
      </c>
      <c r="I1703" s="31">
        <v>0</v>
      </c>
      <c r="J1703" s="32">
        <v>1</v>
      </c>
      <c r="K1703" s="32">
        <v>0</v>
      </c>
      <c r="L1703" s="32">
        <v>0</v>
      </c>
      <c r="M1703" s="32">
        <v>0</v>
      </c>
      <c r="N1703" s="32">
        <v>0</v>
      </c>
      <c r="O1703" s="32">
        <v>5</v>
      </c>
      <c r="P1703" s="32">
        <v>11</v>
      </c>
      <c r="Q1703" s="32">
        <v>200002</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200014</v>
      </c>
      <c r="BD1703" s="31">
        <v>1</v>
      </c>
      <c r="BE1703" s="35" t="s">
        <v>4002</v>
      </c>
      <c r="BF1703" s="35" t="s">
        <v>4003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69033202</v>
      </c>
      <c r="D1704" s="35" t="s">
        <v>3988</v>
      </c>
      <c r="E1704" s="35" t="s">
        <v>3989</v>
      </c>
      <c r="F1704" s="32">
        <v>1</v>
      </c>
      <c r="G1704" s="32">
        <v>68000015</v>
      </c>
      <c r="H1704" s="32">
        <v>0</v>
      </c>
      <c r="I1704" s="31">
        <v>0</v>
      </c>
      <c r="J1704" s="32">
        <v>1</v>
      </c>
      <c r="K1704" s="32">
        <v>0</v>
      </c>
      <c r="L1704" s="32">
        <v>0</v>
      </c>
      <c r="M1704" s="32">
        <v>0</v>
      </c>
      <c r="N1704" s="32">
        <v>0</v>
      </c>
      <c r="O1704" s="32">
        <v>5</v>
      </c>
      <c r="P1704" s="32">
        <v>11</v>
      </c>
      <c r="Q1704" s="32">
        <v>200005</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200013</v>
      </c>
      <c r="BD1704" s="31">
        <v>1</v>
      </c>
      <c r="BE1704" s="35" t="s">
        <v>4004</v>
      </c>
      <c r="BF1704" s="35" t="s">
        <v>4005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69033203</v>
      </c>
      <c r="D1705" s="35" t="s">
        <v>3988</v>
      </c>
      <c r="E1705" s="35" t="s">
        <v>3989</v>
      </c>
      <c r="F1705" s="32">
        <v>1</v>
      </c>
      <c r="G1705" s="32">
        <v>68000015</v>
      </c>
      <c r="H1705" s="32">
        <v>0</v>
      </c>
      <c r="I1705" s="31">
        <v>0</v>
      </c>
      <c r="J1705" s="32">
        <v>1</v>
      </c>
      <c r="K1705" s="32">
        <v>0</v>
      </c>
      <c r="L1705" s="32">
        <v>0</v>
      </c>
      <c r="M1705" s="32">
        <v>0</v>
      </c>
      <c r="N1705" s="32">
        <v>0</v>
      </c>
      <c r="O1705" s="32">
        <v>5</v>
      </c>
      <c r="P1705" s="32">
        <v>11</v>
      </c>
      <c r="Q1705" s="32">
        <v>200007</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200007</v>
      </c>
      <c r="BD1705" s="31">
        <v>1</v>
      </c>
      <c r="BE1705" s="35" t="s">
        <v>4006</v>
      </c>
      <c r="BF1705" s="35" t="s">
        <v>4007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69033204</v>
      </c>
      <c r="D1706" s="35" t="s">
        <v>3988</v>
      </c>
      <c r="E1706" s="35" t="s">
        <v>3989</v>
      </c>
      <c r="F1706" s="32">
        <v>1</v>
      </c>
      <c r="G1706" s="32">
        <v>68000015</v>
      </c>
      <c r="H1706" s="32">
        <v>0</v>
      </c>
      <c r="I1706" s="31">
        <v>0</v>
      </c>
      <c r="J1706" s="32">
        <v>1</v>
      </c>
      <c r="K1706" s="32">
        <v>0</v>
      </c>
      <c r="L1706" s="32">
        <v>0</v>
      </c>
      <c r="M1706" s="32">
        <v>0</v>
      </c>
      <c r="N1706" s="32">
        <v>0</v>
      </c>
      <c r="O1706" s="32">
        <v>5</v>
      </c>
      <c r="P1706" s="32">
        <v>11</v>
      </c>
      <c r="Q1706" s="32">
        <v>200010</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200010</v>
      </c>
      <c r="BD1706" s="31">
        <v>1</v>
      </c>
      <c r="BE1706" s="35" t="s">
        <v>4008</v>
      </c>
      <c r="BF1706" s="35" t="s">
        <v>4009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69033205</v>
      </c>
      <c r="D1707" s="35" t="s">
        <v>3988</v>
      </c>
      <c r="E1707" s="35" t="s">
        <v>3989</v>
      </c>
      <c r="F1707" s="32">
        <v>1</v>
      </c>
      <c r="G1707" s="32">
        <v>68000015</v>
      </c>
      <c r="H1707" s="32">
        <v>0</v>
      </c>
      <c r="I1707" s="31">
        <v>0</v>
      </c>
      <c r="J1707" s="32">
        <v>1</v>
      </c>
      <c r="K1707" s="32">
        <v>0</v>
      </c>
      <c r="L1707" s="32">
        <v>0</v>
      </c>
      <c r="M1707" s="32">
        <v>0</v>
      </c>
      <c r="N1707" s="32">
        <v>0</v>
      </c>
      <c r="O1707" s="32">
        <v>5</v>
      </c>
      <c r="P1707" s="32">
        <v>11</v>
      </c>
      <c r="Q1707" s="32">
        <v>200011</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200011</v>
      </c>
      <c r="BD1707" s="31">
        <v>1</v>
      </c>
      <c r="BE1707" s="35" t="s">
        <v>4010</v>
      </c>
      <c r="BF1707" s="35" t="s">
        <v>4011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69033206</v>
      </c>
      <c r="D1708" s="35" t="s">
        <v>3988</v>
      </c>
      <c r="E1708" s="35" t="s">
        <v>3989</v>
      </c>
      <c r="F1708" s="32">
        <v>1</v>
      </c>
      <c r="G1708" s="32">
        <v>68000015</v>
      </c>
      <c r="H1708" s="32">
        <v>0</v>
      </c>
      <c r="I1708" s="31">
        <v>0</v>
      </c>
      <c r="J1708" s="32">
        <v>1</v>
      </c>
      <c r="K1708" s="32">
        <v>0</v>
      </c>
      <c r="L1708" s="32">
        <v>0</v>
      </c>
      <c r="M1708" s="32">
        <v>0</v>
      </c>
      <c r="N1708" s="32">
        <v>0</v>
      </c>
      <c r="O1708" s="32">
        <v>5</v>
      </c>
      <c r="P1708" s="32">
        <v>11</v>
      </c>
      <c r="Q1708" s="32">
        <v>200012</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200012</v>
      </c>
      <c r="BD1708" s="31">
        <v>1</v>
      </c>
      <c r="BE1708" s="35" t="s">
        <v>4012</v>
      </c>
      <c r="BF1708" s="35" t="s">
        <v>4013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69041001</v>
      </c>
      <c r="D1709" s="35" t="s">
        <v>2946</v>
      </c>
      <c r="E1709" s="35" t="s">
        <v>2947</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4014</v>
      </c>
      <c r="BC1709" s="31">
        <v>0</v>
      </c>
      <c r="BD1709" s="31">
        <v>1</v>
      </c>
      <c r="BE1709" s="270" t="s">
        <v>4015</v>
      </c>
      <c r="BF1709" s="270" t="s">
        <v>4016</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69041002</v>
      </c>
      <c r="D1710" s="35" t="s">
        <v>4017</v>
      </c>
      <c r="E1710" s="35" t="s">
        <v>4018</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4019</v>
      </c>
      <c r="BC1710" s="31">
        <v>0</v>
      </c>
      <c r="BD1710" s="31">
        <v>1</v>
      </c>
      <c r="BE1710" s="270" t="s">
        <v>4020</v>
      </c>
      <c r="BF1710" s="270" t="s">
        <v>4021</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69041003</v>
      </c>
      <c r="D1711" s="35" t="s">
        <v>4022</v>
      </c>
      <c r="E1711" s="35" t="s">
        <v>4023</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4024</v>
      </c>
      <c r="BC1711" s="31">
        <v>0</v>
      </c>
      <c r="BD1711" s="31">
        <v>1</v>
      </c>
      <c r="BE1711" s="270" t="s">
        <v>4025</v>
      </c>
      <c r="BF1711" s="270" t="s">
        <v>4026</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69041004</v>
      </c>
      <c r="D1712" s="35" t="s">
        <v>4027</v>
      </c>
      <c r="E1712" s="35" t="s">
        <v>4028</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4029</v>
      </c>
      <c r="BC1712" s="31">
        <v>0</v>
      </c>
      <c r="BD1712" s="31">
        <v>1</v>
      </c>
      <c r="BE1712" s="270" t="s">
        <v>4030</v>
      </c>
      <c r="BF1712" s="270" t="s">
        <v>4031</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69041005</v>
      </c>
      <c r="D1713" s="35" t="s">
        <v>4032</v>
      </c>
      <c r="E1713" s="35" t="s">
        <v>4033</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4034</v>
      </c>
      <c r="BC1713" s="31">
        <v>0</v>
      </c>
      <c r="BD1713" s="31">
        <v>1</v>
      </c>
      <c r="BE1713" s="270" t="s">
        <v>4035</v>
      </c>
      <c r="BF1713" s="270" t="s">
        <v>4036</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69041006</v>
      </c>
      <c r="D1714" s="35" t="s">
        <v>4037</v>
      </c>
      <c r="E1714" s="35" t="s">
        <v>4038</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4039</v>
      </c>
      <c r="BC1714" s="31">
        <v>0</v>
      </c>
      <c r="BD1714" s="31">
        <v>1</v>
      </c>
      <c r="BE1714" s="270" t="s">
        <v>4040</v>
      </c>
      <c r="BF1714" s="270" t="s">
        <v>4041</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69041007</v>
      </c>
      <c r="D1715" s="35" t="s">
        <v>4042</v>
      </c>
      <c r="E1715" s="35" t="s">
        <v>4043</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21" t="s">
        <v>3532</v>
      </c>
      <c r="BC1715" s="31">
        <v>0</v>
      </c>
      <c r="BD1715" s="31">
        <v>1</v>
      </c>
      <c r="BE1715" s="270" t="s">
        <v>3533</v>
      </c>
      <c r="BF1715" s="270" t="s">
        <v>4044</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69051001</v>
      </c>
      <c r="D1716" s="260" t="s">
        <v>604</v>
      </c>
      <c r="E1716" s="260" t="s">
        <v>1168</v>
      </c>
      <c r="F1716" s="69">
        <v>1</v>
      </c>
      <c r="G1716" s="69">
        <v>61011101</v>
      </c>
      <c r="H1716" s="59">
        <v>0</v>
      </c>
      <c r="I1716" s="59">
        <v>0</v>
      </c>
      <c r="J1716" s="69">
        <v>1</v>
      </c>
      <c r="K1716" s="69">
        <v>0</v>
      </c>
      <c r="L1716" s="59">
        <v>0</v>
      </c>
      <c r="M1716" s="59">
        <v>0</v>
      </c>
      <c r="N1716" s="59" t="s">
        <v>4045</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4046</v>
      </c>
      <c r="BF1716" s="260" t="s">
        <v>4047</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69051002</v>
      </c>
      <c r="D1717" s="260" t="s">
        <v>538</v>
      </c>
      <c r="E1717" s="260" t="s">
        <v>261</v>
      </c>
      <c r="F1717" s="69">
        <v>1</v>
      </c>
      <c r="G1717" s="69">
        <v>61011201</v>
      </c>
      <c r="H1717" s="59">
        <v>0</v>
      </c>
      <c r="I1717" s="59">
        <v>0</v>
      </c>
      <c r="J1717" s="69">
        <v>1</v>
      </c>
      <c r="K1717" s="69">
        <v>0</v>
      </c>
      <c r="L1717" s="59">
        <v>0</v>
      </c>
      <c r="M1717" s="59">
        <v>0</v>
      </c>
      <c r="N1717" s="59" t="s">
        <v>4048</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4049</v>
      </c>
      <c r="BF1717" s="260" t="s">
        <v>4050</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69051003</v>
      </c>
      <c r="D1718" s="260" t="s">
        <v>1375</v>
      </c>
      <c r="E1718" s="260" t="s">
        <v>1642</v>
      </c>
      <c r="F1718" s="69">
        <v>1</v>
      </c>
      <c r="G1718" s="69">
        <v>61011301</v>
      </c>
      <c r="H1718" s="59">
        <v>0</v>
      </c>
      <c r="I1718" s="59">
        <v>0</v>
      </c>
      <c r="J1718" s="69">
        <v>1</v>
      </c>
      <c r="K1718" s="69">
        <v>0</v>
      </c>
      <c r="L1718" s="59">
        <v>0</v>
      </c>
      <c r="M1718" s="59">
        <v>0</v>
      </c>
      <c r="N1718" s="59" t="s">
        <v>4051</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4052</v>
      </c>
      <c r="BF1718" s="260" t="s">
        <v>4053</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69051011</v>
      </c>
      <c r="D1719" s="260" t="s">
        <v>4054</v>
      </c>
      <c r="E1719" s="260" t="s">
        <v>4055</v>
      </c>
      <c r="F1719" s="69">
        <v>1</v>
      </c>
      <c r="G1719" s="69">
        <v>61021401</v>
      </c>
      <c r="H1719" s="59">
        <v>0</v>
      </c>
      <c r="I1719" s="59">
        <v>0</v>
      </c>
      <c r="J1719" s="69">
        <v>1</v>
      </c>
      <c r="K1719" s="69">
        <v>0</v>
      </c>
      <c r="L1719" s="59">
        <v>0</v>
      </c>
      <c r="M1719" s="59">
        <v>0</v>
      </c>
      <c r="N1719" s="59" t="s">
        <v>3710</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3708</v>
      </c>
      <c r="BF1719" s="260" t="s">
        <v>4056</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69051012</v>
      </c>
      <c r="D1720" s="260" t="s">
        <v>4057</v>
      </c>
      <c r="E1720" s="260" t="s">
        <v>4058</v>
      </c>
      <c r="F1720" s="69">
        <v>1</v>
      </c>
      <c r="G1720" s="69">
        <v>61021201</v>
      </c>
      <c r="H1720" s="59">
        <v>0</v>
      </c>
      <c r="I1720" s="59">
        <v>0</v>
      </c>
      <c r="J1720" s="69">
        <v>1</v>
      </c>
      <c r="K1720" s="69">
        <v>0</v>
      </c>
      <c r="L1720" s="59">
        <v>0</v>
      </c>
      <c r="M1720" s="59">
        <v>0</v>
      </c>
      <c r="N1720" s="59" t="s">
        <v>3713</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3711</v>
      </c>
      <c r="BF1720" s="260" t="s">
        <v>4059</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69051013</v>
      </c>
      <c r="D1721" s="260" t="s">
        <v>4060</v>
      </c>
      <c r="E1721" s="260" t="s">
        <v>4061</v>
      </c>
      <c r="F1721" s="69">
        <v>1</v>
      </c>
      <c r="G1721" s="69">
        <v>61021301</v>
      </c>
      <c r="H1721" s="59">
        <v>0</v>
      </c>
      <c r="I1721" s="59">
        <v>0</v>
      </c>
      <c r="J1721" s="69">
        <v>1</v>
      </c>
      <c r="K1721" s="69">
        <v>0</v>
      </c>
      <c r="L1721" s="59">
        <v>0</v>
      </c>
      <c r="M1721" s="59">
        <v>0</v>
      </c>
      <c r="N1721" s="59" t="s">
        <v>3716</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3714</v>
      </c>
      <c r="BF1721" s="260" t="s">
        <v>4062</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69051014</v>
      </c>
      <c r="D1722" s="260" t="s">
        <v>4063</v>
      </c>
      <c r="E1722" s="260" t="s">
        <v>4064</v>
      </c>
      <c r="F1722" s="69">
        <v>1</v>
      </c>
      <c r="G1722" s="69">
        <v>61021402</v>
      </c>
      <c r="H1722" s="59">
        <v>0</v>
      </c>
      <c r="I1722" s="59">
        <v>0</v>
      </c>
      <c r="J1722" s="69">
        <v>1</v>
      </c>
      <c r="K1722" s="69">
        <v>0</v>
      </c>
      <c r="L1722" s="59">
        <v>0</v>
      </c>
      <c r="M1722" s="59">
        <v>0</v>
      </c>
      <c r="N1722" s="59" t="s">
        <v>3719</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3717</v>
      </c>
      <c r="BF1722" s="260" t="s">
        <v>4065</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69051021</v>
      </c>
      <c r="D1723" s="260" t="s">
        <v>4066</v>
      </c>
      <c r="E1723" s="260" t="s">
        <v>564</v>
      </c>
      <c r="F1723" s="69">
        <v>1</v>
      </c>
      <c r="G1723" s="69">
        <v>61022101</v>
      </c>
      <c r="H1723" s="59">
        <v>0</v>
      </c>
      <c r="I1723" s="59">
        <v>0</v>
      </c>
      <c r="J1723" s="69">
        <v>1</v>
      </c>
      <c r="K1723" s="69">
        <v>0</v>
      </c>
      <c r="L1723" s="59">
        <v>0</v>
      </c>
      <c r="M1723" s="59">
        <v>0</v>
      </c>
      <c r="N1723" s="59" t="s">
        <v>3722</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3720</v>
      </c>
      <c r="BF1723" s="260" t="s">
        <v>4067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69051022</v>
      </c>
      <c r="D1724" s="260" t="s">
        <v>4068</v>
      </c>
      <c r="E1724" s="260" t="s">
        <v>4069</v>
      </c>
      <c r="F1724" s="69">
        <v>1</v>
      </c>
      <c r="G1724" s="69">
        <v>61022201</v>
      </c>
      <c r="H1724" s="59">
        <v>0</v>
      </c>
      <c r="I1724" s="59">
        <v>0</v>
      </c>
      <c r="J1724" s="69">
        <v>1</v>
      </c>
      <c r="K1724" s="69">
        <v>0</v>
      </c>
      <c r="L1724" s="59">
        <v>0</v>
      </c>
      <c r="M1724" s="59">
        <v>0</v>
      </c>
      <c r="N1724" s="59" t="s">
        <v>3725</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3723</v>
      </c>
      <c r="BF1724" s="260" t="s">
        <v>4070</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69051023</v>
      </c>
      <c r="D1725" s="260" t="s">
        <v>4071</v>
      </c>
      <c r="E1725" s="260" t="s">
        <v>1765</v>
      </c>
      <c r="F1725" s="69">
        <v>1</v>
      </c>
      <c r="G1725" s="69">
        <v>61022301</v>
      </c>
      <c r="H1725" s="59">
        <v>0</v>
      </c>
      <c r="I1725" s="59">
        <v>0</v>
      </c>
      <c r="J1725" s="69">
        <v>1</v>
      </c>
      <c r="K1725" s="69">
        <v>0</v>
      </c>
      <c r="L1725" s="59">
        <v>0</v>
      </c>
      <c r="M1725" s="59">
        <v>0</v>
      </c>
      <c r="N1725" s="59" t="s">
        <v>3728</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3726</v>
      </c>
      <c r="BF1725" s="260" t="s">
        <v>4072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69051024</v>
      </c>
      <c r="D1726" s="260" t="s">
        <v>4073</v>
      </c>
      <c r="E1726" s="260" t="s">
        <v>1735</v>
      </c>
      <c r="F1726" s="69">
        <v>1</v>
      </c>
      <c r="G1726" s="69">
        <v>61022401</v>
      </c>
      <c r="H1726" s="59">
        <v>0</v>
      </c>
      <c r="I1726" s="59">
        <v>0</v>
      </c>
      <c r="J1726" s="69">
        <v>1</v>
      </c>
      <c r="K1726" s="69">
        <v>0</v>
      </c>
      <c r="L1726" s="59">
        <v>0</v>
      </c>
      <c r="M1726" s="59">
        <v>0</v>
      </c>
      <c r="N1726" s="59" t="s">
        <v>3731</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3729</v>
      </c>
      <c r="BF1726" s="260" t="s">
        <v>4074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69051031</v>
      </c>
      <c r="D1727" s="260" t="s">
        <v>4075</v>
      </c>
      <c r="E1727" s="260" t="s">
        <v>1792</v>
      </c>
      <c r="F1727" s="69">
        <v>1</v>
      </c>
      <c r="G1727" s="69">
        <v>61023101</v>
      </c>
      <c r="H1727" s="59">
        <v>0</v>
      </c>
      <c r="I1727" s="59">
        <v>0</v>
      </c>
      <c r="J1727" s="69">
        <v>1</v>
      </c>
      <c r="K1727" s="69">
        <v>0</v>
      </c>
      <c r="L1727" s="59">
        <v>0</v>
      </c>
      <c r="M1727" s="59">
        <v>0</v>
      </c>
      <c r="N1727" s="59" t="s">
        <v>3734</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3732</v>
      </c>
      <c r="BF1727" s="260" t="s">
        <v>4076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69051032</v>
      </c>
      <c r="D1728" s="260" t="s">
        <v>4077</v>
      </c>
      <c r="E1728" s="260" t="s">
        <v>1800</v>
      </c>
      <c r="F1728" s="69">
        <v>1</v>
      </c>
      <c r="G1728" s="69">
        <v>61023201</v>
      </c>
      <c r="H1728" s="59">
        <v>0</v>
      </c>
      <c r="I1728" s="59">
        <v>0</v>
      </c>
      <c r="J1728" s="69">
        <v>1</v>
      </c>
      <c r="K1728" s="69">
        <v>0</v>
      </c>
      <c r="L1728" s="59">
        <v>0</v>
      </c>
      <c r="M1728" s="59">
        <v>0</v>
      </c>
      <c r="N1728" s="59" t="s">
        <v>3737</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3735</v>
      </c>
      <c r="BF1728" s="260" t="s">
        <v>4078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69051033</v>
      </c>
      <c r="D1729" s="260" t="s">
        <v>4079</v>
      </c>
      <c r="E1729" s="260" t="s">
        <v>1821</v>
      </c>
      <c r="F1729" s="69">
        <v>1</v>
      </c>
      <c r="G1729" s="69">
        <v>61023301</v>
      </c>
      <c r="H1729" s="59">
        <v>0</v>
      </c>
      <c r="I1729" s="59">
        <v>0</v>
      </c>
      <c r="J1729" s="69">
        <v>1</v>
      </c>
      <c r="K1729" s="69">
        <v>0</v>
      </c>
      <c r="L1729" s="59">
        <v>0</v>
      </c>
      <c r="M1729" s="59">
        <v>0</v>
      </c>
      <c r="N1729" s="59" t="s">
        <v>3740</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3738</v>
      </c>
      <c r="BF1729" s="260" t="s">
        <v>4080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69051034</v>
      </c>
      <c r="D1730" s="260" t="s">
        <v>4081</v>
      </c>
      <c r="E1730" s="260" t="s">
        <v>4082</v>
      </c>
      <c r="F1730" s="69">
        <v>1</v>
      </c>
      <c r="G1730" s="69">
        <v>61023401</v>
      </c>
      <c r="H1730" s="59">
        <v>0</v>
      </c>
      <c r="I1730" s="59">
        <v>0</v>
      </c>
      <c r="J1730" s="69">
        <v>1</v>
      </c>
      <c r="K1730" s="69">
        <v>0</v>
      </c>
      <c r="L1730" s="59">
        <v>0</v>
      </c>
      <c r="M1730" s="59">
        <v>0</v>
      </c>
      <c r="N1730" s="59" t="s">
        <v>3743</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3741</v>
      </c>
      <c r="BF1730" s="260" t="s">
        <v>4083</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69052001</v>
      </c>
      <c r="D1731" s="260" t="s">
        <v>4084</v>
      </c>
      <c r="E1731" s="260" t="s">
        <v>1848</v>
      </c>
      <c r="F1731" s="69">
        <v>1</v>
      </c>
      <c r="G1731" s="69">
        <v>62011101</v>
      </c>
      <c r="H1731" s="59">
        <v>0</v>
      </c>
      <c r="I1731" s="59">
        <v>0</v>
      </c>
      <c r="J1731" s="69">
        <v>1</v>
      </c>
      <c r="K1731" s="69">
        <v>0</v>
      </c>
      <c r="L1731" s="59">
        <v>0</v>
      </c>
      <c r="M1731" s="59">
        <v>0</v>
      </c>
      <c r="N1731" s="59" t="s">
        <v>4085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4086</v>
      </c>
      <c r="BF1731" s="260" t="s">
        <v>4087</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69052002</v>
      </c>
      <c r="D1732" s="260" t="s">
        <v>4088</v>
      </c>
      <c r="E1732" s="260" t="s">
        <v>1856</v>
      </c>
      <c r="F1732" s="69">
        <v>1</v>
      </c>
      <c r="G1732" s="69">
        <v>62011201</v>
      </c>
      <c r="H1732" s="59">
        <v>0</v>
      </c>
      <c r="I1732" s="59">
        <v>0</v>
      </c>
      <c r="J1732" s="69">
        <v>1</v>
      </c>
      <c r="K1732" s="69">
        <v>0</v>
      </c>
      <c r="L1732" s="59">
        <v>0</v>
      </c>
      <c r="M1732" s="59">
        <v>0</v>
      </c>
      <c r="N1732" s="59" t="s">
        <v>4089</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4090</v>
      </c>
      <c r="BF1732" s="260" t="s">
        <v>4091</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69052003</v>
      </c>
      <c r="D1733" s="260" t="s">
        <v>4092</v>
      </c>
      <c r="E1733" s="260" t="s">
        <v>1863</v>
      </c>
      <c r="F1733" s="69">
        <v>1</v>
      </c>
      <c r="G1733" s="69">
        <v>62011301</v>
      </c>
      <c r="H1733" s="59">
        <v>0</v>
      </c>
      <c r="I1733" s="59">
        <v>0</v>
      </c>
      <c r="J1733" s="69">
        <v>1</v>
      </c>
      <c r="K1733" s="69">
        <v>0</v>
      </c>
      <c r="L1733" s="59">
        <v>0</v>
      </c>
      <c r="M1733" s="59">
        <v>0</v>
      </c>
      <c r="N1733" s="59" t="s">
        <v>4093</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4094</v>
      </c>
      <c r="BF1733" s="260" t="s">
        <v>4095</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69052011</v>
      </c>
      <c r="D1734" s="260" t="s">
        <v>4096</v>
      </c>
      <c r="E1734" s="260" t="s">
        <v>1675</v>
      </c>
      <c r="F1734" s="69">
        <v>1</v>
      </c>
      <c r="G1734" s="69">
        <v>62021101</v>
      </c>
      <c r="H1734" s="59">
        <v>0</v>
      </c>
      <c r="I1734" s="59">
        <v>0</v>
      </c>
      <c r="J1734" s="69">
        <v>1</v>
      </c>
      <c r="K1734" s="69">
        <v>0</v>
      </c>
      <c r="L1734" s="59">
        <v>0</v>
      </c>
      <c r="M1734" s="59">
        <v>0</v>
      </c>
      <c r="N1734" s="59" t="s">
        <v>3761</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3759</v>
      </c>
      <c r="BF1734" s="260" t="s">
        <v>4097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69052012</v>
      </c>
      <c r="D1735" s="260" t="s">
        <v>4098</v>
      </c>
      <c r="E1735" s="260" t="s">
        <v>1331</v>
      </c>
      <c r="F1735" s="69">
        <v>1</v>
      </c>
      <c r="G1735" s="69">
        <v>62021301</v>
      </c>
      <c r="H1735" s="59">
        <v>0</v>
      </c>
      <c r="I1735" s="59">
        <v>0</v>
      </c>
      <c r="J1735" s="69">
        <v>1</v>
      </c>
      <c r="K1735" s="69">
        <v>0</v>
      </c>
      <c r="L1735" s="59">
        <v>0</v>
      </c>
      <c r="M1735" s="59">
        <v>0</v>
      </c>
      <c r="N1735" s="59" t="s">
        <v>3764</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3762</v>
      </c>
      <c r="BF1735" s="260" t="s">
        <v>4099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69052013</v>
      </c>
      <c r="D1736" s="260" t="s">
        <v>4100</v>
      </c>
      <c r="E1736" s="260" t="s">
        <v>374</v>
      </c>
      <c r="F1736" s="69">
        <v>1</v>
      </c>
      <c r="G1736" s="69">
        <v>62021401</v>
      </c>
      <c r="H1736" s="59">
        <v>0</v>
      </c>
      <c r="I1736" s="59">
        <v>0</v>
      </c>
      <c r="J1736" s="69">
        <v>1</v>
      </c>
      <c r="K1736" s="69">
        <v>0</v>
      </c>
      <c r="L1736" s="59">
        <v>0</v>
      </c>
      <c r="M1736" s="59">
        <v>0</v>
      </c>
      <c r="N1736" s="59" t="s">
        <v>3767</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3765</v>
      </c>
      <c r="BF1736" s="260" t="s">
        <v>4101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69052014</v>
      </c>
      <c r="D1737" s="260" t="s">
        <v>4102</v>
      </c>
      <c r="E1737" s="260" t="s">
        <v>4103</v>
      </c>
      <c r="F1737" s="69">
        <v>1</v>
      </c>
      <c r="G1737" s="69">
        <v>62021501</v>
      </c>
      <c r="H1737" s="59">
        <v>0</v>
      </c>
      <c r="I1737" s="59">
        <v>0</v>
      </c>
      <c r="J1737" s="69">
        <v>1</v>
      </c>
      <c r="K1737" s="69">
        <v>0</v>
      </c>
      <c r="L1737" s="59">
        <v>0</v>
      </c>
      <c r="M1737" s="59">
        <v>0</v>
      </c>
      <c r="N1737" s="59" t="s">
        <v>3770</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3768</v>
      </c>
      <c r="BF1737" s="260" t="s">
        <v>4104</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69052021</v>
      </c>
      <c r="D1738" s="260" t="s">
        <v>4105</v>
      </c>
      <c r="E1738" s="260" t="s">
        <v>4106</v>
      </c>
      <c r="F1738" s="69">
        <v>1</v>
      </c>
      <c r="G1738" s="69">
        <v>62022101</v>
      </c>
      <c r="H1738" s="59">
        <v>0</v>
      </c>
      <c r="I1738" s="59">
        <v>0</v>
      </c>
      <c r="J1738" s="69">
        <v>1</v>
      </c>
      <c r="K1738" s="69">
        <v>0</v>
      </c>
      <c r="L1738" s="59">
        <v>0</v>
      </c>
      <c r="M1738" s="59">
        <v>0</v>
      </c>
      <c r="N1738" s="59" t="s">
        <v>3773</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3771</v>
      </c>
      <c r="BF1738" s="260" t="s">
        <v>4107</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69052022</v>
      </c>
      <c r="D1739" s="260" t="s">
        <v>4108</v>
      </c>
      <c r="E1739" s="260" t="s">
        <v>4109</v>
      </c>
      <c r="F1739" s="69">
        <v>1</v>
      </c>
      <c r="G1739" s="69">
        <v>62022201</v>
      </c>
      <c r="H1739" s="59">
        <v>0</v>
      </c>
      <c r="I1739" s="59">
        <v>0</v>
      </c>
      <c r="J1739" s="69">
        <v>1</v>
      </c>
      <c r="K1739" s="69">
        <v>0</v>
      </c>
      <c r="L1739" s="59">
        <v>0</v>
      </c>
      <c r="M1739" s="59">
        <v>0</v>
      </c>
      <c r="N1739" s="59" t="s">
        <v>3776</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3774</v>
      </c>
      <c r="BF1739" s="260" t="s">
        <v>4110</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69052023</v>
      </c>
      <c r="D1740" s="260" t="s">
        <v>4111</v>
      </c>
      <c r="E1740" s="260" t="s">
        <v>1965</v>
      </c>
      <c r="F1740" s="69">
        <v>1</v>
      </c>
      <c r="G1740" s="69">
        <v>62022301</v>
      </c>
      <c r="H1740" s="59">
        <v>0</v>
      </c>
      <c r="I1740" s="59">
        <v>0</v>
      </c>
      <c r="J1740" s="69">
        <v>1</v>
      </c>
      <c r="K1740" s="69">
        <v>0</v>
      </c>
      <c r="L1740" s="59">
        <v>0</v>
      </c>
      <c r="M1740" s="59">
        <v>0</v>
      </c>
      <c r="N1740" s="59" t="s">
        <v>3779</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3777</v>
      </c>
      <c r="BF1740" s="260" t="s">
        <v>4112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69052024</v>
      </c>
      <c r="D1741" s="260" t="s">
        <v>4113</v>
      </c>
      <c r="E1741" s="260" t="s">
        <v>4114</v>
      </c>
      <c r="F1741" s="69">
        <v>1</v>
      </c>
      <c r="G1741" s="69">
        <v>62022401</v>
      </c>
      <c r="H1741" s="59">
        <v>0</v>
      </c>
      <c r="I1741" s="59">
        <v>0</v>
      </c>
      <c r="J1741" s="69">
        <v>1</v>
      </c>
      <c r="K1741" s="69">
        <v>0</v>
      </c>
      <c r="L1741" s="59">
        <v>0</v>
      </c>
      <c r="M1741" s="59">
        <v>0</v>
      </c>
      <c r="N1741" s="59" t="s">
        <v>3782</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3780</v>
      </c>
      <c r="BF1741" s="260" t="s">
        <v>4115</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69052031</v>
      </c>
      <c r="D1742" s="260" t="s">
        <v>4116</v>
      </c>
      <c r="E1742" s="260" t="s">
        <v>347</v>
      </c>
      <c r="F1742" s="69">
        <v>1</v>
      </c>
      <c r="G1742" s="69">
        <v>62021101</v>
      </c>
      <c r="H1742" s="59">
        <v>0</v>
      </c>
      <c r="I1742" s="59">
        <v>0</v>
      </c>
      <c r="J1742" s="69">
        <v>1</v>
      </c>
      <c r="K1742" s="69">
        <v>0</v>
      </c>
      <c r="L1742" s="59">
        <v>0</v>
      </c>
      <c r="M1742" s="59">
        <v>0</v>
      </c>
      <c r="N1742" s="59" t="s">
        <v>3785</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3783</v>
      </c>
      <c r="BF1742" s="260" t="s">
        <v>4117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69052032</v>
      </c>
      <c r="D1743" s="260" t="s">
        <v>4118</v>
      </c>
      <c r="E1743" s="260" t="s">
        <v>4119</v>
      </c>
      <c r="F1743" s="69">
        <v>1</v>
      </c>
      <c r="G1743" s="69">
        <v>62023201</v>
      </c>
      <c r="H1743" s="59">
        <v>0</v>
      </c>
      <c r="I1743" s="59">
        <v>0</v>
      </c>
      <c r="J1743" s="69">
        <v>1</v>
      </c>
      <c r="K1743" s="69">
        <v>0</v>
      </c>
      <c r="L1743" s="59">
        <v>0</v>
      </c>
      <c r="M1743" s="59">
        <v>0</v>
      </c>
      <c r="N1743" s="59" t="s">
        <v>3788</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3786</v>
      </c>
      <c r="BF1743" s="260" t="s">
        <v>4120</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69052033</v>
      </c>
      <c r="D1744" s="260" t="s">
        <v>4121</v>
      </c>
      <c r="E1744" s="260" t="s">
        <v>2020</v>
      </c>
      <c r="F1744" s="69">
        <v>1</v>
      </c>
      <c r="G1744" s="69">
        <v>62023301</v>
      </c>
      <c r="H1744" s="59">
        <v>0</v>
      </c>
      <c r="I1744" s="59">
        <v>0</v>
      </c>
      <c r="J1744" s="69">
        <v>1</v>
      </c>
      <c r="K1744" s="69">
        <v>0</v>
      </c>
      <c r="L1744" s="59">
        <v>0</v>
      </c>
      <c r="M1744" s="59">
        <v>0</v>
      </c>
      <c r="N1744" s="59" t="s">
        <v>3791</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3789</v>
      </c>
      <c r="BF1744" s="260" t="s">
        <v>4122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69052034</v>
      </c>
      <c r="D1745" s="260" t="s">
        <v>4123</v>
      </c>
      <c r="E1745" s="260" t="s">
        <v>4124</v>
      </c>
      <c r="F1745" s="69">
        <v>1</v>
      </c>
      <c r="G1745" s="69">
        <v>62023401</v>
      </c>
      <c r="H1745" s="59">
        <v>0</v>
      </c>
      <c r="I1745" s="59">
        <v>0</v>
      </c>
      <c r="J1745" s="69">
        <v>1</v>
      </c>
      <c r="K1745" s="69">
        <v>0</v>
      </c>
      <c r="L1745" s="59">
        <v>0</v>
      </c>
      <c r="M1745" s="59">
        <v>0</v>
      </c>
      <c r="N1745" s="59" t="s">
        <v>3794</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3792</v>
      </c>
      <c r="BF1745" s="260" t="s">
        <v>4125</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176">
        <v>69053001</v>
      </c>
      <c r="D1746" s="271" t="s">
        <v>1404</v>
      </c>
      <c r="E1746" s="271" t="s">
        <v>2043</v>
      </c>
      <c r="F1746" s="272">
        <v>1</v>
      </c>
      <c r="G1746" s="69">
        <v>63011101</v>
      </c>
      <c r="H1746" s="273">
        <v>0</v>
      </c>
      <c r="I1746" s="273">
        <v>0</v>
      </c>
      <c r="J1746" s="272">
        <v>1</v>
      </c>
      <c r="K1746" s="272">
        <v>0</v>
      </c>
      <c r="L1746" s="273">
        <v>0</v>
      </c>
      <c r="M1746" s="273">
        <v>0</v>
      </c>
      <c r="N1746" s="273" t="s">
        <v>4126</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4127</v>
      </c>
      <c r="BF1746" s="273" t="s">
        <v>4128</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69053002</v>
      </c>
      <c r="D1747" s="271" t="s">
        <v>1412</v>
      </c>
      <c r="E1747" s="271" t="s">
        <v>2057</v>
      </c>
      <c r="F1747" s="272">
        <v>1</v>
      </c>
      <c r="G1747" s="69">
        <v>63011201</v>
      </c>
      <c r="H1747" s="273">
        <v>0</v>
      </c>
      <c r="I1747" s="273">
        <v>0</v>
      </c>
      <c r="J1747" s="272">
        <v>1</v>
      </c>
      <c r="K1747" s="272">
        <v>0</v>
      </c>
      <c r="L1747" s="273">
        <v>0</v>
      </c>
      <c r="M1747" s="273">
        <v>0</v>
      </c>
      <c r="N1747" s="273" t="s">
        <v>4129</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4130</v>
      </c>
      <c r="BF1747" s="273" t="s">
        <v>4131</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69053003</v>
      </c>
      <c r="D1748" s="271" t="s">
        <v>1420</v>
      </c>
      <c r="E1748" s="271" t="s">
        <v>2119</v>
      </c>
      <c r="F1748" s="272">
        <v>1</v>
      </c>
      <c r="G1748" s="69">
        <v>63011301</v>
      </c>
      <c r="H1748" s="273">
        <v>0</v>
      </c>
      <c r="I1748" s="273">
        <v>0</v>
      </c>
      <c r="J1748" s="272">
        <v>1</v>
      </c>
      <c r="K1748" s="272">
        <v>0</v>
      </c>
      <c r="L1748" s="273">
        <v>0</v>
      </c>
      <c r="M1748" s="273">
        <v>0</v>
      </c>
      <c r="N1748" s="273" t="s">
        <v>4132</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4133</v>
      </c>
      <c r="BF1748" s="273" t="s">
        <v>4134</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69053011</v>
      </c>
      <c r="D1749" s="271" t="s">
        <v>2134</v>
      </c>
      <c r="E1749" s="271" t="s">
        <v>2135</v>
      </c>
      <c r="F1749" s="272">
        <v>1</v>
      </c>
      <c r="G1749" s="69">
        <v>63021101</v>
      </c>
      <c r="H1749" s="273">
        <v>0</v>
      </c>
      <c r="I1749" s="273">
        <v>0</v>
      </c>
      <c r="J1749" s="272">
        <v>1</v>
      </c>
      <c r="K1749" s="272">
        <v>0</v>
      </c>
      <c r="L1749" s="273">
        <v>0</v>
      </c>
      <c r="M1749" s="273">
        <v>0</v>
      </c>
      <c r="N1749" s="273" t="s">
        <v>3811</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3809</v>
      </c>
      <c r="BF1749" s="273" t="s">
        <v>4135</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69053012</v>
      </c>
      <c r="D1750" s="271" t="s">
        <v>2158</v>
      </c>
      <c r="E1750" s="271" t="s">
        <v>2159</v>
      </c>
      <c r="F1750" s="272">
        <v>1</v>
      </c>
      <c r="G1750" s="69">
        <v>63021201</v>
      </c>
      <c r="H1750" s="273">
        <v>0</v>
      </c>
      <c r="I1750" s="273">
        <v>0</v>
      </c>
      <c r="J1750" s="272">
        <v>1</v>
      </c>
      <c r="K1750" s="272">
        <v>0</v>
      </c>
      <c r="L1750" s="273">
        <v>0</v>
      </c>
      <c r="M1750" s="273">
        <v>0</v>
      </c>
      <c r="N1750" s="273" t="s">
        <v>3814</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3812</v>
      </c>
      <c r="BF1750" s="273" t="s">
        <v>4136</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69053013</v>
      </c>
      <c r="D1751" s="271" t="s">
        <v>2182</v>
      </c>
      <c r="E1751" s="271" t="s">
        <v>2183</v>
      </c>
      <c r="F1751" s="272">
        <v>1</v>
      </c>
      <c r="G1751" s="69">
        <v>63021301</v>
      </c>
      <c r="H1751" s="273">
        <v>0</v>
      </c>
      <c r="I1751" s="273">
        <v>0</v>
      </c>
      <c r="J1751" s="272">
        <v>1</v>
      </c>
      <c r="K1751" s="272">
        <v>0</v>
      </c>
      <c r="L1751" s="273">
        <v>0</v>
      </c>
      <c r="M1751" s="273">
        <v>0</v>
      </c>
      <c r="N1751" s="273" t="s">
        <v>3817</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3815</v>
      </c>
      <c r="BF1751" s="273" t="s">
        <v>4137</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69053014</v>
      </c>
      <c r="D1752" s="271" t="s">
        <v>2189</v>
      </c>
      <c r="E1752" s="271" t="s">
        <v>2190</v>
      </c>
      <c r="F1752" s="272">
        <v>1</v>
      </c>
      <c r="G1752" s="69">
        <v>63021401</v>
      </c>
      <c r="H1752" s="273">
        <v>0</v>
      </c>
      <c r="I1752" s="273">
        <v>0</v>
      </c>
      <c r="J1752" s="272">
        <v>1</v>
      </c>
      <c r="K1752" s="272">
        <v>0</v>
      </c>
      <c r="L1752" s="273">
        <v>0</v>
      </c>
      <c r="M1752" s="273">
        <v>0</v>
      </c>
      <c r="N1752" s="273" t="s">
        <v>3820</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3818</v>
      </c>
      <c r="BF1752" s="273" t="s">
        <v>4138</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69053021</v>
      </c>
      <c r="D1753" s="271" t="s">
        <v>2222</v>
      </c>
      <c r="E1753" s="271" t="s">
        <v>2223</v>
      </c>
      <c r="F1753" s="272">
        <v>1</v>
      </c>
      <c r="G1753" s="69">
        <v>63022101</v>
      </c>
      <c r="H1753" s="273">
        <v>0</v>
      </c>
      <c r="I1753" s="273">
        <v>0</v>
      </c>
      <c r="J1753" s="272">
        <v>1</v>
      </c>
      <c r="K1753" s="272">
        <v>0</v>
      </c>
      <c r="L1753" s="273">
        <v>0</v>
      </c>
      <c r="M1753" s="273">
        <v>0</v>
      </c>
      <c r="N1753" s="273" t="s">
        <v>3823</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3821</v>
      </c>
      <c r="BF1753" s="273" t="s">
        <v>4139</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69053022</v>
      </c>
      <c r="D1754" s="271" t="s">
        <v>2229</v>
      </c>
      <c r="E1754" s="271" t="s">
        <v>2230</v>
      </c>
      <c r="F1754" s="272">
        <v>1</v>
      </c>
      <c r="G1754" s="69">
        <v>63022201</v>
      </c>
      <c r="H1754" s="273">
        <v>0</v>
      </c>
      <c r="I1754" s="273">
        <v>0</v>
      </c>
      <c r="J1754" s="272">
        <v>1</v>
      </c>
      <c r="K1754" s="272">
        <v>0</v>
      </c>
      <c r="L1754" s="273">
        <v>0</v>
      </c>
      <c r="M1754" s="273">
        <v>0</v>
      </c>
      <c r="N1754" s="273" t="s">
        <v>3826</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3824</v>
      </c>
      <c r="BF1754" s="273" t="s">
        <v>4140</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69053023</v>
      </c>
      <c r="D1755" s="271" t="s">
        <v>1126</v>
      </c>
      <c r="E1755" s="271" t="s">
        <v>1127</v>
      </c>
      <c r="F1755" s="272">
        <v>1</v>
      </c>
      <c r="G1755" s="69">
        <v>63022301</v>
      </c>
      <c r="H1755" s="273">
        <v>0</v>
      </c>
      <c r="I1755" s="273">
        <v>0</v>
      </c>
      <c r="J1755" s="272">
        <v>1</v>
      </c>
      <c r="K1755" s="272">
        <v>0</v>
      </c>
      <c r="L1755" s="273">
        <v>0</v>
      </c>
      <c r="M1755" s="273">
        <v>0</v>
      </c>
      <c r="N1755" s="273" t="s">
        <v>3829</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3827</v>
      </c>
      <c r="BF1755" s="273" t="s">
        <v>4141</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69053024</v>
      </c>
      <c r="D1756" s="271" t="s">
        <v>2242</v>
      </c>
      <c r="E1756" s="271" t="s">
        <v>2243</v>
      </c>
      <c r="F1756" s="272">
        <v>1</v>
      </c>
      <c r="G1756" s="69">
        <v>63022401</v>
      </c>
      <c r="H1756" s="273">
        <v>0</v>
      </c>
      <c r="I1756" s="273">
        <v>0</v>
      </c>
      <c r="J1756" s="272">
        <v>1</v>
      </c>
      <c r="K1756" s="272">
        <v>0</v>
      </c>
      <c r="L1756" s="273">
        <v>0</v>
      </c>
      <c r="M1756" s="273">
        <v>0</v>
      </c>
      <c r="N1756" s="273" t="s">
        <v>3832</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3830</v>
      </c>
      <c r="BF1756" s="273" t="s">
        <v>4142</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69053031</v>
      </c>
      <c r="D1757" s="271" t="s">
        <v>2250</v>
      </c>
      <c r="E1757" s="271" t="s">
        <v>2251</v>
      </c>
      <c r="F1757" s="272">
        <v>1</v>
      </c>
      <c r="G1757" s="69">
        <v>63021101</v>
      </c>
      <c r="H1757" s="273">
        <v>0</v>
      </c>
      <c r="I1757" s="273">
        <v>0</v>
      </c>
      <c r="J1757" s="272">
        <v>1</v>
      </c>
      <c r="K1757" s="272">
        <v>0</v>
      </c>
      <c r="L1757" s="273">
        <v>0</v>
      </c>
      <c r="M1757" s="273">
        <v>0</v>
      </c>
      <c r="N1757" s="273" t="s">
        <v>3835</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3833</v>
      </c>
      <c r="BF1757" s="273" t="s">
        <v>4143</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69053032</v>
      </c>
      <c r="D1758" s="271" t="s">
        <v>2273</v>
      </c>
      <c r="E1758" s="271" t="s">
        <v>2274</v>
      </c>
      <c r="F1758" s="272">
        <v>1</v>
      </c>
      <c r="G1758" s="69">
        <v>63023201</v>
      </c>
      <c r="H1758" s="273">
        <v>0</v>
      </c>
      <c r="I1758" s="273">
        <v>0</v>
      </c>
      <c r="J1758" s="272">
        <v>1</v>
      </c>
      <c r="K1758" s="272">
        <v>0</v>
      </c>
      <c r="L1758" s="273">
        <v>0</v>
      </c>
      <c r="M1758" s="273">
        <v>0</v>
      </c>
      <c r="N1758" s="273" t="s">
        <v>3838</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3836</v>
      </c>
      <c r="BF1758" s="273" t="s">
        <v>4144</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69053033</v>
      </c>
      <c r="D1759" s="271" t="s">
        <v>2280</v>
      </c>
      <c r="E1759" s="271" t="s">
        <v>2281</v>
      </c>
      <c r="F1759" s="272">
        <v>1</v>
      </c>
      <c r="G1759" s="69">
        <v>63023301</v>
      </c>
      <c r="H1759" s="273">
        <v>0</v>
      </c>
      <c r="I1759" s="273">
        <v>0</v>
      </c>
      <c r="J1759" s="272">
        <v>1</v>
      </c>
      <c r="K1759" s="272">
        <v>0</v>
      </c>
      <c r="L1759" s="273">
        <v>0</v>
      </c>
      <c r="M1759" s="273">
        <v>0</v>
      </c>
      <c r="N1759" s="273" t="s">
        <v>3841</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3839</v>
      </c>
      <c r="BF1759" s="273" t="s">
        <v>4145</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69053034</v>
      </c>
      <c r="D1760" s="271" t="s">
        <v>2287</v>
      </c>
      <c r="E1760" s="271" t="s">
        <v>2288</v>
      </c>
      <c r="F1760" s="272">
        <v>1</v>
      </c>
      <c r="G1760" s="69">
        <v>63023401</v>
      </c>
      <c r="H1760" s="273">
        <v>0</v>
      </c>
      <c r="I1760" s="273">
        <v>0</v>
      </c>
      <c r="J1760" s="272">
        <v>1</v>
      </c>
      <c r="K1760" s="272">
        <v>0</v>
      </c>
      <c r="L1760" s="273">
        <v>0</v>
      </c>
      <c r="M1760" s="273">
        <v>0</v>
      </c>
      <c r="N1760" s="273" t="s">
        <v>3844</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3842</v>
      </c>
      <c r="BF1760" s="273" t="s">
        <v>4146</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32">
        <v>69054001</v>
      </c>
      <c r="D1761" s="260" t="s">
        <v>1428</v>
      </c>
      <c r="E1761" s="260" t="s">
        <v>2327</v>
      </c>
      <c r="F1761" s="69">
        <v>1</v>
      </c>
      <c r="G1761" s="69">
        <v>64011101</v>
      </c>
      <c r="H1761" s="59">
        <v>0</v>
      </c>
      <c r="I1761" s="59">
        <v>0</v>
      </c>
      <c r="J1761" s="69">
        <v>1</v>
      </c>
      <c r="K1761" s="69">
        <v>0</v>
      </c>
      <c r="L1761" s="59">
        <v>0</v>
      </c>
      <c r="M1761" s="59">
        <v>0</v>
      </c>
      <c r="N1761" s="59" t="s">
        <v>4147</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4148</v>
      </c>
      <c r="BF1761" s="260" t="s">
        <v>4149</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69054002</v>
      </c>
      <c r="D1762" s="260" t="s">
        <v>1435</v>
      </c>
      <c r="E1762" s="260" t="s">
        <v>1436</v>
      </c>
      <c r="F1762" s="69">
        <v>1</v>
      </c>
      <c r="G1762" s="69">
        <v>64011201</v>
      </c>
      <c r="H1762" s="59">
        <v>0</v>
      </c>
      <c r="I1762" s="59">
        <v>0</v>
      </c>
      <c r="J1762" s="69">
        <v>1</v>
      </c>
      <c r="K1762" s="69">
        <v>0</v>
      </c>
      <c r="L1762" s="59">
        <v>0</v>
      </c>
      <c r="M1762" s="59">
        <v>0</v>
      </c>
      <c r="N1762" s="59" t="s">
        <v>4150</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4151</v>
      </c>
      <c r="BF1762" s="260" t="s">
        <v>4152</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69054003</v>
      </c>
      <c r="D1763" s="260" t="s">
        <v>2342</v>
      </c>
      <c r="E1763" s="260" t="s">
        <v>2343</v>
      </c>
      <c r="F1763" s="69">
        <v>1</v>
      </c>
      <c r="G1763" s="69">
        <v>64011301</v>
      </c>
      <c r="H1763" s="59">
        <v>0</v>
      </c>
      <c r="I1763" s="59">
        <v>0</v>
      </c>
      <c r="J1763" s="69">
        <v>1</v>
      </c>
      <c r="K1763" s="69">
        <v>0</v>
      </c>
      <c r="L1763" s="59">
        <v>0</v>
      </c>
      <c r="M1763" s="59">
        <v>0</v>
      </c>
      <c r="N1763" s="59" t="s">
        <v>4153</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4154</v>
      </c>
      <c r="BF1763" s="260" t="s">
        <v>4155</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69054011</v>
      </c>
      <c r="D1764" s="260" t="s">
        <v>2401</v>
      </c>
      <c r="E1764" s="260" t="s">
        <v>2402</v>
      </c>
      <c r="F1764" s="69">
        <v>1</v>
      </c>
      <c r="G1764" s="69">
        <v>64013101</v>
      </c>
      <c r="H1764" s="59">
        <v>0</v>
      </c>
      <c r="I1764" s="59">
        <v>0</v>
      </c>
      <c r="J1764" s="69">
        <v>1</v>
      </c>
      <c r="K1764" s="69">
        <v>0</v>
      </c>
      <c r="L1764" s="59">
        <v>0</v>
      </c>
      <c r="M1764" s="59">
        <v>0</v>
      </c>
      <c r="N1764" s="59" t="s">
        <v>4156</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4157</v>
      </c>
      <c r="BF1764" s="59" t="s">
        <v>4158</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69054012</v>
      </c>
      <c r="D1765" s="260" t="s">
        <v>2408</v>
      </c>
      <c r="E1765" s="260" t="s">
        <v>2409</v>
      </c>
      <c r="F1765" s="69">
        <v>1</v>
      </c>
      <c r="G1765" s="69">
        <v>64013201</v>
      </c>
      <c r="H1765" s="59">
        <v>0</v>
      </c>
      <c r="I1765" s="59">
        <v>0</v>
      </c>
      <c r="J1765" s="69">
        <v>1</v>
      </c>
      <c r="K1765" s="69">
        <v>0</v>
      </c>
      <c r="L1765" s="59">
        <v>0</v>
      </c>
      <c r="M1765" s="59">
        <v>0</v>
      </c>
      <c r="N1765" s="59" t="s">
        <v>4159</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4160</v>
      </c>
      <c r="BF1765" s="59" t="s">
        <v>4161</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69054013</v>
      </c>
      <c r="D1766" s="260" t="s">
        <v>2415</v>
      </c>
      <c r="E1766" s="260" t="s">
        <v>2416</v>
      </c>
      <c r="F1766" s="69">
        <v>1</v>
      </c>
      <c r="G1766" s="69">
        <v>64013301</v>
      </c>
      <c r="H1766" s="59">
        <v>0</v>
      </c>
      <c r="I1766" s="59">
        <v>0</v>
      </c>
      <c r="J1766" s="69">
        <v>1</v>
      </c>
      <c r="K1766" s="69">
        <v>0</v>
      </c>
      <c r="L1766" s="59">
        <v>0</v>
      </c>
      <c r="M1766" s="59">
        <v>0</v>
      </c>
      <c r="N1766" s="59" t="s">
        <v>4162</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4163</v>
      </c>
      <c r="BF1766" s="59" t="s">
        <v>4164</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69054014</v>
      </c>
      <c r="D1767" s="260" t="s">
        <v>2435</v>
      </c>
      <c r="E1767" s="260" t="s">
        <v>2436</v>
      </c>
      <c r="F1767" s="69">
        <v>1</v>
      </c>
      <c r="G1767" s="69">
        <v>64013401</v>
      </c>
      <c r="H1767" s="59">
        <v>0</v>
      </c>
      <c r="I1767" s="59">
        <v>0</v>
      </c>
      <c r="J1767" s="69">
        <v>1</v>
      </c>
      <c r="K1767" s="69">
        <v>0</v>
      </c>
      <c r="L1767" s="59">
        <v>0</v>
      </c>
      <c r="M1767" s="59">
        <v>0</v>
      </c>
      <c r="N1767" s="59" t="s">
        <v>4165</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4166</v>
      </c>
      <c r="BF1767" s="59" t="s">
        <v>4167</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69054021</v>
      </c>
      <c r="D1768" s="260" t="s">
        <v>2450</v>
      </c>
      <c r="E1768" s="260" t="s">
        <v>2451</v>
      </c>
      <c r="F1768" s="69">
        <v>1</v>
      </c>
      <c r="G1768" s="69">
        <v>64014101</v>
      </c>
      <c r="H1768" s="59">
        <v>0</v>
      </c>
      <c r="I1768" s="59">
        <v>0</v>
      </c>
      <c r="J1768" s="69">
        <v>1</v>
      </c>
      <c r="K1768" s="69">
        <v>0</v>
      </c>
      <c r="L1768" s="59">
        <v>0</v>
      </c>
      <c r="M1768" s="59">
        <v>0</v>
      </c>
      <c r="N1768" s="59" t="s">
        <v>4168</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4169</v>
      </c>
      <c r="BF1768" s="59" t="s">
        <v>4170</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69054022</v>
      </c>
      <c r="D1769" s="260" t="s">
        <v>2457</v>
      </c>
      <c r="E1769" s="260" t="s">
        <v>2458</v>
      </c>
      <c r="F1769" s="69">
        <v>1</v>
      </c>
      <c r="G1769" s="69">
        <v>64014201</v>
      </c>
      <c r="H1769" s="59">
        <v>0</v>
      </c>
      <c r="I1769" s="59">
        <v>0</v>
      </c>
      <c r="J1769" s="69">
        <v>1</v>
      </c>
      <c r="K1769" s="69">
        <v>0</v>
      </c>
      <c r="L1769" s="59">
        <v>0</v>
      </c>
      <c r="M1769" s="59">
        <v>0</v>
      </c>
      <c r="N1769" s="59" t="s">
        <v>4171</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4172</v>
      </c>
      <c r="BF1769" s="59" t="s">
        <v>4173</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69054023</v>
      </c>
      <c r="D1770" s="260" t="s">
        <v>2466</v>
      </c>
      <c r="E1770" s="260" t="s">
        <v>2467</v>
      </c>
      <c r="F1770" s="69">
        <v>1</v>
      </c>
      <c r="G1770" s="69">
        <v>64014301</v>
      </c>
      <c r="H1770" s="59">
        <v>0</v>
      </c>
      <c r="I1770" s="59">
        <v>0</v>
      </c>
      <c r="J1770" s="69">
        <v>1</v>
      </c>
      <c r="K1770" s="69">
        <v>0</v>
      </c>
      <c r="L1770" s="59">
        <v>0</v>
      </c>
      <c r="M1770" s="59">
        <v>0</v>
      </c>
      <c r="N1770" s="59" t="s">
        <v>4174</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4175</v>
      </c>
      <c r="BF1770" s="59" t="s">
        <v>4176</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69054024</v>
      </c>
      <c r="D1771" s="260" t="s">
        <v>2479</v>
      </c>
      <c r="E1771" s="260" t="s">
        <v>2480</v>
      </c>
      <c r="F1771" s="69">
        <v>1</v>
      </c>
      <c r="G1771" s="69">
        <v>64014401</v>
      </c>
      <c r="H1771" s="59">
        <v>0</v>
      </c>
      <c r="I1771" s="59">
        <v>0</v>
      </c>
      <c r="J1771" s="69">
        <v>1</v>
      </c>
      <c r="K1771" s="69">
        <v>0</v>
      </c>
      <c r="L1771" s="59">
        <v>0</v>
      </c>
      <c r="M1771" s="59">
        <v>0</v>
      </c>
      <c r="N1771" s="59" t="s">
        <v>4177</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4178</v>
      </c>
      <c r="BF1771" s="59" t="s">
        <v>4179</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69054031</v>
      </c>
      <c r="D1772" s="260" t="s">
        <v>2502</v>
      </c>
      <c r="E1772" s="260" t="s">
        <v>2503</v>
      </c>
      <c r="F1772" s="69">
        <v>1</v>
      </c>
      <c r="G1772" s="69">
        <v>64015101</v>
      </c>
      <c r="H1772" s="59">
        <v>0</v>
      </c>
      <c r="I1772" s="59">
        <v>0</v>
      </c>
      <c r="J1772" s="69">
        <v>1</v>
      </c>
      <c r="K1772" s="69">
        <v>0</v>
      </c>
      <c r="L1772" s="59">
        <v>0</v>
      </c>
      <c r="M1772" s="59">
        <v>0</v>
      </c>
      <c r="N1772" s="59" t="s">
        <v>4180</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4181</v>
      </c>
      <c r="BF1772" s="59" t="s">
        <v>4182</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69054032</v>
      </c>
      <c r="D1773" s="260" t="s">
        <v>2511</v>
      </c>
      <c r="E1773" s="260" t="s">
        <v>2512</v>
      </c>
      <c r="F1773" s="69">
        <v>1</v>
      </c>
      <c r="G1773" s="69">
        <v>64015201</v>
      </c>
      <c r="H1773" s="59">
        <v>0</v>
      </c>
      <c r="I1773" s="59">
        <v>0</v>
      </c>
      <c r="J1773" s="69">
        <v>1</v>
      </c>
      <c r="K1773" s="69">
        <v>0</v>
      </c>
      <c r="L1773" s="59">
        <v>0</v>
      </c>
      <c r="M1773" s="59">
        <v>0</v>
      </c>
      <c r="N1773" s="59" t="s">
        <v>4183</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4184</v>
      </c>
      <c r="BF1773" s="59" t="s">
        <v>4185</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69054033</v>
      </c>
      <c r="D1774" s="260" t="s">
        <v>2513</v>
      </c>
      <c r="E1774" s="260" t="s">
        <v>2514</v>
      </c>
      <c r="F1774" s="69">
        <v>1</v>
      </c>
      <c r="G1774" s="69">
        <v>64015301</v>
      </c>
      <c r="H1774" s="59">
        <v>0</v>
      </c>
      <c r="I1774" s="59">
        <v>0</v>
      </c>
      <c r="J1774" s="69">
        <v>1</v>
      </c>
      <c r="K1774" s="69">
        <v>0</v>
      </c>
      <c r="L1774" s="59">
        <v>0</v>
      </c>
      <c r="M1774" s="59">
        <v>0</v>
      </c>
      <c r="N1774" s="59" t="s">
        <v>4186</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4187</v>
      </c>
      <c r="BF1774" s="59" t="s">
        <v>4188</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69054034</v>
      </c>
      <c r="D1775" s="260" t="s">
        <v>2520</v>
      </c>
      <c r="E1775" s="260" t="s">
        <v>2521</v>
      </c>
      <c r="F1775" s="69">
        <v>1</v>
      </c>
      <c r="G1775" s="69">
        <v>64015401</v>
      </c>
      <c r="H1775" s="59">
        <v>0</v>
      </c>
      <c r="I1775" s="59">
        <v>0</v>
      </c>
      <c r="J1775" s="69">
        <v>1</v>
      </c>
      <c r="K1775" s="69">
        <v>0</v>
      </c>
      <c r="L1775" s="59">
        <v>0</v>
      </c>
      <c r="M1775" s="59">
        <v>0</v>
      </c>
      <c r="N1775" s="59" t="s">
        <v>4189</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4190</v>
      </c>
      <c r="BF1775" s="59" t="s">
        <v>4191</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s="1" customFormat="1" ht="20.100000000000001" customHeight="1">
      <c r="C1776" s="74">
        <v>69055001</v>
      </c>
      <c r="D1776" s="263" t="s">
        <v>1449</v>
      </c>
      <c r="E1776" s="263" t="s">
        <v>1727</v>
      </c>
      <c r="F1776" s="264">
        <v>1</v>
      </c>
      <c r="G1776" s="74">
        <v>65011101</v>
      </c>
      <c r="H1776" s="265">
        <v>0</v>
      </c>
      <c r="I1776" s="265">
        <v>0</v>
      </c>
      <c r="J1776" s="264">
        <v>1</v>
      </c>
      <c r="K1776" s="264">
        <v>0</v>
      </c>
      <c r="L1776" s="265">
        <v>0</v>
      </c>
      <c r="M1776" s="265">
        <v>0</v>
      </c>
      <c r="N1776" s="265" t="s">
        <v>4192</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4193</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69055002</v>
      </c>
      <c r="D1777" s="263" t="s">
        <v>1456</v>
      </c>
      <c r="E1777" s="263" t="s">
        <v>1792</v>
      </c>
      <c r="F1777" s="264">
        <v>1</v>
      </c>
      <c r="G1777" s="74">
        <v>65011201</v>
      </c>
      <c r="H1777" s="265">
        <v>0</v>
      </c>
      <c r="I1777" s="265">
        <v>0</v>
      </c>
      <c r="J1777" s="264">
        <v>1</v>
      </c>
      <c r="K1777" s="264">
        <v>0</v>
      </c>
      <c r="L1777" s="265">
        <v>0</v>
      </c>
      <c r="M1777" s="265">
        <v>0</v>
      </c>
      <c r="N1777" s="265" t="s">
        <v>4194</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4195</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69055003</v>
      </c>
      <c r="D1778" s="263" t="s">
        <v>1463</v>
      </c>
      <c r="E1778" s="263" t="s">
        <v>1642</v>
      </c>
      <c r="F1778" s="264">
        <v>1</v>
      </c>
      <c r="G1778" s="74">
        <v>65011301</v>
      </c>
      <c r="H1778" s="265">
        <v>0</v>
      </c>
      <c r="I1778" s="265">
        <v>0</v>
      </c>
      <c r="J1778" s="264">
        <v>1</v>
      </c>
      <c r="K1778" s="264">
        <v>0</v>
      </c>
      <c r="L1778" s="265">
        <v>0</v>
      </c>
      <c r="M1778" s="265">
        <v>0</v>
      </c>
      <c r="N1778" s="265" t="s">
        <v>4196</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4197</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69055011</v>
      </c>
      <c r="D1779" s="263" t="s">
        <v>2583</v>
      </c>
      <c r="E1779" s="263" t="s">
        <v>1718</v>
      </c>
      <c r="F1779" s="264">
        <v>1</v>
      </c>
      <c r="G1779" s="74">
        <v>65021101</v>
      </c>
      <c r="H1779" s="265">
        <v>0</v>
      </c>
      <c r="I1779" s="265">
        <v>0</v>
      </c>
      <c r="J1779" s="264">
        <v>1</v>
      </c>
      <c r="K1779" s="264">
        <v>0</v>
      </c>
      <c r="L1779" s="265">
        <v>0</v>
      </c>
      <c r="M1779" s="265">
        <v>0</v>
      </c>
      <c r="N1779" s="265" t="s">
        <v>5758</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"技能:"&amp;D1779&amp;" 提升1级"</f>
        <v>技能:巨力震击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69055012</v>
      </c>
      <c r="D1780" s="263" t="s">
        <v>2591</v>
      </c>
      <c r="E1780" s="263" t="s">
        <v>4198</v>
      </c>
      <c r="F1780" s="264">
        <v>1</v>
      </c>
      <c r="G1780" s="74">
        <v>65021201</v>
      </c>
      <c r="H1780" s="265">
        <v>0</v>
      </c>
      <c r="I1780" s="265">
        <v>0</v>
      </c>
      <c r="J1780" s="264">
        <v>1</v>
      </c>
      <c r="K1780" s="264">
        <v>0</v>
      </c>
      <c r="L1780" s="265">
        <v>0</v>
      </c>
      <c r="M1780" s="265">
        <v>0</v>
      </c>
      <c r="N1780" s="265" t="s">
        <v>5759</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ref="BE1780:BE1790" si="150">"技能:"&amp;D1780&amp;" 提升1级"</f>
        <v>技能:守护冲击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69055013</v>
      </c>
      <c r="D1781" s="263" t="s">
        <v>2600</v>
      </c>
      <c r="E1781" s="263" t="s">
        <v>1743</v>
      </c>
      <c r="F1781" s="264">
        <v>1</v>
      </c>
      <c r="G1781" s="74">
        <v>65021301</v>
      </c>
      <c r="H1781" s="265">
        <v>0</v>
      </c>
      <c r="I1781" s="265">
        <v>0</v>
      </c>
      <c r="J1781" s="264">
        <v>1</v>
      </c>
      <c r="K1781" s="264">
        <v>0</v>
      </c>
      <c r="L1781" s="265">
        <v>0</v>
      </c>
      <c r="M1781" s="265">
        <v>0</v>
      </c>
      <c r="N1781" s="265" t="s">
        <v>5760</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技能:巨剑之力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69055014</v>
      </c>
      <c r="D1782" s="263" t="s">
        <v>2613</v>
      </c>
      <c r="E1782" s="263" t="s">
        <v>1792</v>
      </c>
      <c r="F1782" s="264">
        <v>1</v>
      </c>
      <c r="G1782" s="74">
        <v>65021401</v>
      </c>
      <c r="H1782" s="265">
        <v>0</v>
      </c>
      <c r="I1782" s="265">
        <v>0</v>
      </c>
      <c r="J1782" s="264">
        <v>1</v>
      </c>
      <c r="K1782" s="264">
        <v>0</v>
      </c>
      <c r="L1782" s="265">
        <v>0</v>
      </c>
      <c r="M1782" s="265">
        <v>0</v>
      </c>
      <c r="N1782" s="265" t="s">
        <v>5761</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技能:守护天使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69055021</v>
      </c>
      <c r="D1783" s="263" t="s">
        <v>2625</v>
      </c>
      <c r="E1783" s="263" t="s">
        <v>1743</v>
      </c>
      <c r="F1783" s="264">
        <v>1</v>
      </c>
      <c r="G1783" s="74">
        <v>65022101</v>
      </c>
      <c r="H1783" s="265">
        <v>0</v>
      </c>
      <c r="I1783" s="265">
        <v>0</v>
      </c>
      <c r="J1783" s="264">
        <v>1</v>
      </c>
      <c r="K1783" s="264">
        <v>0</v>
      </c>
      <c r="L1783" s="265">
        <v>0</v>
      </c>
      <c r="M1783" s="265">
        <v>0</v>
      </c>
      <c r="N1783" s="265" t="s">
        <v>5762</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技能:隐匿一击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69055022</v>
      </c>
      <c r="D1784" s="263" t="s">
        <v>5757</v>
      </c>
      <c r="E1784" s="263" t="s">
        <v>1443</v>
      </c>
      <c r="F1784" s="264">
        <v>1</v>
      </c>
      <c r="G1784" s="74">
        <v>65022201</v>
      </c>
      <c r="H1784" s="265">
        <v>0</v>
      </c>
      <c r="I1784" s="265">
        <v>0</v>
      </c>
      <c r="J1784" s="264">
        <v>1</v>
      </c>
      <c r="K1784" s="264">
        <v>0</v>
      </c>
      <c r="L1784" s="265">
        <v>0</v>
      </c>
      <c r="M1784" s="265">
        <v>0</v>
      </c>
      <c r="N1784" s="265" t="s">
        <v>5763</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技能:精灵共鸣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69055023</v>
      </c>
      <c r="D1785" s="263" t="s">
        <v>5755</v>
      </c>
      <c r="E1785" s="263" t="s">
        <v>2436</v>
      </c>
      <c r="F1785" s="264">
        <v>1</v>
      </c>
      <c r="G1785" s="74">
        <v>65022301</v>
      </c>
      <c r="H1785" s="265">
        <v>0</v>
      </c>
      <c r="I1785" s="265">
        <v>0</v>
      </c>
      <c r="J1785" s="264">
        <v>1</v>
      </c>
      <c r="K1785" s="264">
        <v>0</v>
      </c>
      <c r="L1785" s="265">
        <v>0</v>
      </c>
      <c r="M1785" s="265">
        <v>0</v>
      </c>
      <c r="N1785" s="265" t="s">
        <v>5769</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技能:破风之击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69055024</v>
      </c>
      <c r="D1786" s="263" t="s">
        <v>2664</v>
      </c>
      <c r="E1786" s="263" t="s">
        <v>2190</v>
      </c>
      <c r="F1786" s="264">
        <v>1</v>
      </c>
      <c r="G1786" s="74">
        <v>65022401</v>
      </c>
      <c r="H1786" s="265">
        <v>0</v>
      </c>
      <c r="I1786" s="265">
        <v>0</v>
      </c>
      <c r="J1786" s="264">
        <v>1</v>
      </c>
      <c r="K1786" s="264">
        <v>0</v>
      </c>
      <c r="L1786" s="265">
        <v>0</v>
      </c>
      <c r="M1786" s="265">
        <v>0</v>
      </c>
      <c r="N1786" s="265" t="s">
        <v>5764</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技能:唤灵之契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69055031</v>
      </c>
      <c r="D1787" s="263" t="s">
        <v>2681</v>
      </c>
      <c r="E1787" s="263" t="s">
        <v>1917</v>
      </c>
      <c r="F1787" s="264">
        <v>1</v>
      </c>
      <c r="G1787" s="74">
        <v>65021101</v>
      </c>
      <c r="H1787" s="265">
        <v>0</v>
      </c>
      <c r="I1787" s="265">
        <v>0</v>
      </c>
      <c r="J1787" s="264">
        <v>1</v>
      </c>
      <c r="K1787" s="264">
        <v>0</v>
      </c>
      <c r="L1787" s="265">
        <v>0</v>
      </c>
      <c r="M1787" s="265">
        <v>0</v>
      </c>
      <c r="N1787" s="265" t="s">
        <v>5765</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技能:泰坦镜像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69055032</v>
      </c>
      <c r="D1788" s="263" t="s">
        <v>2698</v>
      </c>
      <c r="E1788" s="263" t="s">
        <v>1743</v>
      </c>
      <c r="F1788" s="264">
        <v>1</v>
      </c>
      <c r="G1788" s="74">
        <v>65023201</v>
      </c>
      <c r="H1788" s="265">
        <v>0</v>
      </c>
      <c r="I1788" s="265">
        <v>0</v>
      </c>
      <c r="J1788" s="264">
        <v>1</v>
      </c>
      <c r="K1788" s="264">
        <v>0</v>
      </c>
      <c r="L1788" s="265">
        <v>0</v>
      </c>
      <c r="M1788" s="265">
        <v>0</v>
      </c>
      <c r="N1788" s="265" t="s">
        <v>5766</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技能:战灵怒吼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69055033</v>
      </c>
      <c r="D1789" s="263" t="s">
        <v>2715</v>
      </c>
      <c r="E1789" s="263" t="s">
        <v>1883</v>
      </c>
      <c r="F1789" s="264">
        <v>1</v>
      </c>
      <c r="G1789" s="74">
        <v>65023301</v>
      </c>
      <c r="H1789" s="265">
        <v>0</v>
      </c>
      <c r="I1789" s="265">
        <v>0</v>
      </c>
      <c r="J1789" s="264">
        <v>1</v>
      </c>
      <c r="K1789" s="264">
        <v>0</v>
      </c>
      <c r="L1789" s="265">
        <v>0</v>
      </c>
      <c r="M1789" s="265">
        <v>0</v>
      </c>
      <c r="N1789" s="265" t="s">
        <v>5767</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技能:幻影冲击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69055034</v>
      </c>
      <c r="D1790" s="263" t="s">
        <v>2724</v>
      </c>
      <c r="E1790" s="263" t="s">
        <v>1792</v>
      </c>
      <c r="F1790" s="264">
        <v>1</v>
      </c>
      <c r="G1790" s="74">
        <v>65023401</v>
      </c>
      <c r="H1790" s="265">
        <v>0</v>
      </c>
      <c r="I1790" s="265">
        <v>0</v>
      </c>
      <c r="J1790" s="264">
        <v>1</v>
      </c>
      <c r="K1790" s="264">
        <v>0</v>
      </c>
      <c r="L1790" s="265">
        <v>0</v>
      </c>
      <c r="M1790" s="265">
        <v>0</v>
      </c>
      <c r="N1790" s="265" t="s">
        <v>5768</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技能:逆转之力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ht="20.100000000000001" customHeight="1">
      <c r="C1791" s="32">
        <v>69060100</v>
      </c>
      <c r="D1791" s="35" t="s">
        <v>4199</v>
      </c>
      <c r="E1791" s="35" t="s">
        <v>4200</v>
      </c>
      <c r="F1791" s="32">
        <v>0</v>
      </c>
      <c r="G1791" s="32">
        <v>69060100</v>
      </c>
      <c r="H1791" s="32">
        <v>69060101</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4201</v>
      </c>
      <c r="BC1791" s="31">
        <v>0</v>
      </c>
      <c r="BD1791" s="31">
        <v>1</v>
      </c>
      <c r="BE1791" s="35" t="s">
        <v>4202</v>
      </c>
      <c r="BF1791" s="35" t="s">
        <v>4203</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69060101</v>
      </c>
      <c r="D1792" s="35" t="s">
        <v>4204</v>
      </c>
      <c r="E1792" s="35" t="s">
        <v>4205</v>
      </c>
      <c r="F1792" s="32">
        <v>1</v>
      </c>
      <c r="G1792" s="32">
        <v>69060100</v>
      </c>
      <c r="H1792" s="32">
        <v>69060102</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4206</v>
      </c>
      <c r="BC1792" s="31">
        <v>0</v>
      </c>
      <c r="BD1792" s="31">
        <v>1</v>
      </c>
      <c r="BE1792" s="35" t="s">
        <v>4207</v>
      </c>
      <c r="BF1792" s="35" t="s">
        <v>4208</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69060102</v>
      </c>
      <c r="D1793" s="35" t="s">
        <v>4209</v>
      </c>
      <c r="E1793" s="35" t="s">
        <v>4210</v>
      </c>
      <c r="F1793" s="32">
        <v>2</v>
      </c>
      <c r="G1793" s="32">
        <v>69060100</v>
      </c>
      <c r="H1793" s="32">
        <v>69060103</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4211</v>
      </c>
      <c r="BC1793" s="31">
        <v>0</v>
      </c>
      <c r="BD1793" s="31">
        <v>1</v>
      </c>
      <c r="BE1793" s="35" t="s">
        <v>4212</v>
      </c>
      <c r="BF1793" s="35" t="s">
        <v>4213</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69060103</v>
      </c>
      <c r="D1794" s="35" t="s">
        <v>4214</v>
      </c>
      <c r="E1794" s="35" t="s">
        <v>4215</v>
      </c>
      <c r="F1794" s="32">
        <v>3</v>
      </c>
      <c r="G1794" s="32">
        <v>69060100</v>
      </c>
      <c r="H1794" s="32">
        <v>69060104</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4216</v>
      </c>
      <c r="BC1794" s="31">
        <v>0</v>
      </c>
      <c r="BD1794" s="31">
        <v>1</v>
      </c>
      <c r="BE1794" s="35" t="s">
        <v>4217</v>
      </c>
      <c r="BF1794" s="35" t="s">
        <v>4218</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69060104</v>
      </c>
      <c r="D1795" s="35" t="s">
        <v>4219</v>
      </c>
      <c r="E1795" s="35" t="s">
        <v>4220</v>
      </c>
      <c r="F1795" s="32">
        <v>4</v>
      </c>
      <c r="G1795" s="32">
        <v>69060100</v>
      </c>
      <c r="H1795" s="32">
        <v>69060105</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4221</v>
      </c>
      <c r="BC1795" s="31">
        <v>0</v>
      </c>
      <c r="BD1795" s="31">
        <v>1</v>
      </c>
      <c r="BE1795" s="35" t="s">
        <v>4222</v>
      </c>
      <c r="BF1795" s="35" t="s">
        <v>4223</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69060105</v>
      </c>
      <c r="D1796" s="35" t="s">
        <v>4224</v>
      </c>
      <c r="E1796" s="35" t="s">
        <v>4225</v>
      </c>
      <c r="F1796" s="32">
        <v>5</v>
      </c>
      <c r="G1796" s="32">
        <v>69060100</v>
      </c>
      <c r="H1796" s="32">
        <v>69060106</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4226</v>
      </c>
      <c r="BC1796" s="31">
        <v>0</v>
      </c>
      <c r="BD1796" s="31">
        <v>1</v>
      </c>
      <c r="BE1796" s="35" t="s">
        <v>4227</v>
      </c>
      <c r="BF1796" s="35" t="s">
        <v>4228</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69060106</v>
      </c>
      <c r="D1797" s="35" t="s">
        <v>4229</v>
      </c>
      <c r="E1797" s="35" t="s">
        <v>4230</v>
      </c>
      <c r="F1797" s="32">
        <v>6</v>
      </c>
      <c r="G1797" s="32">
        <v>69060100</v>
      </c>
      <c r="H1797" s="32">
        <v>69060107</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4231</v>
      </c>
      <c r="BC1797" s="31">
        <v>0</v>
      </c>
      <c r="BD1797" s="31">
        <v>1</v>
      </c>
      <c r="BE1797" s="35" t="s">
        <v>4232</v>
      </c>
      <c r="BF1797" s="35" t="s">
        <v>4233</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69060107</v>
      </c>
      <c r="D1798" s="35" t="s">
        <v>4234</v>
      </c>
      <c r="E1798" s="35" t="s">
        <v>4235</v>
      </c>
      <c r="F1798" s="32">
        <v>7</v>
      </c>
      <c r="G1798" s="32">
        <v>69060100</v>
      </c>
      <c r="H1798" s="32">
        <v>69060108</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4236</v>
      </c>
      <c r="BC1798" s="31">
        <v>0</v>
      </c>
      <c r="BD1798" s="31">
        <v>1</v>
      </c>
      <c r="BE1798" s="35" t="s">
        <v>4237</v>
      </c>
      <c r="BF1798" s="35" t="s">
        <v>4238</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69060108</v>
      </c>
      <c r="D1799" s="35" t="s">
        <v>4239</v>
      </c>
      <c r="E1799" s="35" t="s">
        <v>4240</v>
      </c>
      <c r="F1799" s="32">
        <v>8</v>
      </c>
      <c r="G1799" s="32">
        <v>69060100</v>
      </c>
      <c r="H1799" s="32">
        <v>69060109</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4241</v>
      </c>
      <c r="BC1799" s="31">
        <v>0</v>
      </c>
      <c r="BD1799" s="31">
        <v>1</v>
      </c>
      <c r="BE1799" s="35" t="s">
        <v>4242</v>
      </c>
      <c r="BF1799" s="35" t="s">
        <v>4243</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69060109</v>
      </c>
      <c r="D1800" s="35" t="s">
        <v>4244</v>
      </c>
      <c r="E1800" s="35" t="s">
        <v>4245</v>
      </c>
      <c r="F1800" s="32">
        <v>9</v>
      </c>
      <c r="G1800" s="32">
        <v>69060100</v>
      </c>
      <c r="H1800" s="32">
        <v>69060110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4246</v>
      </c>
      <c r="BC1800" s="31">
        <v>0</v>
      </c>
      <c r="BD1800" s="31">
        <v>1</v>
      </c>
      <c r="BE1800" s="35" t="s">
        <v>4247</v>
      </c>
      <c r="BF1800" s="35" t="s">
        <v>4248</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69060110</v>
      </c>
      <c r="D1801" s="35" t="s">
        <v>4249</v>
      </c>
      <c r="E1801" s="35" t="s">
        <v>4250</v>
      </c>
      <c r="F1801" s="32">
        <v>10</v>
      </c>
      <c r="G1801" s="32">
        <v>69060100</v>
      </c>
      <c r="H1801" s="32">
        <v>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4251</v>
      </c>
      <c r="BC1801" s="31">
        <v>0</v>
      </c>
      <c r="BD1801" s="31">
        <v>1</v>
      </c>
      <c r="BE1801" s="35" t="s">
        <v>4252</v>
      </c>
      <c r="BF1801" s="35" t="s">
        <v>4253</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69060200</v>
      </c>
      <c r="D1802" s="35" t="s">
        <v>4254</v>
      </c>
      <c r="E1802" s="35" t="s">
        <v>4255</v>
      </c>
      <c r="F1802" s="32">
        <v>0</v>
      </c>
      <c r="G1802" s="32">
        <v>69060200</v>
      </c>
      <c r="H1802" s="32">
        <f>C1803</f>
        <v>69060201</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4256</v>
      </c>
      <c r="BC1802" s="31">
        <v>0</v>
      </c>
      <c r="BD1802" s="31">
        <v>1</v>
      </c>
      <c r="BE1802" s="35" t="s">
        <v>4202</v>
      </c>
      <c r="BF1802" s="35" t="s">
        <v>4203</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69060201</v>
      </c>
      <c r="D1803" s="35" t="s">
        <v>4257</v>
      </c>
      <c r="E1803" s="35" t="s">
        <v>4258</v>
      </c>
      <c r="F1803" s="32">
        <v>1</v>
      </c>
      <c r="G1803" s="32">
        <v>69060200</v>
      </c>
      <c r="H1803" s="32">
        <f t="shared" ref="H1803:H1811" si="151">C1804</f>
        <v>69060202</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4259</v>
      </c>
      <c r="BC1803" s="31">
        <v>0</v>
      </c>
      <c r="BD1803" s="31">
        <v>1</v>
      </c>
      <c r="BE1803" s="35" t="s">
        <v>4260</v>
      </c>
      <c r="BF1803" s="35" t="s">
        <v>4261</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69060202</v>
      </c>
      <c r="D1804" s="35" t="s">
        <v>4262</v>
      </c>
      <c r="E1804" s="35" t="s">
        <v>4263</v>
      </c>
      <c r="F1804" s="32">
        <v>2</v>
      </c>
      <c r="G1804" s="32">
        <v>69060200</v>
      </c>
      <c r="H1804" s="32">
        <f t="shared" si="151"/>
        <v>69060203</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4264</v>
      </c>
      <c r="BC1804" s="31">
        <v>0</v>
      </c>
      <c r="BD1804" s="31">
        <v>1</v>
      </c>
      <c r="BE1804" s="35" t="s">
        <v>4265</v>
      </c>
      <c r="BF1804" s="35" t="s">
        <v>4266</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69060203</v>
      </c>
      <c r="D1805" s="35" t="s">
        <v>4267</v>
      </c>
      <c r="E1805" s="35" t="s">
        <v>4268</v>
      </c>
      <c r="F1805" s="32">
        <v>3</v>
      </c>
      <c r="G1805" s="32">
        <v>69060200</v>
      </c>
      <c r="H1805" s="32">
        <f t="shared" si="151"/>
        <v>69060204</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4269</v>
      </c>
      <c r="BC1805" s="31">
        <v>0</v>
      </c>
      <c r="BD1805" s="31">
        <v>1</v>
      </c>
      <c r="BE1805" s="35" t="s">
        <v>4270</v>
      </c>
      <c r="BF1805" s="35" t="s">
        <v>4271</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69060204</v>
      </c>
      <c r="D1806" s="35" t="s">
        <v>4272</v>
      </c>
      <c r="E1806" s="35" t="s">
        <v>4273</v>
      </c>
      <c r="F1806" s="32">
        <v>4</v>
      </c>
      <c r="G1806" s="32">
        <v>69060200</v>
      </c>
      <c r="H1806" s="32">
        <f t="shared" si="151"/>
        <v>69060205</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4274</v>
      </c>
      <c r="BC1806" s="31">
        <v>0</v>
      </c>
      <c r="BD1806" s="31">
        <v>1</v>
      </c>
      <c r="BE1806" s="35" t="s">
        <v>4275</v>
      </c>
      <c r="BF1806" s="35" t="s">
        <v>4276</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69060205</v>
      </c>
      <c r="D1807" s="35" t="s">
        <v>4277</v>
      </c>
      <c r="E1807" s="35" t="s">
        <v>4278</v>
      </c>
      <c r="F1807" s="32">
        <v>5</v>
      </c>
      <c r="G1807" s="32">
        <v>69060200</v>
      </c>
      <c r="H1807" s="32">
        <f t="shared" si="151"/>
        <v>69060206</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4279</v>
      </c>
      <c r="BC1807" s="31">
        <v>0</v>
      </c>
      <c r="BD1807" s="31">
        <v>1</v>
      </c>
      <c r="BE1807" s="35" t="s">
        <v>4280</v>
      </c>
      <c r="BF1807" s="35" t="s">
        <v>4281</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69060206</v>
      </c>
      <c r="D1808" s="35" t="s">
        <v>4282</v>
      </c>
      <c r="E1808" s="35" t="s">
        <v>4283</v>
      </c>
      <c r="F1808" s="32">
        <v>6</v>
      </c>
      <c r="G1808" s="32">
        <v>69060200</v>
      </c>
      <c r="H1808" s="32">
        <f t="shared" si="151"/>
        <v>69060207</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4284</v>
      </c>
      <c r="BC1808" s="31">
        <v>0</v>
      </c>
      <c r="BD1808" s="31">
        <v>1</v>
      </c>
      <c r="BE1808" s="35" t="s">
        <v>4285</v>
      </c>
      <c r="BF1808" s="35" t="s">
        <v>4286</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69060207</v>
      </c>
      <c r="D1809" s="35" t="s">
        <v>4287</v>
      </c>
      <c r="E1809" s="35" t="s">
        <v>4288</v>
      </c>
      <c r="F1809" s="32">
        <v>7</v>
      </c>
      <c r="G1809" s="32">
        <v>69060200</v>
      </c>
      <c r="H1809" s="32">
        <f t="shared" si="151"/>
        <v>69060208</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4289</v>
      </c>
      <c r="BC1809" s="31">
        <v>0</v>
      </c>
      <c r="BD1809" s="31">
        <v>1</v>
      </c>
      <c r="BE1809" s="35" t="s">
        <v>4290</v>
      </c>
      <c r="BF1809" s="35" t="s">
        <v>4291</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69060208</v>
      </c>
      <c r="D1810" s="35" t="s">
        <v>4292</v>
      </c>
      <c r="E1810" s="35" t="s">
        <v>4293</v>
      </c>
      <c r="F1810" s="32">
        <v>8</v>
      </c>
      <c r="G1810" s="32">
        <v>69060200</v>
      </c>
      <c r="H1810" s="32">
        <f t="shared" si="151"/>
        <v>69060209</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4294</v>
      </c>
      <c r="BC1810" s="31">
        <v>0</v>
      </c>
      <c r="BD1810" s="31">
        <v>1</v>
      </c>
      <c r="BE1810" s="35" t="s">
        <v>4295</v>
      </c>
      <c r="BF1810" s="35" t="s">
        <v>4296</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69060209</v>
      </c>
      <c r="D1811" s="35" t="s">
        <v>4297</v>
      </c>
      <c r="E1811" s="35" t="s">
        <v>4298</v>
      </c>
      <c r="F1811" s="32">
        <v>9</v>
      </c>
      <c r="G1811" s="32">
        <v>69060200</v>
      </c>
      <c r="H1811" s="32">
        <f t="shared" si="151"/>
        <v>69060210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4299</v>
      </c>
      <c r="BC1811" s="31">
        <v>0</v>
      </c>
      <c r="BD1811" s="31">
        <v>1</v>
      </c>
      <c r="BE1811" s="35" t="s">
        <v>4300</v>
      </c>
      <c r="BF1811" s="35" t="s">
        <v>4301</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69060210</v>
      </c>
      <c r="D1812" s="35" t="s">
        <v>4302</v>
      </c>
      <c r="E1812" s="35" t="s">
        <v>4303</v>
      </c>
      <c r="F1812" s="32">
        <v>10</v>
      </c>
      <c r="G1812" s="32">
        <v>69060200</v>
      </c>
      <c r="H1812" s="32">
        <v>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4304</v>
      </c>
      <c r="BC1812" s="31">
        <v>0</v>
      </c>
      <c r="BD1812" s="31">
        <v>1</v>
      </c>
      <c r="BE1812" s="35" t="s">
        <v>4305</v>
      </c>
      <c r="BF1812" s="35" t="s">
        <v>4306</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69060300</v>
      </c>
      <c r="D1813" s="35" t="s">
        <v>4307</v>
      </c>
      <c r="E1813" s="35" t="s">
        <v>4308</v>
      </c>
      <c r="F1813" s="32">
        <v>0</v>
      </c>
      <c r="G1813" s="32">
        <v>69060300</v>
      </c>
      <c r="H1813" s="32">
        <f>C1814</f>
        <v>69060301</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4309</v>
      </c>
      <c r="BC1813" s="31">
        <v>0</v>
      </c>
      <c r="BD1813" s="31">
        <v>1</v>
      </c>
      <c r="BE1813" s="35" t="s">
        <v>4202</v>
      </c>
      <c r="BF1813" s="35" t="s">
        <v>4203</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69060301</v>
      </c>
      <c r="D1814" s="35" t="s">
        <v>4310</v>
      </c>
      <c r="E1814" s="35" t="s">
        <v>4311</v>
      </c>
      <c r="F1814" s="32">
        <v>1</v>
      </c>
      <c r="G1814" s="32">
        <v>69060300</v>
      </c>
      <c r="H1814" s="32">
        <f t="shared" ref="H1814:H1822" si="152">C1815</f>
        <v>69060302</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4312</v>
      </c>
      <c r="BC1814" s="31">
        <v>0</v>
      </c>
      <c r="BD1814" s="31">
        <v>1</v>
      </c>
      <c r="BE1814" s="35" t="s">
        <v>4313</v>
      </c>
      <c r="BF1814" s="35" t="s">
        <v>4314</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69060302</v>
      </c>
      <c r="D1815" s="35" t="s">
        <v>4315</v>
      </c>
      <c r="E1815" s="35" t="s">
        <v>4316</v>
      </c>
      <c r="F1815" s="32">
        <v>2</v>
      </c>
      <c r="G1815" s="32">
        <v>69060300</v>
      </c>
      <c r="H1815" s="32">
        <f t="shared" si="152"/>
        <v>69060303</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4317</v>
      </c>
      <c r="BC1815" s="31">
        <v>0</v>
      </c>
      <c r="BD1815" s="31">
        <v>1</v>
      </c>
      <c r="BE1815" s="35" t="s">
        <v>4318</v>
      </c>
      <c r="BF1815" s="35" t="s">
        <v>4319</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69060303</v>
      </c>
      <c r="D1816" s="35" t="s">
        <v>4320</v>
      </c>
      <c r="E1816" s="35" t="s">
        <v>4321</v>
      </c>
      <c r="F1816" s="32">
        <v>3</v>
      </c>
      <c r="G1816" s="32">
        <v>69060300</v>
      </c>
      <c r="H1816" s="32">
        <f t="shared" si="152"/>
        <v>69060304</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4322</v>
      </c>
      <c r="BC1816" s="31">
        <v>0</v>
      </c>
      <c r="BD1816" s="31">
        <v>1</v>
      </c>
      <c r="BE1816" s="35" t="s">
        <v>4323</v>
      </c>
      <c r="BF1816" s="35" t="s">
        <v>4324</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69060304</v>
      </c>
      <c r="D1817" s="35" t="s">
        <v>4325</v>
      </c>
      <c r="E1817" s="35" t="s">
        <v>4326</v>
      </c>
      <c r="F1817" s="32">
        <v>4</v>
      </c>
      <c r="G1817" s="32">
        <v>69060300</v>
      </c>
      <c r="H1817" s="32">
        <f t="shared" si="152"/>
        <v>69060305</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4327</v>
      </c>
      <c r="BC1817" s="31">
        <v>0</v>
      </c>
      <c r="BD1817" s="31">
        <v>1</v>
      </c>
      <c r="BE1817" s="35" t="s">
        <v>4328</v>
      </c>
      <c r="BF1817" s="35" t="s">
        <v>4329</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69060305</v>
      </c>
      <c r="D1818" s="35" t="s">
        <v>4330</v>
      </c>
      <c r="E1818" s="35" t="s">
        <v>4331</v>
      </c>
      <c r="F1818" s="32">
        <v>5</v>
      </c>
      <c r="G1818" s="32">
        <v>69060300</v>
      </c>
      <c r="H1818" s="32">
        <f t="shared" si="152"/>
        <v>69060306</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4332</v>
      </c>
      <c r="BC1818" s="31">
        <v>0</v>
      </c>
      <c r="BD1818" s="31">
        <v>1</v>
      </c>
      <c r="BE1818" s="35" t="s">
        <v>4333</v>
      </c>
      <c r="BF1818" s="35" t="s">
        <v>4334</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69060306</v>
      </c>
      <c r="D1819" s="35" t="s">
        <v>4335</v>
      </c>
      <c r="E1819" s="35" t="s">
        <v>4336</v>
      </c>
      <c r="F1819" s="32">
        <v>6</v>
      </c>
      <c r="G1819" s="32">
        <v>69060300</v>
      </c>
      <c r="H1819" s="32">
        <f t="shared" si="152"/>
        <v>69060307</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4337</v>
      </c>
      <c r="BC1819" s="31">
        <v>0</v>
      </c>
      <c r="BD1819" s="31">
        <v>1</v>
      </c>
      <c r="BE1819" s="35" t="s">
        <v>4338</v>
      </c>
      <c r="BF1819" s="35" t="s">
        <v>4339</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69060307</v>
      </c>
      <c r="D1820" s="35" t="s">
        <v>4340</v>
      </c>
      <c r="E1820" s="35" t="s">
        <v>4341</v>
      </c>
      <c r="F1820" s="32">
        <v>7</v>
      </c>
      <c r="G1820" s="32">
        <v>69060300</v>
      </c>
      <c r="H1820" s="32">
        <f t="shared" si="152"/>
        <v>69060308</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4342</v>
      </c>
      <c r="BC1820" s="31">
        <v>0</v>
      </c>
      <c r="BD1820" s="31">
        <v>1</v>
      </c>
      <c r="BE1820" s="35" t="s">
        <v>4343</v>
      </c>
      <c r="BF1820" s="35" t="s">
        <v>4344</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69060308</v>
      </c>
      <c r="D1821" s="35" t="s">
        <v>4345</v>
      </c>
      <c r="E1821" s="35" t="s">
        <v>4346</v>
      </c>
      <c r="F1821" s="32">
        <v>8</v>
      </c>
      <c r="G1821" s="32">
        <v>69060300</v>
      </c>
      <c r="H1821" s="32">
        <f t="shared" si="152"/>
        <v>69060309</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4347</v>
      </c>
      <c r="BC1821" s="31">
        <v>0</v>
      </c>
      <c r="BD1821" s="31">
        <v>1</v>
      </c>
      <c r="BE1821" s="35" t="s">
        <v>4348</v>
      </c>
      <c r="BF1821" s="35" t="s">
        <v>4349</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69060309</v>
      </c>
      <c r="D1822" s="35" t="s">
        <v>4350</v>
      </c>
      <c r="E1822" s="35" t="s">
        <v>4351</v>
      </c>
      <c r="F1822" s="32">
        <v>9</v>
      </c>
      <c r="G1822" s="32">
        <v>69060300</v>
      </c>
      <c r="H1822" s="32">
        <f t="shared" si="152"/>
        <v>69060310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4352</v>
      </c>
      <c r="BC1822" s="31">
        <v>0</v>
      </c>
      <c r="BD1822" s="31">
        <v>1</v>
      </c>
      <c r="BE1822" s="35" t="s">
        <v>4353</v>
      </c>
      <c r="BF1822" s="35" t="s">
        <v>4354</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69060310</v>
      </c>
      <c r="D1823" s="35" t="s">
        <v>4355</v>
      </c>
      <c r="E1823" s="35" t="s">
        <v>4356</v>
      </c>
      <c r="F1823" s="32">
        <v>10</v>
      </c>
      <c r="G1823" s="32">
        <v>69060300</v>
      </c>
      <c r="H1823" s="32">
        <v>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4357</v>
      </c>
      <c r="BC1823" s="31">
        <v>0</v>
      </c>
      <c r="BD1823" s="31">
        <v>1</v>
      </c>
      <c r="BE1823" s="35" t="s">
        <v>4358</v>
      </c>
      <c r="BF1823" s="35" t="s">
        <v>4359</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69060400</v>
      </c>
      <c r="D1824" s="35" t="s">
        <v>4360</v>
      </c>
      <c r="E1824" s="35" t="s">
        <v>4361</v>
      </c>
      <c r="F1824" s="32">
        <v>0</v>
      </c>
      <c r="G1824" s="32">
        <v>69060400</v>
      </c>
      <c r="H1824" s="32">
        <f>C1825</f>
        <v>69060401</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4362</v>
      </c>
      <c r="BC1824" s="31">
        <v>0</v>
      </c>
      <c r="BD1824" s="31">
        <v>1</v>
      </c>
      <c r="BE1824" s="35" t="s">
        <v>4202</v>
      </c>
      <c r="BF1824" s="35" t="s">
        <v>4203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69060401</v>
      </c>
      <c r="D1825" s="35" t="s">
        <v>4363</v>
      </c>
      <c r="E1825" s="35" t="s">
        <v>4364</v>
      </c>
      <c r="F1825" s="32">
        <v>1</v>
      </c>
      <c r="G1825" s="32">
        <v>69060400</v>
      </c>
      <c r="H1825" s="32">
        <f t="shared" ref="H1825:H1833" si="153">C1826</f>
        <v>69060402</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4365</v>
      </c>
      <c r="BC1825" s="31">
        <v>0</v>
      </c>
      <c r="BD1825" s="31">
        <v>1</v>
      </c>
      <c r="BE1825" s="35" t="s">
        <v>4366</v>
      </c>
      <c r="BF1825" s="35" t="s">
        <v>4367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69060402</v>
      </c>
      <c r="D1826" s="35" t="s">
        <v>4368</v>
      </c>
      <c r="E1826" s="35" t="s">
        <v>4369</v>
      </c>
      <c r="F1826" s="32">
        <v>2</v>
      </c>
      <c r="G1826" s="32">
        <v>69060400</v>
      </c>
      <c r="H1826" s="32">
        <f t="shared" si="153"/>
        <v>69060403</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4370</v>
      </c>
      <c r="BC1826" s="31">
        <v>0</v>
      </c>
      <c r="BD1826" s="31">
        <v>1</v>
      </c>
      <c r="BE1826" s="35" t="s">
        <v>4371</v>
      </c>
      <c r="BF1826" s="35" t="s">
        <v>4372</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69060403</v>
      </c>
      <c r="D1827" s="35" t="s">
        <v>4373</v>
      </c>
      <c r="E1827" s="35" t="s">
        <v>4374</v>
      </c>
      <c r="F1827" s="32">
        <v>3</v>
      </c>
      <c r="G1827" s="32">
        <v>69060400</v>
      </c>
      <c r="H1827" s="32">
        <f t="shared" si="153"/>
        <v>69060404</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4375</v>
      </c>
      <c r="BC1827" s="31">
        <v>0</v>
      </c>
      <c r="BD1827" s="31">
        <v>1</v>
      </c>
      <c r="BE1827" s="35" t="s">
        <v>4376</v>
      </c>
      <c r="BF1827" s="35" t="s">
        <v>4377</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69060404</v>
      </c>
      <c r="D1828" s="35" t="s">
        <v>4378</v>
      </c>
      <c r="E1828" s="35" t="s">
        <v>4379</v>
      </c>
      <c r="F1828" s="32">
        <v>4</v>
      </c>
      <c r="G1828" s="32">
        <v>69060400</v>
      </c>
      <c r="H1828" s="32">
        <f t="shared" si="153"/>
        <v>69060405</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4380</v>
      </c>
      <c r="BC1828" s="31">
        <v>0</v>
      </c>
      <c r="BD1828" s="31">
        <v>1</v>
      </c>
      <c r="BE1828" s="35" t="s">
        <v>4381</v>
      </c>
      <c r="BF1828" s="35" t="s">
        <v>4382</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69060405</v>
      </c>
      <c r="D1829" s="35" t="s">
        <v>4383</v>
      </c>
      <c r="E1829" s="35" t="s">
        <v>4384</v>
      </c>
      <c r="F1829" s="32">
        <v>5</v>
      </c>
      <c r="G1829" s="32">
        <v>69060400</v>
      </c>
      <c r="H1829" s="32">
        <f t="shared" si="153"/>
        <v>69060406</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4385</v>
      </c>
      <c r="BC1829" s="31">
        <v>0</v>
      </c>
      <c r="BD1829" s="31">
        <v>1</v>
      </c>
      <c r="BE1829" s="35" t="s">
        <v>4386</v>
      </c>
      <c r="BF1829" s="35" t="s">
        <v>4387</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69060406</v>
      </c>
      <c r="D1830" s="35" t="s">
        <v>4388</v>
      </c>
      <c r="E1830" s="35" t="s">
        <v>4389</v>
      </c>
      <c r="F1830" s="32">
        <v>6</v>
      </c>
      <c r="G1830" s="32">
        <v>69060400</v>
      </c>
      <c r="H1830" s="32">
        <f t="shared" si="153"/>
        <v>69060407</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4390</v>
      </c>
      <c r="BC1830" s="31">
        <v>0</v>
      </c>
      <c r="BD1830" s="31">
        <v>1</v>
      </c>
      <c r="BE1830" s="35" t="s">
        <v>4391</v>
      </c>
      <c r="BF1830" s="35" t="s">
        <v>4392</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69060407</v>
      </c>
      <c r="D1831" s="35" t="s">
        <v>4393</v>
      </c>
      <c r="E1831" s="35" t="s">
        <v>4394</v>
      </c>
      <c r="F1831" s="32">
        <v>7</v>
      </c>
      <c r="G1831" s="32">
        <v>69060400</v>
      </c>
      <c r="H1831" s="32">
        <f t="shared" si="153"/>
        <v>69060408</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4395</v>
      </c>
      <c r="BC1831" s="31">
        <v>0</v>
      </c>
      <c r="BD1831" s="31">
        <v>1</v>
      </c>
      <c r="BE1831" s="35" t="s">
        <v>4396</v>
      </c>
      <c r="BF1831" s="35" t="s">
        <v>4397</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69060408</v>
      </c>
      <c r="D1832" s="35" t="s">
        <v>4398</v>
      </c>
      <c r="E1832" s="35" t="s">
        <v>4399</v>
      </c>
      <c r="F1832" s="32">
        <v>8</v>
      </c>
      <c r="G1832" s="32">
        <v>69060400</v>
      </c>
      <c r="H1832" s="32">
        <f t="shared" si="153"/>
        <v>69060409</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4400</v>
      </c>
      <c r="BC1832" s="31">
        <v>0</v>
      </c>
      <c r="BD1832" s="31">
        <v>1</v>
      </c>
      <c r="BE1832" s="35" t="s">
        <v>4401</v>
      </c>
      <c r="BF1832" s="35" t="s">
        <v>4402</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69060409</v>
      </c>
      <c r="D1833" s="35" t="s">
        <v>4403</v>
      </c>
      <c r="E1833" s="35" t="s">
        <v>4404</v>
      </c>
      <c r="F1833" s="32">
        <v>9</v>
      </c>
      <c r="G1833" s="32">
        <v>69060400</v>
      </c>
      <c r="H1833" s="32">
        <f t="shared" si="153"/>
        <v>69060410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4405</v>
      </c>
      <c r="BC1833" s="31">
        <v>0</v>
      </c>
      <c r="BD1833" s="31">
        <v>1</v>
      </c>
      <c r="BE1833" s="35" t="s">
        <v>4406</v>
      </c>
      <c r="BF1833" s="35" t="s">
        <v>4407</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69060410</v>
      </c>
      <c r="D1834" s="35" t="s">
        <v>4408</v>
      </c>
      <c r="E1834" s="35" t="s">
        <v>4409</v>
      </c>
      <c r="F1834" s="32">
        <v>10</v>
      </c>
      <c r="G1834" s="32">
        <v>69060400</v>
      </c>
      <c r="H1834" s="32">
        <v>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4410</v>
      </c>
      <c r="BC1834" s="31">
        <v>0</v>
      </c>
      <c r="BD1834" s="31">
        <v>1</v>
      </c>
      <c r="BE1834" s="35" t="s">
        <v>4411</v>
      </c>
      <c r="BF1834" s="35" t="s">
        <v>4412</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69060500</v>
      </c>
      <c r="D1835" s="35" t="s">
        <v>4413</v>
      </c>
      <c r="E1835" s="35" t="s">
        <v>4414</v>
      </c>
      <c r="F1835" s="32">
        <v>0</v>
      </c>
      <c r="G1835" s="32">
        <v>69060500</v>
      </c>
      <c r="H1835" s="32">
        <f>C1836</f>
        <v>69060501</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4415</v>
      </c>
      <c r="BC1835" s="31">
        <v>0</v>
      </c>
      <c r="BD1835" s="31">
        <v>1</v>
      </c>
      <c r="BE1835" s="35" t="s">
        <v>4202</v>
      </c>
      <c r="BF1835" s="35" t="s">
        <v>4203</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69060501</v>
      </c>
      <c r="D1836" s="35" t="s">
        <v>4416</v>
      </c>
      <c r="E1836" s="35" t="s">
        <v>4417</v>
      </c>
      <c r="F1836" s="32">
        <v>1</v>
      </c>
      <c r="G1836" s="32">
        <v>69060500</v>
      </c>
      <c r="H1836" s="32">
        <f t="shared" ref="H1836:H1844" si="154">C1837</f>
        <v>69060502</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4418</v>
      </c>
      <c r="BC1836" s="31">
        <v>0</v>
      </c>
      <c r="BD1836" s="31">
        <v>1</v>
      </c>
      <c r="BE1836" s="35" t="s">
        <v>4419</v>
      </c>
      <c r="BF1836" s="35" t="s">
        <v>4420</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69060502</v>
      </c>
      <c r="D1837" s="35" t="s">
        <v>4421</v>
      </c>
      <c r="E1837" s="35" t="s">
        <v>4422</v>
      </c>
      <c r="F1837" s="32">
        <v>2</v>
      </c>
      <c r="G1837" s="32">
        <v>69060500</v>
      </c>
      <c r="H1837" s="32">
        <f t="shared" si="154"/>
        <v>69060503</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4423</v>
      </c>
      <c r="BC1837" s="31">
        <v>0</v>
      </c>
      <c r="BD1837" s="31">
        <v>1</v>
      </c>
      <c r="BE1837" s="35" t="s">
        <v>4424</v>
      </c>
      <c r="BF1837" s="35" t="s">
        <v>4425</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69060503</v>
      </c>
      <c r="D1838" s="35" t="s">
        <v>4426</v>
      </c>
      <c r="E1838" s="35" t="s">
        <v>4427</v>
      </c>
      <c r="F1838" s="32">
        <v>3</v>
      </c>
      <c r="G1838" s="32">
        <v>69060500</v>
      </c>
      <c r="H1838" s="32">
        <f t="shared" si="154"/>
        <v>69060504</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4428</v>
      </c>
      <c r="BC1838" s="31">
        <v>0</v>
      </c>
      <c r="BD1838" s="31">
        <v>1</v>
      </c>
      <c r="BE1838" s="35" t="s">
        <v>4429</v>
      </c>
      <c r="BF1838" s="35" t="s">
        <v>4430</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69060504</v>
      </c>
      <c r="D1839" s="35" t="s">
        <v>4431</v>
      </c>
      <c r="E1839" s="35" t="s">
        <v>4432</v>
      </c>
      <c r="F1839" s="32">
        <v>4</v>
      </c>
      <c r="G1839" s="32">
        <v>69060500</v>
      </c>
      <c r="H1839" s="32">
        <f t="shared" si="154"/>
        <v>69060505</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4433</v>
      </c>
      <c r="BC1839" s="31">
        <v>0</v>
      </c>
      <c r="BD1839" s="31">
        <v>1</v>
      </c>
      <c r="BE1839" s="35" t="s">
        <v>4434</v>
      </c>
      <c r="BF1839" s="35" t="s">
        <v>4435</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69060505</v>
      </c>
      <c r="D1840" s="35" t="s">
        <v>4436</v>
      </c>
      <c r="E1840" s="35" t="s">
        <v>4437</v>
      </c>
      <c r="F1840" s="32">
        <v>5</v>
      </c>
      <c r="G1840" s="32">
        <v>69060500</v>
      </c>
      <c r="H1840" s="32">
        <f t="shared" si="154"/>
        <v>69060506</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4438</v>
      </c>
      <c r="BC1840" s="31">
        <v>0</v>
      </c>
      <c r="BD1840" s="31">
        <v>1</v>
      </c>
      <c r="BE1840" s="35" t="s">
        <v>4439</v>
      </c>
      <c r="BF1840" s="35" t="s">
        <v>4440</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69060506</v>
      </c>
      <c r="D1841" s="35" t="s">
        <v>4441</v>
      </c>
      <c r="E1841" s="35" t="s">
        <v>4442</v>
      </c>
      <c r="F1841" s="32">
        <v>6</v>
      </c>
      <c r="G1841" s="32">
        <v>69060500</v>
      </c>
      <c r="H1841" s="32">
        <f t="shared" si="154"/>
        <v>69060507</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4443</v>
      </c>
      <c r="BC1841" s="31">
        <v>0</v>
      </c>
      <c r="BD1841" s="31">
        <v>1</v>
      </c>
      <c r="BE1841" s="35" t="s">
        <v>4444</v>
      </c>
      <c r="BF1841" s="35" t="s">
        <v>4445</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69060507</v>
      </c>
      <c r="D1842" s="35" t="s">
        <v>4446</v>
      </c>
      <c r="E1842" s="35" t="s">
        <v>4447</v>
      </c>
      <c r="F1842" s="32">
        <v>7</v>
      </c>
      <c r="G1842" s="32">
        <v>69060500</v>
      </c>
      <c r="H1842" s="32">
        <f t="shared" si="154"/>
        <v>69060508</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4448</v>
      </c>
      <c r="BC1842" s="31">
        <v>0</v>
      </c>
      <c r="BD1842" s="31">
        <v>1</v>
      </c>
      <c r="BE1842" s="35" t="s">
        <v>4449</v>
      </c>
      <c r="BF1842" s="35" t="s">
        <v>4450</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69060508</v>
      </c>
      <c r="D1843" s="35" t="s">
        <v>4451</v>
      </c>
      <c r="E1843" s="35" t="s">
        <v>4452</v>
      </c>
      <c r="F1843" s="32">
        <v>8</v>
      </c>
      <c r="G1843" s="32">
        <v>69060500</v>
      </c>
      <c r="H1843" s="32">
        <f t="shared" si="154"/>
        <v>69060509</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4453</v>
      </c>
      <c r="BC1843" s="31">
        <v>0</v>
      </c>
      <c r="BD1843" s="31">
        <v>1</v>
      </c>
      <c r="BE1843" s="35" t="s">
        <v>4454</v>
      </c>
      <c r="BF1843" s="35" t="s">
        <v>4455</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69060509</v>
      </c>
      <c r="D1844" s="35" t="s">
        <v>4456</v>
      </c>
      <c r="E1844" s="35" t="s">
        <v>4457</v>
      </c>
      <c r="F1844" s="32">
        <v>9</v>
      </c>
      <c r="G1844" s="32">
        <v>69060500</v>
      </c>
      <c r="H1844" s="32">
        <f t="shared" si="154"/>
        <v>69060510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4458</v>
      </c>
      <c r="BC1844" s="31">
        <v>0</v>
      </c>
      <c r="BD1844" s="31">
        <v>1</v>
      </c>
      <c r="BE1844" s="35" t="s">
        <v>4459</v>
      </c>
      <c r="BF1844" s="35" t="s">
        <v>4460</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69060510</v>
      </c>
      <c r="D1845" s="35" t="s">
        <v>4461</v>
      </c>
      <c r="E1845" s="35" t="s">
        <v>4462</v>
      </c>
      <c r="F1845" s="32">
        <v>10</v>
      </c>
      <c r="G1845" s="32">
        <v>69060500</v>
      </c>
      <c r="H1845" s="32">
        <v>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4463</v>
      </c>
      <c r="BC1845" s="31">
        <v>0</v>
      </c>
      <c r="BD1845" s="31">
        <v>1</v>
      </c>
      <c r="BE1845" s="35" t="s">
        <v>4464</v>
      </c>
      <c r="BF1845" s="35" t="s">
        <v>4465</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69060600</v>
      </c>
      <c r="D1846" s="35" t="s">
        <v>4466</v>
      </c>
      <c r="E1846" s="35" t="s">
        <v>4467</v>
      </c>
      <c r="F1846" s="32">
        <v>1</v>
      </c>
      <c r="G1846" s="32">
        <v>69060600</v>
      </c>
      <c r="H1846" s="32">
        <v>69060601</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4468</v>
      </c>
      <c r="BC1846" s="31">
        <v>0</v>
      </c>
      <c r="BD1846" s="31">
        <v>1</v>
      </c>
      <c r="BE1846" s="35" t="s">
        <v>4202</v>
      </c>
      <c r="BF1846" s="35" t="s">
        <v>4203</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69060601</v>
      </c>
      <c r="D1847" s="35" t="s">
        <v>4469</v>
      </c>
      <c r="E1847" s="35" t="s">
        <v>4470</v>
      </c>
      <c r="F1847" s="32">
        <v>1</v>
      </c>
      <c r="G1847" s="32">
        <v>69060600</v>
      </c>
      <c r="H1847" s="32">
        <v>69060602</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1596</v>
      </c>
      <c r="BC1847" s="31">
        <v>0</v>
      </c>
      <c r="BD1847" s="31">
        <v>1</v>
      </c>
      <c r="BE1847" s="35" t="s">
        <v>4471</v>
      </c>
      <c r="BF1847" s="35" t="s">
        <v>4472</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69060602</v>
      </c>
      <c r="D1848" s="35" t="s">
        <v>4473</v>
      </c>
      <c r="E1848" s="35" t="s">
        <v>4474</v>
      </c>
      <c r="F1848" s="32">
        <v>1</v>
      </c>
      <c r="G1848" s="32">
        <v>69060600</v>
      </c>
      <c r="H1848" s="32">
        <v>0</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4475</v>
      </c>
      <c r="BC1848" s="31">
        <v>0</v>
      </c>
      <c r="BD1848" s="31">
        <v>1</v>
      </c>
      <c r="BE1848" s="35" t="s">
        <v>4476</v>
      </c>
      <c r="BF1848" s="35" t="s">
        <v>4477</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69060700</v>
      </c>
      <c r="D1849" s="35" t="s">
        <v>4478</v>
      </c>
      <c r="E1849" s="35" t="s">
        <v>4479</v>
      </c>
      <c r="F1849" s="32">
        <v>1</v>
      </c>
      <c r="G1849" s="32">
        <v>69060700</v>
      </c>
      <c r="H1849" s="32">
        <v>69060701</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4468</v>
      </c>
      <c r="BC1849" s="31">
        <v>0</v>
      </c>
      <c r="BD1849" s="31">
        <v>1</v>
      </c>
      <c r="BE1849" s="35" t="s">
        <v>4202</v>
      </c>
      <c r="BF1849" s="35" t="s">
        <v>4203</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69060701</v>
      </c>
      <c r="D1850" s="35" t="s">
        <v>4480</v>
      </c>
      <c r="E1850" s="35" t="s">
        <v>4481</v>
      </c>
      <c r="F1850" s="32">
        <v>1</v>
      </c>
      <c r="G1850" s="32">
        <v>69060700</v>
      </c>
      <c r="H1850" s="32">
        <v>69060702</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1596</v>
      </c>
      <c r="BC1850" s="31">
        <v>0</v>
      </c>
      <c r="BD1850" s="31">
        <v>1</v>
      </c>
      <c r="BE1850" s="35" t="s">
        <v>4482</v>
      </c>
      <c r="BF1850" s="35" t="s">
        <v>4483</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69060702</v>
      </c>
      <c r="D1851" s="35" t="s">
        <v>4484</v>
      </c>
      <c r="E1851" s="35" t="s">
        <v>4485</v>
      </c>
      <c r="F1851" s="32">
        <v>1</v>
      </c>
      <c r="G1851" s="32">
        <v>69060700</v>
      </c>
      <c r="H1851" s="32">
        <v>0</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4475</v>
      </c>
      <c r="BC1851" s="31">
        <v>0</v>
      </c>
      <c r="BD1851" s="31">
        <v>1</v>
      </c>
      <c r="BE1851" s="35" t="s">
        <v>4486</v>
      </c>
      <c r="BF1851" s="35" t="s">
        <v>4487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69060800</v>
      </c>
      <c r="D1852" s="238" t="s">
        <v>4488</v>
      </c>
      <c r="E1852" s="238" t="s">
        <v>4489</v>
      </c>
      <c r="F1852" s="239">
        <v>1</v>
      </c>
      <c r="G1852" s="32">
        <v>69060800</v>
      </c>
      <c r="H1852" s="32">
        <v>69060801</v>
      </c>
      <c r="I1852" s="239">
        <v>0</v>
      </c>
      <c r="J1852" s="32">
        <v>20</v>
      </c>
      <c r="K1852" s="239">
        <v>3</v>
      </c>
      <c r="L1852" s="239">
        <v>0</v>
      </c>
      <c r="M1852" s="239">
        <v>0</v>
      </c>
      <c r="N1852" s="239">
        <v>0</v>
      </c>
      <c r="O1852" s="239">
        <v>2</v>
      </c>
      <c r="P1852" s="239">
        <v>0</v>
      </c>
      <c r="Q1852" s="239">
        <v>0</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c r="AU1852" s="239" t="s">
        <v>204</v>
      </c>
      <c r="AV1852" s="239"/>
      <c r="AW1852" s="238" t="s">
        <v>205</v>
      </c>
      <c r="AX1852" s="239">
        <v>0</v>
      </c>
      <c r="AY1852" s="239">
        <v>0</v>
      </c>
      <c r="AZ1852" s="239">
        <v>0</v>
      </c>
      <c r="BA1852" s="238" t="s">
        <v>206</v>
      </c>
      <c r="BB1852" s="239" t="s">
        <v>204</v>
      </c>
      <c r="BC1852" s="239">
        <v>0</v>
      </c>
      <c r="BD1852" s="239">
        <v>1</v>
      </c>
      <c r="BE1852" s="35" t="s">
        <v>4202</v>
      </c>
      <c r="BF1852" s="35" t="s">
        <v>4203</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69060801</v>
      </c>
      <c r="D1853" s="238" t="s">
        <v>4488</v>
      </c>
      <c r="E1853" s="238" t="s">
        <v>4489</v>
      </c>
      <c r="F1853" s="239">
        <v>1</v>
      </c>
      <c r="G1853" s="32">
        <v>69060800</v>
      </c>
      <c r="H1853" s="239">
        <v>0</v>
      </c>
      <c r="I1853" s="239">
        <v>0</v>
      </c>
      <c r="J1853" s="32">
        <v>20</v>
      </c>
      <c r="K1853" s="239">
        <v>3</v>
      </c>
      <c r="L1853" s="239">
        <v>0</v>
      </c>
      <c r="M1853" s="239">
        <v>0</v>
      </c>
      <c r="N1853" s="239">
        <v>0</v>
      </c>
      <c r="O1853" s="239">
        <v>2</v>
      </c>
      <c r="P1853" s="239">
        <v>13</v>
      </c>
      <c r="Q1853" s="239">
        <v>0.25</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v>80001031</v>
      </c>
      <c r="AU1853" s="239" t="s">
        <v>204</v>
      </c>
      <c r="AV1853" s="239"/>
      <c r="AW1853" s="238" t="s">
        <v>205</v>
      </c>
      <c r="AX1853" s="239" t="s">
        <v>1581</v>
      </c>
      <c r="AY1853" s="239">
        <v>0</v>
      </c>
      <c r="AZ1853" s="239">
        <v>40000003</v>
      </c>
      <c r="BA1853" s="238" t="s">
        <v>206</v>
      </c>
      <c r="BB1853" s="239" t="s">
        <v>204</v>
      </c>
      <c r="BC1853" s="239">
        <v>0</v>
      </c>
      <c r="BD1853" s="239">
        <v>1</v>
      </c>
      <c r="BE1853" s="238" t="s">
        <v>4490</v>
      </c>
      <c r="BF1853" s="238" t="s">
        <v>4491</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70000001</v>
      </c>
      <c r="D1854" s="35" t="s">
        <v>4492</v>
      </c>
      <c r="E1854" s="35" t="s">
        <v>4493</v>
      </c>
      <c r="F1854" s="32">
        <v>1</v>
      </c>
      <c r="G1854" s="69">
        <v>0</v>
      </c>
      <c r="H1854" s="32">
        <v>0</v>
      </c>
      <c r="I1854" s="31">
        <v>0</v>
      </c>
      <c r="J1854" s="32">
        <v>1</v>
      </c>
      <c r="K1854" s="32">
        <v>0</v>
      </c>
      <c r="L1854" s="32">
        <v>0</v>
      </c>
      <c r="M1854" s="32">
        <v>0</v>
      </c>
      <c r="N1854" s="32">
        <v>0</v>
      </c>
      <c r="O1854" s="32">
        <v>1</v>
      </c>
      <c r="P1854" s="32">
        <v>0</v>
      </c>
      <c r="Q1854" s="32">
        <v>0</v>
      </c>
      <c r="R1854" s="32">
        <v>0</v>
      </c>
      <c r="S1854" s="19">
        <v>0</v>
      </c>
      <c r="T1854" s="31">
        <v>0</v>
      </c>
      <c r="U1854" s="21">
        <v>0</v>
      </c>
      <c r="V1854" s="32">
        <v>1</v>
      </c>
      <c r="W1854" s="32">
        <v>0</v>
      </c>
      <c r="X1854" s="32">
        <v>1</v>
      </c>
      <c r="Y1854" s="19">
        <v>0</v>
      </c>
      <c r="Z1854" s="32">
        <v>0</v>
      </c>
      <c r="AA1854" s="32">
        <v>0</v>
      </c>
      <c r="AB1854" s="32">
        <v>0</v>
      </c>
      <c r="AC1854" s="32">
        <v>0</v>
      </c>
      <c r="AD1854" s="32">
        <v>1</v>
      </c>
      <c r="AE1854" s="32">
        <v>0</v>
      </c>
      <c r="AF1854" s="32">
        <v>1</v>
      </c>
      <c r="AG1854" s="32">
        <v>1</v>
      </c>
      <c r="AH1854" s="32">
        <v>2</v>
      </c>
      <c r="AI1854" s="19">
        <v>7</v>
      </c>
      <c r="AJ1854" s="19">
        <v>0</v>
      </c>
      <c r="AK1854" s="19">
        <v>0</v>
      </c>
      <c r="AL1854" s="19">
        <v>0</v>
      </c>
      <c r="AM1854" s="32">
        <v>0</v>
      </c>
      <c r="AN1854" s="32">
        <v>0</v>
      </c>
      <c r="AO1854" s="32">
        <v>0</v>
      </c>
      <c r="AP1854" s="32">
        <v>0</v>
      </c>
      <c r="AQ1854" s="32">
        <v>700</v>
      </c>
      <c r="AR1854" s="32">
        <v>0.5</v>
      </c>
      <c r="AS1854" s="32">
        <v>0</v>
      </c>
      <c r="AT1854" s="19">
        <v>0</v>
      </c>
      <c r="AU1854" s="32" t="s">
        <v>204</v>
      </c>
      <c r="AV1854" s="32"/>
      <c r="AW1854" s="35" t="s">
        <v>747</v>
      </c>
      <c r="AX1854" s="32">
        <v>0</v>
      </c>
      <c r="AY1854" s="74">
        <v>12000006</v>
      </c>
      <c r="AZ1854" s="32">
        <v>0</v>
      </c>
      <c r="BA1854" s="35" t="s">
        <v>206</v>
      </c>
      <c r="BB1854" s="35" t="s">
        <v>204</v>
      </c>
      <c r="BC1854" s="31">
        <v>0</v>
      </c>
      <c r="BD1854" s="31">
        <v>0</v>
      </c>
      <c r="BE1854" s="60"/>
      <c r="BF1854" s="60"/>
      <c r="BG1854" s="32">
        <v>0</v>
      </c>
      <c r="BH1854" s="21">
        <v>0</v>
      </c>
      <c r="BI1854" s="32">
        <v>0</v>
      </c>
      <c r="BJ1854" s="32">
        <v>0</v>
      </c>
      <c r="BK1854" s="32">
        <v>0</v>
      </c>
      <c r="BL1854" s="32">
        <v>0</v>
      </c>
      <c r="BM1854" s="25">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70000002</v>
      </c>
      <c r="D1855" s="88" t="s">
        <v>4494</v>
      </c>
      <c r="E1855" s="88" t="s">
        <v>4495</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12000006</v>
      </c>
      <c r="AZ1855" s="127">
        <v>20000025</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70000003</v>
      </c>
      <c r="D1856" s="88" t="s">
        <v>4496</v>
      </c>
      <c r="E1856" s="88" t="s">
        <v>4497</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10001004</v>
      </c>
      <c r="AZ1856" s="127">
        <v>20000037</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70000004</v>
      </c>
      <c r="D1857" s="88" t="s">
        <v>4498</v>
      </c>
      <c r="E1857" s="88" t="s">
        <v>4499</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12000006</v>
      </c>
      <c r="AZ1857" s="127">
        <v>20000038</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70000005</v>
      </c>
      <c r="D1858" s="35" t="s">
        <v>4500</v>
      </c>
      <c r="E1858" s="35" t="s">
        <v>4501</v>
      </c>
      <c r="F1858" s="32">
        <v>1</v>
      </c>
      <c r="G1858" s="32">
        <v>60010500</v>
      </c>
      <c r="H1858" s="32">
        <v>0</v>
      </c>
      <c r="I1858" s="31">
        <v>0</v>
      </c>
      <c r="J1858" s="32">
        <v>1</v>
      </c>
      <c r="K1858" s="32">
        <v>3</v>
      </c>
      <c r="L1858" s="21">
        <v>0</v>
      </c>
      <c r="M1858" s="32">
        <v>0</v>
      </c>
      <c r="N1858" s="32">
        <v>0</v>
      </c>
      <c r="O1858" s="32">
        <v>1</v>
      </c>
      <c r="P1858" s="32">
        <v>0</v>
      </c>
      <c r="Q1858" s="32">
        <v>0</v>
      </c>
      <c r="R1858" s="32">
        <v>0</v>
      </c>
      <c r="S1858" s="19">
        <v>0</v>
      </c>
      <c r="T1858" s="32">
        <v>0</v>
      </c>
      <c r="U1858" s="21">
        <v>0</v>
      </c>
      <c r="V1858" s="32">
        <v>1</v>
      </c>
      <c r="W1858" s="32">
        <v>0</v>
      </c>
      <c r="X1858" s="32">
        <v>0</v>
      </c>
      <c r="Y1858" s="19">
        <v>0</v>
      </c>
      <c r="Z1858" s="32">
        <v>0</v>
      </c>
      <c r="AA1858" s="32">
        <v>0</v>
      </c>
      <c r="AB1858" s="32">
        <v>0</v>
      </c>
      <c r="AC1858" s="32">
        <v>0</v>
      </c>
      <c r="AD1858" s="32">
        <v>1</v>
      </c>
      <c r="AE1858" s="32">
        <v>0</v>
      </c>
      <c r="AF1858" s="32">
        <v>1</v>
      </c>
      <c r="AG1858" s="32">
        <v>1</v>
      </c>
      <c r="AH1858" s="32">
        <v>2</v>
      </c>
      <c r="AI1858" s="19">
        <v>7</v>
      </c>
      <c r="AJ1858" s="19">
        <v>0</v>
      </c>
      <c r="AK1858" s="19">
        <v>0</v>
      </c>
      <c r="AL1858" s="19">
        <v>3</v>
      </c>
      <c r="AM1858" s="32">
        <v>0</v>
      </c>
      <c r="AN1858" s="32">
        <v>0</v>
      </c>
      <c r="AO1858" s="34">
        <v>0</v>
      </c>
      <c r="AP1858" s="21">
        <v>0.1</v>
      </c>
      <c r="AQ1858" s="32">
        <v>3000</v>
      </c>
      <c r="AR1858" s="32">
        <v>0</v>
      </c>
      <c r="AS1858" s="32">
        <v>40</v>
      </c>
      <c r="AT1858" s="19">
        <v>0</v>
      </c>
      <c r="AU1858" s="32" t="s">
        <v>204</v>
      </c>
      <c r="AV1858" s="32"/>
      <c r="AW1858" s="30" t="s">
        <v>238</v>
      </c>
      <c r="AX1858" s="32" t="s">
        <v>255</v>
      </c>
      <c r="AY1858" s="32">
        <v>0</v>
      </c>
      <c r="AZ1858" s="26">
        <v>0</v>
      </c>
      <c r="BA1858" s="35" t="s">
        <v>256</v>
      </c>
      <c r="BB1858" s="35" t="s">
        <v>204</v>
      </c>
      <c r="BC1858" s="31">
        <v>0</v>
      </c>
      <c r="BD1858" s="31">
        <v>0</v>
      </c>
      <c r="BE1858" s="33"/>
      <c r="BF1858" s="33"/>
      <c r="BG1858" s="32">
        <v>0</v>
      </c>
      <c r="BH1858" s="32">
        <v>0</v>
      </c>
      <c r="BI1858" s="32">
        <v>0</v>
      </c>
      <c r="BJ1858" s="32">
        <v>0</v>
      </c>
      <c r="BK1858" s="32">
        <v>0</v>
      </c>
      <c r="BL1858" s="32">
        <v>0</v>
      </c>
      <c r="BM1858" s="32">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70000006</v>
      </c>
      <c r="D1859" s="88" t="s">
        <v>4494</v>
      </c>
      <c r="E1859" s="88" t="s">
        <v>4495</v>
      </c>
      <c r="F1859" s="74">
        <v>1</v>
      </c>
      <c r="G1859" s="74">
        <v>60010500</v>
      </c>
      <c r="H1859" s="74">
        <v>0</v>
      </c>
      <c r="I1859" s="75">
        <v>0</v>
      </c>
      <c r="J1859" s="74">
        <v>1</v>
      </c>
      <c r="K1859" s="74">
        <v>0</v>
      </c>
      <c r="L1859" s="72">
        <v>0</v>
      </c>
      <c r="M1859" s="74">
        <v>0</v>
      </c>
      <c r="N1859" s="74">
        <v>0</v>
      </c>
      <c r="O1859" s="74">
        <v>1</v>
      </c>
      <c r="P1859" s="74">
        <v>0</v>
      </c>
      <c r="Q1859" s="74">
        <v>0</v>
      </c>
      <c r="R1859" s="74">
        <v>0</v>
      </c>
      <c r="S1859" s="19">
        <v>0</v>
      </c>
      <c r="T1859" s="74">
        <v>0</v>
      </c>
      <c r="U1859" s="72">
        <v>0</v>
      </c>
      <c r="V1859" s="74">
        <v>1</v>
      </c>
      <c r="W1859" s="74">
        <v>0</v>
      </c>
      <c r="X1859" s="74">
        <v>1</v>
      </c>
      <c r="Y1859" s="19">
        <v>0</v>
      </c>
      <c r="Z1859" s="74">
        <v>0</v>
      </c>
      <c r="AA1859" s="74">
        <v>0</v>
      </c>
      <c r="AB1859" s="74">
        <v>0</v>
      </c>
      <c r="AC1859" s="74">
        <v>0</v>
      </c>
      <c r="AD1859" s="74">
        <v>1</v>
      </c>
      <c r="AE1859" s="74">
        <v>0</v>
      </c>
      <c r="AF1859" s="74">
        <v>1</v>
      </c>
      <c r="AG1859" s="74">
        <v>1</v>
      </c>
      <c r="AH1859" s="74">
        <v>9</v>
      </c>
      <c r="AI1859" s="73">
        <v>7</v>
      </c>
      <c r="AJ1859" s="73">
        <v>0</v>
      </c>
      <c r="AK1859" s="19">
        <v>0</v>
      </c>
      <c r="AL1859" s="73">
        <v>9</v>
      </c>
      <c r="AM1859" s="74">
        <v>0</v>
      </c>
      <c r="AN1859" s="74">
        <v>0</v>
      </c>
      <c r="AO1859" s="74">
        <v>0</v>
      </c>
      <c r="AP1859" s="74">
        <v>0.5</v>
      </c>
      <c r="AQ1859" s="74">
        <v>3000</v>
      </c>
      <c r="AR1859" s="74">
        <v>0.5</v>
      </c>
      <c r="AS1859" s="74">
        <v>20</v>
      </c>
      <c r="AT1859" s="73">
        <v>0</v>
      </c>
      <c r="AU1859" s="74" t="s">
        <v>204</v>
      </c>
      <c r="AV1859" s="74"/>
      <c r="AW1859" s="35" t="s">
        <v>747</v>
      </c>
      <c r="AX1859" s="74" t="s">
        <v>255</v>
      </c>
      <c r="AY1859" s="74">
        <v>12000006</v>
      </c>
      <c r="AZ1859" s="127">
        <v>20000025</v>
      </c>
      <c r="BA1859" s="88" t="s">
        <v>256</v>
      </c>
      <c r="BB1859" s="88" t="s">
        <v>204</v>
      </c>
      <c r="BC1859" s="75">
        <v>0</v>
      </c>
      <c r="BD1859" s="75">
        <v>0</v>
      </c>
      <c r="BE1859" s="76"/>
      <c r="BF1859" s="76"/>
      <c r="BG1859" s="74">
        <v>0</v>
      </c>
      <c r="BH1859" s="74">
        <v>0</v>
      </c>
      <c r="BI1859" s="74">
        <v>0</v>
      </c>
      <c r="BJ1859" s="74">
        <v>0</v>
      </c>
      <c r="BK1859" s="74">
        <v>0</v>
      </c>
      <c r="BL1859" s="74">
        <v>0</v>
      </c>
      <c r="BM1859" s="74">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70000007</v>
      </c>
      <c r="D1860" s="88" t="s">
        <v>4502</v>
      </c>
      <c r="E1860" s="88" t="s">
        <v>4503</v>
      </c>
      <c r="F1860" s="32">
        <v>1</v>
      </c>
      <c r="G1860" s="32">
        <v>60010500</v>
      </c>
      <c r="H1860" s="32">
        <v>60000302</v>
      </c>
      <c r="I1860" s="31">
        <v>0</v>
      </c>
      <c r="J1860" s="32">
        <v>1</v>
      </c>
      <c r="K1860" s="32">
        <v>3</v>
      </c>
      <c r="L1860" s="21">
        <v>0</v>
      </c>
      <c r="M1860" s="32">
        <v>0</v>
      </c>
      <c r="N1860" s="32">
        <v>0</v>
      </c>
      <c r="O1860" s="32">
        <v>1</v>
      </c>
      <c r="P1860" s="32">
        <v>0</v>
      </c>
      <c r="Q1860" s="32">
        <v>0</v>
      </c>
      <c r="R1860" s="32">
        <v>0</v>
      </c>
      <c r="S1860" s="19">
        <v>0</v>
      </c>
      <c r="T1860" s="32">
        <v>0</v>
      </c>
      <c r="U1860" s="21">
        <v>0</v>
      </c>
      <c r="V1860" s="32">
        <v>1</v>
      </c>
      <c r="W1860" s="32">
        <v>0</v>
      </c>
      <c r="X1860" s="32">
        <v>1</v>
      </c>
      <c r="Y1860" s="19">
        <v>0</v>
      </c>
      <c r="Z1860" s="32">
        <v>0</v>
      </c>
      <c r="AA1860" s="32">
        <v>0</v>
      </c>
      <c r="AB1860" s="32">
        <v>0</v>
      </c>
      <c r="AC1860" s="32">
        <v>0</v>
      </c>
      <c r="AD1860" s="32">
        <v>1</v>
      </c>
      <c r="AE1860" s="32">
        <v>0</v>
      </c>
      <c r="AF1860" s="32">
        <v>1</v>
      </c>
      <c r="AG1860" s="32">
        <v>0</v>
      </c>
      <c r="AH1860" s="32">
        <v>0</v>
      </c>
      <c r="AI1860" s="19">
        <v>7</v>
      </c>
      <c r="AJ1860" s="19">
        <v>0</v>
      </c>
      <c r="AK1860" s="19">
        <v>0</v>
      </c>
      <c r="AL1860" s="19">
        <v>9</v>
      </c>
      <c r="AM1860" s="32">
        <v>0</v>
      </c>
      <c r="AN1860" s="32">
        <v>0</v>
      </c>
      <c r="AO1860" s="34">
        <v>0</v>
      </c>
      <c r="AP1860" s="21">
        <v>0.1</v>
      </c>
      <c r="AQ1860" s="32">
        <v>3000</v>
      </c>
      <c r="AR1860" s="32">
        <v>0.5</v>
      </c>
      <c r="AS1860" s="32">
        <v>20</v>
      </c>
      <c r="AT1860" s="19">
        <v>0</v>
      </c>
      <c r="AU1860" s="32" t="s">
        <v>204</v>
      </c>
      <c r="AV1860" s="32"/>
      <c r="AW1860" s="35" t="s">
        <v>747</v>
      </c>
      <c r="AX1860" s="32" t="s">
        <v>255</v>
      </c>
      <c r="AY1860" s="32">
        <v>12000006</v>
      </c>
      <c r="AZ1860" s="26">
        <v>20100210</v>
      </c>
      <c r="BA1860" s="35" t="s">
        <v>256</v>
      </c>
      <c r="BB1860" s="35" t="s">
        <v>204</v>
      </c>
      <c r="BC1860" s="31">
        <v>0</v>
      </c>
      <c r="BD1860" s="31">
        <v>0</v>
      </c>
      <c r="BE1860" s="33"/>
      <c r="BF1860" s="33"/>
      <c r="BG1860" s="32">
        <v>0</v>
      </c>
      <c r="BH1860" s="32">
        <v>0</v>
      </c>
      <c r="BI1860" s="32">
        <v>0</v>
      </c>
      <c r="BJ1860" s="32">
        <v>0</v>
      </c>
      <c r="BK1860" s="32">
        <v>0</v>
      </c>
      <c r="BL1860" s="32">
        <v>0</v>
      </c>
      <c r="BM1860" s="32">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70000008</v>
      </c>
      <c r="D1861" s="88" t="s">
        <v>4504</v>
      </c>
      <c r="E1861" s="88" t="s">
        <v>4505</v>
      </c>
      <c r="F1861" s="74">
        <v>1</v>
      </c>
      <c r="G1861" s="74">
        <v>60010500</v>
      </c>
      <c r="H1861" s="74">
        <v>0</v>
      </c>
      <c r="I1861" s="75">
        <v>0</v>
      </c>
      <c r="J1861" s="74">
        <v>1</v>
      </c>
      <c r="K1861" s="74">
        <v>0</v>
      </c>
      <c r="L1861" s="72">
        <v>0</v>
      </c>
      <c r="M1861" s="74">
        <v>0</v>
      </c>
      <c r="N1861" s="74">
        <v>0</v>
      </c>
      <c r="O1861" s="74">
        <v>1</v>
      </c>
      <c r="P1861" s="74">
        <v>0</v>
      </c>
      <c r="Q1861" s="74">
        <v>0</v>
      </c>
      <c r="R1861" s="74">
        <v>0</v>
      </c>
      <c r="S1861" s="19">
        <v>0</v>
      </c>
      <c r="T1861" s="74">
        <v>0</v>
      </c>
      <c r="U1861" s="72">
        <v>0</v>
      </c>
      <c r="V1861" s="74">
        <v>1</v>
      </c>
      <c r="W1861" s="74">
        <v>0</v>
      </c>
      <c r="X1861" s="74">
        <v>1</v>
      </c>
      <c r="Y1861" s="19">
        <v>0</v>
      </c>
      <c r="Z1861" s="74">
        <v>0</v>
      </c>
      <c r="AA1861" s="74">
        <v>0</v>
      </c>
      <c r="AB1861" s="74">
        <v>0</v>
      </c>
      <c r="AC1861" s="74">
        <v>0</v>
      </c>
      <c r="AD1861" s="74">
        <v>1</v>
      </c>
      <c r="AE1861" s="74">
        <v>0</v>
      </c>
      <c r="AF1861" s="74">
        <v>1</v>
      </c>
      <c r="AG1861" s="74">
        <v>1</v>
      </c>
      <c r="AH1861" s="74">
        <v>9</v>
      </c>
      <c r="AI1861" s="73">
        <v>7</v>
      </c>
      <c r="AJ1861" s="73">
        <v>0</v>
      </c>
      <c r="AK1861" s="19">
        <v>0</v>
      </c>
      <c r="AL1861" s="73">
        <v>9</v>
      </c>
      <c r="AM1861" s="74">
        <v>0</v>
      </c>
      <c r="AN1861" s="74">
        <v>0</v>
      </c>
      <c r="AO1861" s="74">
        <v>0</v>
      </c>
      <c r="AP1861" s="74">
        <v>0.5</v>
      </c>
      <c r="AQ1861" s="74">
        <v>3000</v>
      </c>
      <c r="AR1861" s="74">
        <v>0.5</v>
      </c>
      <c r="AS1861" s="74">
        <v>20</v>
      </c>
      <c r="AT1861" s="73">
        <v>0</v>
      </c>
      <c r="AU1861" s="74" t="s">
        <v>204</v>
      </c>
      <c r="AV1861" s="74"/>
      <c r="AW1861" s="35" t="s">
        <v>747</v>
      </c>
      <c r="AX1861" s="74" t="s">
        <v>255</v>
      </c>
      <c r="AY1861" s="74">
        <v>12000006</v>
      </c>
      <c r="AZ1861" s="127">
        <v>20000025</v>
      </c>
      <c r="BA1861" s="88" t="s">
        <v>256</v>
      </c>
      <c r="BB1861" s="88" t="s">
        <v>204</v>
      </c>
      <c r="BC1861" s="75">
        <v>0</v>
      </c>
      <c r="BD1861" s="75">
        <v>0</v>
      </c>
      <c r="BE1861" s="76"/>
      <c r="BF1861" s="76"/>
      <c r="BG1861" s="74">
        <v>0</v>
      </c>
      <c r="BH1861" s="74">
        <v>0</v>
      </c>
      <c r="BI1861" s="74">
        <v>0</v>
      </c>
      <c r="BJ1861" s="74">
        <v>0</v>
      </c>
      <c r="BK1861" s="74">
        <v>0</v>
      </c>
      <c r="BL1861" s="74">
        <v>0</v>
      </c>
      <c r="BM1861" s="74">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70000009</v>
      </c>
      <c r="D1862" s="88" t="s">
        <v>4502</v>
      </c>
      <c r="E1862" s="88" t="s">
        <v>4503</v>
      </c>
      <c r="F1862" s="32">
        <v>1</v>
      </c>
      <c r="G1862" s="32">
        <v>60010500</v>
      </c>
      <c r="H1862" s="32">
        <v>60000302</v>
      </c>
      <c r="I1862" s="31">
        <v>0</v>
      </c>
      <c r="J1862" s="32">
        <v>1</v>
      </c>
      <c r="K1862" s="32">
        <v>3</v>
      </c>
      <c r="L1862" s="21">
        <v>0</v>
      </c>
      <c r="M1862" s="32">
        <v>0</v>
      </c>
      <c r="N1862" s="32">
        <v>0</v>
      </c>
      <c r="O1862" s="32">
        <v>1</v>
      </c>
      <c r="P1862" s="32">
        <v>0</v>
      </c>
      <c r="Q1862" s="32">
        <v>0</v>
      </c>
      <c r="R1862" s="32">
        <v>0</v>
      </c>
      <c r="S1862" s="19">
        <v>0</v>
      </c>
      <c r="T1862" s="32">
        <v>0</v>
      </c>
      <c r="U1862" s="21">
        <v>0</v>
      </c>
      <c r="V1862" s="32">
        <v>1</v>
      </c>
      <c r="W1862" s="32">
        <v>0</v>
      </c>
      <c r="X1862" s="32">
        <v>1</v>
      </c>
      <c r="Y1862" s="19">
        <v>0</v>
      </c>
      <c r="Z1862" s="32">
        <v>0</v>
      </c>
      <c r="AA1862" s="32">
        <v>0</v>
      </c>
      <c r="AB1862" s="32">
        <v>0</v>
      </c>
      <c r="AC1862" s="32">
        <v>0</v>
      </c>
      <c r="AD1862" s="32">
        <v>1</v>
      </c>
      <c r="AE1862" s="32">
        <v>0</v>
      </c>
      <c r="AF1862" s="32">
        <v>1</v>
      </c>
      <c r="AG1862" s="32">
        <v>0</v>
      </c>
      <c r="AH1862" s="32">
        <v>0</v>
      </c>
      <c r="AI1862" s="19">
        <v>7</v>
      </c>
      <c r="AJ1862" s="19">
        <v>0</v>
      </c>
      <c r="AK1862" s="19">
        <v>0</v>
      </c>
      <c r="AL1862" s="19">
        <v>9</v>
      </c>
      <c r="AM1862" s="32">
        <v>0</v>
      </c>
      <c r="AN1862" s="32">
        <v>0</v>
      </c>
      <c r="AO1862" s="34">
        <v>0</v>
      </c>
      <c r="AP1862" s="21">
        <v>0.1</v>
      </c>
      <c r="AQ1862" s="32">
        <v>3000</v>
      </c>
      <c r="AR1862" s="32">
        <v>0.5</v>
      </c>
      <c r="AS1862" s="32">
        <v>20</v>
      </c>
      <c r="AT1862" s="19">
        <v>0</v>
      </c>
      <c r="AU1862" s="32" t="s">
        <v>204</v>
      </c>
      <c r="AV1862" s="32"/>
      <c r="AW1862" s="35" t="s">
        <v>747</v>
      </c>
      <c r="AX1862" s="32" t="s">
        <v>255</v>
      </c>
      <c r="AY1862" s="32">
        <v>12000006</v>
      </c>
      <c r="AZ1862" s="26">
        <v>20000040</v>
      </c>
      <c r="BA1862" s="35" t="s">
        <v>256</v>
      </c>
      <c r="BB1862" s="35" t="s">
        <v>204</v>
      </c>
      <c r="BC1862" s="31">
        <v>0</v>
      </c>
      <c r="BD1862" s="31">
        <v>0</v>
      </c>
      <c r="BE1862" s="33"/>
      <c r="BF1862" s="33"/>
      <c r="BG1862" s="32">
        <v>0</v>
      </c>
      <c r="BH1862" s="32">
        <v>0</v>
      </c>
      <c r="BI1862" s="32">
        <v>0</v>
      </c>
      <c r="BJ1862" s="32">
        <v>0</v>
      </c>
      <c r="BK1862" s="32">
        <v>0</v>
      </c>
      <c r="BL1862" s="32">
        <v>0</v>
      </c>
      <c r="BM1862" s="32">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32">
        <v>70000011</v>
      </c>
      <c r="D1863" s="35" t="s">
        <v>4506</v>
      </c>
      <c r="E1863" s="35" t="s">
        <v>4507</v>
      </c>
      <c r="F1863" s="32">
        <v>1</v>
      </c>
      <c r="G1863" s="32">
        <v>0</v>
      </c>
      <c r="H1863" s="32">
        <v>0</v>
      </c>
      <c r="I1863" s="31">
        <v>0</v>
      </c>
      <c r="J1863" s="32">
        <v>1</v>
      </c>
      <c r="K1863" s="32">
        <v>0</v>
      </c>
      <c r="L1863" s="32">
        <v>0</v>
      </c>
      <c r="M1863" s="32">
        <v>0</v>
      </c>
      <c r="N1863" s="32">
        <v>0</v>
      </c>
      <c r="O1863" s="32">
        <v>1</v>
      </c>
      <c r="P1863" s="32">
        <v>0</v>
      </c>
      <c r="Q1863" s="32">
        <v>0</v>
      </c>
      <c r="R1863" s="32">
        <v>0</v>
      </c>
      <c r="S1863" s="19">
        <v>0</v>
      </c>
      <c r="T1863" s="31">
        <v>0</v>
      </c>
      <c r="U1863" s="21">
        <v>0</v>
      </c>
      <c r="V1863" s="32">
        <v>1</v>
      </c>
      <c r="W1863" s="32">
        <v>0</v>
      </c>
      <c r="X1863" s="32">
        <v>1</v>
      </c>
      <c r="Y1863" s="19">
        <v>0</v>
      </c>
      <c r="Z1863" s="32">
        <v>0</v>
      </c>
      <c r="AA1863" s="32">
        <v>0</v>
      </c>
      <c r="AB1863" s="32">
        <v>0</v>
      </c>
      <c r="AC1863" s="32">
        <v>0</v>
      </c>
      <c r="AD1863" s="32">
        <v>1</v>
      </c>
      <c r="AE1863" s="32">
        <v>0</v>
      </c>
      <c r="AF1863" s="32">
        <v>1</v>
      </c>
      <c r="AG1863" s="32">
        <v>1</v>
      </c>
      <c r="AH1863" s="32">
        <v>2</v>
      </c>
      <c r="AI1863" s="19">
        <v>7</v>
      </c>
      <c r="AJ1863" s="19">
        <v>0</v>
      </c>
      <c r="AK1863" s="19">
        <v>0</v>
      </c>
      <c r="AL1863" s="19">
        <v>0</v>
      </c>
      <c r="AM1863" s="32">
        <v>0</v>
      </c>
      <c r="AN1863" s="32">
        <v>0</v>
      </c>
      <c r="AO1863" s="32">
        <v>0</v>
      </c>
      <c r="AP1863" s="32">
        <v>0</v>
      </c>
      <c r="AQ1863" s="32">
        <v>1000</v>
      </c>
      <c r="AR1863" s="32">
        <v>0.5</v>
      </c>
      <c r="AS1863" s="32">
        <v>0</v>
      </c>
      <c r="AT1863" s="19">
        <v>0</v>
      </c>
      <c r="AU1863" s="32" t="s">
        <v>204</v>
      </c>
      <c r="AV1863" s="32"/>
      <c r="AW1863" s="35" t="s">
        <v>747</v>
      </c>
      <c r="AX1863" s="74">
        <v>0</v>
      </c>
      <c r="AY1863" s="26">
        <v>12000006</v>
      </c>
      <c r="AZ1863" s="32">
        <v>0</v>
      </c>
      <c r="BA1863" s="35" t="s">
        <v>206</v>
      </c>
      <c r="BB1863" s="35" t="s">
        <v>204</v>
      </c>
      <c r="BC1863" s="31">
        <v>0</v>
      </c>
      <c r="BD1863" s="31">
        <v>0</v>
      </c>
      <c r="BE1863" s="60"/>
      <c r="BF1863" s="60"/>
      <c r="BG1863" s="32">
        <v>0</v>
      </c>
      <c r="BH1863" s="21">
        <v>0</v>
      </c>
      <c r="BI1863" s="32">
        <v>0</v>
      </c>
      <c r="BJ1863" s="32">
        <v>0</v>
      </c>
      <c r="BK1863" s="32">
        <v>0</v>
      </c>
      <c r="BL1863" s="32">
        <v>0</v>
      </c>
      <c r="BM1863" s="25">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74">
        <v>70000012</v>
      </c>
      <c r="D1864" s="88" t="s">
        <v>4508</v>
      </c>
      <c r="E1864" s="88" t="s">
        <v>4509</v>
      </c>
      <c r="F1864" s="74">
        <v>1</v>
      </c>
      <c r="G1864" s="74">
        <v>60010500</v>
      </c>
      <c r="H1864" s="74">
        <v>0</v>
      </c>
      <c r="I1864" s="75">
        <v>0</v>
      </c>
      <c r="J1864" s="74">
        <v>1</v>
      </c>
      <c r="K1864" s="74">
        <v>0</v>
      </c>
      <c r="L1864" s="72">
        <v>0</v>
      </c>
      <c r="M1864" s="74">
        <v>0</v>
      </c>
      <c r="N1864" s="74">
        <v>0</v>
      </c>
      <c r="O1864" s="74">
        <v>1</v>
      </c>
      <c r="P1864" s="74">
        <v>0</v>
      </c>
      <c r="Q1864" s="74">
        <v>0</v>
      </c>
      <c r="R1864" s="74">
        <v>0</v>
      </c>
      <c r="S1864" s="19">
        <v>0</v>
      </c>
      <c r="T1864" s="74">
        <v>0</v>
      </c>
      <c r="U1864" s="72">
        <v>0</v>
      </c>
      <c r="V1864" s="74">
        <v>2</v>
      </c>
      <c r="W1864" s="74">
        <v>0</v>
      </c>
      <c r="X1864" s="74">
        <v>1</v>
      </c>
      <c r="Y1864" s="19">
        <v>0</v>
      </c>
      <c r="Z1864" s="74">
        <v>0</v>
      </c>
      <c r="AA1864" s="74">
        <v>0</v>
      </c>
      <c r="AB1864" s="74">
        <v>0</v>
      </c>
      <c r="AC1864" s="74">
        <v>0</v>
      </c>
      <c r="AD1864" s="74">
        <v>1</v>
      </c>
      <c r="AE1864" s="74">
        <v>0</v>
      </c>
      <c r="AF1864" s="74">
        <v>1</v>
      </c>
      <c r="AG1864" s="74">
        <v>1</v>
      </c>
      <c r="AH1864" s="74">
        <v>9</v>
      </c>
      <c r="AI1864" s="73">
        <v>7</v>
      </c>
      <c r="AJ1864" s="73">
        <v>0</v>
      </c>
      <c r="AK1864" s="19">
        <v>0</v>
      </c>
      <c r="AL1864" s="73">
        <v>9</v>
      </c>
      <c r="AM1864" s="74">
        <v>0</v>
      </c>
      <c r="AN1864" s="74">
        <v>0</v>
      </c>
      <c r="AO1864" s="74">
        <v>0</v>
      </c>
      <c r="AP1864" s="74">
        <v>0.5</v>
      </c>
      <c r="AQ1864" s="74">
        <v>3000</v>
      </c>
      <c r="AR1864" s="74">
        <v>0.2</v>
      </c>
      <c r="AS1864" s="74">
        <v>20</v>
      </c>
      <c r="AT1864" s="73">
        <v>0</v>
      </c>
      <c r="AU1864" s="74" t="s">
        <v>204</v>
      </c>
      <c r="AV1864" s="74"/>
      <c r="AW1864" s="35" t="s">
        <v>747</v>
      </c>
      <c r="AX1864" s="74" t="s">
        <v>255</v>
      </c>
      <c r="AY1864" s="74">
        <v>12000006</v>
      </c>
      <c r="AZ1864" s="127">
        <v>20000025</v>
      </c>
      <c r="BA1864" s="88" t="s">
        <v>256</v>
      </c>
      <c r="BB1864" s="88" t="s">
        <v>204</v>
      </c>
      <c r="BC1864" s="75">
        <v>0</v>
      </c>
      <c r="BD1864" s="75">
        <v>0</v>
      </c>
      <c r="BE1864" s="76"/>
      <c r="BF1864" s="76"/>
      <c r="BG1864" s="74">
        <v>0</v>
      </c>
      <c r="BH1864" s="74">
        <v>0</v>
      </c>
      <c r="BI1864" s="74">
        <v>0</v>
      </c>
      <c r="BJ1864" s="74">
        <v>0</v>
      </c>
      <c r="BK1864" s="74">
        <v>0</v>
      </c>
      <c r="BL1864" s="74">
        <v>0</v>
      </c>
      <c r="BM1864" s="74">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70000101</v>
      </c>
      <c r="D1865" s="35" t="s">
        <v>4492</v>
      </c>
      <c r="E1865" s="35" t="s">
        <v>4493</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0.05</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70000102</v>
      </c>
      <c r="D1866" s="35" t="s">
        <v>4492</v>
      </c>
      <c r="E1866" s="35" t="s">
        <v>4493</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70000103</v>
      </c>
      <c r="D1867" s="35" t="s">
        <v>4492</v>
      </c>
      <c r="E1867" s="35" t="s">
        <v>4493</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0.15</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70000104</v>
      </c>
      <c r="D1868" s="35" t="s">
        <v>4492</v>
      </c>
      <c r="E1868" s="35" t="s">
        <v>4493</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70000105</v>
      </c>
      <c r="D1869" s="35" t="s">
        <v>4492</v>
      </c>
      <c r="E1869" s="35" t="s">
        <v>4493</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0.25</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70000106</v>
      </c>
      <c r="D1870" s="35" t="s">
        <v>4492</v>
      </c>
      <c r="E1870" s="35" t="s">
        <v>4493</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70000107</v>
      </c>
      <c r="D1871" s="35" t="s">
        <v>4492</v>
      </c>
      <c r="E1871" s="35" t="s">
        <v>4493</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0.35</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70000108</v>
      </c>
      <c r="D1872" s="35" t="s">
        <v>4492</v>
      </c>
      <c r="E1872" s="35" t="s">
        <v>4493</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70000109</v>
      </c>
      <c r="D1873" s="35" t="s">
        <v>4492</v>
      </c>
      <c r="E1873" s="35" t="s">
        <v>4493</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0.45</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70000110</v>
      </c>
      <c r="D1874" s="35" t="s">
        <v>4492</v>
      </c>
      <c r="E1874" s="35" t="s">
        <v>4493</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0.5</v>
      </c>
      <c r="AS1874" s="32">
        <v>0</v>
      </c>
      <c r="AT1874" s="19">
        <v>0</v>
      </c>
      <c r="AU1874" s="32">
        <v>0</v>
      </c>
      <c r="AV1874" s="32"/>
      <c r="AW1874" s="35" t="s">
        <v>747</v>
      </c>
      <c r="AX1874" s="32">
        <v>0</v>
      </c>
      <c r="AY1874" s="74">
        <v>12000006</v>
      </c>
      <c r="AZ1874" s="32">
        <v>0</v>
      </c>
      <c r="BA1874" s="35" t="s">
        <v>206</v>
      </c>
      <c r="BB1874" s="35" t="s">
        <v>377</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19.5" customHeight="1">
      <c r="C1875" s="32">
        <v>70000111</v>
      </c>
      <c r="D1875" s="35" t="s">
        <v>4492</v>
      </c>
      <c r="E1875" s="35" t="s">
        <v>4493</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0.8</v>
      </c>
      <c r="AS1875" s="32">
        <v>0</v>
      </c>
      <c r="AT1875" s="19">
        <v>0</v>
      </c>
      <c r="AU1875" s="32" t="s">
        <v>204</v>
      </c>
      <c r="AV1875" s="32"/>
      <c r="AW1875" s="35" t="s">
        <v>747</v>
      </c>
      <c r="AX1875" s="32">
        <v>0</v>
      </c>
      <c r="AY1875" s="74">
        <v>12000006</v>
      </c>
      <c r="AZ1875" s="32">
        <v>0</v>
      </c>
      <c r="BA1875" s="35" t="s">
        <v>206</v>
      </c>
      <c r="BB1875" s="35" t="s">
        <v>204</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70001001</v>
      </c>
      <c r="D1876" s="30" t="s">
        <v>604</v>
      </c>
      <c r="E1876" s="30" t="s">
        <v>1168</v>
      </c>
      <c r="F1876" s="32">
        <v>1</v>
      </c>
      <c r="G1876" s="21">
        <v>60010300</v>
      </c>
      <c r="H1876" s="32">
        <v>0</v>
      </c>
      <c r="I1876" s="31">
        <v>0</v>
      </c>
      <c r="J1876" s="32">
        <v>1</v>
      </c>
      <c r="K1876" s="32">
        <v>0</v>
      </c>
      <c r="L1876" s="32">
        <v>0</v>
      </c>
      <c r="M1876" s="21">
        <v>0</v>
      </c>
      <c r="N1876" s="21">
        <v>0</v>
      </c>
      <c r="O1876" s="21">
        <v>2</v>
      </c>
      <c r="P1876" s="21">
        <v>1</v>
      </c>
      <c r="Q1876" s="21">
        <v>0.3</v>
      </c>
      <c r="R1876" s="21">
        <v>0</v>
      </c>
      <c r="S1876" s="19">
        <v>0</v>
      </c>
      <c r="T1876" s="21">
        <v>0</v>
      </c>
      <c r="U1876" s="21">
        <v>1</v>
      </c>
      <c r="V1876" s="21">
        <v>2</v>
      </c>
      <c r="W1876" s="21">
        <v>0</v>
      </c>
      <c r="X1876" s="21">
        <v>3</v>
      </c>
      <c r="Y1876" s="19">
        <v>0</v>
      </c>
      <c r="Z1876" s="21">
        <v>350</v>
      </c>
      <c r="AA1876" s="21">
        <v>0</v>
      </c>
      <c r="AB1876" s="21">
        <v>0</v>
      </c>
      <c r="AC1876" s="21">
        <v>0</v>
      </c>
      <c r="AD1876" s="21">
        <v>0</v>
      </c>
      <c r="AE1876" s="21">
        <v>0</v>
      </c>
      <c r="AF1876" s="21">
        <v>9</v>
      </c>
      <c r="AG1876" s="21">
        <v>2</v>
      </c>
      <c r="AH1876" s="21" t="s">
        <v>219</v>
      </c>
      <c r="AI1876" s="19">
        <v>0</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293</v>
      </c>
      <c r="AX1876" s="21" t="s">
        <v>551</v>
      </c>
      <c r="AY1876" s="32">
        <v>10000007</v>
      </c>
      <c r="AZ1876" s="32">
        <v>21000110</v>
      </c>
      <c r="BA1876" s="30" t="s">
        <v>206</v>
      </c>
      <c r="BB1876" s="21">
        <v>0</v>
      </c>
      <c r="BC1876" s="31">
        <v>0</v>
      </c>
      <c r="BD1876" s="31">
        <v>0</v>
      </c>
      <c r="BE1876" s="33" t="s">
        <v>583</v>
      </c>
      <c r="BF1876" s="33" t="s">
        <v>584</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70101001</v>
      </c>
      <c r="D1877" s="30" t="s">
        <v>595</v>
      </c>
      <c r="E1877" s="30" t="s">
        <v>596</v>
      </c>
      <c r="F1877" s="32">
        <v>1</v>
      </c>
      <c r="G1877" s="21">
        <v>60010300</v>
      </c>
      <c r="H1877" s="32">
        <v>0</v>
      </c>
      <c r="I1877" s="31">
        <v>0</v>
      </c>
      <c r="J1877" s="32">
        <v>1</v>
      </c>
      <c r="K1877" s="32">
        <v>0</v>
      </c>
      <c r="L1877" s="32">
        <v>0</v>
      </c>
      <c r="M1877" s="21">
        <v>0</v>
      </c>
      <c r="N1877" s="21">
        <v>0</v>
      </c>
      <c r="O1877" s="21">
        <v>2</v>
      </c>
      <c r="P1877" s="21">
        <v>2</v>
      </c>
      <c r="Q1877" s="21">
        <v>0.8</v>
      </c>
      <c r="R1877" s="21">
        <v>0</v>
      </c>
      <c r="S1877" s="19">
        <v>0</v>
      </c>
      <c r="T1877" s="21">
        <v>0</v>
      </c>
      <c r="U1877" s="21">
        <v>1</v>
      </c>
      <c r="V1877" s="21">
        <v>2</v>
      </c>
      <c r="W1877" s="21">
        <v>0</v>
      </c>
      <c r="X1877" s="21">
        <v>0</v>
      </c>
      <c r="Y1877" s="19">
        <v>0</v>
      </c>
      <c r="Z1877" s="21">
        <v>0</v>
      </c>
      <c r="AA1877" s="21">
        <v>0</v>
      </c>
      <c r="AB1877" s="21">
        <v>0</v>
      </c>
      <c r="AC1877" s="21">
        <v>0</v>
      </c>
      <c r="AD1877" s="21">
        <v>0</v>
      </c>
      <c r="AE1877" s="21">
        <v>0</v>
      </c>
      <c r="AF1877" s="21">
        <v>20</v>
      </c>
      <c r="AG1877" s="21">
        <v>0</v>
      </c>
      <c r="AH1877" s="21">
        <v>0</v>
      </c>
      <c r="AI1877" s="19">
        <v>2</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205</v>
      </c>
      <c r="AX1877" s="21" t="s">
        <v>551</v>
      </c>
      <c r="AY1877" s="32">
        <v>0</v>
      </c>
      <c r="AZ1877" s="32">
        <v>0</v>
      </c>
      <c r="BA1877" s="30" t="s">
        <v>534</v>
      </c>
      <c r="BB1877" s="21" t="s">
        <v>4510</v>
      </c>
      <c r="BC1877" s="31">
        <v>0</v>
      </c>
      <c r="BD1877" s="31">
        <v>0</v>
      </c>
      <c r="BE1877" s="33" t="s">
        <v>4511</v>
      </c>
      <c r="BF1877" s="33" t="s">
        <v>4512</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1.75" customHeight="1">
      <c r="C1878" s="32">
        <v>70102001</v>
      </c>
      <c r="D1878" s="30" t="s">
        <v>538</v>
      </c>
      <c r="E1878" s="30" t="s">
        <v>261</v>
      </c>
      <c r="F1878" s="32">
        <v>1</v>
      </c>
      <c r="G1878" s="21">
        <v>60010100</v>
      </c>
      <c r="H1878" s="32">
        <v>0</v>
      </c>
      <c r="I1878" s="31">
        <v>0</v>
      </c>
      <c r="J1878" s="32">
        <v>1</v>
      </c>
      <c r="K1878" s="32">
        <v>0</v>
      </c>
      <c r="L1878" s="32">
        <v>0</v>
      </c>
      <c r="M1878" s="21">
        <v>0</v>
      </c>
      <c r="N1878" s="21">
        <v>0</v>
      </c>
      <c r="O1878" s="21">
        <v>2</v>
      </c>
      <c r="P1878" s="21">
        <v>3</v>
      </c>
      <c r="Q1878" s="21">
        <v>1</v>
      </c>
      <c r="R1878" s="21">
        <v>0</v>
      </c>
      <c r="S1878" s="19">
        <v>0</v>
      </c>
      <c r="T1878" s="21">
        <v>0</v>
      </c>
      <c r="U1878" s="21">
        <v>1</v>
      </c>
      <c r="V1878" s="21">
        <v>2</v>
      </c>
      <c r="W1878" s="21">
        <v>0</v>
      </c>
      <c r="X1878" s="21">
        <v>3</v>
      </c>
      <c r="Y1878" s="19">
        <v>0</v>
      </c>
      <c r="Z1878" s="21">
        <v>0</v>
      </c>
      <c r="AA1878" s="21">
        <v>1</v>
      </c>
      <c r="AB1878" s="21">
        <v>0</v>
      </c>
      <c r="AC1878" s="21">
        <v>0</v>
      </c>
      <c r="AD1878" s="21">
        <v>0</v>
      </c>
      <c r="AE1878" s="21">
        <v>0</v>
      </c>
      <c r="AF1878" s="21">
        <v>9</v>
      </c>
      <c r="AG1878" s="21">
        <v>1</v>
      </c>
      <c r="AH1878" s="21">
        <v>4</v>
      </c>
      <c r="AI1878" s="19">
        <v>0</v>
      </c>
      <c r="AJ1878" s="19">
        <v>1</v>
      </c>
      <c r="AK1878" s="19">
        <v>0</v>
      </c>
      <c r="AL1878" s="19">
        <v>2</v>
      </c>
      <c r="AM1878" s="21">
        <v>0</v>
      </c>
      <c r="AN1878" s="21">
        <v>0</v>
      </c>
      <c r="AO1878" s="21">
        <v>0</v>
      </c>
      <c r="AP1878" s="21">
        <v>3</v>
      </c>
      <c r="AQ1878" s="21">
        <v>5000</v>
      </c>
      <c r="AR1878" s="21">
        <v>2.5</v>
      </c>
      <c r="AS1878" s="21">
        <v>0</v>
      </c>
      <c r="AT1878" s="19">
        <v>0</v>
      </c>
      <c r="AU1878" s="21" t="s">
        <v>539</v>
      </c>
      <c r="AV1878" s="21"/>
      <c r="AW1878" s="30" t="s">
        <v>293</v>
      </c>
      <c r="AX1878" s="21" t="s">
        <v>540</v>
      </c>
      <c r="AY1878" s="32">
        <v>10000007</v>
      </c>
      <c r="AZ1878" s="32">
        <v>70102001</v>
      </c>
      <c r="BA1878" s="30" t="s">
        <v>206</v>
      </c>
      <c r="BB1878" s="21" t="s">
        <v>4513</v>
      </c>
      <c r="BC1878" s="31">
        <v>0</v>
      </c>
      <c r="BD1878" s="31">
        <v>0</v>
      </c>
      <c r="BE1878" s="33" t="s">
        <v>542</v>
      </c>
      <c r="BF1878" s="33" t="s">
        <v>543</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70102002</v>
      </c>
      <c r="D1879" s="35" t="s">
        <v>544</v>
      </c>
      <c r="E1879" s="35" t="s">
        <v>545</v>
      </c>
      <c r="F1879" s="32">
        <v>1</v>
      </c>
      <c r="G1879" s="32">
        <v>60010500</v>
      </c>
      <c r="H1879" s="32">
        <v>0</v>
      </c>
      <c r="I1879" s="31">
        <v>0</v>
      </c>
      <c r="J1879" s="32">
        <v>1</v>
      </c>
      <c r="K1879" s="32">
        <v>0</v>
      </c>
      <c r="L1879" s="32">
        <v>0</v>
      </c>
      <c r="M1879" s="32">
        <v>0</v>
      </c>
      <c r="N1879" s="32">
        <v>0</v>
      </c>
      <c r="O1879" s="21">
        <v>2</v>
      </c>
      <c r="P1879" s="32">
        <v>2</v>
      </c>
      <c r="Q1879" s="32">
        <v>0.6</v>
      </c>
      <c r="R1879" s="32">
        <v>0</v>
      </c>
      <c r="S1879" s="19">
        <v>0</v>
      </c>
      <c r="T1879" s="31">
        <v>0</v>
      </c>
      <c r="U1879" s="21">
        <v>1</v>
      </c>
      <c r="V1879" s="32">
        <v>2</v>
      </c>
      <c r="W1879" s="32">
        <v>0</v>
      </c>
      <c r="X1879" s="32">
        <v>0</v>
      </c>
      <c r="Y1879" s="19">
        <v>0</v>
      </c>
      <c r="Z1879" s="32">
        <v>0</v>
      </c>
      <c r="AA1879" s="32">
        <v>0</v>
      </c>
      <c r="AB1879" s="32">
        <v>0</v>
      </c>
      <c r="AC1879" s="32">
        <v>0</v>
      </c>
      <c r="AD1879" s="32">
        <v>0</v>
      </c>
      <c r="AE1879" s="32">
        <v>0</v>
      </c>
      <c r="AF1879" s="32">
        <v>20</v>
      </c>
      <c r="AG1879" s="32">
        <v>0</v>
      </c>
      <c r="AH1879" s="32">
        <v>0</v>
      </c>
      <c r="AI1879" s="19">
        <v>2</v>
      </c>
      <c r="AJ1879" s="19">
        <v>0</v>
      </c>
      <c r="AK1879" s="19">
        <v>0</v>
      </c>
      <c r="AL1879" s="19">
        <v>0</v>
      </c>
      <c r="AM1879" s="32">
        <v>0</v>
      </c>
      <c r="AN1879" s="32">
        <v>0</v>
      </c>
      <c r="AO1879" s="32">
        <v>0</v>
      </c>
      <c r="AP1879" s="32">
        <v>0</v>
      </c>
      <c r="AQ1879" s="32">
        <v>1000</v>
      </c>
      <c r="AR1879" s="32">
        <v>0</v>
      </c>
      <c r="AS1879" s="32">
        <v>0</v>
      </c>
      <c r="AT1879" s="19">
        <v>90102001</v>
      </c>
      <c r="AU1879" s="32" t="s">
        <v>204</v>
      </c>
      <c r="AV1879" s="32"/>
      <c r="AW1879" s="35" t="s">
        <v>205</v>
      </c>
      <c r="AX1879" s="32" t="s">
        <v>354</v>
      </c>
      <c r="AY1879" s="32">
        <v>0</v>
      </c>
      <c r="AZ1879" s="32">
        <v>40000003</v>
      </c>
      <c r="BA1879" s="35" t="s">
        <v>206</v>
      </c>
      <c r="BB1879" s="35" t="s">
        <v>204</v>
      </c>
      <c r="BC1879" s="31">
        <v>0</v>
      </c>
      <c r="BD1879" s="31">
        <v>0</v>
      </c>
      <c r="BE1879" s="60" t="s">
        <v>546</v>
      </c>
      <c r="BF1879" s="60" t="s">
        <v>547</v>
      </c>
      <c r="BG1879" s="32">
        <v>0</v>
      </c>
      <c r="BH1879" s="21">
        <v>0</v>
      </c>
      <c r="BI1879" s="32">
        <v>0</v>
      </c>
      <c r="BJ1879" s="32">
        <v>0</v>
      </c>
      <c r="BK1879" s="32">
        <v>0</v>
      </c>
      <c r="BL1879" s="32">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70103001</v>
      </c>
      <c r="D1880" s="30" t="s">
        <v>549</v>
      </c>
      <c r="E1880" s="30" t="s">
        <v>550</v>
      </c>
      <c r="F1880" s="32">
        <v>1</v>
      </c>
      <c r="G1880" s="21">
        <v>60010300</v>
      </c>
      <c r="H1880" s="32">
        <v>0</v>
      </c>
      <c r="I1880" s="31">
        <v>0</v>
      </c>
      <c r="J1880" s="32">
        <v>1</v>
      </c>
      <c r="K1880" s="32">
        <v>0</v>
      </c>
      <c r="L1880" s="32">
        <v>0</v>
      </c>
      <c r="M1880" s="21">
        <v>0</v>
      </c>
      <c r="N1880" s="21">
        <v>0</v>
      </c>
      <c r="O1880" s="21">
        <v>2</v>
      </c>
      <c r="P1880" s="21">
        <v>1</v>
      </c>
      <c r="Q1880" s="21">
        <v>0.5</v>
      </c>
      <c r="R1880" s="21">
        <v>0</v>
      </c>
      <c r="S1880" s="19">
        <v>0</v>
      </c>
      <c r="T1880" s="21">
        <v>0</v>
      </c>
      <c r="U1880" s="21">
        <v>1</v>
      </c>
      <c r="V1880" s="21">
        <v>2</v>
      </c>
      <c r="W1880" s="21">
        <v>0</v>
      </c>
      <c r="X1880" s="21">
        <v>3</v>
      </c>
      <c r="Y1880" s="19">
        <v>0</v>
      </c>
      <c r="Z1880" s="21">
        <v>0</v>
      </c>
      <c r="AA1880" s="21">
        <v>0</v>
      </c>
      <c r="AB1880" s="21">
        <v>0</v>
      </c>
      <c r="AC1880" s="21">
        <v>0</v>
      </c>
      <c r="AD1880" s="21">
        <v>0</v>
      </c>
      <c r="AE1880" s="21">
        <v>0</v>
      </c>
      <c r="AF1880" s="21">
        <v>12</v>
      </c>
      <c r="AG1880" s="21">
        <v>2</v>
      </c>
      <c r="AH1880" s="21" t="s">
        <v>219</v>
      </c>
      <c r="AI1880" s="19">
        <v>0</v>
      </c>
      <c r="AJ1880" s="19">
        <v>2</v>
      </c>
      <c r="AK1880" s="19">
        <v>0</v>
      </c>
      <c r="AL1880" s="19">
        <v>1.5</v>
      </c>
      <c r="AM1880" s="21">
        <v>0</v>
      </c>
      <c r="AN1880" s="21">
        <v>0</v>
      </c>
      <c r="AO1880" s="21">
        <v>0</v>
      </c>
      <c r="AP1880" s="21">
        <v>1.1000000000000001</v>
      </c>
      <c r="AQ1880" s="21">
        <v>3000</v>
      </c>
      <c r="AR1880" s="21">
        <v>1.1000000000000001</v>
      </c>
      <c r="AS1880" s="21">
        <v>0</v>
      </c>
      <c r="AT1880" s="19">
        <v>0</v>
      </c>
      <c r="AU1880" s="21" t="s">
        <v>204</v>
      </c>
      <c r="AV1880" s="21"/>
      <c r="AW1880" s="35" t="s">
        <v>293</v>
      </c>
      <c r="AX1880" s="21" t="s">
        <v>551</v>
      </c>
      <c r="AY1880" s="32">
        <v>10001007</v>
      </c>
      <c r="AZ1880" s="32">
        <v>70103001</v>
      </c>
      <c r="BA1880" s="30" t="s">
        <v>206</v>
      </c>
      <c r="BB1880" s="21">
        <v>0</v>
      </c>
      <c r="BC1880" s="31">
        <v>0</v>
      </c>
      <c r="BD1880" s="31">
        <v>0</v>
      </c>
      <c r="BE1880" s="33" t="s">
        <v>552</v>
      </c>
      <c r="BF1880" s="33" t="s">
        <v>553</v>
      </c>
      <c r="BG1880" s="21">
        <v>0</v>
      </c>
      <c r="BH1880" s="21">
        <v>0</v>
      </c>
      <c r="BI1880" s="21">
        <v>0</v>
      </c>
      <c r="BJ1880" s="21">
        <v>0</v>
      </c>
      <c r="BK1880" s="21">
        <v>0</v>
      </c>
      <c r="BL1880" s="21">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70103002</v>
      </c>
      <c r="D1881" s="35" t="s">
        <v>544</v>
      </c>
      <c r="E1881" s="35" t="s">
        <v>545</v>
      </c>
      <c r="F1881" s="32">
        <v>1</v>
      </c>
      <c r="G1881" s="32">
        <v>60010500</v>
      </c>
      <c r="H1881" s="32">
        <v>0</v>
      </c>
      <c r="I1881" s="31">
        <v>0</v>
      </c>
      <c r="J1881" s="32">
        <v>1</v>
      </c>
      <c r="K1881" s="32">
        <v>0</v>
      </c>
      <c r="L1881" s="32">
        <v>0</v>
      </c>
      <c r="M1881" s="32">
        <v>0</v>
      </c>
      <c r="N1881" s="32">
        <v>0</v>
      </c>
      <c r="O1881" s="21">
        <v>2</v>
      </c>
      <c r="P1881" s="32">
        <v>2</v>
      </c>
      <c r="Q1881" s="32">
        <v>0.6</v>
      </c>
      <c r="R1881" s="32">
        <v>0</v>
      </c>
      <c r="S1881" s="19">
        <v>0</v>
      </c>
      <c r="T1881" s="31">
        <v>0</v>
      </c>
      <c r="U1881" s="21">
        <v>1</v>
      </c>
      <c r="V1881" s="32">
        <v>2</v>
      </c>
      <c r="W1881" s="32">
        <v>0</v>
      </c>
      <c r="X1881" s="32">
        <v>0</v>
      </c>
      <c r="Y1881" s="19">
        <v>0</v>
      </c>
      <c r="Z1881" s="32">
        <v>0</v>
      </c>
      <c r="AA1881" s="32">
        <v>0</v>
      </c>
      <c r="AB1881" s="32">
        <v>0</v>
      </c>
      <c r="AC1881" s="32">
        <v>0</v>
      </c>
      <c r="AD1881" s="32">
        <v>0</v>
      </c>
      <c r="AE1881" s="32">
        <v>0</v>
      </c>
      <c r="AF1881" s="32">
        <v>20</v>
      </c>
      <c r="AG1881" s="32">
        <v>0</v>
      </c>
      <c r="AH1881" s="32">
        <v>0</v>
      </c>
      <c r="AI1881" s="19">
        <v>0</v>
      </c>
      <c r="AJ1881" s="19">
        <v>0</v>
      </c>
      <c r="AK1881" s="19">
        <v>0</v>
      </c>
      <c r="AL1881" s="19">
        <v>0</v>
      </c>
      <c r="AM1881" s="32">
        <v>0</v>
      </c>
      <c r="AN1881" s="32">
        <v>0</v>
      </c>
      <c r="AO1881" s="32">
        <v>0</v>
      </c>
      <c r="AP1881" s="32">
        <v>0</v>
      </c>
      <c r="AQ1881" s="32">
        <v>1000</v>
      </c>
      <c r="AR1881" s="32">
        <v>0</v>
      </c>
      <c r="AS1881" s="32">
        <v>0</v>
      </c>
      <c r="AT1881" s="19">
        <v>90103001</v>
      </c>
      <c r="AU1881" s="32" t="s">
        <v>204</v>
      </c>
      <c r="AV1881" s="32"/>
      <c r="AW1881" s="35" t="s">
        <v>204</v>
      </c>
      <c r="AX1881" s="32" t="s">
        <v>354</v>
      </c>
      <c r="AY1881" s="32">
        <v>0</v>
      </c>
      <c r="AZ1881" s="32">
        <v>40000003</v>
      </c>
      <c r="BA1881" s="35" t="s">
        <v>206</v>
      </c>
      <c r="BB1881" s="35" t="s">
        <v>204</v>
      </c>
      <c r="BC1881" s="31">
        <v>0</v>
      </c>
      <c r="BD1881" s="31">
        <v>0</v>
      </c>
      <c r="BE1881" s="60" t="s">
        <v>554</v>
      </c>
      <c r="BF1881" s="60" t="s">
        <v>555</v>
      </c>
      <c r="BG1881" s="32">
        <v>0</v>
      </c>
      <c r="BH1881" s="21">
        <v>0</v>
      </c>
      <c r="BI1881" s="32">
        <v>0</v>
      </c>
      <c r="BJ1881" s="32">
        <v>0</v>
      </c>
      <c r="BK1881" s="32">
        <v>0</v>
      </c>
      <c r="BL1881" s="32">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70103003</v>
      </c>
      <c r="D1882" s="30" t="s">
        <v>3271</v>
      </c>
      <c r="E1882" s="30" t="s">
        <v>3272</v>
      </c>
      <c r="F1882" s="32">
        <v>1</v>
      </c>
      <c r="G1882" s="21">
        <v>60010100</v>
      </c>
      <c r="H1882" s="32">
        <v>0</v>
      </c>
      <c r="I1882" s="31">
        <v>0</v>
      </c>
      <c r="J1882" s="32">
        <v>1</v>
      </c>
      <c r="K1882" s="32">
        <v>0</v>
      </c>
      <c r="L1882" s="32">
        <v>0</v>
      </c>
      <c r="M1882" s="21">
        <v>0</v>
      </c>
      <c r="N1882" s="21">
        <v>0</v>
      </c>
      <c r="O1882" s="21">
        <v>2</v>
      </c>
      <c r="P1882" s="21">
        <v>1</v>
      </c>
      <c r="Q1882" s="21">
        <v>0.5</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8</v>
      </c>
      <c r="AG1882" s="21">
        <v>1</v>
      </c>
      <c r="AH1882" s="21">
        <v>3</v>
      </c>
      <c r="AI1882" s="19">
        <v>1</v>
      </c>
      <c r="AJ1882" s="19">
        <v>1</v>
      </c>
      <c r="AK1882" s="19">
        <v>0</v>
      </c>
      <c r="AL1882" s="19">
        <v>1.5</v>
      </c>
      <c r="AM1882" s="21">
        <v>0</v>
      </c>
      <c r="AN1882" s="21">
        <v>0</v>
      </c>
      <c r="AO1882" s="21">
        <v>0</v>
      </c>
      <c r="AP1882" s="21">
        <v>0.5</v>
      </c>
      <c r="AQ1882" s="21">
        <v>5000</v>
      </c>
      <c r="AR1882" s="21">
        <v>3</v>
      </c>
      <c r="AS1882" s="21">
        <v>0</v>
      </c>
      <c r="AT1882" s="19">
        <v>0</v>
      </c>
      <c r="AU1882" s="21" t="s">
        <v>204</v>
      </c>
      <c r="AV1882" s="21"/>
      <c r="AW1882" s="35" t="s">
        <v>205</v>
      </c>
      <c r="AX1882" s="21" t="s">
        <v>540</v>
      </c>
      <c r="AY1882" s="32">
        <v>10000007</v>
      </c>
      <c r="AZ1882" s="32">
        <v>70103003</v>
      </c>
      <c r="BA1882" s="30" t="s">
        <v>206</v>
      </c>
      <c r="BB1882" s="21" t="s">
        <v>3273</v>
      </c>
      <c r="BC1882" s="31">
        <v>0</v>
      </c>
      <c r="BD1882" s="31">
        <v>0</v>
      </c>
      <c r="BE1882" s="33" t="s">
        <v>3274</v>
      </c>
      <c r="BF1882" s="33" t="s">
        <v>3275</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70104001</v>
      </c>
      <c r="D1883" s="30" t="s">
        <v>895</v>
      </c>
      <c r="E1883" s="30" t="s">
        <v>896</v>
      </c>
      <c r="F1883" s="32">
        <v>1</v>
      </c>
      <c r="G1883" s="21">
        <v>60010100</v>
      </c>
      <c r="H1883" s="32">
        <v>0</v>
      </c>
      <c r="I1883" s="31">
        <v>0</v>
      </c>
      <c r="J1883" s="32">
        <v>1</v>
      </c>
      <c r="K1883" s="32">
        <v>0</v>
      </c>
      <c r="L1883" s="32">
        <v>0</v>
      </c>
      <c r="M1883" s="21">
        <v>0</v>
      </c>
      <c r="N1883" s="21">
        <v>0</v>
      </c>
      <c r="O1883" s="21">
        <v>2</v>
      </c>
      <c r="P1883" s="21">
        <v>1</v>
      </c>
      <c r="Q1883" s="21">
        <v>0.3</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5</v>
      </c>
      <c r="AG1883" s="21">
        <v>1</v>
      </c>
      <c r="AH1883" s="21" t="s">
        <v>867</v>
      </c>
      <c r="AI1883" s="19">
        <v>1</v>
      </c>
      <c r="AJ1883" s="19">
        <v>1</v>
      </c>
      <c r="AK1883" s="19">
        <v>0</v>
      </c>
      <c r="AL1883" s="19">
        <v>1.5</v>
      </c>
      <c r="AM1883" s="21">
        <v>0</v>
      </c>
      <c r="AN1883" s="21">
        <v>0</v>
      </c>
      <c r="AO1883" s="21">
        <v>0</v>
      </c>
      <c r="AP1883" s="21">
        <v>0.5</v>
      </c>
      <c r="AQ1883" s="21">
        <v>5000</v>
      </c>
      <c r="AR1883" s="21">
        <v>2</v>
      </c>
      <c r="AS1883" s="21">
        <v>0</v>
      </c>
      <c r="AT1883" s="19">
        <v>0</v>
      </c>
      <c r="AU1883" s="21" t="s">
        <v>204</v>
      </c>
      <c r="AV1883" s="21"/>
      <c r="AW1883" s="30" t="s">
        <v>293</v>
      </c>
      <c r="AX1883" s="21" t="s">
        <v>540</v>
      </c>
      <c r="AY1883" s="32">
        <v>10000007</v>
      </c>
      <c r="AZ1883" s="32">
        <v>70104001</v>
      </c>
      <c r="BA1883" s="30" t="s">
        <v>206</v>
      </c>
      <c r="BB1883" s="21" t="s">
        <v>4514</v>
      </c>
      <c r="BC1883" s="31">
        <v>0</v>
      </c>
      <c r="BD1883" s="31">
        <v>0</v>
      </c>
      <c r="BE1883" s="33" t="s">
        <v>898</v>
      </c>
      <c r="BF1883" s="33" t="s">
        <v>899</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70104002</v>
      </c>
      <c r="D1884" s="35" t="s">
        <v>573</v>
      </c>
      <c r="E1884" s="35" t="s">
        <v>574</v>
      </c>
      <c r="F1884" s="32">
        <v>1</v>
      </c>
      <c r="G1884" s="32">
        <v>60010500</v>
      </c>
      <c r="H1884" s="32">
        <v>0</v>
      </c>
      <c r="I1884" s="31">
        <v>0</v>
      </c>
      <c r="J1884" s="32">
        <v>1</v>
      </c>
      <c r="K1884" s="32">
        <v>0</v>
      </c>
      <c r="L1884" s="32">
        <v>0</v>
      </c>
      <c r="M1884" s="32">
        <v>0</v>
      </c>
      <c r="N1884" s="32">
        <v>0</v>
      </c>
      <c r="O1884" s="21">
        <v>2</v>
      </c>
      <c r="P1884" s="32">
        <v>2</v>
      </c>
      <c r="Q1884" s="32">
        <v>0.3</v>
      </c>
      <c r="R1884" s="32">
        <v>0</v>
      </c>
      <c r="S1884" s="19">
        <v>0</v>
      </c>
      <c r="T1884" s="31">
        <v>0</v>
      </c>
      <c r="U1884" s="21">
        <v>1</v>
      </c>
      <c r="V1884" s="32">
        <v>2</v>
      </c>
      <c r="W1884" s="32">
        <v>0</v>
      </c>
      <c r="X1884" s="32">
        <v>0</v>
      </c>
      <c r="Y1884" s="19">
        <v>0</v>
      </c>
      <c r="Z1884" s="32">
        <v>0</v>
      </c>
      <c r="AA1884" s="32">
        <v>0</v>
      </c>
      <c r="AB1884" s="32">
        <v>0</v>
      </c>
      <c r="AC1884" s="32">
        <v>0</v>
      </c>
      <c r="AD1884" s="32">
        <v>0</v>
      </c>
      <c r="AE1884" s="32">
        <v>0</v>
      </c>
      <c r="AF1884" s="32">
        <v>99999</v>
      </c>
      <c r="AG1884" s="32">
        <v>0</v>
      </c>
      <c r="AH1884" s="32">
        <v>0</v>
      </c>
      <c r="AI1884" s="19">
        <v>2</v>
      </c>
      <c r="AJ1884" s="19">
        <v>0</v>
      </c>
      <c r="AK1884" s="19">
        <v>0</v>
      </c>
      <c r="AL1884" s="19">
        <v>0</v>
      </c>
      <c r="AM1884" s="32">
        <v>0</v>
      </c>
      <c r="AN1884" s="32">
        <v>0</v>
      </c>
      <c r="AO1884" s="32">
        <v>0</v>
      </c>
      <c r="AP1884" s="32">
        <v>0</v>
      </c>
      <c r="AQ1884" s="32">
        <v>1000</v>
      </c>
      <c r="AR1884" s="32">
        <v>0</v>
      </c>
      <c r="AS1884" s="32">
        <v>0</v>
      </c>
      <c r="AT1884" s="19">
        <v>90104002</v>
      </c>
      <c r="AU1884" s="32" t="s">
        <v>204</v>
      </c>
      <c r="AV1884" s="32"/>
      <c r="AW1884" s="35" t="s">
        <v>205</v>
      </c>
      <c r="AX1884" s="32" t="s">
        <v>354</v>
      </c>
      <c r="AY1884" s="32">
        <v>0</v>
      </c>
      <c r="AZ1884" s="32">
        <v>0</v>
      </c>
      <c r="BA1884" s="35" t="s">
        <v>206</v>
      </c>
      <c r="BB1884" s="35" t="s">
        <v>204</v>
      </c>
      <c r="BC1884" s="31">
        <v>0</v>
      </c>
      <c r="BD1884" s="31">
        <v>0</v>
      </c>
      <c r="BE1884" s="60" t="s">
        <v>681</v>
      </c>
      <c r="BF1884" s="60" t="s">
        <v>682</v>
      </c>
      <c r="BG1884" s="32">
        <v>0</v>
      </c>
      <c r="BH1884" s="21">
        <v>0</v>
      </c>
      <c r="BI1884" s="32">
        <v>0</v>
      </c>
      <c r="BJ1884" s="32">
        <v>0</v>
      </c>
      <c r="BK1884" s="32">
        <v>0</v>
      </c>
      <c r="BL1884" s="32">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70104003</v>
      </c>
      <c r="D1885" s="30" t="s">
        <v>750</v>
      </c>
      <c r="E1885" s="30" t="s">
        <v>751</v>
      </c>
      <c r="F1885" s="32">
        <v>1</v>
      </c>
      <c r="G1885" s="21">
        <v>60010100</v>
      </c>
      <c r="H1885" s="32">
        <v>0</v>
      </c>
      <c r="I1885" s="31">
        <v>0</v>
      </c>
      <c r="J1885" s="32">
        <v>1</v>
      </c>
      <c r="K1885" s="32">
        <v>0</v>
      </c>
      <c r="L1885" s="32">
        <v>0</v>
      </c>
      <c r="M1885" s="21">
        <v>0</v>
      </c>
      <c r="N1885" s="21">
        <v>0</v>
      </c>
      <c r="O1885" s="21">
        <v>2</v>
      </c>
      <c r="P1885" s="21">
        <v>1</v>
      </c>
      <c r="Q1885" s="21">
        <v>0.3</v>
      </c>
      <c r="R1885" s="21">
        <v>0</v>
      </c>
      <c r="S1885" s="19">
        <v>0</v>
      </c>
      <c r="T1885" s="21">
        <v>0</v>
      </c>
      <c r="U1885" s="21">
        <v>1</v>
      </c>
      <c r="V1885" s="21">
        <v>2</v>
      </c>
      <c r="W1885" s="21">
        <v>0</v>
      </c>
      <c r="X1885" s="21">
        <v>5</v>
      </c>
      <c r="Y1885" s="19">
        <v>0</v>
      </c>
      <c r="Z1885" s="21">
        <v>0</v>
      </c>
      <c r="AA1885" s="21">
        <v>1</v>
      </c>
      <c r="AB1885" s="21">
        <v>0</v>
      </c>
      <c r="AC1885" s="21">
        <v>0</v>
      </c>
      <c r="AD1885" s="21">
        <v>0</v>
      </c>
      <c r="AE1885" s="21">
        <v>0</v>
      </c>
      <c r="AF1885" s="21">
        <v>10</v>
      </c>
      <c r="AG1885" s="21">
        <v>1</v>
      </c>
      <c r="AH1885" s="21" t="s">
        <v>613</v>
      </c>
      <c r="AI1885" s="19">
        <v>0</v>
      </c>
      <c r="AJ1885" s="19">
        <v>1</v>
      </c>
      <c r="AK1885" s="19">
        <v>0</v>
      </c>
      <c r="AL1885" s="19">
        <v>3</v>
      </c>
      <c r="AM1885" s="21">
        <v>0</v>
      </c>
      <c r="AN1885" s="21">
        <v>0</v>
      </c>
      <c r="AO1885" s="21">
        <v>0</v>
      </c>
      <c r="AP1885" s="21">
        <v>3.5</v>
      </c>
      <c r="AQ1885" s="21">
        <v>5000</v>
      </c>
      <c r="AR1885" s="21">
        <v>3</v>
      </c>
      <c r="AS1885" s="21">
        <v>0</v>
      </c>
      <c r="AT1885" s="19">
        <v>0</v>
      </c>
      <c r="AU1885" s="21" t="s">
        <v>204</v>
      </c>
      <c r="AV1885" s="21"/>
      <c r="AW1885" s="30" t="s">
        <v>262</v>
      </c>
      <c r="AX1885" s="21" t="s">
        <v>540</v>
      </c>
      <c r="AY1885" s="32">
        <v>10000007</v>
      </c>
      <c r="AZ1885" s="32">
        <v>70104003</v>
      </c>
      <c r="BA1885" s="30" t="s">
        <v>206</v>
      </c>
      <c r="BB1885" s="21" t="s">
        <v>4515</v>
      </c>
      <c r="BC1885" s="31">
        <v>0</v>
      </c>
      <c r="BD1885" s="31">
        <v>0</v>
      </c>
      <c r="BE1885" s="33" t="s">
        <v>4516</v>
      </c>
      <c r="BF1885" s="33" t="s">
        <v>4517</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70105001</v>
      </c>
      <c r="D1886" s="30" t="s">
        <v>538</v>
      </c>
      <c r="E1886" s="30" t="s">
        <v>261</v>
      </c>
      <c r="F1886" s="32">
        <v>1</v>
      </c>
      <c r="G1886" s="21">
        <v>60010100</v>
      </c>
      <c r="H1886" s="32">
        <v>0</v>
      </c>
      <c r="I1886" s="31">
        <v>0</v>
      </c>
      <c r="J1886" s="32">
        <v>1</v>
      </c>
      <c r="K1886" s="32">
        <v>0</v>
      </c>
      <c r="L1886" s="32">
        <v>0</v>
      </c>
      <c r="M1886" s="21">
        <v>0</v>
      </c>
      <c r="N1886" s="21">
        <v>0</v>
      </c>
      <c r="O1886" s="21">
        <v>2</v>
      </c>
      <c r="P1886" s="21">
        <v>1</v>
      </c>
      <c r="Q1886" s="21">
        <v>1</v>
      </c>
      <c r="R1886" s="21">
        <v>0</v>
      </c>
      <c r="S1886" s="19">
        <v>0</v>
      </c>
      <c r="T1886" s="21">
        <v>0</v>
      </c>
      <c r="U1886" s="21">
        <v>1</v>
      </c>
      <c r="V1886" s="21">
        <v>2</v>
      </c>
      <c r="W1886" s="21">
        <v>0</v>
      </c>
      <c r="X1886" s="21">
        <v>2</v>
      </c>
      <c r="Y1886" s="19">
        <v>0</v>
      </c>
      <c r="Z1886" s="21">
        <v>0</v>
      </c>
      <c r="AA1886" s="21">
        <v>1</v>
      </c>
      <c r="AB1886" s="21">
        <v>0</v>
      </c>
      <c r="AC1886" s="21">
        <v>0</v>
      </c>
      <c r="AD1886" s="21">
        <v>0</v>
      </c>
      <c r="AE1886" s="21">
        <v>0</v>
      </c>
      <c r="AF1886" s="21">
        <v>6</v>
      </c>
      <c r="AG1886" s="21">
        <v>1</v>
      </c>
      <c r="AH1886" s="21">
        <v>3</v>
      </c>
      <c r="AI1886" s="19">
        <v>0</v>
      </c>
      <c r="AJ1886" s="19">
        <v>0</v>
      </c>
      <c r="AK1886" s="19">
        <v>0</v>
      </c>
      <c r="AL1886" s="19">
        <v>1.5</v>
      </c>
      <c r="AM1886" s="21">
        <v>0</v>
      </c>
      <c r="AN1886" s="21">
        <v>0</v>
      </c>
      <c r="AO1886" s="21">
        <v>0</v>
      </c>
      <c r="AP1886" s="21">
        <v>1</v>
      </c>
      <c r="AQ1886" s="21">
        <v>5000</v>
      </c>
      <c r="AR1886" s="21">
        <v>0.5</v>
      </c>
      <c r="AS1886" s="21">
        <v>0</v>
      </c>
      <c r="AT1886" s="19">
        <v>0</v>
      </c>
      <c r="AU1886" s="21" t="s">
        <v>204</v>
      </c>
      <c r="AV1886" s="21"/>
      <c r="AW1886" s="35" t="s">
        <v>205</v>
      </c>
      <c r="AX1886" s="21" t="s">
        <v>540</v>
      </c>
      <c r="AY1886" s="32">
        <v>10000007</v>
      </c>
      <c r="AZ1886" s="32">
        <v>70105001</v>
      </c>
      <c r="BA1886" s="30" t="s">
        <v>206</v>
      </c>
      <c r="BB1886" s="21" t="s">
        <v>4518</v>
      </c>
      <c r="BC1886" s="31">
        <v>0</v>
      </c>
      <c r="BD1886" s="31">
        <v>0</v>
      </c>
      <c r="BE1886" s="33" t="s">
        <v>4519</v>
      </c>
      <c r="BF1886" s="33" t="s">
        <v>4520</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70105002</v>
      </c>
      <c r="D1887" s="35" t="s">
        <v>573</v>
      </c>
      <c r="E1887" s="35" t="s">
        <v>574</v>
      </c>
      <c r="F1887" s="32">
        <v>1</v>
      </c>
      <c r="G1887" s="32">
        <v>60010500</v>
      </c>
      <c r="H1887" s="32">
        <v>0</v>
      </c>
      <c r="I1887" s="31">
        <v>0</v>
      </c>
      <c r="J1887" s="32">
        <v>1</v>
      </c>
      <c r="K1887" s="32">
        <v>0</v>
      </c>
      <c r="L1887" s="32">
        <v>0</v>
      </c>
      <c r="M1887" s="32">
        <v>0</v>
      </c>
      <c r="N1887" s="32">
        <v>0</v>
      </c>
      <c r="O1887" s="21">
        <v>2</v>
      </c>
      <c r="P1887" s="32">
        <v>2</v>
      </c>
      <c r="Q1887" s="32">
        <v>0.6</v>
      </c>
      <c r="R1887" s="32">
        <v>0</v>
      </c>
      <c r="S1887" s="19">
        <v>0</v>
      </c>
      <c r="T1887" s="31">
        <v>0</v>
      </c>
      <c r="U1887" s="21">
        <v>1</v>
      </c>
      <c r="V1887" s="32">
        <v>2</v>
      </c>
      <c r="W1887" s="32">
        <v>0</v>
      </c>
      <c r="X1887" s="32">
        <v>0</v>
      </c>
      <c r="Y1887" s="19">
        <v>0</v>
      </c>
      <c r="Z1887" s="32">
        <v>0</v>
      </c>
      <c r="AA1887" s="32">
        <v>0</v>
      </c>
      <c r="AB1887" s="32">
        <v>0</v>
      </c>
      <c r="AC1887" s="32">
        <v>0</v>
      </c>
      <c r="AD1887" s="32">
        <v>0</v>
      </c>
      <c r="AE1887" s="32">
        <v>0</v>
      </c>
      <c r="AF1887" s="21">
        <v>99999</v>
      </c>
      <c r="AG1887" s="32">
        <v>0</v>
      </c>
      <c r="AH1887" s="32">
        <v>0</v>
      </c>
      <c r="AI1887" s="19">
        <v>2</v>
      </c>
      <c r="AJ1887" s="19">
        <v>0</v>
      </c>
      <c r="AK1887" s="19">
        <v>0</v>
      </c>
      <c r="AL1887" s="19">
        <v>0</v>
      </c>
      <c r="AM1887" s="32">
        <v>0</v>
      </c>
      <c r="AN1887" s="32">
        <v>0</v>
      </c>
      <c r="AO1887" s="32">
        <v>0</v>
      </c>
      <c r="AP1887" s="32">
        <v>0</v>
      </c>
      <c r="AQ1887" s="32">
        <v>1000</v>
      </c>
      <c r="AR1887" s="32">
        <v>0</v>
      </c>
      <c r="AS1887" s="32">
        <v>0</v>
      </c>
      <c r="AT1887" s="19">
        <v>90104002</v>
      </c>
      <c r="AU1887" s="32" t="s">
        <v>204</v>
      </c>
      <c r="AV1887" s="32"/>
      <c r="AW1887" s="35" t="s">
        <v>205</v>
      </c>
      <c r="AX1887" s="32" t="s">
        <v>354</v>
      </c>
      <c r="AY1887" s="32">
        <v>0</v>
      </c>
      <c r="AZ1887" s="32">
        <v>0</v>
      </c>
      <c r="BA1887" s="35" t="s">
        <v>206</v>
      </c>
      <c r="BB1887" s="35" t="s">
        <v>204</v>
      </c>
      <c r="BC1887" s="31">
        <v>0</v>
      </c>
      <c r="BD1887" s="31">
        <v>0</v>
      </c>
      <c r="BE1887" s="60" t="s">
        <v>681</v>
      </c>
      <c r="BF1887" s="60" t="s">
        <v>682</v>
      </c>
      <c r="BG1887" s="32">
        <v>0</v>
      </c>
      <c r="BH1887" s="21">
        <v>0</v>
      </c>
      <c r="BI1887" s="32">
        <v>0</v>
      </c>
      <c r="BJ1887" s="32">
        <v>0</v>
      </c>
      <c r="BK1887" s="32">
        <v>0</v>
      </c>
      <c r="BL1887" s="32">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70105003</v>
      </c>
      <c r="D1888" s="30" t="s">
        <v>4521</v>
      </c>
      <c r="E1888" s="30" t="s">
        <v>4522</v>
      </c>
      <c r="F1888" s="32">
        <v>1</v>
      </c>
      <c r="G1888" s="21">
        <v>60010300</v>
      </c>
      <c r="H1888" s="32">
        <v>0</v>
      </c>
      <c r="I1888" s="31">
        <v>0</v>
      </c>
      <c r="J1888" s="32">
        <v>1</v>
      </c>
      <c r="K1888" s="32">
        <v>0</v>
      </c>
      <c r="L1888" s="32">
        <v>0</v>
      </c>
      <c r="M1888" s="21">
        <v>0</v>
      </c>
      <c r="N1888" s="21">
        <v>0</v>
      </c>
      <c r="O1888" s="21">
        <v>2</v>
      </c>
      <c r="P1888" s="21">
        <v>2</v>
      </c>
      <c r="Q1888" s="21">
        <v>0.8</v>
      </c>
      <c r="R1888" s="21">
        <v>0</v>
      </c>
      <c r="S1888" s="19">
        <v>0</v>
      </c>
      <c r="T1888" s="21">
        <v>0</v>
      </c>
      <c r="U1888" s="21">
        <v>1</v>
      </c>
      <c r="V1888" s="21">
        <v>2</v>
      </c>
      <c r="W1888" s="21">
        <v>0</v>
      </c>
      <c r="X1888" s="21">
        <v>0</v>
      </c>
      <c r="Y1888" s="19">
        <v>0</v>
      </c>
      <c r="Z1888" s="21">
        <v>0</v>
      </c>
      <c r="AA1888" s="21">
        <v>0</v>
      </c>
      <c r="AB1888" s="21">
        <v>0</v>
      </c>
      <c r="AC1888" s="21">
        <v>0</v>
      </c>
      <c r="AD1888" s="21">
        <v>0</v>
      </c>
      <c r="AE1888" s="21">
        <v>0</v>
      </c>
      <c r="AF1888" s="21">
        <v>20</v>
      </c>
      <c r="AG1888" s="21">
        <v>0</v>
      </c>
      <c r="AH1888" s="21">
        <v>0</v>
      </c>
      <c r="AI1888" s="19">
        <v>2</v>
      </c>
      <c r="AJ1888" s="19">
        <v>2</v>
      </c>
      <c r="AK1888" s="19">
        <v>0</v>
      </c>
      <c r="AL1888" s="19">
        <v>1.5</v>
      </c>
      <c r="AM1888" s="21">
        <v>0</v>
      </c>
      <c r="AN1888" s="21">
        <v>0</v>
      </c>
      <c r="AO1888" s="21">
        <v>0</v>
      </c>
      <c r="AP1888" s="21">
        <v>1</v>
      </c>
      <c r="AQ1888" s="21">
        <v>3000</v>
      </c>
      <c r="AR1888" s="21">
        <v>0.5</v>
      </c>
      <c r="AS1888" s="21">
        <v>0</v>
      </c>
      <c r="AT1888" s="19">
        <v>0</v>
      </c>
      <c r="AU1888" s="21" t="s">
        <v>204</v>
      </c>
      <c r="AV1888" s="21"/>
      <c r="AW1888" s="35" t="s">
        <v>205</v>
      </c>
      <c r="AX1888" s="21" t="s">
        <v>551</v>
      </c>
      <c r="AY1888" s="32">
        <v>0</v>
      </c>
      <c r="AZ1888" s="32">
        <v>0</v>
      </c>
      <c r="BA1888" s="30" t="s">
        <v>534</v>
      </c>
      <c r="BB1888" s="21" t="s">
        <v>4523</v>
      </c>
      <c r="BC1888" s="31">
        <v>0</v>
      </c>
      <c r="BD1888" s="31">
        <v>0</v>
      </c>
      <c r="BE1888" s="33" t="s">
        <v>4524</v>
      </c>
      <c r="BF1888" s="33" t="s">
        <v>4525</v>
      </c>
      <c r="BG1888" s="21">
        <v>0</v>
      </c>
      <c r="BH1888" s="21">
        <v>0</v>
      </c>
      <c r="BI1888" s="21">
        <v>0</v>
      </c>
      <c r="BJ1888" s="21">
        <v>0</v>
      </c>
      <c r="BK1888" s="21">
        <v>0</v>
      </c>
      <c r="BL1888" s="21">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70105004</v>
      </c>
      <c r="D1889" s="35" t="s">
        <v>544</v>
      </c>
      <c r="E1889" s="35" t="s">
        <v>545</v>
      </c>
      <c r="F1889" s="32">
        <v>1</v>
      </c>
      <c r="G1889" s="32">
        <v>60010500</v>
      </c>
      <c r="H1889" s="32">
        <v>0</v>
      </c>
      <c r="I1889" s="31">
        <v>0</v>
      </c>
      <c r="J1889" s="32">
        <v>1</v>
      </c>
      <c r="K1889" s="32">
        <v>0</v>
      </c>
      <c r="L1889" s="32">
        <v>0</v>
      </c>
      <c r="M1889" s="32">
        <v>0</v>
      </c>
      <c r="N1889" s="32">
        <v>0</v>
      </c>
      <c r="O1889" s="21">
        <v>2</v>
      </c>
      <c r="P1889" s="32">
        <v>2</v>
      </c>
      <c r="Q1889" s="32">
        <v>0.6</v>
      </c>
      <c r="R1889" s="32">
        <v>0</v>
      </c>
      <c r="S1889" s="19">
        <v>0</v>
      </c>
      <c r="T1889" s="31">
        <v>0</v>
      </c>
      <c r="U1889" s="21">
        <v>1</v>
      </c>
      <c r="V1889" s="32">
        <v>2</v>
      </c>
      <c r="W1889" s="32">
        <v>0</v>
      </c>
      <c r="X1889" s="32">
        <v>0</v>
      </c>
      <c r="Y1889" s="19">
        <v>0</v>
      </c>
      <c r="Z1889" s="32">
        <v>0</v>
      </c>
      <c r="AA1889" s="32">
        <v>0</v>
      </c>
      <c r="AB1889" s="32">
        <v>0</v>
      </c>
      <c r="AC1889" s="32">
        <v>0</v>
      </c>
      <c r="AD1889" s="32">
        <v>0</v>
      </c>
      <c r="AE1889" s="32">
        <v>0</v>
      </c>
      <c r="AF1889" s="32">
        <v>20</v>
      </c>
      <c r="AG1889" s="32">
        <v>0</v>
      </c>
      <c r="AH1889" s="32">
        <v>0</v>
      </c>
      <c r="AI1889" s="19">
        <v>2</v>
      </c>
      <c r="AJ1889" s="19">
        <v>0</v>
      </c>
      <c r="AK1889" s="19">
        <v>0</v>
      </c>
      <c r="AL1889" s="19">
        <v>0</v>
      </c>
      <c r="AM1889" s="32">
        <v>0</v>
      </c>
      <c r="AN1889" s="32">
        <v>0</v>
      </c>
      <c r="AO1889" s="32">
        <v>0</v>
      </c>
      <c r="AP1889" s="32">
        <v>0</v>
      </c>
      <c r="AQ1889" s="32">
        <v>1000</v>
      </c>
      <c r="AR1889" s="32">
        <v>0</v>
      </c>
      <c r="AS1889" s="32">
        <v>0</v>
      </c>
      <c r="AT1889" s="19">
        <v>90103001</v>
      </c>
      <c r="AU1889" s="32" t="s">
        <v>204</v>
      </c>
      <c r="AV1889" s="32"/>
      <c r="AW1889" s="35" t="s">
        <v>204</v>
      </c>
      <c r="AX1889" s="32" t="s">
        <v>354</v>
      </c>
      <c r="AY1889" s="32">
        <v>0</v>
      </c>
      <c r="AZ1889" s="32">
        <v>40000003</v>
      </c>
      <c r="BA1889" s="35" t="s">
        <v>206</v>
      </c>
      <c r="BB1889" s="35" t="s">
        <v>204</v>
      </c>
      <c r="BC1889" s="31">
        <v>0</v>
      </c>
      <c r="BD1889" s="31">
        <v>0</v>
      </c>
      <c r="BE1889" s="60" t="s">
        <v>554</v>
      </c>
      <c r="BF1889" s="60" t="s">
        <v>555</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70106001</v>
      </c>
      <c r="D1890" s="35" t="s">
        <v>579</v>
      </c>
      <c r="E1890" s="35" t="s">
        <v>580</v>
      </c>
      <c r="F1890" s="32">
        <v>1</v>
      </c>
      <c r="G1890" s="32">
        <v>60010300</v>
      </c>
      <c r="H1890" s="32">
        <v>0</v>
      </c>
      <c r="I1890" s="31">
        <v>0</v>
      </c>
      <c r="J1890" s="32">
        <v>1</v>
      </c>
      <c r="K1890" s="32">
        <v>0</v>
      </c>
      <c r="L1890" s="32">
        <v>0</v>
      </c>
      <c r="M1890" s="32">
        <v>0</v>
      </c>
      <c r="N1890" s="32">
        <v>0</v>
      </c>
      <c r="O1890" s="21">
        <v>2</v>
      </c>
      <c r="P1890" s="32">
        <v>1</v>
      </c>
      <c r="Q1890" s="32">
        <v>0.5</v>
      </c>
      <c r="R1890" s="32">
        <v>0</v>
      </c>
      <c r="S1890" s="19">
        <v>0</v>
      </c>
      <c r="T1890" s="31">
        <v>0</v>
      </c>
      <c r="U1890" s="21">
        <v>1</v>
      </c>
      <c r="V1890" s="32">
        <v>2</v>
      </c>
      <c r="W1890" s="32">
        <v>0</v>
      </c>
      <c r="X1890" s="32">
        <v>0.5</v>
      </c>
      <c r="Y1890" s="19">
        <v>0</v>
      </c>
      <c r="Z1890" s="32">
        <v>0</v>
      </c>
      <c r="AA1890" s="32">
        <v>0</v>
      </c>
      <c r="AB1890" s="32">
        <v>0</v>
      </c>
      <c r="AC1890" s="32">
        <v>0</v>
      </c>
      <c r="AD1890" s="32">
        <v>0</v>
      </c>
      <c r="AE1890" s="32">
        <v>0</v>
      </c>
      <c r="AF1890" s="32">
        <v>15</v>
      </c>
      <c r="AG1890" s="32">
        <v>1</v>
      </c>
      <c r="AH1890" s="32">
        <v>3</v>
      </c>
      <c r="AI1890" s="19">
        <v>1</v>
      </c>
      <c r="AJ1890" s="19">
        <v>0</v>
      </c>
      <c r="AK1890" s="19">
        <v>0</v>
      </c>
      <c r="AL1890" s="19">
        <v>1.5</v>
      </c>
      <c r="AM1890" s="32">
        <v>0</v>
      </c>
      <c r="AN1890" s="32">
        <v>0</v>
      </c>
      <c r="AO1890" s="32">
        <v>0</v>
      </c>
      <c r="AP1890" s="32">
        <v>1</v>
      </c>
      <c r="AQ1890" s="32">
        <v>360000</v>
      </c>
      <c r="AR1890" s="32">
        <v>0.5</v>
      </c>
      <c r="AS1890" s="32">
        <v>0</v>
      </c>
      <c r="AT1890" s="19">
        <v>0</v>
      </c>
      <c r="AU1890" s="32" t="s">
        <v>581</v>
      </c>
      <c r="AV1890" s="32"/>
      <c r="AW1890" s="35" t="s">
        <v>205</v>
      </c>
      <c r="AX1890" s="32" t="s">
        <v>551</v>
      </c>
      <c r="AY1890" s="32">
        <v>10002001</v>
      </c>
      <c r="AZ1890" s="32">
        <v>70106001</v>
      </c>
      <c r="BA1890" s="35" t="s">
        <v>321</v>
      </c>
      <c r="BB1890" s="35" t="s">
        <v>582</v>
      </c>
      <c r="BC1890" s="31">
        <v>0</v>
      </c>
      <c r="BD1890" s="31">
        <v>0</v>
      </c>
      <c r="BE1890" s="60" t="s">
        <v>583</v>
      </c>
      <c r="BF1890" s="60" t="s">
        <v>584</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70106002</v>
      </c>
      <c r="D1891" s="30" t="s">
        <v>585</v>
      </c>
      <c r="E1891" s="30" t="s">
        <v>586</v>
      </c>
      <c r="F1891" s="32">
        <v>1</v>
      </c>
      <c r="G1891" s="21">
        <v>60010100</v>
      </c>
      <c r="H1891" s="32">
        <v>0</v>
      </c>
      <c r="I1891" s="31">
        <v>0</v>
      </c>
      <c r="J1891" s="32">
        <v>1</v>
      </c>
      <c r="K1891" s="32">
        <v>0</v>
      </c>
      <c r="L1891" s="32">
        <v>0</v>
      </c>
      <c r="M1891" s="21">
        <v>0</v>
      </c>
      <c r="N1891" s="21">
        <v>0</v>
      </c>
      <c r="O1891" s="21">
        <v>2</v>
      </c>
      <c r="P1891" s="21">
        <v>1</v>
      </c>
      <c r="Q1891" s="21">
        <v>0.3</v>
      </c>
      <c r="R1891" s="21">
        <v>0</v>
      </c>
      <c r="S1891" s="19">
        <v>0</v>
      </c>
      <c r="T1891" s="21">
        <v>0</v>
      </c>
      <c r="U1891" s="21">
        <v>1</v>
      </c>
      <c r="V1891" s="21">
        <v>2</v>
      </c>
      <c r="W1891" s="21">
        <v>0</v>
      </c>
      <c r="X1891" s="21">
        <v>3</v>
      </c>
      <c r="Y1891" s="19">
        <v>0</v>
      </c>
      <c r="Z1891" s="21">
        <v>0</v>
      </c>
      <c r="AA1891" s="21">
        <v>0</v>
      </c>
      <c r="AB1891" s="21">
        <v>0</v>
      </c>
      <c r="AC1891" s="21">
        <v>0</v>
      </c>
      <c r="AD1891" s="21">
        <v>0</v>
      </c>
      <c r="AE1891" s="21">
        <v>0</v>
      </c>
      <c r="AF1891" s="21">
        <v>12</v>
      </c>
      <c r="AG1891" s="21">
        <v>1</v>
      </c>
      <c r="AH1891" s="21">
        <v>3</v>
      </c>
      <c r="AI1891" s="19">
        <v>6</v>
      </c>
      <c r="AJ1891" s="19">
        <v>1</v>
      </c>
      <c r="AK1891" s="19">
        <v>0</v>
      </c>
      <c r="AL1891" s="19">
        <v>1.5</v>
      </c>
      <c r="AM1891" s="21">
        <v>0</v>
      </c>
      <c r="AN1891" s="21">
        <v>0</v>
      </c>
      <c r="AO1891" s="21">
        <v>0</v>
      </c>
      <c r="AP1891" s="21">
        <v>3</v>
      </c>
      <c r="AQ1891" s="21">
        <v>5000</v>
      </c>
      <c r="AR1891" s="21">
        <v>3</v>
      </c>
      <c r="AS1891" s="21">
        <v>0</v>
      </c>
      <c r="AT1891" s="19">
        <v>0</v>
      </c>
      <c r="AU1891" s="21" t="s">
        <v>204</v>
      </c>
      <c r="AV1891" s="21"/>
      <c r="AW1891" s="35" t="s">
        <v>205</v>
      </c>
      <c r="AX1891" s="21" t="s">
        <v>540</v>
      </c>
      <c r="AY1891" s="32">
        <v>10000007</v>
      </c>
      <c r="AZ1891" s="32">
        <v>70106004</v>
      </c>
      <c r="BA1891" s="30" t="s">
        <v>206</v>
      </c>
      <c r="BB1891" s="21" t="s">
        <v>4526</v>
      </c>
      <c r="BC1891" s="31">
        <v>0</v>
      </c>
      <c r="BD1891" s="31">
        <v>0</v>
      </c>
      <c r="BE1891" s="33" t="s">
        <v>588</v>
      </c>
      <c r="BF1891" s="33" t="s">
        <v>589</v>
      </c>
      <c r="BG1891" s="21">
        <v>0</v>
      </c>
      <c r="BH1891" s="21">
        <v>0</v>
      </c>
      <c r="BI1891" s="21">
        <v>0</v>
      </c>
      <c r="BJ1891" s="21">
        <v>0</v>
      </c>
      <c r="BK1891" s="21">
        <v>0</v>
      </c>
      <c r="BL1891" s="21">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19.5" customHeight="1">
      <c r="C1892" s="32">
        <v>70106003</v>
      </c>
      <c r="D1892" s="35" t="s">
        <v>590</v>
      </c>
      <c r="E1892" s="35" t="s">
        <v>591</v>
      </c>
      <c r="F1892" s="32">
        <v>1</v>
      </c>
      <c r="G1892" s="32">
        <v>60010300</v>
      </c>
      <c r="H1892" s="32">
        <v>0</v>
      </c>
      <c r="I1892" s="31">
        <v>0</v>
      </c>
      <c r="J1892" s="32">
        <v>1</v>
      </c>
      <c r="K1892" s="32">
        <v>0</v>
      </c>
      <c r="L1892" s="32">
        <v>0</v>
      </c>
      <c r="M1892" s="32">
        <v>0</v>
      </c>
      <c r="N1892" s="32">
        <v>0</v>
      </c>
      <c r="O1892" s="21">
        <v>2</v>
      </c>
      <c r="P1892" s="32">
        <v>1</v>
      </c>
      <c r="Q1892" s="32">
        <v>0.5</v>
      </c>
      <c r="R1892" s="32">
        <v>0</v>
      </c>
      <c r="S1892" s="19">
        <v>0</v>
      </c>
      <c r="T1892" s="31">
        <v>0</v>
      </c>
      <c r="U1892" s="21">
        <v>1</v>
      </c>
      <c r="V1892" s="32">
        <v>2</v>
      </c>
      <c r="W1892" s="32">
        <v>0</v>
      </c>
      <c r="X1892" s="32">
        <v>3</v>
      </c>
      <c r="Y1892" s="19">
        <v>0</v>
      </c>
      <c r="Z1892" s="32">
        <v>0</v>
      </c>
      <c r="AA1892" s="32">
        <v>0</v>
      </c>
      <c r="AB1892" s="32">
        <v>0</v>
      </c>
      <c r="AC1892" s="32">
        <v>0</v>
      </c>
      <c r="AD1892" s="32">
        <v>0</v>
      </c>
      <c r="AE1892" s="32">
        <v>0</v>
      </c>
      <c r="AF1892" s="32">
        <v>9</v>
      </c>
      <c r="AG1892" s="32">
        <v>1</v>
      </c>
      <c r="AH1892" s="32">
        <v>2</v>
      </c>
      <c r="AI1892" s="19">
        <v>2</v>
      </c>
      <c r="AJ1892" s="19">
        <v>2</v>
      </c>
      <c r="AK1892" s="19">
        <v>0</v>
      </c>
      <c r="AL1892" s="19">
        <v>3</v>
      </c>
      <c r="AM1892" s="32">
        <v>0</v>
      </c>
      <c r="AN1892" s="32">
        <v>0</v>
      </c>
      <c r="AO1892" s="32">
        <v>0</v>
      </c>
      <c r="AP1892" s="32">
        <v>2</v>
      </c>
      <c r="AQ1892" s="32">
        <v>30000</v>
      </c>
      <c r="AR1892" s="32">
        <v>2</v>
      </c>
      <c r="AS1892" s="32">
        <v>4</v>
      </c>
      <c r="AT1892" s="19">
        <v>0</v>
      </c>
      <c r="AU1892" s="32" t="s">
        <v>204</v>
      </c>
      <c r="AV1892" s="32"/>
      <c r="AW1892" s="35" t="s">
        <v>205</v>
      </c>
      <c r="AX1892" s="32" t="s">
        <v>551</v>
      </c>
      <c r="AY1892" s="32">
        <v>10003002</v>
      </c>
      <c r="AZ1892" s="32">
        <v>70106005</v>
      </c>
      <c r="BA1892" s="35" t="s">
        <v>592</v>
      </c>
      <c r="BB1892" s="35">
        <v>0</v>
      </c>
      <c r="BC1892" s="31">
        <v>0</v>
      </c>
      <c r="BD1892" s="31">
        <v>0</v>
      </c>
      <c r="BE1892" s="60" t="s">
        <v>583</v>
      </c>
      <c r="BF1892" s="60" t="s">
        <v>584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70106004</v>
      </c>
      <c r="D1893" s="35" t="s">
        <v>573</v>
      </c>
      <c r="E1893" s="35" t="s">
        <v>574</v>
      </c>
      <c r="F1893" s="32">
        <v>1</v>
      </c>
      <c r="G1893" s="32">
        <v>60010500</v>
      </c>
      <c r="H1893" s="32">
        <v>0</v>
      </c>
      <c r="I1893" s="31">
        <v>0</v>
      </c>
      <c r="J1893" s="32">
        <v>1</v>
      </c>
      <c r="K1893" s="32">
        <v>0</v>
      </c>
      <c r="L1893" s="32">
        <v>0</v>
      </c>
      <c r="M1893" s="32">
        <v>0</v>
      </c>
      <c r="N1893" s="32">
        <v>0</v>
      </c>
      <c r="O1893" s="21">
        <v>2</v>
      </c>
      <c r="P1893" s="32">
        <v>2</v>
      </c>
      <c r="Q1893" s="32">
        <v>0.6</v>
      </c>
      <c r="R1893" s="32">
        <v>0</v>
      </c>
      <c r="S1893" s="19">
        <v>0</v>
      </c>
      <c r="T1893" s="31">
        <v>0</v>
      </c>
      <c r="U1893" s="21">
        <v>1</v>
      </c>
      <c r="V1893" s="32">
        <v>2</v>
      </c>
      <c r="W1893" s="32">
        <v>0</v>
      </c>
      <c r="X1893" s="32">
        <v>0</v>
      </c>
      <c r="Y1893" s="19">
        <v>0</v>
      </c>
      <c r="Z1893" s="32">
        <v>0</v>
      </c>
      <c r="AA1893" s="32">
        <v>0</v>
      </c>
      <c r="AB1893" s="32">
        <v>0</v>
      </c>
      <c r="AC1893" s="32">
        <v>0</v>
      </c>
      <c r="AD1893" s="32">
        <v>0</v>
      </c>
      <c r="AE1893" s="32">
        <v>0</v>
      </c>
      <c r="AF1893" s="21">
        <v>30</v>
      </c>
      <c r="AG1893" s="32">
        <v>0</v>
      </c>
      <c r="AH1893" s="32">
        <v>0</v>
      </c>
      <c r="AI1893" s="19">
        <v>2</v>
      </c>
      <c r="AJ1893" s="19">
        <v>0</v>
      </c>
      <c r="AK1893" s="19">
        <v>0</v>
      </c>
      <c r="AL1893" s="19">
        <v>0</v>
      </c>
      <c r="AM1893" s="32">
        <v>0</v>
      </c>
      <c r="AN1893" s="32">
        <v>0</v>
      </c>
      <c r="AO1893" s="32">
        <v>0</v>
      </c>
      <c r="AP1893" s="32">
        <v>0</v>
      </c>
      <c r="AQ1893" s="32">
        <v>1000</v>
      </c>
      <c r="AR1893" s="32">
        <v>0</v>
      </c>
      <c r="AS1893" s="32">
        <v>0</v>
      </c>
      <c r="AT1893" s="19">
        <v>90104002</v>
      </c>
      <c r="AU1893" s="32" t="s">
        <v>204</v>
      </c>
      <c r="AV1893" s="32"/>
      <c r="AW1893" s="35" t="s">
        <v>205</v>
      </c>
      <c r="AX1893" s="32" t="s">
        <v>354</v>
      </c>
      <c r="AY1893" s="32">
        <v>0</v>
      </c>
      <c r="AZ1893" s="32">
        <v>0</v>
      </c>
      <c r="BA1893" s="35" t="s">
        <v>206</v>
      </c>
      <c r="BB1893" s="35" t="s">
        <v>204</v>
      </c>
      <c r="BC1893" s="31">
        <v>0</v>
      </c>
      <c r="BD1893" s="31">
        <v>0</v>
      </c>
      <c r="BE1893" s="60" t="s">
        <v>593</v>
      </c>
      <c r="BF1893" s="60" t="s">
        <v>594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70106005</v>
      </c>
      <c r="D1894" s="30" t="s">
        <v>595</v>
      </c>
      <c r="E1894" s="30" t="s">
        <v>596</v>
      </c>
      <c r="F1894" s="32">
        <v>1</v>
      </c>
      <c r="G1894" s="21">
        <v>60010300</v>
      </c>
      <c r="H1894" s="32">
        <v>0</v>
      </c>
      <c r="I1894" s="31">
        <v>0</v>
      </c>
      <c r="J1894" s="32">
        <v>1</v>
      </c>
      <c r="K1894" s="32">
        <v>0</v>
      </c>
      <c r="L1894" s="32">
        <v>0</v>
      </c>
      <c r="M1894" s="21">
        <v>0</v>
      </c>
      <c r="N1894" s="21">
        <v>0</v>
      </c>
      <c r="O1894" s="21">
        <v>2</v>
      </c>
      <c r="P1894" s="21">
        <v>1</v>
      </c>
      <c r="Q1894" s="21">
        <v>0.6</v>
      </c>
      <c r="R1894" s="21">
        <v>0</v>
      </c>
      <c r="S1894" s="19">
        <v>0</v>
      </c>
      <c r="T1894" s="21">
        <v>0</v>
      </c>
      <c r="U1894" s="21">
        <v>1</v>
      </c>
      <c r="V1894" s="21">
        <v>2</v>
      </c>
      <c r="W1894" s="21">
        <v>0</v>
      </c>
      <c r="X1894" s="21">
        <v>0</v>
      </c>
      <c r="Y1894" s="19">
        <v>0</v>
      </c>
      <c r="Z1894" s="21">
        <v>0</v>
      </c>
      <c r="AA1894" s="21">
        <v>0</v>
      </c>
      <c r="AB1894" s="21">
        <v>0</v>
      </c>
      <c r="AC1894" s="21">
        <v>0</v>
      </c>
      <c r="AD1894" s="21">
        <v>0</v>
      </c>
      <c r="AE1894" s="21">
        <v>0</v>
      </c>
      <c r="AF1894" s="21">
        <v>20</v>
      </c>
      <c r="AG1894" s="21">
        <v>0</v>
      </c>
      <c r="AH1894" s="21">
        <v>0</v>
      </c>
      <c r="AI1894" s="19">
        <v>2</v>
      </c>
      <c r="AJ1894" s="19">
        <v>2</v>
      </c>
      <c r="AK1894" s="19">
        <v>0</v>
      </c>
      <c r="AL1894" s="19">
        <v>1.5</v>
      </c>
      <c r="AM1894" s="21">
        <v>0</v>
      </c>
      <c r="AN1894" s="21">
        <v>0</v>
      </c>
      <c r="AO1894" s="21">
        <v>0</v>
      </c>
      <c r="AP1894" s="21">
        <v>1</v>
      </c>
      <c r="AQ1894" s="21">
        <v>3000</v>
      </c>
      <c r="AR1894" s="21">
        <v>0.5</v>
      </c>
      <c r="AS1894" s="21">
        <v>0</v>
      </c>
      <c r="AT1894" s="19">
        <v>0</v>
      </c>
      <c r="AU1894" s="21" t="s">
        <v>204</v>
      </c>
      <c r="AV1894" s="21"/>
      <c r="AW1894" s="35" t="s">
        <v>205</v>
      </c>
      <c r="AX1894" s="21" t="s">
        <v>551</v>
      </c>
      <c r="AY1894" s="32">
        <v>0</v>
      </c>
      <c r="AZ1894" s="32">
        <v>0</v>
      </c>
      <c r="BA1894" s="30" t="s">
        <v>534</v>
      </c>
      <c r="BB1894" s="21" t="s">
        <v>597</v>
      </c>
      <c r="BC1894" s="31">
        <v>0</v>
      </c>
      <c r="BD1894" s="31">
        <v>0</v>
      </c>
      <c r="BE1894" s="33" t="s">
        <v>598</v>
      </c>
      <c r="BF1894" s="33" t="s">
        <v>599</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19.5" customHeight="1">
      <c r="C1895" s="32">
        <v>70107001</v>
      </c>
      <c r="D1895" s="30" t="s">
        <v>611</v>
      </c>
      <c r="E1895" s="30" t="s">
        <v>612</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t="s">
        <v>613</v>
      </c>
      <c r="AI1895" s="19">
        <v>1</v>
      </c>
      <c r="AJ1895" s="19">
        <v>1</v>
      </c>
      <c r="AK1895" s="19">
        <v>0</v>
      </c>
      <c r="AL1895" s="19">
        <v>3</v>
      </c>
      <c r="AM1895" s="21">
        <v>0</v>
      </c>
      <c r="AN1895" s="21">
        <v>0</v>
      </c>
      <c r="AO1895" s="21">
        <v>0</v>
      </c>
      <c r="AP1895" s="21">
        <v>3</v>
      </c>
      <c r="AQ1895" s="21">
        <v>5000</v>
      </c>
      <c r="AR1895" s="21">
        <v>2.5</v>
      </c>
      <c r="AS1895" s="21">
        <v>0</v>
      </c>
      <c r="AT1895" s="19">
        <v>0</v>
      </c>
      <c r="AU1895" s="21" t="s">
        <v>204</v>
      </c>
      <c r="AV1895" s="21"/>
      <c r="AW1895" s="35" t="s">
        <v>293</v>
      </c>
      <c r="AX1895" s="21" t="s">
        <v>540</v>
      </c>
      <c r="AY1895" s="32">
        <v>10000007</v>
      </c>
      <c r="AZ1895" s="32">
        <v>70107001</v>
      </c>
      <c r="BA1895" s="30" t="s">
        <v>206</v>
      </c>
      <c r="BB1895" s="21">
        <v>0</v>
      </c>
      <c r="BC1895" s="31">
        <v>0</v>
      </c>
      <c r="BD1895" s="31">
        <v>0</v>
      </c>
      <c r="BE1895" s="33" t="s">
        <v>614</v>
      </c>
      <c r="BF1895" s="33" t="s">
        <v>615</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70107002</v>
      </c>
      <c r="D1896" s="30" t="s">
        <v>666</v>
      </c>
      <c r="E1896" s="30" t="s">
        <v>667</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v>3</v>
      </c>
      <c r="AI1896" s="19">
        <v>4</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205</v>
      </c>
      <c r="AX1896" s="21" t="s">
        <v>540</v>
      </c>
      <c r="AY1896" s="32">
        <v>10000007</v>
      </c>
      <c r="AZ1896" s="32">
        <v>70103003</v>
      </c>
      <c r="BA1896" s="30" t="s">
        <v>206</v>
      </c>
      <c r="BB1896" s="21" t="s">
        <v>4527</v>
      </c>
      <c r="BC1896" s="31">
        <v>0</v>
      </c>
      <c r="BD1896" s="31">
        <v>0</v>
      </c>
      <c r="BE1896" s="33" t="s">
        <v>669</v>
      </c>
      <c r="BF1896" s="33" t="s">
        <v>670</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70107003</v>
      </c>
      <c r="D1897" s="30" t="s">
        <v>671</v>
      </c>
      <c r="E1897" s="30" t="s">
        <v>612</v>
      </c>
      <c r="F1897" s="21">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0</v>
      </c>
      <c r="AB1897" s="21">
        <v>0</v>
      </c>
      <c r="AC1897" s="21">
        <v>0</v>
      </c>
      <c r="AD1897" s="21">
        <v>0</v>
      </c>
      <c r="AE1897" s="21">
        <v>0</v>
      </c>
      <c r="AF1897" s="21">
        <v>12</v>
      </c>
      <c r="AG1897" s="21">
        <v>1</v>
      </c>
      <c r="AH1897" s="21">
        <v>3</v>
      </c>
      <c r="AI1897" s="19">
        <v>6</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262</v>
      </c>
      <c r="AX1897" s="21" t="s">
        <v>540</v>
      </c>
      <c r="AY1897" s="32">
        <v>10000007</v>
      </c>
      <c r="AZ1897" s="32">
        <v>70103003</v>
      </c>
      <c r="BA1897" s="30" t="s">
        <v>206</v>
      </c>
      <c r="BB1897" s="21" t="s">
        <v>4528</v>
      </c>
      <c r="BC1897" s="31">
        <v>0</v>
      </c>
      <c r="BD1897" s="31">
        <v>0</v>
      </c>
      <c r="BE1897" s="33" t="s">
        <v>673</v>
      </c>
      <c r="BF1897" s="33" t="s">
        <v>674</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19.5" customHeight="1">
      <c r="C1898" s="32">
        <v>70107004</v>
      </c>
      <c r="D1898" s="35" t="s">
        <v>675</v>
      </c>
      <c r="E1898" s="35" t="s">
        <v>676</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32">
        <v>20</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90102001</v>
      </c>
      <c r="AU1898" s="32" t="s">
        <v>204</v>
      </c>
      <c r="AV1898" s="32"/>
      <c r="AW1898" s="35" t="s">
        <v>205</v>
      </c>
      <c r="AX1898" s="32" t="s">
        <v>354</v>
      </c>
      <c r="AY1898" s="32">
        <v>0</v>
      </c>
      <c r="AZ1898" s="32">
        <v>40000003</v>
      </c>
      <c r="BA1898" s="35" t="s">
        <v>206</v>
      </c>
      <c r="BB1898" s="35" t="s">
        <v>204</v>
      </c>
      <c r="BC1898" s="31">
        <v>0</v>
      </c>
      <c r="BD1898" s="31">
        <v>0</v>
      </c>
      <c r="BE1898" s="60" t="s">
        <v>677</v>
      </c>
      <c r="BF1898" s="60" t="s">
        <v>678</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70107005</v>
      </c>
      <c r="D1899" s="35" t="s">
        <v>679</v>
      </c>
      <c r="E1899" s="35" t="s">
        <v>680</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21">
        <v>99999</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90104002</v>
      </c>
      <c r="AU1899" s="32" t="s">
        <v>204</v>
      </c>
      <c r="AV1899" s="32"/>
      <c r="AW1899" s="35" t="s">
        <v>205</v>
      </c>
      <c r="AX1899" s="32" t="s">
        <v>354</v>
      </c>
      <c r="AY1899" s="32">
        <v>0</v>
      </c>
      <c r="AZ1899" s="32">
        <v>0</v>
      </c>
      <c r="BA1899" s="35" t="s">
        <v>206</v>
      </c>
      <c r="BB1899" s="35" t="s">
        <v>204</v>
      </c>
      <c r="BC1899" s="31">
        <v>0</v>
      </c>
      <c r="BD1899" s="31">
        <v>0</v>
      </c>
      <c r="BE1899" s="60" t="s">
        <v>681</v>
      </c>
      <c r="BF1899" s="60" t="s">
        <v>682</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70107006</v>
      </c>
      <c r="D1900" s="30" t="s">
        <v>4521</v>
      </c>
      <c r="E1900" s="30" t="s">
        <v>4522</v>
      </c>
      <c r="F1900" s="21">
        <v>1</v>
      </c>
      <c r="G1900" s="21">
        <v>60010300</v>
      </c>
      <c r="H1900" s="32">
        <v>0</v>
      </c>
      <c r="I1900" s="31">
        <v>0</v>
      </c>
      <c r="J1900" s="32">
        <v>1</v>
      </c>
      <c r="K1900" s="32">
        <v>0</v>
      </c>
      <c r="L1900" s="32">
        <v>0</v>
      </c>
      <c r="M1900" s="21">
        <v>0</v>
      </c>
      <c r="N1900" s="21">
        <v>0</v>
      </c>
      <c r="O1900" s="21">
        <v>2</v>
      </c>
      <c r="P1900" s="21">
        <v>2</v>
      </c>
      <c r="Q1900" s="21">
        <v>0.8</v>
      </c>
      <c r="R1900" s="21">
        <v>0</v>
      </c>
      <c r="S1900" s="19">
        <v>0</v>
      </c>
      <c r="T1900" s="21">
        <v>0</v>
      </c>
      <c r="U1900" s="21">
        <v>1</v>
      </c>
      <c r="V1900" s="21">
        <v>2</v>
      </c>
      <c r="W1900" s="21">
        <v>0</v>
      </c>
      <c r="X1900" s="21">
        <v>0</v>
      </c>
      <c r="Y1900" s="19">
        <v>0</v>
      </c>
      <c r="Z1900" s="21">
        <v>0</v>
      </c>
      <c r="AA1900" s="21">
        <v>0</v>
      </c>
      <c r="AB1900" s="21">
        <v>0</v>
      </c>
      <c r="AC1900" s="21">
        <v>0</v>
      </c>
      <c r="AD1900" s="21">
        <v>0</v>
      </c>
      <c r="AE1900" s="21">
        <v>0</v>
      </c>
      <c r="AF1900" s="21">
        <v>30</v>
      </c>
      <c r="AG1900" s="21">
        <v>0</v>
      </c>
      <c r="AH1900" s="21">
        <v>0</v>
      </c>
      <c r="AI1900" s="19">
        <v>2</v>
      </c>
      <c r="AJ1900" s="19">
        <v>2</v>
      </c>
      <c r="AK1900" s="19">
        <v>0</v>
      </c>
      <c r="AL1900" s="19">
        <v>1.5</v>
      </c>
      <c r="AM1900" s="21">
        <v>0</v>
      </c>
      <c r="AN1900" s="21">
        <v>0</v>
      </c>
      <c r="AO1900" s="21">
        <v>0</v>
      </c>
      <c r="AP1900" s="21">
        <v>1</v>
      </c>
      <c r="AQ1900" s="21">
        <v>3000</v>
      </c>
      <c r="AR1900" s="21">
        <v>0.5</v>
      </c>
      <c r="AS1900" s="21">
        <v>0</v>
      </c>
      <c r="AT1900" s="19">
        <v>0</v>
      </c>
      <c r="AU1900" s="21" t="s">
        <v>204</v>
      </c>
      <c r="AV1900" s="21"/>
      <c r="AW1900" s="35" t="s">
        <v>205</v>
      </c>
      <c r="AX1900" s="21" t="s">
        <v>551</v>
      </c>
      <c r="AY1900" s="32">
        <v>0</v>
      </c>
      <c r="AZ1900" s="32">
        <v>0</v>
      </c>
      <c r="BA1900" s="30" t="s">
        <v>534</v>
      </c>
      <c r="BB1900" s="21" t="s">
        <v>4529</v>
      </c>
      <c r="BC1900" s="31">
        <v>0</v>
      </c>
      <c r="BD1900" s="31">
        <v>0</v>
      </c>
      <c r="BE1900" s="33" t="s">
        <v>4530</v>
      </c>
      <c r="BF1900" s="33" t="s">
        <v>4531</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70201001</v>
      </c>
      <c r="D1901" s="30" t="s">
        <v>754</v>
      </c>
      <c r="E1901" s="30" t="s">
        <v>755</v>
      </c>
      <c r="F1901" s="32">
        <v>1</v>
      </c>
      <c r="G1901" s="21">
        <v>60010100</v>
      </c>
      <c r="H1901" s="32">
        <v>0</v>
      </c>
      <c r="I1901" s="31">
        <v>0</v>
      </c>
      <c r="J1901" s="32">
        <v>1</v>
      </c>
      <c r="K1901" s="32">
        <v>0</v>
      </c>
      <c r="L1901" s="32">
        <v>0</v>
      </c>
      <c r="M1901" s="21">
        <v>0</v>
      </c>
      <c r="N1901" s="21">
        <v>0</v>
      </c>
      <c r="O1901" s="21">
        <v>2</v>
      </c>
      <c r="P1901" s="21">
        <v>1</v>
      </c>
      <c r="Q1901" s="21">
        <v>1</v>
      </c>
      <c r="R1901" s="21">
        <v>0</v>
      </c>
      <c r="S1901" s="19">
        <v>0</v>
      </c>
      <c r="T1901" s="21">
        <v>0</v>
      </c>
      <c r="U1901" s="21">
        <v>1</v>
      </c>
      <c r="V1901" s="21">
        <v>2</v>
      </c>
      <c r="W1901" s="21">
        <v>0</v>
      </c>
      <c r="X1901" s="21">
        <v>2</v>
      </c>
      <c r="Y1901" s="19">
        <v>0</v>
      </c>
      <c r="Z1901" s="21">
        <v>0</v>
      </c>
      <c r="AA1901" s="21">
        <v>1</v>
      </c>
      <c r="AB1901" s="21">
        <v>0</v>
      </c>
      <c r="AC1901" s="21">
        <v>0</v>
      </c>
      <c r="AD1901" s="21">
        <v>0</v>
      </c>
      <c r="AE1901" s="21">
        <v>0</v>
      </c>
      <c r="AF1901" s="21">
        <v>12</v>
      </c>
      <c r="AG1901" s="21">
        <v>2</v>
      </c>
      <c r="AH1901" s="21" t="s">
        <v>219</v>
      </c>
      <c r="AI1901" s="19">
        <v>0</v>
      </c>
      <c r="AJ1901" s="19">
        <v>0</v>
      </c>
      <c r="AK1901" s="19">
        <v>0</v>
      </c>
      <c r="AL1901" s="19">
        <v>1.5</v>
      </c>
      <c r="AM1901" s="21">
        <v>0</v>
      </c>
      <c r="AN1901" s="21">
        <v>0</v>
      </c>
      <c r="AO1901" s="21">
        <v>0</v>
      </c>
      <c r="AP1901" s="21">
        <v>1</v>
      </c>
      <c r="AQ1901" s="21">
        <v>5000</v>
      </c>
      <c r="AR1901" s="21">
        <v>0.5</v>
      </c>
      <c r="AS1901" s="21">
        <v>0</v>
      </c>
      <c r="AT1901" s="19">
        <v>0</v>
      </c>
      <c r="AU1901" s="21" t="s">
        <v>204</v>
      </c>
      <c r="AV1901" s="21"/>
      <c r="AW1901" s="35" t="s">
        <v>293</v>
      </c>
      <c r="AX1901" s="21" t="s">
        <v>540</v>
      </c>
      <c r="AY1901" s="32">
        <v>10000007</v>
      </c>
      <c r="AZ1901" s="32">
        <v>70201001</v>
      </c>
      <c r="BA1901" s="30" t="s">
        <v>206</v>
      </c>
      <c r="BB1901" s="21">
        <v>0</v>
      </c>
      <c r="BC1901" s="31">
        <v>0</v>
      </c>
      <c r="BD1901" s="31">
        <v>0</v>
      </c>
      <c r="BE1901" s="33" t="s">
        <v>756</v>
      </c>
      <c r="BF1901" s="33" t="s">
        <v>757</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70201002</v>
      </c>
      <c r="D1902" s="30" t="s">
        <v>606</v>
      </c>
      <c r="E1902" s="30" t="s">
        <v>607</v>
      </c>
      <c r="F1902" s="21">
        <v>1</v>
      </c>
      <c r="G1902" s="21">
        <v>60010300</v>
      </c>
      <c r="H1902" s="32">
        <v>0</v>
      </c>
      <c r="I1902" s="31">
        <v>0</v>
      </c>
      <c r="J1902" s="32">
        <v>1</v>
      </c>
      <c r="K1902" s="32">
        <v>0</v>
      </c>
      <c r="L1902" s="32">
        <v>0</v>
      </c>
      <c r="M1902" s="21">
        <v>0</v>
      </c>
      <c r="N1902" s="21">
        <v>0</v>
      </c>
      <c r="O1902" s="21">
        <v>2</v>
      </c>
      <c r="P1902" s="21">
        <v>2</v>
      </c>
      <c r="Q1902" s="21">
        <v>0.8</v>
      </c>
      <c r="R1902" s="21">
        <v>0</v>
      </c>
      <c r="S1902" s="19">
        <v>0</v>
      </c>
      <c r="T1902" s="21">
        <v>0</v>
      </c>
      <c r="U1902" s="21">
        <v>1</v>
      </c>
      <c r="V1902" s="21">
        <v>2</v>
      </c>
      <c r="W1902" s="21">
        <v>0</v>
      </c>
      <c r="X1902" s="21">
        <v>0</v>
      </c>
      <c r="Y1902" s="19">
        <v>0</v>
      </c>
      <c r="Z1902" s="21">
        <v>0</v>
      </c>
      <c r="AA1902" s="21">
        <v>0</v>
      </c>
      <c r="AB1902" s="21">
        <v>0</v>
      </c>
      <c r="AC1902" s="21">
        <v>0</v>
      </c>
      <c r="AD1902" s="21">
        <v>0</v>
      </c>
      <c r="AE1902" s="21">
        <v>0</v>
      </c>
      <c r="AF1902" s="21">
        <v>30</v>
      </c>
      <c r="AG1902" s="21">
        <v>0</v>
      </c>
      <c r="AH1902" s="21">
        <v>0</v>
      </c>
      <c r="AI1902" s="19">
        <v>2</v>
      </c>
      <c r="AJ1902" s="19">
        <v>2</v>
      </c>
      <c r="AK1902" s="19">
        <v>0</v>
      </c>
      <c r="AL1902" s="19">
        <v>1.5</v>
      </c>
      <c r="AM1902" s="21">
        <v>0</v>
      </c>
      <c r="AN1902" s="21">
        <v>0</v>
      </c>
      <c r="AO1902" s="21">
        <v>0</v>
      </c>
      <c r="AP1902" s="21">
        <v>1</v>
      </c>
      <c r="AQ1902" s="21">
        <v>3000</v>
      </c>
      <c r="AR1902" s="21">
        <v>0.5</v>
      </c>
      <c r="AS1902" s="21">
        <v>0</v>
      </c>
      <c r="AT1902" s="19">
        <v>0</v>
      </c>
      <c r="AU1902" s="21" t="s">
        <v>204</v>
      </c>
      <c r="AV1902" s="21"/>
      <c r="AW1902" s="35" t="s">
        <v>262</v>
      </c>
      <c r="AX1902" s="21" t="s">
        <v>551</v>
      </c>
      <c r="AY1902" s="32">
        <v>0</v>
      </c>
      <c r="AZ1902" s="32">
        <v>0</v>
      </c>
      <c r="BA1902" s="30" t="s">
        <v>534</v>
      </c>
      <c r="BB1902" s="21" t="s">
        <v>4532</v>
      </c>
      <c r="BC1902" s="31">
        <v>0</v>
      </c>
      <c r="BD1902" s="31">
        <v>0</v>
      </c>
      <c r="BE1902" s="33" t="s">
        <v>609</v>
      </c>
      <c r="BF1902" s="33" t="s">
        <v>610</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70201003</v>
      </c>
      <c r="D1903" s="30" t="s">
        <v>4533</v>
      </c>
      <c r="E1903" s="30" t="s">
        <v>4534</v>
      </c>
      <c r="F1903" s="32">
        <v>1</v>
      </c>
      <c r="G1903" s="21">
        <v>60010100</v>
      </c>
      <c r="H1903" s="32">
        <v>0</v>
      </c>
      <c r="I1903" s="31">
        <v>0</v>
      </c>
      <c r="J1903" s="32">
        <v>1</v>
      </c>
      <c r="K1903" s="32">
        <v>0</v>
      </c>
      <c r="L1903" s="32">
        <v>0</v>
      </c>
      <c r="M1903" s="21">
        <v>0</v>
      </c>
      <c r="N1903" s="21">
        <v>0</v>
      </c>
      <c r="O1903" s="21">
        <v>2</v>
      </c>
      <c r="P1903" s="21">
        <v>1</v>
      </c>
      <c r="Q1903" s="21">
        <v>1</v>
      </c>
      <c r="R1903" s="21">
        <v>0</v>
      </c>
      <c r="S1903" s="19">
        <v>0</v>
      </c>
      <c r="T1903" s="21">
        <v>0</v>
      </c>
      <c r="U1903" s="21">
        <v>1</v>
      </c>
      <c r="V1903" s="21">
        <v>2</v>
      </c>
      <c r="W1903" s="21">
        <v>0</v>
      </c>
      <c r="X1903" s="21">
        <v>2</v>
      </c>
      <c r="Y1903" s="19">
        <v>0</v>
      </c>
      <c r="Z1903" s="21">
        <v>0</v>
      </c>
      <c r="AA1903" s="21">
        <v>1</v>
      </c>
      <c r="AB1903" s="21">
        <v>0</v>
      </c>
      <c r="AC1903" s="21">
        <v>0</v>
      </c>
      <c r="AD1903" s="21">
        <v>0</v>
      </c>
      <c r="AE1903" s="21">
        <v>0</v>
      </c>
      <c r="AF1903" s="21">
        <v>15</v>
      </c>
      <c r="AG1903" s="21">
        <v>1</v>
      </c>
      <c r="AH1903" s="21" t="s">
        <v>4535</v>
      </c>
      <c r="AI1903" s="19">
        <v>0</v>
      </c>
      <c r="AJ1903" s="19">
        <v>1</v>
      </c>
      <c r="AK1903" s="19">
        <v>0</v>
      </c>
      <c r="AL1903" s="19">
        <v>2.5</v>
      </c>
      <c r="AM1903" s="21">
        <v>0</v>
      </c>
      <c r="AN1903" s="21">
        <v>0</v>
      </c>
      <c r="AO1903" s="21">
        <v>0</v>
      </c>
      <c r="AP1903" s="21">
        <v>4</v>
      </c>
      <c r="AQ1903" s="21">
        <v>5000</v>
      </c>
      <c r="AR1903" s="21">
        <v>3</v>
      </c>
      <c r="AS1903" s="21">
        <v>0</v>
      </c>
      <c r="AT1903" s="19">
        <v>0</v>
      </c>
      <c r="AU1903" s="21" t="s">
        <v>204</v>
      </c>
      <c r="AV1903" s="21"/>
      <c r="AW1903" s="35" t="s">
        <v>623</v>
      </c>
      <c r="AX1903" s="21" t="s">
        <v>540</v>
      </c>
      <c r="AY1903" s="32">
        <v>10000007</v>
      </c>
      <c r="AZ1903" s="32">
        <v>70201003</v>
      </c>
      <c r="BA1903" s="30" t="s">
        <v>206</v>
      </c>
      <c r="BB1903" s="21">
        <v>0</v>
      </c>
      <c r="BC1903" s="31">
        <v>0</v>
      </c>
      <c r="BD1903" s="31">
        <v>0</v>
      </c>
      <c r="BE1903" s="33" t="s">
        <v>4536</v>
      </c>
      <c r="BF1903" s="33" t="s">
        <v>4537</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70201004</v>
      </c>
      <c r="D1904" s="35" t="s">
        <v>4538</v>
      </c>
      <c r="E1904" s="35" t="s">
        <v>4539</v>
      </c>
      <c r="F1904" s="32">
        <v>1</v>
      </c>
      <c r="G1904" s="32">
        <v>60010500</v>
      </c>
      <c r="H1904" s="32">
        <v>0</v>
      </c>
      <c r="I1904" s="31">
        <v>0</v>
      </c>
      <c r="J1904" s="32">
        <v>1</v>
      </c>
      <c r="K1904" s="32">
        <v>0</v>
      </c>
      <c r="L1904" s="32">
        <v>0</v>
      </c>
      <c r="M1904" s="32">
        <v>0</v>
      </c>
      <c r="N1904" s="32">
        <v>0</v>
      </c>
      <c r="O1904" s="21">
        <v>2</v>
      </c>
      <c r="P1904" s="32">
        <v>2</v>
      </c>
      <c r="Q1904" s="32">
        <v>0.3</v>
      </c>
      <c r="R1904" s="32">
        <v>0</v>
      </c>
      <c r="S1904" s="19">
        <v>0</v>
      </c>
      <c r="T1904" s="31">
        <v>0</v>
      </c>
      <c r="U1904" s="21">
        <v>1</v>
      </c>
      <c r="V1904" s="32">
        <v>2</v>
      </c>
      <c r="W1904" s="32">
        <v>0</v>
      </c>
      <c r="X1904" s="32">
        <v>0</v>
      </c>
      <c r="Y1904" s="19">
        <v>0</v>
      </c>
      <c r="Z1904" s="32">
        <v>0</v>
      </c>
      <c r="AA1904" s="32">
        <v>0</v>
      </c>
      <c r="AB1904" s="32">
        <v>0</v>
      </c>
      <c r="AC1904" s="32">
        <v>0</v>
      </c>
      <c r="AD1904" s="21">
        <v>0</v>
      </c>
      <c r="AE1904" s="32">
        <v>0</v>
      </c>
      <c r="AF1904" s="21">
        <v>99999</v>
      </c>
      <c r="AG1904" s="32">
        <v>0</v>
      </c>
      <c r="AH1904" s="32">
        <v>0</v>
      </c>
      <c r="AI1904" s="19">
        <v>2</v>
      </c>
      <c r="AJ1904" s="19">
        <v>0</v>
      </c>
      <c r="AK1904" s="19">
        <v>0</v>
      </c>
      <c r="AL1904" s="19">
        <v>0</v>
      </c>
      <c r="AM1904" s="32">
        <v>0</v>
      </c>
      <c r="AN1904" s="32">
        <v>0</v>
      </c>
      <c r="AO1904" s="32">
        <v>0</v>
      </c>
      <c r="AP1904" s="32">
        <v>0</v>
      </c>
      <c r="AQ1904" s="32">
        <v>1000</v>
      </c>
      <c r="AR1904" s="32">
        <v>0</v>
      </c>
      <c r="AS1904" s="32">
        <v>0</v>
      </c>
      <c r="AT1904" s="19" t="s">
        <v>760</v>
      </c>
      <c r="AU1904" s="32" t="s">
        <v>204</v>
      </c>
      <c r="AV1904" s="32"/>
      <c r="AW1904" s="35" t="s">
        <v>205</v>
      </c>
      <c r="AX1904" s="32" t="s">
        <v>354</v>
      </c>
      <c r="AY1904" s="32">
        <v>0</v>
      </c>
      <c r="AZ1904" s="32">
        <v>0</v>
      </c>
      <c r="BA1904" s="35" t="s">
        <v>206</v>
      </c>
      <c r="BB1904" s="35" t="s">
        <v>204</v>
      </c>
      <c r="BC1904" s="31">
        <v>0</v>
      </c>
      <c r="BD1904" s="31">
        <v>0</v>
      </c>
      <c r="BE1904" s="60" t="s">
        <v>761</v>
      </c>
      <c r="BF1904" s="60" t="s">
        <v>762</v>
      </c>
      <c r="BG1904" s="32">
        <v>0</v>
      </c>
      <c r="BH1904" s="21">
        <v>0</v>
      </c>
      <c r="BI1904" s="32">
        <v>0</v>
      </c>
      <c r="BJ1904" s="32">
        <v>0</v>
      </c>
      <c r="BK1904" s="32">
        <v>0</v>
      </c>
      <c r="BL1904" s="32">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19.5" customHeight="1">
      <c r="C1905" s="32">
        <v>70202001</v>
      </c>
      <c r="D1905" s="30" t="s">
        <v>1023</v>
      </c>
      <c r="E1905" s="30" t="s">
        <v>1024</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15</v>
      </c>
      <c r="AG1905" s="21">
        <v>1</v>
      </c>
      <c r="AH1905" s="21" t="s">
        <v>613</v>
      </c>
      <c r="AI1905" s="19">
        <v>1</v>
      </c>
      <c r="AJ1905" s="19">
        <v>1</v>
      </c>
      <c r="AK1905" s="19">
        <v>0</v>
      </c>
      <c r="AL1905" s="19">
        <v>3</v>
      </c>
      <c r="AM1905" s="21">
        <v>0</v>
      </c>
      <c r="AN1905" s="21">
        <v>0</v>
      </c>
      <c r="AO1905" s="21">
        <v>0</v>
      </c>
      <c r="AP1905" s="21">
        <v>3</v>
      </c>
      <c r="AQ1905" s="21">
        <v>5000</v>
      </c>
      <c r="AR1905" s="21">
        <v>2.5</v>
      </c>
      <c r="AS1905" s="21">
        <v>0</v>
      </c>
      <c r="AT1905" s="19">
        <v>0</v>
      </c>
      <c r="AU1905" s="21" t="s">
        <v>204</v>
      </c>
      <c r="AV1905" s="21"/>
      <c r="AW1905" s="35" t="s">
        <v>623</v>
      </c>
      <c r="AX1905" s="21" t="s">
        <v>540</v>
      </c>
      <c r="AY1905" s="32">
        <v>10000007</v>
      </c>
      <c r="AZ1905" s="32">
        <v>70202001</v>
      </c>
      <c r="BA1905" s="30" t="s">
        <v>206</v>
      </c>
      <c r="BB1905" s="21">
        <v>0</v>
      </c>
      <c r="BC1905" s="31">
        <v>0</v>
      </c>
      <c r="BD1905" s="31">
        <v>0</v>
      </c>
      <c r="BE1905" s="33" t="s">
        <v>1026</v>
      </c>
      <c r="BF1905" s="33" t="s">
        <v>1027</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70202002</v>
      </c>
      <c r="D1906" s="30" t="s">
        <v>1028</v>
      </c>
      <c r="E1906" s="30" t="s">
        <v>1029</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20</v>
      </c>
      <c r="AG1906" s="21">
        <v>1</v>
      </c>
      <c r="AH1906" s="21">
        <v>3</v>
      </c>
      <c r="AI1906" s="19">
        <v>6</v>
      </c>
      <c r="AJ1906" s="19">
        <v>1</v>
      </c>
      <c r="AK1906" s="19">
        <v>0</v>
      </c>
      <c r="AL1906" s="19">
        <v>1.5</v>
      </c>
      <c r="AM1906" s="21">
        <v>0</v>
      </c>
      <c r="AN1906" s="21">
        <v>0</v>
      </c>
      <c r="AO1906" s="21">
        <v>0</v>
      </c>
      <c r="AP1906" s="21">
        <v>3</v>
      </c>
      <c r="AQ1906" s="21">
        <v>5000</v>
      </c>
      <c r="AR1906" s="21">
        <v>3</v>
      </c>
      <c r="AS1906" s="21">
        <v>0</v>
      </c>
      <c r="AT1906" s="19">
        <v>0</v>
      </c>
      <c r="AU1906" s="21" t="s">
        <v>204</v>
      </c>
      <c r="AV1906" s="21"/>
      <c r="AW1906" s="35" t="s">
        <v>262</v>
      </c>
      <c r="AX1906" s="21" t="s">
        <v>540</v>
      </c>
      <c r="AY1906" s="32">
        <v>10000007</v>
      </c>
      <c r="AZ1906" s="32">
        <v>70202002</v>
      </c>
      <c r="BA1906" s="30" t="s">
        <v>206</v>
      </c>
      <c r="BB1906" s="21" t="s">
        <v>4540</v>
      </c>
      <c r="BC1906" s="31">
        <v>0</v>
      </c>
      <c r="BD1906" s="31">
        <v>0</v>
      </c>
      <c r="BE1906" s="33" t="s">
        <v>4541</v>
      </c>
      <c r="BF1906" s="33" t="s">
        <v>4542</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70202003</v>
      </c>
      <c r="D1907" s="35" t="s">
        <v>1330</v>
      </c>
      <c r="E1907" s="35" t="s">
        <v>1331</v>
      </c>
      <c r="F1907" s="32">
        <v>1</v>
      </c>
      <c r="G1907" s="32">
        <v>60010500</v>
      </c>
      <c r="H1907" s="32">
        <v>0</v>
      </c>
      <c r="I1907" s="31">
        <v>0</v>
      </c>
      <c r="J1907" s="32">
        <v>1</v>
      </c>
      <c r="K1907" s="32">
        <v>0</v>
      </c>
      <c r="L1907" s="32">
        <v>0</v>
      </c>
      <c r="M1907" s="32">
        <v>0</v>
      </c>
      <c r="N1907" s="32">
        <v>0</v>
      </c>
      <c r="O1907" s="21">
        <v>2</v>
      </c>
      <c r="P1907" s="32">
        <v>0</v>
      </c>
      <c r="Q1907" s="32">
        <v>0</v>
      </c>
      <c r="R1907" s="32">
        <v>0</v>
      </c>
      <c r="S1907" s="19">
        <v>0</v>
      </c>
      <c r="T1907" s="31">
        <v>0</v>
      </c>
      <c r="U1907" s="21">
        <v>1</v>
      </c>
      <c r="V1907" s="32">
        <v>1</v>
      </c>
      <c r="W1907" s="32">
        <v>0</v>
      </c>
      <c r="X1907" s="32">
        <v>1</v>
      </c>
      <c r="Y1907" s="19">
        <v>0</v>
      </c>
      <c r="Z1907" s="32">
        <v>0</v>
      </c>
      <c r="AA1907" s="32">
        <v>0</v>
      </c>
      <c r="AB1907" s="32">
        <v>0</v>
      </c>
      <c r="AC1907" s="32">
        <v>0</v>
      </c>
      <c r="AD1907" s="21">
        <v>0</v>
      </c>
      <c r="AE1907" s="32">
        <v>0</v>
      </c>
      <c r="AF1907" s="32">
        <v>15</v>
      </c>
      <c r="AG1907" s="32">
        <v>0</v>
      </c>
      <c r="AH1907" s="32">
        <v>0</v>
      </c>
      <c r="AI1907" s="19">
        <v>7</v>
      </c>
      <c r="AJ1907" s="19">
        <v>0</v>
      </c>
      <c r="AK1907" s="19">
        <v>0</v>
      </c>
      <c r="AL1907" s="19">
        <v>0</v>
      </c>
      <c r="AM1907" s="32">
        <v>0</v>
      </c>
      <c r="AN1907" s="32">
        <v>0</v>
      </c>
      <c r="AO1907" s="32">
        <v>0</v>
      </c>
      <c r="AP1907" s="32">
        <v>0</v>
      </c>
      <c r="AQ1907" s="32">
        <v>1000</v>
      </c>
      <c r="AR1907" s="32">
        <v>0.5</v>
      </c>
      <c r="AS1907" s="32">
        <v>0</v>
      </c>
      <c r="AT1907" s="19">
        <v>0</v>
      </c>
      <c r="AU1907" s="19">
        <v>90202001</v>
      </c>
      <c r="AV1907" s="19"/>
      <c r="AW1907" s="35" t="s">
        <v>747</v>
      </c>
      <c r="AX1907" s="32">
        <v>0</v>
      </c>
      <c r="AY1907" s="32">
        <v>10007001</v>
      </c>
      <c r="AZ1907" s="32">
        <v>0</v>
      </c>
      <c r="BA1907" s="35" t="s">
        <v>206</v>
      </c>
      <c r="BB1907" s="35" t="s">
        <v>204</v>
      </c>
      <c r="BC1907" s="31">
        <v>0</v>
      </c>
      <c r="BD1907" s="31">
        <v>0</v>
      </c>
      <c r="BE1907" s="60" t="s">
        <v>3280</v>
      </c>
      <c r="BF1907" s="60" t="s">
        <v>3281</v>
      </c>
      <c r="BG1907" s="32">
        <v>0</v>
      </c>
      <c r="BH1907" s="21">
        <v>0</v>
      </c>
      <c r="BI1907" s="32">
        <v>0</v>
      </c>
      <c r="BJ1907" s="32">
        <v>0</v>
      </c>
      <c r="BK1907" s="32">
        <v>0</v>
      </c>
      <c r="BL1907" s="32">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70202004</v>
      </c>
      <c r="D1908" s="30" t="s">
        <v>1035</v>
      </c>
      <c r="E1908" s="30" t="s">
        <v>1036</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1</v>
      </c>
      <c r="Y1908" s="19">
        <v>0</v>
      </c>
      <c r="Z1908" s="21">
        <v>0</v>
      </c>
      <c r="AA1908" s="21">
        <v>1</v>
      </c>
      <c r="AB1908" s="21">
        <v>0</v>
      </c>
      <c r="AC1908" s="21">
        <v>0</v>
      </c>
      <c r="AD1908" s="21">
        <v>0</v>
      </c>
      <c r="AE1908" s="21">
        <v>0</v>
      </c>
      <c r="AF1908" s="21">
        <v>30</v>
      </c>
      <c r="AG1908" s="21">
        <v>1</v>
      </c>
      <c r="AH1908" s="21" t="s">
        <v>867</v>
      </c>
      <c r="AI1908" s="19">
        <v>0</v>
      </c>
      <c r="AJ1908" s="19">
        <v>0</v>
      </c>
      <c r="AK1908" s="19">
        <v>0</v>
      </c>
      <c r="AL1908" s="19">
        <v>0</v>
      </c>
      <c r="AM1908" s="21">
        <v>0</v>
      </c>
      <c r="AN1908" s="21">
        <v>0</v>
      </c>
      <c r="AO1908" s="21">
        <v>0</v>
      </c>
      <c r="AP1908" s="21">
        <v>0.5</v>
      </c>
      <c r="AQ1908" s="21">
        <v>999999</v>
      </c>
      <c r="AR1908" s="21">
        <v>0.5</v>
      </c>
      <c r="AS1908" s="21">
        <v>0</v>
      </c>
      <c r="AT1908" s="19">
        <v>0</v>
      </c>
      <c r="AU1908" s="341" t="s">
        <v>1025</v>
      </c>
      <c r="AV1908" s="19"/>
      <c r="AW1908" s="35" t="s">
        <v>293</v>
      </c>
      <c r="AX1908" s="21" t="s">
        <v>540</v>
      </c>
      <c r="AY1908" s="32">
        <v>10000007</v>
      </c>
      <c r="AZ1908" s="32">
        <v>70202004</v>
      </c>
      <c r="BA1908" s="35" t="s">
        <v>321</v>
      </c>
      <c r="BB1908" s="35" t="s">
        <v>377</v>
      </c>
      <c r="BC1908" s="31">
        <v>0</v>
      </c>
      <c r="BD1908" s="31">
        <v>0</v>
      </c>
      <c r="BE1908" s="33" t="s">
        <v>4543</v>
      </c>
      <c r="BF1908" s="33" t="s">
        <v>4544</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70203001</v>
      </c>
      <c r="D1909" s="30" t="s">
        <v>4545</v>
      </c>
      <c r="E1909" s="30" t="s">
        <v>4546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2</v>
      </c>
      <c r="Y1909" s="19">
        <v>0</v>
      </c>
      <c r="Z1909" s="21">
        <v>0</v>
      </c>
      <c r="AA1909" s="21">
        <v>1</v>
      </c>
      <c r="AB1909" s="21">
        <v>0</v>
      </c>
      <c r="AC1909" s="21">
        <v>0</v>
      </c>
      <c r="AD1909" s="21">
        <v>0</v>
      </c>
      <c r="AE1909" s="21">
        <v>0</v>
      </c>
      <c r="AF1909" s="21">
        <v>20</v>
      </c>
      <c r="AG1909" s="21">
        <v>1</v>
      </c>
      <c r="AH1909" s="21" t="s">
        <v>867</v>
      </c>
      <c r="AI1909" s="19">
        <v>1</v>
      </c>
      <c r="AJ1909" s="19">
        <v>1</v>
      </c>
      <c r="AK1909" s="19">
        <v>0</v>
      </c>
      <c r="AL1909" s="19">
        <v>1.5</v>
      </c>
      <c r="AM1909" s="21">
        <v>0</v>
      </c>
      <c r="AN1909" s="21">
        <v>0</v>
      </c>
      <c r="AO1909" s="21">
        <v>0</v>
      </c>
      <c r="AP1909" s="21">
        <v>0.5</v>
      </c>
      <c r="AQ1909" s="21">
        <v>999999</v>
      </c>
      <c r="AR1909" s="21">
        <v>2</v>
      </c>
      <c r="AS1909" s="21">
        <v>0</v>
      </c>
      <c r="AT1909" s="19">
        <v>0</v>
      </c>
      <c r="AU1909" s="21" t="s">
        <v>204</v>
      </c>
      <c r="AV1909" s="21"/>
      <c r="AW1909" s="35" t="s">
        <v>205</v>
      </c>
      <c r="AX1909" s="21" t="s">
        <v>540</v>
      </c>
      <c r="AY1909" s="32">
        <v>10000007</v>
      </c>
      <c r="AZ1909" s="32">
        <v>70203001</v>
      </c>
      <c r="BA1909" s="35" t="s">
        <v>321</v>
      </c>
      <c r="BB1909" s="35" t="s">
        <v>377</v>
      </c>
      <c r="BC1909" s="31">
        <v>0</v>
      </c>
      <c r="BD1909" s="31">
        <v>0</v>
      </c>
      <c r="BE1909" s="33" t="s">
        <v>4547</v>
      </c>
      <c r="BF1909" s="33" t="s">
        <v>4548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70203002</v>
      </c>
      <c r="D1910" s="30" t="s">
        <v>750</v>
      </c>
      <c r="E1910" s="30" t="s">
        <v>751</v>
      </c>
      <c r="F1910" s="32">
        <v>1</v>
      </c>
      <c r="G1910" s="32">
        <v>60010500</v>
      </c>
      <c r="H1910" s="32">
        <v>0</v>
      </c>
      <c r="I1910" s="31">
        <v>0</v>
      </c>
      <c r="J1910" s="32">
        <v>1</v>
      </c>
      <c r="K1910" s="32">
        <v>0</v>
      </c>
      <c r="L1910" s="32">
        <v>0</v>
      </c>
      <c r="M1910" s="32">
        <v>0</v>
      </c>
      <c r="N1910" s="32">
        <v>0</v>
      </c>
      <c r="O1910" s="21">
        <v>2</v>
      </c>
      <c r="P1910" s="32">
        <v>1</v>
      </c>
      <c r="Q1910" s="32">
        <v>0.05</v>
      </c>
      <c r="R1910" s="32">
        <v>0</v>
      </c>
      <c r="S1910" s="19">
        <v>0</v>
      </c>
      <c r="T1910" s="31">
        <v>0</v>
      </c>
      <c r="U1910" s="21">
        <v>1</v>
      </c>
      <c r="V1910" s="32">
        <v>1</v>
      </c>
      <c r="W1910" s="32">
        <v>0</v>
      </c>
      <c r="X1910" s="32">
        <v>2</v>
      </c>
      <c r="Y1910" s="19">
        <v>0</v>
      </c>
      <c r="Z1910" s="32">
        <v>0</v>
      </c>
      <c r="AA1910" s="32">
        <v>0</v>
      </c>
      <c r="AB1910" s="32">
        <v>0</v>
      </c>
      <c r="AC1910" s="32">
        <v>0</v>
      </c>
      <c r="AD1910" s="21">
        <v>0</v>
      </c>
      <c r="AE1910" s="32">
        <v>0</v>
      </c>
      <c r="AF1910" s="32">
        <v>10</v>
      </c>
      <c r="AG1910" s="32">
        <v>0</v>
      </c>
      <c r="AH1910" s="32">
        <v>0</v>
      </c>
      <c r="AI1910" s="19">
        <v>7</v>
      </c>
      <c r="AJ1910" s="19">
        <v>0</v>
      </c>
      <c r="AK1910" s="19">
        <v>0</v>
      </c>
      <c r="AL1910" s="19">
        <v>0</v>
      </c>
      <c r="AM1910" s="32">
        <v>0</v>
      </c>
      <c r="AN1910" s="32">
        <v>0</v>
      </c>
      <c r="AO1910" s="32">
        <v>0</v>
      </c>
      <c r="AP1910" s="32">
        <v>0</v>
      </c>
      <c r="AQ1910" s="32">
        <v>1000</v>
      </c>
      <c r="AR1910" s="32">
        <v>0.5</v>
      </c>
      <c r="AS1910" s="32">
        <v>0</v>
      </c>
      <c r="AT1910" s="19">
        <v>0</v>
      </c>
      <c r="AU1910" s="32" t="s">
        <v>665</v>
      </c>
      <c r="AV1910" s="32"/>
      <c r="AW1910" s="35" t="s">
        <v>747</v>
      </c>
      <c r="AX1910" s="32">
        <v>0</v>
      </c>
      <c r="AY1910" s="32">
        <v>10007001</v>
      </c>
      <c r="AZ1910" s="32">
        <v>0</v>
      </c>
      <c r="BA1910" s="35" t="s">
        <v>206</v>
      </c>
      <c r="BB1910" s="35" t="s">
        <v>204</v>
      </c>
      <c r="BC1910" s="31">
        <v>0</v>
      </c>
      <c r="BD1910" s="31">
        <v>0</v>
      </c>
      <c r="BE1910" s="60" t="s">
        <v>752</v>
      </c>
      <c r="BF1910" s="60" t="s">
        <v>753</v>
      </c>
      <c r="BG1910" s="32">
        <v>0</v>
      </c>
      <c r="BH1910" s="21">
        <v>0</v>
      </c>
      <c r="BI1910" s="32">
        <v>0</v>
      </c>
      <c r="BJ1910" s="32">
        <v>0</v>
      </c>
      <c r="BK1910" s="32">
        <v>0</v>
      </c>
      <c r="BL1910" s="32">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70203003</v>
      </c>
      <c r="D1911" s="30" t="s">
        <v>4549</v>
      </c>
      <c r="E1911" s="30" t="s">
        <v>1272</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2.5</v>
      </c>
      <c r="Y1911" s="19">
        <v>0</v>
      </c>
      <c r="Z1911" s="21">
        <v>0</v>
      </c>
      <c r="AA1911" s="21">
        <v>1</v>
      </c>
      <c r="AB1911" s="21">
        <v>0</v>
      </c>
      <c r="AC1911" s="21">
        <v>0</v>
      </c>
      <c r="AD1911" s="21">
        <v>0</v>
      </c>
      <c r="AE1911" s="21">
        <v>0</v>
      </c>
      <c r="AF1911" s="21">
        <v>15</v>
      </c>
      <c r="AG1911" s="21">
        <v>1</v>
      </c>
      <c r="AH1911" s="21">
        <v>3</v>
      </c>
      <c r="AI1911" s="19">
        <v>4</v>
      </c>
      <c r="AJ1911" s="19">
        <v>1</v>
      </c>
      <c r="AK1911" s="19">
        <v>0</v>
      </c>
      <c r="AL1911" s="19">
        <v>1.5</v>
      </c>
      <c r="AM1911" s="21">
        <v>0</v>
      </c>
      <c r="AN1911" s="21">
        <v>0</v>
      </c>
      <c r="AO1911" s="21">
        <v>0</v>
      </c>
      <c r="AP1911" s="21">
        <v>3</v>
      </c>
      <c r="AQ1911" s="21">
        <v>5000</v>
      </c>
      <c r="AR1911" s="21">
        <v>3</v>
      </c>
      <c r="AS1911" s="21">
        <v>0</v>
      </c>
      <c r="AT1911" s="19">
        <v>0</v>
      </c>
      <c r="AU1911" s="21" t="s">
        <v>204</v>
      </c>
      <c r="AV1911" s="21"/>
      <c r="AW1911" s="35" t="s">
        <v>262</v>
      </c>
      <c r="AX1911" s="21" t="s">
        <v>540</v>
      </c>
      <c r="AY1911" s="32">
        <v>10000007</v>
      </c>
      <c r="AZ1911" s="32">
        <v>70203003</v>
      </c>
      <c r="BA1911" s="30" t="s">
        <v>206</v>
      </c>
      <c r="BB1911" s="21" t="s">
        <v>4550</v>
      </c>
      <c r="BC1911" s="31">
        <v>0</v>
      </c>
      <c r="BD1911" s="31">
        <v>0</v>
      </c>
      <c r="BE1911" s="33" t="s">
        <v>4551</v>
      </c>
      <c r="BF1911" s="33" t="s">
        <v>4552</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70203004</v>
      </c>
      <c r="D1912" s="30" t="s">
        <v>1122</v>
      </c>
      <c r="E1912" s="30" t="s">
        <v>397</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15</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t="s">
        <v>665</v>
      </c>
      <c r="AV1912" s="21"/>
      <c r="AW1912" s="35" t="s">
        <v>623</v>
      </c>
      <c r="AX1912" s="21" t="s">
        <v>540</v>
      </c>
      <c r="AY1912" s="32">
        <v>10000007</v>
      </c>
      <c r="AZ1912" s="32">
        <v>70203004</v>
      </c>
      <c r="BA1912" s="30" t="s">
        <v>206</v>
      </c>
      <c r="BB1912" s="21">
        <v>0</v>
      </c>
      <c r="BC1912" s="31">
        <v>0</v>
      </c>
      <c r="BD1912" s="31">
        <v>0</v>
      </c>
      <c r="BE1912" s="33" t="s">
        <v>4553</v>
      </c>
      <c r="BF1912" s="33" t="s">
        <v>4554</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70204001</v>
      </c>
      <c r="D1913" s="30" t="s">
        <v>4555</v>
      </c>
      <c r="E1913" s="30" t="s">
        <v>4556</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12</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v>80001030</v>
      </c>
      <c r="AV1913" s="21"/>
      <c r="AW1913" s="35" t="s">
        <v>293</v>
      </c>
      <c r="AX1913" s="21" t="s">
        <v>540</v>
      </c>
      <c r="AY1913" s="32">
        <v>10000007</v>
      </c>
      <c r="AZ1913" s="32">
        <v>70204001</v>
      </c>
      <c r="BA1913" s="30" t="s">
        <v>206</v>
      </c>
      <c r="BB1913" s="21">
        <v>0</v>
      </c>
      <c r="BC1913" s="31">
        <v>0</v>
      </c>
      <c r="BD1913" s="31">
        <v>0</v>
      </c>
      <c r="BE1913" s="33" t="s">
        <v>4557</v>
      </c>
      <c r="BF1913" s="33" t="s">
        <v>4558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70204002</v>
      </c>
      <c r="D1914" s="30" t="s">
        <v>616</v>
      </c>
      <c r="E1914" s="30" t="s">
        <v>617</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2.5</v>
      </c>
      <c r="Y1914" s="19">
        <v>0</v>
      </c>
      <c r="Z1914" s="21">
        <v>0</v>
      </c>
      <c r="AA1914" s="21">
        <v>1</v>
      </c>
      <c r="AB1914" s="21">
        <v>0</v>
      </c>
      <c r="AC1914" s="21">
        <v>0</v>
      </c>
      <c r="AD1914" s="21">
        <v>0</v>
      </c>
      <c r="AE1914" s="21">
        <v>0</v>
      </c>
      <c r="AF1914" s="21">
        <v>10</v>
      </c>
      <c r="AG1914" s="21">
        <v>1</v>
      </c>
      <c r="AH1914" s="21">
        <v>3</v>
      </c>
      <c r="AI1914" s="19">
        <v>4</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262</v>
      </c>
      <c r="AX1914" s="21" t="s">
        <v>540</v>
      </c>
      <c r="AY1914" s="32">
        <v>10000007</v>
      </c>
      <c r="AZ1914" s="32">
        <v>70204002</v>
      </c>
      <c r="BA1914" s="30" t="s">
        <v>206</v>
      </c>
      <c r="BB1914" s="21" t="s">
        <v>4559</v>
      </c>
      <c r="BC1914" s="31">
        <v>0</v>
      </c>
      <c r="BD1914" s="31">
        <v>0</v>
      </c>
      <c r="BE1914" s="33" t="s">
        <v>1328</v>
      </c>
      <c r="BF1914" s="33" t="s">
        <v>1329</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70204003</v>
      </c>
      <c r="D1915" s="30" t="s">
        <v>621</v>
      </c>
      <c r="E1915" s="30" t="s">
        <v>622</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3</v>
      </c>
      <c r="Y1915" s="19">
        <v>0</v>
      </c>
      <c r="Z1915" s="21">
        <v>0</v>
      </c>
      <c r="AA1915" s="21">
        <v>1</v>
      </c>
      <c r="AB1915" s="21">
        <v>0</v>
      </c>
      <c r="AC1915" s="21">
        <v>0</v>
      </c>
      <c r="AD1915" s="21">
        <v>0</v>
      </c>
      <c r="AE1915" s="21">
        <v>0</v>
      </c>
      <c r="AF1915" s="21">
        <v>12</v>
      </c>
      <c r="AG1915" s="21">
        <v>1</v>
      </c>
      <c r="AH1915" s="21">
        <v>3</v>
      </c>
      <c r="AI1915" s="19">
        <v>6</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623</v>
      </c>
      <c r="AX1915" s="21" t="s">
        <v>540</v>
      </c>
      <c r="AY1915" s="32">
        <v>10000007</v>
      </c>
      <c r="AZ1915" s="32">
        <v>70204003</v>
      </c>
      <c r="BA1915" s="30" t="s">
        <v>206</v>
      </c>
      <c r="BB1915" s="21" t="s">
        <v>4560</v>
      </c>
      <c r="BC1915" s="31">
        <v>0</v>
      </c>
      <c r="BD1915" s="31">
        <v>0</v>
      </c>
      <c r="BE1915" s="33" t="s">
        <v>4561</v>
      </c>
      <c r="BF1915" s="33" t="s">
        <v>4562</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70204004</v>
      </c>
      <c r="D1916" s="35" t="s">
        <v>627</v>
      </c>
      <c r="E1916" s="35" t="s">
        <v>628</v>
      </c>
      <c r="F1916" s="32">
        <v>1</v>
      </c>
      <c r="G1916" s="32">
        <v>60010500</v>
      </c>
      <c r="H1916" s="32">
        <v>0</v>
      </c>
      <c r="I1916" s="31">
        <v>0</v>
      </c>
      <c r="J1916" s="32">
        <v>1</v>
      </c>
      <c r="K1916" s="32">
        <v>0</v>
      </c>
      <c r="L1916" s="32">
        <v>0</v>
      </c>
      <c r="M1916" s="32">
        <v>0</v>
      </c>
      <c r="N1916" s="32">
        <v>0</v>
      </c>
      <c r="O1916" s="21">
        <v>2</v>
      </c>
      <c r="P1916" s="32">
        <v>2</v>
      </c>
      <c r="Q1916" s="32">
        <v>0.3</v>
      </c>
      <c r="R1916" s="32">
        <v>0</v>
      </c>
      <c r="S1916" s="19">
        <v>0</v>
      </c>
      <c r="T1916" s="31">
        <v>0</v>
      </c>
      <c r="U1916" s="21">
        <v>1</v>
      </c>
      <c r="V1916" s="32">
        <v>2</v>
      </c>
      <c r="W1916" s="32">
        <v>0</v>
      </c>
      <c r="X1916" s="32">
        <v>0</v>
      </c>
      <c r="Y1916" s="19">
        <v>0</v>
      </c>
      <c r="Z1916" s="32">
        <v>0</v>
      </c>
      <c r="AA1916" s="32">
        <v>0</v>
      </c>
      <c r="AB1916" s="32">
        <v>0</v>
      </c>
      <c r="AC1916" s="32">
        <v>0</v>
      </c>
      <c r="AD1916" s="21">
        <v>0</v>
      </c>
      <c r="AE1916" s="32">
        <v>0</v>
      </c>
      <c r="AF1916" s="21">
        <v>10</v>
      </c>
      <c r="AG1916" s="32">
        <v>0</v>
      </c>
      <c r="AH1916" s="32">
        <v>0</v>
      </c>
      <c r="AI1916" s="19">
        <v>7</v>
      </c>
      <c r="AJ1916" s="19">
        <v>0</v>
      </c>
      <c r="AK1916" s="19">
        <v>0</v>
      </c>
      <c r="AL1916" s="19">
        <v>0</v>
      </c>
      <c r="AM1916" s="32">
        <v>0</v>
      </c>
      <c r="AN1916" s="32">
        <v>0</v>
      </c>
      <c r="AO1916" s="32">
        <v>0</v>
      </c>
      <c r="AP1916" s="32">
        <v>0</v>
      </c>
      <c r="AQ1916" s="32">
        <v>1000</v>
      </c>
      <c r="AR1916" s="32">
        <v>0</v>
      </c>
      <c r="AS1916" s="32">
        <v>0</v>
      </c>
      <c r="AT1916" s="19">
        <v>0</v>
      </c>
      <c r="AU1916" s="32">
        <v>90204004</v>
      </c>
      <c r="AV1916" s="32"/>
      <c r="AW1916" s="35" t="s">
        <v>205</v>
      </c>
      <c r="AX1916" s="32" t="s">
        <v>354</v>
      </c>
      <c r="AY1916" s="32">
        <v>0</v>
      </c>
      <c r="AZ1916" s="32">
        <v>0</v>
      </c>
      <c r="BA1916" s="35" t="s">
        <v>206</v>
      </c>
      <c r="BB1916" s="35" t="s">
        <v>204</v>
      </c>
      <c r="BC1916" s="31">
        <v>0</v>
      </c>
      <c r="BD1916" s="31">
        <v>0</v>
      </c>
      <c r="BE1916" s="60" t="s">
        <v>629</v>
      </c>
      <c r="BF1916" s="60" t="s">
        <v>630</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19.5" customHeight="1">
      <c r="C1917" s="32">
        <v>70204005</v>
      </c>
      <c r="D1917" s="35" t="s">
        <v>903</v>
      </c>
      <c r="E1917" s="35" t="s">
        <v>904</v>
      </c>
      <c r="F1917" s="32">
        <v>1</v>
      </c>
      <c r="G1917" s="32">
        <v>60010300</v>
      </c>
      <c r="H1917" s="32">
        <v>0</v>
      </c>
      <c r="I1917" s="31">
        <v>0</v>
      </c>
      <c r="J1917" s="32">
        <v>1</v>
      </c>
      <c r="K1917" s="32">
        <v>0</v>
      </c>
      <c r="L1917" s="32">
        <v>0</v>
      </c>
      <c r="M1917" s="32">
        <v>0</v>
      </c>
      <c r="N1917" s="32">
        <v>0</v>
      </c>
      <c r="O1917" s="21">
        <v>2</v>
      </c>
      <c r="P1917" s="32">
        <v>2</v>
      </c>
      <c r="Q1917" s="32">
        <v>0.8</v>
      </c>
      <c r="R1917" s="32">
        <v>0</v>
      </c>
      <c r="S1917" s="19">
        <v>0</v>
      </c>
      <c r="T1917" s="31">
        <v>0</v>
      </c>
      <c r="U1917" s="21">
        <v>1</v>
      </c>
      <c r="V1917" s="32">
        <v>2</v>
      </c>
      <c r="W1917" s="32">
        <v>0</v>
      </c>
      <c r="X1917" s="32">
        <v>3</v>
      </c>
      <c r="Y1917" s="19">
        <v>0</v>
      </c>
      <c r="Z1917" s="32">
        <v>0</v>
      </c>
      <c r="AA1917" s="32">
        <v>0</v>
      </c>
      <c r="AB1917" s="32">
        <v>0</v>
      </c>
      <c r="AC1917" s="32">
        <v>0</v>
      </c>
      <c r="AD1917" s="21">
        <v>0</v>
      </c>
      <c r="AE1917" s="32">
        <v>0</v>
      </c>
      <c r="AF1917" s="32">
        <v>20</v>
      </c>
      <c r="AG1917" s="32">
        <v>1</v>
      </c>
      <c r="AH1917" s="32">
        <v>1</v>
      </c>
      <c r="AI1917" s="19">
        <v>2</v>
      </c>
      <c r="AJ1917" s="19">
        <v>2</v>
      </c>
      <c r="AK1917" s="19">
        <v>0</v>
      </c>
      <c r="AL1917" s="19">
        <v>1.5</v>
      </c>
      <c r="AM1917" s="32">
        <v>0</v>
      </c>
      <c r="AN1917" s="32">
        <v>0</v>
      </c>
      <c r="AO1917" s="32">
        <v>0</v>
      </c>
      <c r="AP1917" s="32">
        <v>1</v>
      </c>
      <c r="AQ1917" s="32">
        <v>30000</v>
      </c>
      <c r="AR1917" s="32">
        <v>0</v>
      </c>
      <c r="AS1917" s="32">
        <v>4</v>
      </c>
      <c r="AT1917" s="19">
        <v>0</v>
      </c>
      <c r="AU1917" s="21" t="s">
        <v>665</v>
      </c>
      <c r="AV1917" s="21"/>
      <c r="AW1917" s="35" t="s">
        <v>205</v>
      </c>
      <c r="AX1917" s="32" t="s">
        <v>551</v>
      </c>
      <c r="AY1917" s="32">
        <v>10003002</v>
      </c>
      <c r="AZ1917" s="32">
        <v>70106005</v>
      </c>
      <c r="BA1917" s="35" t="s">
        <v>592</v>
      </c>
      <c r="BB1917" s="35">
        <v>0</v>
      </c>
      <c r="BC1917" s="31">
        <v>0</v>
      </c>
      <c r="BD1917" s="31">
        <v>0</v>
      </c>
      <c r="BE1917" s="60" t="s">
        <v>905</v>
      </c>
      <c r="BF1917" s="60" t="s">
        <v>906</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70205001</v>
      </c>
      <c r="D1918" s="30" t="s">
        <v>999</v>
      </c>
      <c r="E1918" s="30" t="s">
        <v>1000</v>
      </c>
      <c r="F1918" s="32">
        <v>1</v>
      </c>
      <c r="G1918" s="21">
        <v>60010100</v>
      </c>
      <c r="H1918" s="32">
        <v>0</v>
      </c>
      <c r="I1918" s="31">
        <v>0</v>
      </c>
      <c r="J1918" s="32">
        <v>1</v>
      </c>
      <c r="K1918" s="32">
        <v>0</v>
      </c>
      <c r="L1918" s="32">
        <v>0</v>
      </c>
      <c r="M1918" s="21">
        <v>0</v>
      </c>
      <c r="N1918" s="21">
        <v>0</v>
      </c>
      <c r="O1918" s="21">
        <v>2</v>
      </c>
      <c r="P1918" s="21">
        <v>1</v>
      </c>
      <c r="Q1918" s="21">
        <v>0.3</v>
      </c>
      <c r="R1918" s="21">
        <v>0</v>
      </c>
      <c r="S1918" s="19">
        <v>0</v>
      </c>
      <c r="T1918" s="21">
        <v>0</v>
      </c>
      <c r="U1918" s="21">
        <v>1</v>
      </c>
      <c r="V1918" s="21">
        <v>2</v>
      </c>
      <c r="W1918" s="21">
        <v>0</v>
      </c>
      <c r="X1918" s="21">
        <v>3</v>
      </c>
      <c r="Y1918" s="19">
        <v>0</v>
      </c>
      <c r="Z1918" s="21">
        <v>0</v>
      </c>
      <c r="AA1918" s="21">
        <v>1</v>
      </c>
      <c r="AB1918" s="21">
        <v>0</v>
      </c>
      <c r="AC1918" s="21">
        <v>0</v>
      </c>
      <c r="AD1918" s="21">
        <v>0</v>
      </c>
      <c r="AE1918" s="21">
        <v>0</v>
      </c>
      <c r="AF1918" s="21">
        <v>15</v>
      </c>
      <c r="AG1918" s="21">
        <v>1</v>
      </c>
      <c r="AH1918" s="21">
        <v>3</v>
      </c>
      <c r="AI1918" s="19">
        <v>4</v>
      </c>
      <c r="AJ1918" s="19">
        <v>1</v>
      </c>
      <c r="AK1918" s="19">
        <v>0</v>
      </c>
      <c r="AL1918" s="19">
        <v>1.5</v>
      </c>
      <c r="AM1918" s="21">
        <v>0</v>
      </c>
      <c r="AN1918" s="21">
        <v>0</v>
      </c>
      <c r="AO1918" s="21">
        <v>0</v>
      </c>
      <c r="AP1918" s="21">
        <v>3</v>
      </c>
      <c r="AQ1918" s="21">
        <v>999999</v>
      </c>
      <c r="AR1918" s="21">
        <v>3</v>
      </c>
      <c r="AS1918" s="21">
        <v>0</v>
      </c>
      <c r="AT1918" s="19">
        <v>0</v>
      </c>
      <c r="AU1918" s="21" t="s">
        <v>204</v>
      </c>
      <c r="AV1918" s="21"/>
      <c r="AW1918" s="35" t="s">
        <v>293</v>
      </c>
      <c r="AX1918" s="21" t="s">
        <v>540</v>
      </c>
      <c r="AY1918" s="32">
        <v>10000007</v>
      </c>
      <c r="AZ1918" s="32">
        <v>70205001</v>
      </c>
      <c r="BA1918" s="30" t="s">
        <v>206</v>
      </c>
      <c r="BB1918" s="21" t="s">
        <v>4563</v>
      </c>
      <c r="BC1918" s="31">
        <v>0</v>
      </c>
      <c r="BD1918" s="31">
        <v>0</v>
      </c>
      <c r="BE1918" s="33" t="s">
        <v>1002</v>
      </c>
      <c r="BF1918" s="33" t="s">
        <v>1003</v>
      </c>
      <c r="BG1918" s="21">
        <v>0</v>
      </c>
      <c r="BH1918" s="21">
        <v>0</v>
      </c>
      <c r="BI1918" s="21">
        <v>0</v>
      </c>
      <c r="BJ1918" s="21">
        <v>0</v>
      </c>
      <c r="BK1918" s="21">
        <v>0</v>
      </c>
      <c r="BL1918" s="21">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70205002</v>
      </c>
      <c r="D1919" s="35" t="s">
        <v>573</v>
      </c>
      <c r="E1919" s="35" t="s">
        <v>574</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v>90105002</v>
      </c>
      <c r="AU1919" s="32" t="s">
        <v>204</v>
      </c>
      <c r="AV1919" s="32"/>
      <c r="AW1919" s="35" t="s">
        <v>205</v>
      </c>
      <c r="AX1919" s="32" t="s">
        <v>354</v>
      </c>
      <c r="AY1919" s="32">
        <v>0</v>
      </c>
      <c r="AZ1919" s="32">
        <v>0</v>
      </c>
      <c r="BA1919" s="35" t="s">
        <v>206</v>
      </c>
      <c r="BB1919" s="35" t="s">
        <v>204</v>
      </c>
      <c r="BC1919" s="31">
        <v>0</v>
      </c>
      <c r="BD1919" s="31">
        <v>0</v>
      </c>
      <c r="BE1919" s="60" t="s">
        <v>856</v>
      </c>
      <c r="BF1919" s="60" t="s">
        <v>857</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70205003</v>
      </c>
      <c r="D1920" s="35" t="s">
        <v>675</v>
      </c>
      <c r="E1920" s="35" t="s">
        <v>676</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t="s">
        <v>1004</v>
      </c>
      <c r="AU1920" s="32" t="s">
        <v>204</v>
      </c>
      <c r="AV1920" s="32"/>
      <c r="AW1920" s="35" t="s">
        <v>205</v>
      </c>
      <c r="AX1920" s="32" t="s">
        <v>354</v>
      </c>
      <c r="AY1920" s="32">
        <v>0</v>
      </c>
      <c r="AZ1920" s="32">
        <v>0</v>
      </c>
      <c r="BA1920" s="35" t="s">
        <v>206</v>
      </c>
      <c r="BB1920" s="35" t="s">
        <v>204</v>
      </c>
      <c r="BC1920" s="31">
        <v>0</v>
      </c>
      <c r="BD1920" s="31">
        <v>0</v>
      </c>
      <c r="BE1920" s="60" t="s">
        <v>761</v>
      </c>
      <c r="BF1920" s="60" t="s">
        <v>762</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70205004</v>
      </c>
      <c r="D1921" s="30" t="s">
        <v>606</v>
      </c>
      <c r="E1921" s="30" t="s">
        <v>607</v>
      </c>
      <c r="F1921" s="21">
        <v>1</v>
      </c>
      <c r="G1921" s="21">
        <v>60010300</v>
      </c>
      <c r="H1921" s="32">
        <v>0</v>
      </c>
      <c r="I1921" s="31">
        <v>0</v>
      </c>
      <c r="J1921" s="32">
        <v>1</v>
      </c>
      <c r="K1921" s="32">
        <v>0</v>
      </c>
      <c r="L1921" s="32">
        <v>0</v>
      </c>
      <c r="M1921" s="21">
        <v>0</v>
      </c>
      <c r="N1921" s="21">
        <v>0</v>
      </c>
      <c r="O1921" s="21">
        <v>2</v>
      </c>
      <c r="P1921" s="21">
        <v>2</v>
      </c>
      <c r="Q1921" s="21">
        <v>0.9</v>
      </c>
      <c r="R1921" s="21">
        <v>0</v>
      </c>
      <c r="S1921" s="19">
        <v>0</v>
      </c>
      <c r="T1921" s="21">
        <v>0</v>
      </c>
      <c r="U1921" s="21">
        <v>1</v>
      </c>
      <c r="V1921" s="21">
        <v>2</v>
      </c>
      <c r="W1921" s="21">
        <v>0</v>
      </c>
      <c r="X1921" s="21">
        <v>0</v>
      </c>
      <c r="Y1921" s="19">
        <v>0</v>
      </c>
      <c r="Z1921" s="21">
        <v>0</v>
      </c>
      <c r="AA1921" s="21">
        <v>0</v>
      </c>
      <c r="AB1921" s="21">
        <v>0</v>
      </c>
      <c r="AC1921" s="21">
        <v>0</v>
      </c>
      <c r="AD1921" s="21">
        <v>0</v>
      </c>
      <c r="AE1921" s="21">
        <v>0</v>
      </c>
      <c r="AF1921" s="21">
        <v>30</v>
      </c>
      <c r="AG1921" s="21">
        <v>0</v>
      </c>
      <c r="AH1921" s="21">
        <v>0</v>
      </c>
      <c r="AI1921" s="19">
        <v>2</v>
      </c>
      <c r="AJ1921" s="19">
        <v>2</v>
      </c>
      <c r="AK1921" s="19">
        <v>0</v>
      </c>
      <c r="AL1921" s="19">
        <v>1.5</v>
      </c>
      <c r="AM1921" s="21">
        <v>0</v>
      </c>
      <c r="AN1921" s="21">
        <v>0</v>
      </c>
      <c r="AO1921" s="21">
        <v>0</v>
      </c>
      <c r="AP1921" s="21">
        <v>1</v>
      </c>
      <c r="AQ1921" s="21">
        <v>3000</v>
      </c>
      <c r="AR1921" s="21">
        <v>0.5</v>
      </c>
      <c r="AS1921" s="21">
        <v>0</v>
      </c>
      <c r="AT1921" s="19">
        <v>0</v>
      </c>
      <c r="AU1921" s="21" t="s">
        <v>204</v>
      </c>
      <c r="AV1921" s="21"/>
      <c r="AW1921" s="35" t="s">
        <v>293</v>
      </c>
      <c r="AX1921" s="21" t="s">
        <v>551</v>
      </c>
      <c r="AY1921" s="32">
        <v>0</v>
      </c>
      <c r="AZ1921" s="32">
        <v>0</v>
      </c>
      <c r="BA1921" s="30" t="s">
        <v>534</v>
      </c>
      <c r="BB1921" s="21" t="s">
        <v>4564</v>
      </c>
      <c r="BC1921" s="31">
        <v>0</v>
      </c>
      <c r="BD1921" s="31">
        <v>0</v>
      </c>
      <c r="BE1921" s="33" t="s">
        <v>4565</v>
      </c>
      <c r="BF1921" s="33" t="s">
        <v>4566</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70205005</v>
      </c>
      <c r="D1922" s="30" t="s">
        <v>771</v>
      </c>
      <c r="E1922" s="30" t="s">
        <v>772</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3</v>
      </c>
      <c r="Y1922" s="19">
        <v>0</v>
      </c>
      <c r="Z1922" s="21">
        <v>0</v>
      </c>
      <c r="AA1922" s="21">
        <v>1</v>
      </c>
      <c r="AB1922" s="21">
        <v>0</v>
      </c>
      <c r="AC1922" s="21">
        <v>0</v>
      </c>
      <c r="AD1922" s="21">
        <v>0</v>
      </c>
      <c r="AE1922" s="21">
        <v>0</v>
      </c>
      <c r="AF1922" s="21">
        <v>15</v>
      </c>
      <c r="AG1922" s="21">
        <v>1</v>
      </c>
      <c r="AH1922" s="21" t="s">
        <v>613</v>
      </c>
      <c r="AI1922" s="19">
        <v>0</v>
      </c>
      <c r="AJ1922" s="19">
        <v>1</v>
      </c>
      <c r="AK1922" s="19">
        <v>0</v>
      </c>
      <c r="AL1922" s="19">
        <v>3</v>
      </c>
      <c r="AM1922" s="21">
        <v>0</v>
      </c>
      <c r="AN1922" s="21">
        <v>0</v>
      </c>
      <c r="AO1922" s="21">
        <v>0</v>
      </c>
      <c r="AP1922" s="21">
        <v>3</v>
      </c>
      <c r="AQ1922" s="21">
        <v>5000</v>
      </c>
      <c r="AR1922" s="21">
        <v>2.5</v>
      </c>
      <c r="AS1922" s="21">
        <v>0</v>
      </c>
      <c r="AT1922" s="19">
        <v>0</v>
      </c>
      <c r="AU1922" s="21" t="s">
        <v>665</v>
      </c>
      <c r="AV1922" s="21"/>
      <c r="AW1922" s="35" t="s">
        <v>262</v>
      </c>
      <c r="AX1922" s="21" t="s">
        <v>540</v>
      </c>
      <c r="AY1922" s="32">
        <v>10000007</v>
      </c>
      <c r="AZ1922" s="32">
        <v>70205002</v>
      </c>
      <c r="BA1922" s="30" t="s">
        <v>206</v>
      </c>
      <c r="BB1922" s="21">
        <v>0</v>
      </c>
      <c r="BC1922" s="31">
        <v>0</v>
      </c>
      <c r="BD1922" s="31">
        <v>0</v>
      </c>
      <c r="BE1922" s="33" t="s">
        <v>773</v>
      </c>
      <c r="BF1922" s="33" t="s">
        <v>774</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70205006</v>
      </c>
      <c r="D1923" s="30" t="s">
        <v>1005</v>
      </c>
      <c r="E1923" s="30" t="s">
        <v>1006</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1</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90105006</v>
      </c>
      <c r="AV1923" s="19"/>
      <c r="AW1923" s="35" t="s">
        <v>623</v>
      </c>
      <c r="AX1923" s="21" t="s">
        <v>540</v>
      </c>
      <c r="AY1923" s="32">
        <v>10000007</v>
      </c>
      <c r="AZ1923" s="32">
        <v>70205003</v>
      </c>
      <c r="BA1923" s="35" t="s">
        <v>321</v>
      </c>
      <c r="BB1923" s="35" t="s">
        <v>377</v>
      </c>
      <c r="BC1923" s="31">
        <v>0</v>
      </c>
      <c r="BD1923" s="31">
        <v>0</v>
      </c>
      <c r="BE1923" s="33" t="s">
        <v>1007</v>
      </c>
      <c r="BF1923" s="33" t="s">
        <v>1008</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70205007</v>
      </c>
      <c r="D1924" s="30" t="s">
        <v>4567</v>
      </c>
      <c r="E1924" s="30" t="s">
        <v>4568</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2</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90205007</v>
      </c>
      <c r="AV1924" s="19"/>
      <c r="AW1924" s="35" t="s">
        <v>623</v>
      </c>
      <c r="AX1924" s="21" t="s">
        <v>540</v>
      </c>
      <c r="AY1924" s="32">
        <v>10000007</v>
      </c>
      <c r="AZ1924" s="32">
        <v>70205001</v>
      </c>
      <c r="BA1924" s="35" t="s">
        <v>321</v>
      </c>
      <c r="BB1924" s="35" t="s">
        <v>377</v>
      </c>
      <c r="BC1924" s="31">
        <v>0</v>
      </c>
      <c r="BD1924" s="31">
        <v>0</v>
      </c>
      <c r="BE1924" s="33"/>
      <c r="BF1924" s="33"/>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70301001</v>
      </c>
      <c r="D1925" s="30" t="s">
        <v>4569</v>
      </c>
      <c r="E1925" s="30" t="s">
        <v>4570</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3</v>
      </c>
      <c r="Y1925" s="19">
        <v>0</v>
      </c>
      <c r="Z1925" s="21">
        <v>0</v>
      </c>
      <c r="AA1925" s="21">
        <v>1</v>
      </c>
      <c r="AB1925" s="21">
        <v>0</v>
      </c>
      <c r="AC1925" s="21">
        <v>0</v>
      </c>
      <c r="AD1925" s="21">
        <v>0</v>
      </c>
      <c r="AE1925" s="21">
        <v>0</v>
      </c>
      <c r="AF1925" s="21">
        <v>15</v>
      </c>
      <c r="AG1925" s="21">
        <v>1</v>
      </c>
      <c r="AH1925" s="21" t="s">
        <v>613</v>
      </c>
      <c r="AI1925" s="19">
        <v>0</v>
      </c>
      <c r="AJ1925" s="19">
        <v>1</v>
      </c>
      <c r="AK1925" s="19">
        <v>0</v>
      </c>
      <c r="AL1925" s="19">
        <v>3</v>
      </c>
      <c r="AM1925" s="21">
        <v>0</v>
      </c>
      <c r="AN1925" s="21">
        <v>0</v>
      </c>
      <c r="AO1925" s="21">
        <v>0</v>
      </c>
      <c r="AP1925" s="21">
        <v>3</v>
      </c>
      <c r="AQ1925" s="21">
        <v>5000</v>
      </c>
      <c r="AR1925" s="21">
        <v>2.5</v>
      </c>
      <c r="AS1925" s="21">
        <v>0</v>
      </c>
      <c r="AT1925" s="19">
        <v>0</v>
      </c>
      <c r="AU1925" s="21" t="s">
        <v>665</v>
      </c>
      <c r="AV1925" s="21"/>
      <c r="AW1925" s="35" t="s">
        <v>623</v>
      </c>
      <c r="AX1925" s="21" t="s">
        <v>540</v>
      </c>
      <c r="AY1925" s="32">
        <v>10000007</v>
      </c>
      <c r="AZ1925" s="32">
        <v>70301001</v>
      </c>
      <c r="BA1925" s="30" t="s">
        <v>206</v>
      </c>
      <c r="BB1925" s="21">
        <v>0</v>
      </c>
      <c r="BC1925" s="31">
        <v>0</v>
      </c>
      <c r="BD1925" s="31">
        <v>0</v>
      </c>
      <c r="BE1925" s="33" t="s">
        <v>4571</v>
      </c>
      <c r="BF1925" s="33" t="s">
        <v>4572</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70301002</v>
      </c>
      <c r="D1926" s="30" t="s">
        <v>4573</v>
      </c>
      <c r="E1926" s="30" t="s">
        <v>4574</v>
      </c>
      <c r="F1926" s="21">
        <v>1</v>
      </c>
      <c r="G1926" s="21">
        <v>60010300</v>
      </c>
      <c r="H1926" s="32">
        <v>0</v>
      </c>
      <c r="I1926" s="31">
        <v>0</v>
      </c>
      <c r="J1926" s="32">
        <v>1</v>
      </c>
      <c r="K1926" s="32">
        <v>0</v>
      </c>
      <c r="L1926" s="32">
        <v>0</v>
      </c>
      <c r="M1926" s="21">
        <v>0</v>
      </c>
      <c r="N1926" s="21">
        <v>0</v>
      </c>
      <c r="O1926" s="21">
        <v>2</v>
      </c>
      <c r="P1926" s="21">
        <v>2</v>
      </c>
      <c r="Q1926" s="21">
        <v>0.8</v>
      </c>
      <c r="R1926" s="21">
        <v>0</v>
      </c>
      <c r="S1926" s="19">
        <v>0</v>
      </c>
      <c r="T1926" s="21">
        <v>0</v>
      </c>
      <c r="U1926" s="21">
        <v>1</v>
      </c>
      <c r="V1926" s="21">
        <v>2</v>
      </c>
      <c r="W1926" s="21">
        <v>0</v>
      </c>
      <c r="X1926" s="21">
        <v>0</v>
      </c>
      <c r="Y1926" s="19">
        <v>0</v>
      </c>
      <c r="Z1926" s="21">
        <v>0</v>
      </c>
      <c r="AA1926" s="21">
        <v>0</v>
      </c>
      <c r="AB1926" s="21">
        <v>0</v>
      </c>
      <c r="AC1926" s="21">
        <v>0</v>
      </c>
      <c r="AD1926" s="21">
        <v>0</v>
      </c>
      <c r="AE1926" s="21">
        <v>0</v>
      </c>
      <c r="AF1926" s="21">
        <v>20</v>
      </c>
      <c r="AG1926" s="21">
        <v>0</v>
      </c>
      <c r="AH1926" s="21">
        <v>0</v>
      </c>
      <c r="AI1926" s="19">
        <v>2</v>
      </c>
      <c r="AJ1926" s="19">
        <v>2</v>
      </c>
      <c r="AK1926" s="19">
        <v>0</v>
      </c>
      <c r="AL1926" s="19">
        <v>1.5</v>
      </c>
      <c r="AM1926" s="21">
        <v>0</v>
      </c>
      <c r="AN1926" s="21">
        <v>0</v>
      </c>
      <c r="AO1926" s="21">
        <v>0</v>
      </c>
      <c r="AP1926" s="21">
        <v>1</v>
      </c>
      <c r="AQ1926" s="21">
        <v>3000</v>
      </c>
      <c r="AR1926" s="21">
        <v>0.5</v>
      </c>
      <c r="AS1926" s="21">
        <v>0</v>
      </c>
      <c r="AT1926" s="19">
        <v>0</v>
      </c>
      <c r="AU1926" s="21" t="s">
        <v>204</v>
      </c>
      <c r="AV1926" s="21"/>
      <c r="AW1926" s="35" t="s">
        <v>205</v>
      </c>
      <c r="AX1926" s="21" t="s">
        <v>551</v>
      </c>
      <c r="AY1926" s="32">
        <v>0</v>
      </c>
      <c r="AZ1926" s="32">
        <v>0</v>
      </c>
      <c r="BA1926" s="30" t="s">
        <v>534</v>
      </c>
      <c r="BB1926" s="21" t="s">
        <v>4575</v>
      </c>
      <c r="BC1926" s="31">
        <v>0</v>
      </c>
      <c r="BD1926" s="31">
        <v>0</v>
      </c>
      <c r="BE1926" s="33" t="s">
        <v>4576</v>
      </c>
      <c r="BF1926" s="33" t="s">
        <v>4577</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70301003</v>
      </c>
      <c r="D1927" s="30" t="s">
        <v>1073</v>
      </c>
      <c r="E1927" s="30" t="s">
        <v>1074</v>
      </c>
      <c r="F1927" s="32">
        <v>1</v>
      </c>
      <c r="G1927" s="21">
        <v>60010100</v>
      </c>
      <c r="H1927" s="32">
        <v>0</v>
      </c>
      <c r="I1927" s="31">
        <v>0</v>
      </c>
      <c r="J1927" s="32">
        <v>1</v>
      </c>
      <c r="K1927" s="32">
        <v>0</v>
      </c>
      <c r="L1927" s="32">
        <v>0</v>
      </c>
      <c r="M1927" s="21">
        <v>0</v>
      </c>
      <c r="N1927" s="21">
        <v>0</v>
      </c>
      <c r="O1927" s="21">
        <v>2</v>
      </c>
      <c r="P1927" s="21">
        <v>1</v>
      </c>
      <c r="Q1927" s="21">
        <v>0.3</v>
      </c>
      <c r="R1927" s="21">
        <v>0</v>
      </c>
      <c r="S1927" s="19">
        <v>0</v>
      </c>
      <c r="T1927" s="21">
        <v>0</v>
      </c>
      <c r="U1927" s="21">
        <v>1</v>
      </c>
      <c r="V1927" s="21">
        <v>2</v>
      </c>
      <c r="W1927" s="21">
        <v>0</v>
      </c>
      <c r="X1927" s="21">
        <v>3</v>
      </c>
      <c r="Y1927" s="19">
        <v>0</v>
      </c>
      <c r="Z1927" s="21">
        <v>0</v>
      </c>
      <c r="AA1927" s="21">
        <v>1</v>
      </c>
      <c r="AB1927" s="21">
        <v>0</v>
      </c>
      <c r="AC1927" s="21">
        <v>0</v>
      </c>
      <c r="AD1927" s="21">
        <v>0</v>
      </c>
      <c r="AE1927" s="21">
        <v>0</v>
      </c>
      <c r="AF1927" s="21">
        <v>12</v>
      </c>
      <c r="AG1927" s="21">
        <v>1</v>
      </c>
      <c r="AH1927" s="21">
        <v>3</v>
      </c>
      <c r="AI1927" s="19">
        <v>6</v>
      </c>
      <c r="AJ1927" s="19">
        <v>1</v>
      </c>
      <c r="AK1927" s="19">
        <v>0</v>
      </c>
      <c r="AL1927" s="19">
        <v>1.5</v>
      </c>
      <c r="AM1927" s="21">
        <v>0</v>
      </c>
      <c r="AN1927" s="21">
        <v>0</v>
      </c>
      <c r="AO1927" s="21">
        <v>0</v>
      </c>
      <c r="AP1927" s="21">
        <v>3</v>
      </c>
      <c r="AQ1927" s="21">
        <v>5000</v>
      </c>
      <c r="AR1927" s="21">
        <v>3</v>
      </c>
      <c r="AS1927" s="21">
        <v>0</v>
      </c>
      <c r="AT1927" s="19">
        <v>0</v>
      </c>
      <c r="AU1927" s="21">
        <v>80001030</v>
      </c>
      <c r="AV1927" s="21"/>
      <c r="AW1927" s="35" t="s">
        <v>262</v>
      </c>
      <c r="AX1927" s="21" t="s">
        <v>540</v>
      </c>
      <c r="AY1927" s="32">
        <v>10000007</v>
      </c>
      <c r="AZ1927" s="32">
        <v>70301003</v>
      </c>
      <c r="BA1927" s="30" t="s">
        <v>206</v>
      </c>
      <c r="BB1927" s="21" t="s">
        <v>4578</v>
      </c>
      <c r="BC1927" s="31">
        <v>0</v>
      </c>
      <c r="BD1927" s="31">
        <v>0</v>
      </c>
      <c r="BE1927" s="33" t="s">
        <v>4579</v>
      </c>
      <c r="BF1927" s="33" t="s">
        <v>4580</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70301004</v>
      </c>
      <c r="D1928" s="35" t="s">
        <v>4581</v>
      </c>
      <c r="E1928" s="35" t="s">
        <v>4582</v>
      </c>
      <c r="F1928" s="32">
        <v>1</v>
      </c>
      <c r="G1928" s="32">
        <v>60010500</v>
      </c>
      <c r="H1928" s="32">
        <v>0</v>
      </c>
      <c r="I1928" s="31">
        <v>0</v>
      </c>
      <c r="J1928" s="32">
        <v>1</v>
      </c>
      <c r="K1928" s="32">
        <v>0</v>
      </c>
      <c r="L1928" s="32">
        <v>0</v>
      </c>
      <c r="M1928" s="32">
        <v>0</v>
      </c>
      <c r="N1928" s="32">
        <v>0</v>
      </c>
      <c r="O1928" s="21">
        <v>2</v>
      </c>
      <c r="P1928" s="32">
        <v>2</v>
      </c>
      <c r="Q1928" s="32">
        <v>0.3</v>
      </c>
      <c r="R1928" s="32">
        <v>0</v>
      </c>
      <c r="S1928" s="19">
        <v>0</v>
      </c>
      <c r="T1928" s="31">
        <v>0</v>
      </c>
      <c r="U1928" s="21">
        <v>1</v>
      </c>
      <c r="V1928" s="32">
        <v>2</v>
      </c>
      <c r="W1928" s="32">
        <v>0</v>
      </c>
      <c r="X1928" s="32">
        <v>0</v>
      </c>
      <c r="Y1928" s="19">
        <v>0</v>
      </c>
      <c r="Z1928" s="32">
        <v>0</v>
      </c>
      <c r="AA1928" s="32">
        <v>0</v>
      </c>
      <c r="AB1928" s="32">
        <v>0</v>
      </c>
      <c r="AC1928" s="32">
        <v>0</v>
      </c>
      <c r="AD1928" s="21">
        <v>0</v>
      </c>
      <c r="AE1928" s="32">
        <v>0</v>
      </c>
      <c r="AF1928" s="32">
        <v>20</v>
      </c>
      <c r="AG1928" s="32">
        <v>0</v>
      </c>
      <c r="AH1928" s="32">
        <v>0</v>
      </c>
      <c r="AI1928" s="19">
        <v>7</v>
      </c>
      <c r="AJ1928" s="19">
        <v>0</v>
      </c>
      <c r="AK1928" s="19">
        <v>0</v>
      </c>
      <c r="AL1928" s="19">
        <v>0</v>
      </c>
      <c r="AM1928" s="32">
        <v>0</v>
      </c>
      <c r="AN1928" s="32">
        <v>0</v>
      </c>
      <c r="AO1928" s="32">
        <v>0</v>
      </c>
      <c r="AP1928" s="32">
        <v>0</v>
      </c>
      <c r="AQ1928" s="32">
        <v>1000</v>
      </c>
      <c r="AR1928" s="32">
        <v>0</v>
      </c>
      <c r="AS1928" s="32">
        <v>0</v>
      </c>
      <c r="AT1928" s="19">
        <v>0</v>
      </c>
      <c r="AU1928" s="32" t="s">
        <v>4583</v>
      </c>
      <c r="AV1928" s="32"/>
      <c r="AW1928" s="35" t="s">
        <v>205</v>
      </c>
      <c r="AX1928" s="32" t="s">
        <v>354</v>
      </c>
      <c r="AY1928" s="32">
        <v>0</v>
      </c>
      <c r="AZ1928" s="32">
        <v>0</v>
      </c>
      <c r="BA1928" s="35" t="s">
        <v>206</v>
      </c>
      <c r="BB1928" s="35" t="s">
        <v>204</v>
      </c>
      <c r="BC1928" s="31">
        <v>0</v>
      </c>
      <c r="BD1928" s="31">
        <v>0</v>
      </c>
      <c r="BE1928" s="60" t="s">
        <v>4584</v>
      </c>
      <c r="BF1928" s="60" t="s">
        <v>4585</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70301005</v>
      </c>
      <c r="D1929" s="35" t="s">
        <v>4586</v>
      </c>
      <c r="E1929" s="35" t="s">
        <v>4587</v>
      </c>
      <c r="F1929" s="32">
        <v>1</v>
      </c>
      <c r="G1929" s="32">
        <v>60010500</v>
      </c>
      <c r="H1929" s="32">
        <v>0</v>
      </c>
      <c r="I1929" s="31">
        <v>0</v>
      </c>
      <c r="J1929" s="32">
        <v>1</v>
      </c>
      <c r="K1929" s="32">
        <v>0</v>
      </c>
      <c r="L1929" s="32">
        <v>0</v>
      </c>
      <c r="M1929" s="32">
        <v>0</v>
      </c>
      <c r="N1929" s="32">
        <v>0</v>
      </c>
      <c r="O1929" s="21">
        <v>2</v>
      </c>
      <c r="P1929" s="32">
        <v>0</v>
      </c>
      <c r="Q1929" s="32">
        <v>0</v>
      </c>
      <c r="R1929" s="32">
        <v>0</v>
      </c>
      <c r="S1929" s="19">
        <v>0</v>
      </c>
      <c r="T1929" s="31">
        <v>0</v>
      </c>
      <c r="U1929" s="21">
        <v>1</v>
      </c>
      <c r="V1929" s="32">
        <v>1</v>
      </c>
      <c r="W1929" s="32">
        <v>0</v>
      </c>
      <c r="X1929" s="32">
        <v>1</v>
      </c>
      <c r="Y1929" s="19">
        <v>0</v>
      </c>
      <c r="Z1929" s="32">
        <v>0</v>
      </c>
      <c r="AA1929" s="32">
        <v>0</v>
      </c>
      <c r="AB1929" s="32">
        <v>0</v>
      </c>
      <c r="AC1929" s="32">
        <v>0</v>
      </c>
      <c r="AD1929" s="21">
        <v>0</v>
      </c>
      <c r="AE1929" s="32">
        <v>0</v>
      </c>
      <c r="AF1929" s="32">
        <v>1</v>
      </c>
      <c r="AG1929" s="32">
        <v>0</v>
      </c>
      <c r="AH1929" s="32">
        <v>0</v>
      </c>
      <c r="AI1929" s="19">
        <v>7</v>
      </c>
      <c r="AJ1929" s="19">
        <v>0</v>
      </c>
      <c r="AK1929" s="19">
        <v>0</v>
      </c>
      <c r="AL1929" s="19">
        <v>0</v>
      </c>
      <c r="AM1929" s="32">
        <v>0</v>
      </c>
      <c r="AN1929" s="32">
        <v>0</v>
      </c>
      <c r="AO1929" s="32">
        <v>0</v>
      </c>
      <c r="AP1929" s="32">
        <v>0</v>
      </c>
      <c r="AQ1929" s="32">
        <v>1000</v>
      </c>
      <c r="AR1929" s="32">
        <v>0.5</v>
      </c>
      <c r="AS1929" s="32">
        <v>10</v>
      </c>
      <c r="AT1929" s="19">
        <v>0</v>
      </c>
      <c r="AU1929" s="32" t="s">
        <v>4588</v>
      </c>
      <c r="AV1929" s="32"/>
      <c r="AW1929" s="35" t="s">
        <v>747</v>
      </c>
      <c r="AX1929" s="32">
        <v>0</v>
      </c>
      <c r="AY1929" s="32">
        <v>10000011</v>
      </c>
      <c r="AZ1929" s="32">
        <v>50000001</v>
      </c>
      <c r="BA1929" s="35" t="s">
        <v>256</v>
      </c>
      <c r="BB1929" s="35" t="s">
        <v>204</v>
      </c>
      <c r="BC1929" s="31">
        <v>0</v>
      </c>
      <c r="BD1929" s="31">
        <v>0</v>
      </c>
      <c r="BE1929" s="60" t="s">
        <v>4589</v>
      </c>
      <c r="BF1929" s="60" t="s">
        <v>4590</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19.5" customHeight="1">
      <c r="C1930" s="32">
        <v>70302001</v>
      </c>
      <c r="D1930" s="30" t="s">
        <v>1023</v>
      </c>
      <c r="E1930" s="30" t="s">
        <v>1024</v>
      </c>
      <c r="F1930" s="32">
        <v>1</v>
      </c>
      <c r="G1930" s="21">
        <v>60010100</v>
      </c>
      <c r="H1930" s="32">
        <v>0</v>
      </c>
      <c r="I1930" s="31">
        <v>0</v>
      </c>
      <c r="J1930" s="32">
        <v>1</v>
      </c>
      <c r="K1930" s="32">
        <v>0</v>
      </c>
      <c r="L1930" s="32">
        <v>0</v>
      </c>
      <c r="M1930" s="21">
        <v>0</v>
      </c>
      <c r="N1930" s="21">
        <v>0</v>
      </c>
      <c r="O1930" s="21">
        <v>2</v>
      </c>
      <c r="P1930" s="21">
        <v>1</v>
      </c>
      <c r="Q1930" s="21">
        <v>0.5</v>
      </c>
      <c r="R1930" s="21">
        <v>0</v>
      </c>
      <c r="S1930" s="19">
        <v>0</v>
      </c>
      <c r="T1930" s="21">
        <v>0</v>
      </c>
      <c r="U1930" s="21">
        <v>1</v>
      </c>
      <c r="V1930" s="21">
        <v>2</v>
      </c>
      <c r="W1930" s="21">
        <v>0</v>
      </c>
      <c r="X1930" s="21">
        <v>1</v>
      </c>
      <c r="Y1930" s="19">
        <v>0</v>
      </c>
      <c r="Z1930" s="21">
        <v>0</v>
      </c>
      <c r="AA1930" s="21">
        <v>1</v>
      </c>
      <c r="AB1930" s="21">
        <v>0</v>
      </c>
      <c r="AC1930" s="21">
        <v>0</v>
      </c>
      <c r="AD1930" s="21">
        <v>0</v>
      </c>
      <c r="AE1930" s="21">
        <v>0</v>
      </c>
      <c r="AF1930" s="21">
        <v>10</v>
      </c>
      <c r="AG1930" s="21">
        <v>1</v>
      </c>
      <c r="AH1930" s="21" t="s">
        <v>867</v>
      </c>
      <c r="AI1930" s="19">
        <v>0</v>
      </c>
      <c r="AJ1930" s="19">
        <v>0</v>
      </c>
      <c r="AK1930" s="19">
        <v>0</v>
      </c>
      <c r="AL1930" s="19">
        <v>0</v>
      </c>
      <c r="AM1930" s="21">
        <v>0</v>
      </c>
      <c r="AN1930" s="21">
        <v>0</v>
      </c>
      <c r="AO1930" s="21">
        <v>0</v>
      </c>
      <c r="AP1930" s="21">
        <v>0.5</v>
      </c>
      <c r="AQ1930" s="21">
        <v>999999</v>
      </c>
      <c r="AR1930" s="21">
        <v>0.5</v>
      </c>
      <c r="AS1930" s="21">
        <v>0</v>
      </c>
      <c r="AT1930" s="19">
        <v>0</v>
      </c>
      <c r="AU1930" s="341" t="s">
        <v>1025</v>
      </c>
      <c r="AV1930" s="19"/>
      <c r="AW1930" s="35" t="s">
        <v>262</v>
      </c>
      <c r="AX1930" s="21" t="s">
        <v>540</v>
      </c>
      <c r="AY1930" s="32">
        <v>10000007</v>
      </c>
      <c r="AZ1930" s="32">
        <v>70302001</v>
      </c>
      <c r="BA1930" s="35" t="s">
        <v>321</v>
      </c>
      <c r="BB1930" s="35" t="s">
        <v>377</v>
      </c>
      <c r="BC1930" s="31">
        <v>0</v>
      </c>
      <c r="BD1930" s="31">
        <v>0</v>
      </c>
      <c r="BE1930" s="33" t="s">
        <v>1026</v>
      </c>
      <c r="BF1930" s="33" t="s">
        <v>1027</v>
      </c>
      <c r="BG1930" s="21">
        <v>0</v>
      </c>
      <c r="BH1930" s="21">
        <v>0</v>
      </c>
      <c r="BI1930" s="21">
        <v>0</v>
      </c>
      <c r="BJ1930" s="21">
        <v>0</v>
      </c>
      <c r="BK1930" s="21">
        <v>0</v>
      </c>
      <c r="BL1930" s="21">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20.100000000000001" customHeight="1">
      <c r="C1931" s="32">
        <v>70302002</v>
      </c>
      <c r="D1931" s="35" t="s">
        <v>1028</v>
      </c>
      <c r="E1931" s="35" t="s">
        <v>1029</v>
      </c>
      <c r="F1931" s="32">
        <v>1</v>
      </c>
      <c r="G1931" s="32">
        <v>60010500</v>
      </c>
      <c r="H1931" s="32">
        <v>0</v>
      </c>
      <c r="I1931" s="31">
        <v>0</v>
      </c>
      <c r="J1931" s="32">
        <v>1</v>
      </c>
      <c r="K1931" s="32">
        <v>0</v>
      </c>
      <c r="L1931" s="32">
        <v>0</v>
      </c>
      <c r="M1931" s="32">
        <v>0</v>
      </c>
      <c r="N1931" s="32">
        <v>0</v>
      </c>
      <c r="O1931" s="21">
        <v>2</v>
      </c>
      <c r="P1931" s="32">
        <v>2</v>
      </c>
      <c r="Q1931" s="32">
        <v>0.3</v>
      </c>
      <c r="R1931" s="32">
        <v>0</v>
      </c>
      <c r="S1931" s="19">
        <v>0</v>
      </c>
      <c r="T1931" s="31">
        <v>0</v>
      </c>
      <c r="U1931" s="21">
        <v>1</v>
      </c>
      <c r="V1931" s="32">
        <v>2</v>
      </c>
      <c r="W1931" s="32">
        <v>0</v>
      </c>
      <c r="X1931" s="32">
        <v>0</v>
      </c>
      <c r="Y1931" s="19">
        <v>0</v>
      </c>
      <c r="Z1931" s="32">
        <v>0</v>
      </c>
      <c r="AA1931" s="32">
        <v>0</v>
      </c>
      <c r="AB1931" s="32">
        <v>0</v>
      </c>
      <c r="AC1931" s="32">
        <v>0</v>
      </c>
      <c r="AD1931" s="21">
        <v>0</v>
      </c>
      <c r="AE1931" s="32">
        <v>0</v>
      </c>
      <c r="AF1931" s="21">
        <v>30</v>
      </c>
      <c r="AG1931" s="32">
        <v>0</v>
      </c>
      <c r="AH1931" s="32">
        <v>0</v>
      </c>
      <c r="AI1931" s="19">
        <v>8</v>
      </c>
      <c r="AJ1931" s="19">
        <v>0</v>
      </c>
      <c r="AK1931" s="19">
        <v>0</v>
      </c>
      <c r="AL1931" s="19">
        <v>0</v>
      </c>
      <c r="AM1931" s="32">
        <v>0</v>
      </c>
      <c r="AN1931" s="32">
        <v>0</v>
      </c>
      <c r="AO1931" s="32">
        <v>0</v>
      </c>
      <c r="AP1931" s="32">
        <v>0</v>
      </c>
      <c r="AQ1931" s="32">
        <v>1000</v>
      </c>
      <c r="AR1931" s="32">
        <v>0</v>
      </c>
      <c r="AS1931" s="32">
        <v>0</v>
      </c>
      <c r="AT1931" s="19">
        <v>90301006</v>
      </c>
      <c r="AU1931" s="32" t="s">
        <v>204</v>
      </c>
      <c r="AV1931" s="32"/>
      <c r="AW1931" s="35" t="s">
        <v>205</v>
      </c>
      <c r="AX1931" s="32" t="s">
        <v>354</v>
      </c>
      <c r="AY1931" s="32">
        <v>0</v>
      </c>
      <c r="AZ1931" s="32">
        <v>0</v>
      </c>
      <c r="BA1931" s="35" t="s">
        <v>206</v>
      </c>
      <c r="BB1931" s="35" t="s">
        <v>204</v>
      </c>
      <c r="BC1931" s="31">
        <v>0</v>
      </c>
      <c r="BD1931" s="31">
        <v>0</v>
      </c>
      <c r="BE1931" s="60" t="s">
        <v>4541</v>
      </c>
      <c r="BF1931" s="60" t="s">
        <v>4542</v>
      </c>
      <c r="BG1931" s="32">
        <v>0</v>
      </c>
      <c r="BH1931" s="21">
        <v>0</v>
      </c>
      <c r="BI1931" s="32">
        <v>0</v>
      </c>
      <c r="BJ1931" s="32">
        <v>0</v>
      </c>
      <c r="BK1931" s="32">
        <v>0</v>
      </c>
      <c r="BL1931" s="32">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19.5" customHeight="1">
      <c r="C1932" s="32">
        <v>70302003</v>
      </c>
      <c r="D1932" s="30" t="s">
        <v>1330</v>
      </c>
      <c r="E1932" s="30" t="s">
        <v>1331</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2</v>
      </c>
      <c r="AH1932" s="21" t="s">
        <v>219</v>
      </c>
      <c r="AI1932" s="19">
        <v>0</v>
      </c>
      <c r="AJ1932" s="19">
        <v>2</v>
      </c>
      <c r="AK1932" s="19">
        <v>0</v>
      </c>
      <c r="AL1932" s="19">
        <v>1.5</v>
      </c>
      <c r="AM1932" s="21">
        <v>0</v>
      </c>
      <c r="AN1932" s="21">
        <v>0</v>
      </c>
      <c r="AO1932" s="21">
        <v>0</v>
      </c>
      <c r="AP1932" s="21">
        <v>1.5</v>
      </c>
      <c r="AQ1932" s="21">
        <v>10000</v>
      </c>
      <c r="AR1932" s="21">
        <v>1</v>
      </c>
      <c r="AS1932" s="21">
        <v>5</v>
      </c>
      <c r="AT1932" s="19">
        <v>0</v>
      </c>
      <c r="AU1932" s="21" t="s">
        <v>204</v>
      </c>
      <c r="AV1932" s="21"/>
      <c r="AW1932" s="35" t="s">
        <v>623</v>
      </c>
      <c r="AX1932" s="21" t="s">
        <v>540</v>
      </c>
      <c r="AY1932" s="32">
        <v>10000007</v>
      </c>
      <c r="AZ1932" s="32">
        <v>70302003</v>
      </c>
      <c r="BA1932" s="35" t="s">
        <v>592</v>
      </c>
      <c r="BB1932" s="21">
        <v>0</v>
      </c>
      <c r="BC1932" s="31">
        <v>0</v>
      </c>
      <c r="BD1932" s="31">
        <v>0</v>
      </c>
      <c r="BE1932" s="33" t="s">
        <v>3280</v>
      </c>
      <c r="BF1932" s="33" t="s">
        <v>3281</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70302004</v>
      </c>
      <c r="D1933" s="30" t="s">
        <v>1035</v>
      </c>
      <c r="E1933" s="30" t="s">
        <v>1036</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1</v>
      </c>
      <c r="AH1933" s="21">
        <v>3</v>
      </c>
      <c r="AI1933" s="19">
        <v>4</v>
      </c>
      <c r="AJ1933" s="19">
        <v>1</v>
      </c>
      <c r="AK1933" s="19">
        <v>0</v>
      </c>
      <c r="AL1933" s="19">
        <v>1.5</v>
      </c>
      <c r="AM1933" s="21">
        <v>0</v>
      </c>
      <c r="AN1933" s="21">
        <v>0</v>
      </c>
      <c r="AO1933" s="21">
        <v>0</v>
      </c>
      <c r="AP1933" s="21">
        <v>3</v>
      </c>
      <c r="AQ1933" s="21">
        <v>999999</v>
      </c>
      <c r="AR1933" s="21">
        <v>3</v>
      </c>
      <c r="AS1933" s="21">
        <v>0</v>
      </c>
      <c r="AT1933" s="19">
        <v>0</v>
      </c>
      <c r="AU1933" s="21" t="s">
        <v>204</v>
      </c>
      <c r="AV1933" s="21"/>
      <c r="AW1933" s="35" t="s">
        <v>293</v>
      </c>
      <c r="AX1933" s="21" t="s">
        <v>540</v>
      </c>
      <c r="AY1933" s="32">
        <v>10000007</v>
      </c>
      <c r="AZ1933" s="32">
        <v>70302004</v>
      </c>
      <c r="BA1933" s="30" t="s">
        <v>206</v>
      </c>
      <c r="BB1933" s="21" t="s">
        <v>4591</v>
      </c>
      <c r="BC1933" s="31">
        <v>0</v>
      </c>
      <c r="BD1933" s="31">
        <v>0</v>
      </c>
      <c r="BE1933" s="33" t="s">
        <v>4543</v>
      </c>
      <c r="BF1933" s="33" t="s">
        <v>4544</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70303001</v>
      </c>
      <c r="D1934" s="30" t="s">
        <v>1092</v>
      </c>
      <c r="E1934" s="30" t="s">
        <v>1093</v>
      </c>
      <c r="F1934" s="21">
        <v>1</v>
      </c>
      <c r="G1934" s="21">
        <v>60010300</v>
      </c>
      <c r="H1934" s="32">
        <v>0</v>
      </c>
      <c r="I1934" s="31">
        <v>0</v>
      </c>
      <c r="J1934" s="32">
        <v>1</v>
      </c>
      <c r="K1934" s="32">
        <v>0</v>
      </c>
      <c r="L1934" s="32">
        <v>0</v>
      </c>
      <c r="M1934" s="21">
        <v>0</v>
      </c>
      <c r="N1934" s="21">
        <v>0</v>
      </c>
      <c r="O1934" s="21">
        <v>2</v>
      </c>
      <c r="P1934" s="21">
        <v>2</v>
      </c>
      <c r="Q1934" s="21">
        <v>0.8</v>
      </c>
      <c r="R1934" s="21">
        <v>1</v>
      </c>
      <c r="S1934" s="19">
        <v>0</v>
      </c>
      <c r="T1934" s="21">
        <v>0</v>
      </c>
      <c r="U1934" s="21">
        <v>1</v>
      </c>
      <c r="V1934" s="21">
        <v>2</v>
      </c>
      <c r="W1934" s="21">
        <v>0</v>
      </c>
      <c r="X1934" s="21">
        <v>0</v>
      </c>
      <c r="Y1934" s="19">
        <v>0</v>
      </c>
      <c r="Z1934" s="21">
        <v>0</v>
      </c>
      <c r="AA1934" s="21">
        <v>0</v>
      </c>
      <c r="AB1934" s="21">
        <v>0</v>
      </c>
      <c r="AC1934" s="21">
        <v>0</v>
      </c>
      <c r="AD1934" s="21">
        <v>0</v>
      </c>
      <c r="AE1934" s="21">
        <v>0</v>
      </c>
      <c r="AF1934" s="21">
        <v>99999</v>
      </c>
      <c r="AG1934" s="21">
        <v>0</v>
      </c>
      <c r="AH1934" s="21">
        <v>0</v>
      </c>
      <c r="AI1934" s="19">
        <v>2</v>
      </c>
      <c r="AJ1934" s="19">
        <v>2</v>
      </c>
      <c r="AK1934" s="19">
        <v>0</v>
      </c>
      <c r="AL1934" s="19">
        <v>1.5</v>
      </c>
      <c r="AM1934" s="21">
        <v>0</v>
      </c>
      <c r="AN1934" s="21">
        <v>0</v>
      </c>
      <c r="AO1934" s="21">
        <v>0</v>
      </c>
      <c r="AP1934" s="21">
        <v>1</v>
      </c>
      <c r="AQ1934" s="21">
        <v>3000</v>
      </c>
      <c r="AR1934" s="21">
        <v>0.5</v>
      </c>
      <c r="AS1934" s="21">
        <v>0</v>
      </c>
      <c r="AT1934" s="19">
        <v>0</v>
      </c>
      <c r="AU1934" s="21" t="s">
        <v>204</v>
      </c>
      <c r="AV1934" s="21"/>
      <c r="AW1934" s="35" t="s">
        <v>205</v>
      </c>
      <c r="AX1934" s="21" t="s">
        <v>551</v>
      </c>
      <c r="AY1934" s="32">
        <v>0</v>
      </c>
      <c r="AZ1934" s="32">
        <v>0</v>
      </c>
      <c r="BA1934" s="30" t="s">
        <v>534</v>
      </c>
      <c r="BB1934" s="21" t="s">
        <v>4592</v>
      </c>
      <c r="BC1934" s="31">
        <v>0</v>
      </c>
      <c r="BD1934" s="31">
        <v>0</v>
      </c>
      <c r="BE1934" s="33" t="s">
        <v>1095</v>
      </c>
      <c r="BF1934" s="33" t="s">
        <v>1096</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19.5" customHeight="1">
      <c r="C1935" s="32">
        <v>70303002</v>
      </c>
      <c r="D1935" s="30" t="s">
        <v>1097</v>
      </c>
      <c r="E1935" s="30" t="s">
        <v>1098</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3</v>
      </c>
      <c r="Y1935" s="19">
        <v>0</v>
      </c>
      <c r="Z1935" s="21">
        <v>0</v>
      </c>
      <c r="AA1935" s="21">
        <v>1</v>
      </c>
      <c r="AB1935" s="21">
        <v>0</v>
      </c>
      <c r="AC1935" s="21">
        <v>0</v>
      </c>
      <c r="AD1935" s="21">
        <v>0</v>
      </c>
      <c r="AE1935" s="21">
        <v>0</v>
      </c>
      <c r="AF1935" s="21">
        <v>12</v>
      </c>
      <c r="AG1935" s="21">
        <v>1</v>
      </c>
      <c r="AH1935" s="21" t="s">
        <v>613</v>
      </c>
      <c r="AI1935" s="19">
        <v>0</v>
      </c>
      <c r="AJ1935" s="19">
        <v>1</v>
      </c>
      <c r="AK1935" s="19">
        <v>0</v>
      </c>
      <c r="AL1935" s="19">
        <v>3</v>
      </c>
      <c r="AM1935" s="21">
        <v>0</v>
      </c>
      <c r="AN1935" s="21">
        <v>0</v>
      </c>
      <c r="AO1935" s="21">
        <v>0</v>
      </c>
      <c r="AP1935" s="21">
        <v>3</v>
      </c>
      <c r="AQ1935" s="21">
        <v>5000</v>
      </c>
      <c r="AR1935" s="21">
        <v>2.5</v>
      </c>
      <c r="AS1935" s="21">
        <v>0</v>
      </c>
      <c r="AT1935" s="19">
        <v>0</v>
      </c>
      <c r="AU1935" s="21">
        <v>80001030</v>
      </c>
      <c r="AV1935" s="21"/>
      <c r="AW1935" s="35" t="s">
        <v>293</v>
      </c>
      <c r="AX1935" s="21" t="s">
        <v>540</v>
      </c>
      <c r="AY1935" s="32">
        <v>10000007</v>
      </c>
      <c r="AZ1935" s="32">
        <v>70204001</v>
      </c>
      <c r="BA1935" s="30" t="s">
        <v>206</v>
      </c>
      <c r="BB1935" s="21">
        <v>0</v>
      </c>
      <c r="BC1935" s="31">
        <v>0</v>
      </c>
      <c r="BD1935" s="31">
        <v>0</v>
      </c>
      <c r="BE1935" s="33" t="s">
        <v>1099</v>
      </c>
      <c r="BF1935" s="33" t="s">
        <v>1100</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70303003</v>
      </c>
      <c r="D1936" s="30" t="s">
        <v>952</v>
      </c>
      <c r="E1936" s="30" t="s">
        <v>953</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2.5</v>
      </c>
      <c r="Y1936" s="19">
        <v>0</v>
      </c>
      <c r="Z1936" s="21">
        <v>0</v>
      </c>
      <c r="AA1936" s="21">
        <v>1</v>
      </c>
      <c r="AB1936" s="21">
        <v>0</v>
      </c>
      <c r="AC1936" s="21">
        <v>0</v>
      </c>
      <c r="AD1936" s="21">
        <v>0</v>
      </c>
      <c r="AE1936" s="21">
        <v>0</v>
      </c>
      <c r="AF1936" s="21">
        <v>12</v>
      </c>
      <c r="AG1936" s="21">
        <v>1</v>
      </c>
      <c r="AH1936" s="21">
        <v>3</v>
      </c>
      <c r="AI1936" s="19">
        <v>4</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262</v>
      </c>
      <c r="AX1936" s="21" t="s">
        <v>540</v>
      </c>
      <c r="AY1936" s="32">
        <v>10000007</v>
      </c>
      <c r="AZ1936" s="32">
        <v>70204002</v>
      </c>
      <c r="BA1936" s="30" t="s">
        <v>206</v>
      </c>
      <c r="BB1936" s="21" t="s">
        <v>4593</v>
      </c>
      <c r="BC1936" s="31">
        <v>0</v>
      </c>
      <c r="BD1936" s="31">
        <v>0</v>
      </c>
      <c r="BE1936" s="33" t="s">
        <v>1102</v>
      </c>
      <c r="BF1936" s="33" t="s">
        <v>1103</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70303004</v>
      </c>
      <c r="D1937" s="30" t="s">
        <v>957</v>
      </c>
      <c r="E1937" s="30" t="s">
        <v>958</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3</v>
      </c>
      <c r="Y1937" s="19">
        <v>0</v>
      </c>
      <c r="Z1937" s="21">
        <v>0</v>
      </c>
      <c r="AA1937" s="21">
        <v>1</v>
      </c>
      <c r="AB1937" s="21">
        <v>0</v>
      </c>
      <c r="AC1937" s="21">
        <v>0</v>
      </c>
      <c r="AD1937" s="21">
        <v>0</v>
      </c>
      <c r="AE1937" s="21">
        <v>0</v>
      </c>
      <c r="AF1937" s="21">
        <v>12</v>
      </c>
      <c r="AG1937" s="21">
        <v>1</v>
      </c>
      <c r="AH1937" s="21">
        <v>3</v>
      </c>
      <c r="AI1937" s="19">
        <v>6</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623</v>
      </c>
      <c r="AX1937" s="21" t="s">
        <v>540</v>
      </c>
      <c r="AY1937" s="32">
        <v>10000007</v>
      </c>
      <c r="AZ1937" s="32">
        <v>70204003</v>
      </c>
      <c r="BA1937" s="30" t="s">
        <v>206</v>
      </c>
      <c r="BB1937" s="21" t="s">
        <v>4560</v>
      </c>
      <c r="BC1937" s="31">
        <v>0</v>
      </c>
      <c r="BD1937" s="31">
        <v>0</v>
      </c>
      <c r="BE1937" s="33" t="s">
        <v>1105</v>
      </c>
      <c r="BF1937" s="33" t="s">
        <v>1106</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70304001</v>
      </c>
      <c r="D1938" s="30" t="s">
        <v>4594</v>
      </c>
      <c r="E1938" s="30" t="s">
        <v>4595</v>
      </c>
      <c r="F1938" s="21">
        <v>1</v>
      </c>
      <c r="G1938" s="21">
        <v>60010300</v>
      </c>
      <c r="H1938" s="32">
        <v>0</v>
      </c>
      <c r="I1938" s="31">
        <v>0</v>
      </c>
      <c r="J1938" s="32">
        <v>1</v>
      </c>
      <c r="K1938" s="32">
        <v>0</v>
      </c>
      <c r="L1938" s="32">
        <v>0</v>
      </c>
      <c r="M1938" s="21">
        <v>0</v>
      </c>
      <c r="N1938" s="21">
        <v>0</v>
      </c>
      <c r="O1938" s="21">
        <v>2</v>
      </c>
      <c r="P1938" s="21">
        <v>2</v>
      </c>
      <c r="Q1938" s="21">
        <v>0.8</v>
      </c>
      <c r="R1938" s="21">
        <v>0</v>
      </c>
      <c r="S1938" s="19">
        <v>0</v>
      </c>
      <c r="T1938" s="21">
        <v>0</v>
      </c>
      <c r="U1938" s="21">
        <v>1</v>
      </c>
      <c r="V1938" s="21">
        <v>2</v>
      </c>
      <c r="W1938" s="21">
        <v>0</v>
      </c>
      <c r="X1938" s="21">
        <v>0</v>
      </c>
      <c r="Y1938" s="19">
        <v>0</v>
      </c>
      <c r="Z1938" s="21">
        <v>0</v>
      </c>
      <c r="AA1938" s="21">
        <v>0</v>
      </c>
      <c r="AB1938" s="21">
        <v>0</v>
      </c>
      <c r="AC1938" s="21">
        <v>0</v>
      </c>
      <c r="AD1938" s="21">
        <v>0</v>
      </c>
      <c r="AE1938" s="21">
        <v>0</v>
      </c>
      <c r="AF1938" s="21">
        <v>20</v>
      </c>
      <c r="AG1938" s="21">
        <v>0</v>
      </c>
      <c r="AH1938" s="21">
        <v>0</v>
      </c>
      <c r="AI1938" s="19">
        <v>2</v>
      </c>
      <c r="AJ1938" s="19">
        <v>2</v>
      </c>
      <c r="AK1938" s="19">
        <v>0</v>
      </c>
      <c r="AL1938" s="19">
        <v>1.5</v>
      </c>
      <c r="AM1938" s="21">
        <v>0</v>
      </c>
      <c r="AN1938" s="21">
        <v>0</v>
      </c>
      <c r="AO1938" s="21">
        <v>0</v>
      </c>
      <c r="AP1938" s="21">
        <v>1</v>
      </c>
      <c r="AQ1938" s="21">
        <v>3000</v>
      </c>
      <c r="AR1938" s="21">
        <v>0.5</v>
      </c>
      <c r="AS1938" s="21">
        <v>0</v>
      </c>
      <c r="AT1938" s="19">
        <v>0</v>
      </c>
      <c r="AU1938" s="21" t="s">
        <v>204</v>
      </c>
      <c r="AV1938" s="21"/>
      <c r="AW1938" s="35" t="s">
        <v>205</v>
      </c>
      <c r="AX1938" s="21" t="s">
        <v>551</v>
      </c>
      <c r="AY1938" s="32">
        <v>0</v>
      </c>
      <c r="AZ1938" s="32">
        <v>0</v>
      </c>
      <c r="BA1938" s="30" t="s">
        <v>534</v>
      </c>
      <c r="BB1938" s="21" t="s">
        <v>4596</v>
      </c>
      <c r="BC1938" s="31">
        <v>0</v>
      </c>
      <c r="BD1938" s="31">
        <v>0</v>
      </c>
      <c r="BE1938" s="33" t="s">
        <v>4597</v>
      </c>
      <c r="BF1938" s="33" t="s">
        <v>4598</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70304002</v>
      </c>
      <c r="D1939" s="35" t="s">
        <v>750</v>
      </c>
      <c r="E1939" s="35" t="s">
        <v>751</v>
      </c>
      <c r="F1939" s="32">
        <v>1</v>
      </c>
      <c r="G1939" s="32">
        <v>60010500</v>
      </c>
      <c r="H1939" s="32">
        <v>0</v>
      </c>
      <c r="I1939" s="31">
        <v>0</v>
      </c>
      <c r="J1939" s="32">
        <v>1</v>
      </c>
      <c r="K1939" s="32">
        <v>0</v>
      </c>
      <c r="L1939" s="32">
        <v>0</v>
      </c>
      <c r="M1939" s="32">
        <v>0</v>
      </c>
      <c r="N1939" s="32">
        <v>0</v>
      </c>
      <c r="O1939" s="21">
        <v>2</v>
      </c>
      <c r="P1939" s="32">
        <v>1</v>
      </c>
      <c r="Q1939" s="32">
        <v>0.05</v>
      </c>
      <c r="R1939" s="32">
        <v>0</v>
      </c>
      <c r="S1939" s="19">
        <v>0</v>
      </c>
      <c r="T1939" s="31">
        <v>0</v>
      </c>
      <c r="U1939" s="21">
        <v>1</v>
      </c>
      <c r="V1939" s="32">
        <v>1</v>
      </c>
      <c r="W1939" s="32">
        <v>0</v>
      </c>
      <c r="X1939" s="32">
        <v>2</v>
      </c>
      <c r="Y1939" s="19">
        <v>0</v>
      </c>
      <c r="Z1939" s="32">
        <v>0</v>
      </c>
      <c r="AA1939" s="32">
        <v>0</v>
      </c>
      <c r="AB1939" s="32">
        <v>0</v>
      </c>
      <c r="AC1939" s="32">
        <v>0</v>
      </c>
      <c r="AD1939" s="21">
        <v>0</v>
      </c>
      <c r="AE1939" s="32">
        <v>0</v>
      </c>
      <c r="AF1939" s="32">
        <v>10</v>
      </c>
      <c r="AG1939" s="32">
        <v>0</v>
      </c>
      <c r="AH1939" s="32">
        <v>0</v>
      </c>
      <c r="AI1939" s="19">
        <v>7</v>
      </c>
      <c r="AJ1939" s="19">
        <v>0</v>
      </c>
      <c r="AK1939" s="19">
        <v>0</v>
      </c>
      <c r="AL1939" s="19">
        <v>0</v>
      </c>
      <c r="AM1939" s="32">
        <v>0</v>
      </c>
      <c r="AN1939" s="32">
        <v>0</v>
      </c>
      <c r="AO1939" s="32">
        <v>0</v>
      </c>
      <c r="AP1939" s="32">
        <v>0</v>
      </c>
      <c r="AQ1939" s="32">
        <v>1000</v>
      </c>
      <c r="AR1939" s="32">
        <v>0.5</v>
      </c>
      <c r="AS1939" s="32">
        <v>0</v>
      </c>
      <c r="AT1939" s="19">
        <v>0</v>
      </c>
      <c r="AU1939" s="32" t="s">
        <v>665</v>
      </c>
      <c r="AV1939" s="32"/>
      <c r="AW1939" s="35" t="s">
        <v>747</v>
      </c>
      <c r="AX1939" s="32">
        <v>0</v>
      </c>
      <c r="AY1939" s="32">
        <v>10007001</v>
      </c>
      <c r="AZ1939" s="32">
        <v>0</v>
      </c>
      <c r="BA1939" s="35" t="s">
        <v>206</v>
      </c>
      <c r="BB1939" s="35" t="s">
        <v>204</v>
      </c>
      <c r="BC1939" s="31">
        <v>0</v>
      </c>
      <c r="BD1939" s="31">
        <v>0</v>
      </c>
      <c r="BE1939" s="60" t="s">
        <v>752</v>
      </c>
      <c r="BF1939" s="60" t="s">
        <v>753</v>
      </c>
      <c r="BG1939" s="32">
        <v>0</v>
      </c>
      <c r="BH1939" s="21">
        <v>0</v>
      </c>
      <c r="BI1939" s="32">
        <v>0</v>
      </c>
      <c r="BJ1939" s="32">
        <v>0</v>
      </c>
      <c r="BK1939" s="32">
        <v>0</v>
      </c>
      <c r="BL1939" s="32">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70304003</v>
      </c>
      <c r="D1940" s="30" t="s">
        <v>754</v>
      </c>
      <c r="E1940" s="30" t="s">
        <v>755</v>
      </c>
      <c r="F1940" s="32">
        <v>1</v>
      </c>
      <c r="G1940" s="21">
        <v>60010100</v>
      </c>
      <c r="H1940" s="32">
        <v>0</v>
      </c>
      <c r="I1940" s="31">
        <v>0</v>
      </c>
      <c r="J1940" s="32">
        <v>1</v>
      </c>
      <c r="K1940" s="32">
        <v>0</v>
      </c>
      <c r="L1940" s="32">
        <v>0</v>
      </c>
      <c r="M1940" s="21">
        <v>0</v>
      </c>
      <c r="N1940" s="21">
        <v>0</v>
      </c>
      <c r="O1940" s="21">
        <v>2</v>
      </c>
      <c r="P1940" s="21">
        <v>1</v>
      </c>
      <c r="Q1940" s="21">
        <v>1</v>
      </c>
      <c r="R1940" s="21">
        <v>0</v>
      </c>
      <c r="S1940" s="19">
        <v>0</v>
      </c>
      <c r="T1940" s="21">
        <v>0</v>
      </c>
      <c r="U1940" s="21">
        <v>1</v>
      </c>
      <c r="V1940" s="21">
        <v>2</v>
      </c>
      <c r="W1940" s="21">
        <v>0</v>
      </c>
      <c r="X1940" s="21">
        <v>2</v>
      </c>
      <c r="Y1940" s="19">
        <v>0</v>
      </c>
      <c r="Z1940" s="21">
        <v>0</v>
      </c>
      <c r="AA1940" s="21">
        <v>1</v>
      </c>
      <c r="AB1940" s="21">
        <v>0</v>
      </c>
      <c r="AC1940" s="21">
        <v>0</v>
      </c>
      <c r="AD1940" s="21">
        <v>0</v>
      </c>
      <c r="AE1940" s="21">
        <v>0</v>
      </c>
      <c r="AF1940" s="21">
        <v>12</v>
      </c>
      <c r="AG1940" s="21">
        <v>2</v>
      </c>
      <c r="AH1940" s="21" t="s">
        <v>219</v>
      </c>
      <c r="AI1940" s="19">
        <v>0</v>
      </c>
      <c r="AJ1940" s="19">
        <v>0</v>
      </c>
      <c r="AK1940" s="19">
        <v>0</v>
      </c>
      <c r="AL1940" s="19">
        <v>1.5</v>
      </c>
      <c r="AM1940" s="21">
        <v>0</v>
      </c>
      <c r="AN1940" s="21">
        <v>0</v>
      </c>
      <c r="AO1940" s="21">
        <v>0</v>
      </c>
      <c r="AP1940" s="21">
        <v>1</v>
      </c>
      <c r="AQ1940" s="21">
        <v>5000</v>
      </c>
      <c r="AR1940" s="21">
        <v>0.5</v>
      </c>
      <c r="AS1940" s="21">
        <v>0</v>
      </c>
      <c r="AT1940" s="19">
        <v>0</v>
      </c>
      <c r="AU1940" s="21" t="s">
        <v>204</v>
      </c>
      <c r="AV1940" s="21"/>
      <c r="AW1940" s="35" t="s">
        <v>623</v>
      </c>
      <c r="AX1940" s="21" t="s">
        <v>540</v>
      </c>
      <c r="AY1940" s="32">
        <v>10000007</v>
      </c>
      <c r="AZ1940" s="32">
        <v>70201001</v>
      </c>
      <c r="BA1940" s="30" t="s">
        <v>206</v>
      </c>
      <c r="BB1940" s="21">
        <v>0</v>
      </c>
      <c r="BC1940" s="31">
        <v>0</v>
      </c>
      <c r="BD1940" s="31">
        <v>0</v>
      </c>
      <c r="BE1940" s="33" t="s">
        <v>756</v>
      </c>
      <c r="BF1940" s="33" t="s">
        <v>757</v>
      </c>
      <c r="BG1940" s="21">
        <v>0</v>
      </c>
      <c r="BH1940" s="21">
        <v>0</v>
      </c>
      <c r="BI1940" s="21">
        <v>0</v>
      </c>
      <c r="BJ1940" s="21">
        <v>0</v>
      </c>
      <c r="BK1940" s="21">
        <v>0</v>
      </c>
      <c r="BL1940" s="21">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70304004</v>
      </c>
      <c r="D1941" s="35" t="s">
        <v>4538</v>
      </c>
      <c r="E1941" s="35" t="s">
        <v>4539</v>
      </c>
      <c r="F1941" s="32">
        <v>1</v>
      </c>
      <c r="G1941" s="32">
        <v>60010500</v>
      </c>
      <c r="H1941" s="32">
        <v>0</v>
      </c>
      <c r="I1941" s="31">
        <v>0</v>
      </c>
      <c r="J1941" s="32">
        <v>1</v>
      </c>
      <c r="K1941" s="32">
        <v>0</v>
      </c>
      <c r="L1941" s="32">
        <v>0</v>
      </c>
      <c r="M1941" s="32">
        <v>0</v>
      </c>
      <c r="N1941" s="32">
        <v>0</v>
      </c>
      <c r="O1941" s="21">
        <v>2</v>
      </c>
      <c r="P1941" s="32">
        <v>2</v>
      </c>
      <c r="Q1941" s="32">
        <v>0.3</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99999</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t="s">
        <v>760</v>
      </c>
      <c r="AU1941" s="32" t="s">
        <v>204</v>
      </c>
      <c r="AV1941" s="32"/>
      <c r="AW1941" s="35" t="s">
        <v>205</v>
      </c>
      <c r="AX1941" s="32" t="s">
        <v>354</v>
      </c>
      <c r="AY1941" s="32">
        <v>0</v>
      </c>
      <c r="AZ1941" s="32">
        <v>0</v>
      </c>
      <c r="BA1941" s="35" t="s">
        <v>206</v>
      </c>
      <c r="BB1941" s="35" t="s">
        <v>204</v>
      </c>
      <c r="BC1941" s="31">
        <v>0</v>
      </c>
      <c r="BD1941" s="31">
        <v>0</v>
      </c>
      <c r="BE1941" s="60" t="s">
        <v>761</v>
      </c>
      <c r="BF1941" s="60" t="s">
        <v>762</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70304005</v>
      </c>
      <c r="D1942" s="35" t="s">
        <v>763</v>
      </c>
      <c r="E1942" s="35" t="s">
        <v>405</v>
      </c>
      <c r="F1942" s="32">
        <v>1</v>
      </c>
      <c r="G1942" s="32">
        <v>60010500</v>
      </c>
      <c r="H1942" s="32">
        <v>0</v>
      </c>
      <c r="I1942" s="31">
        <v>0</v>
      </c>
      <c r="J1942" s="32">
        <v>1</v>
      </c>
      <c r="K1942" s="32">
        <v>0</v>
      </c>
      <c r="L1942" s="32">
        <v>0</v>
      </c>
      <c r="M1942" s="32">
        <v>0</v>
      </c>
      <c r="N1942" s="32">
        <v>0</v>
      </c>
      <c r="O1942" s="21">
        <v>2</v>
      </c>
      <c r="P1942" s="32">
        <v>2</v>
      </c>
      <c r="Q1942" s="32">
        <v>1</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20</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v>90304001</v>
      </c>
      <c r="AU1942" s="32" t="s">
        <v>204</v>
      </c>
      <c r="AV1942" s="32"/>
      <c r="AW1942" s="35" t="s">
        <v>205</v>
      </c>
      <c r="AX1942" s="32" t="s">
        <v>354</v>
      </c>
      <c r="AY1942" s="32">
        <v>0</v>
      </c>
      <c r="AZ1942" s="32">
        <v>0</v>
      </c>
      <c r="BA1942" s="35" t="s">
        <v>206</v>
      </c>
      <c r="BB1942" s="35" t="s">
        <v>204</v>
      </c>
      <c r="BC1942" s="31">
        <v>0</v>
      </c>
      <c r="BD1942" s="31">
        <v>0</v>
      </c>
      <c r="BE1942" s="60" t="s">
        <v>764</v>
      </c>
      <c r="BF1942" s="60" t="s">
        <v>765</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70304006</v>
      </c>
      <c r="D1943" s="30" t="s">
        <v>766</v>
      </c>
      <c r="E1943" s="30" t="s">
        <v>767</v>
      </c>
      <c r="F1943" s="21">
        <v>2</v>
      </c>
      <c r="G1943" s="21">
        <v>61012301</v>
      </c>
      <c r="H1943" s="21">
        <v>0</v>
      </c>
      <c r="I1943" s="31">
        <v>0</v>
      </c>
      <c r="J1943" s="32">
        <v>1</v>
      </c>
      <c r="K1943" s="32">
        <v>0</v>
      </c>
      <c r="L1943" s="32">
        <v>0</v>
      </c>
      <c r="M1943" s="21">
        <v>0</v>
      </c>
      <c r="N1943" s="21">
        <v>0</v>
      </c>
      <c r="O1943" s="21">
        <v>2</v>
      </c>
      <c r="P1943" s="21">
        <v>1</v>
      </c>
      <c r="Q1943" s="21">
        <v>0.5</v>
      </c>
      <c r="R1943" s="21">
        <v>0</v>
      </c>
      <c r="S1943" s="19">
        <v>0</v>
      </c>
      <c r="T1943" s="21">
        <v>0</v>
      </c>
      <c r="U1943" s="21">
        <v>1</v>
      </c>
      <c r="V1943" s="21">
        <v>2</v>
      </c>
      <c r="W1943" s="21">
        <v>0</v>
      </c>
      <c r="X1943" s="21">
        <v>1.4</v>
      </c>
      <c r="Y1943" s="19">
        <v>0</v>
      </c>
      <c r="Z1943" s="21">
        <v>150</v>
      </c>
      <c r="AA1943" s="21">
        <v>1</v>
      </c>
      <c r="AB1943" s="21">
        <v>0</v>
      </c>
      <c r="AC1943" s="21">
        <v>0</v>
      </c>
      <c r="AD1943" s="21">
        <v>0</v>
      </c>
      <c r="AE1943" s="21">
        <v>0</v>
      </c>
      <c r="AF1943" s="21">
        <v>12</v>
      </c>
      <c r="AG1943" s="21">
        <v>2</v>
      </c>
      <c r="AH1943" s="21" t="s">
        <v>219</v>
      </c>
      <c r="AI1943" s="19">
        <v>0</v>
      </c>
      <c r="AJ1943" s="19">
        <v>2</v>
      </c>
      <c r="AK1943" s="19">
        <v>0</v>
      </c>
      <c r="AL1943" s="19">
        <v>1.5</v>
      </c>
      <c r="AM1943" s="21">
        <v>0</v>
      </c>
      <c r="AN1943" s="21">
        <v>0</v>
      </c>
      <c r="AO1943" s="21">
        <v>0</v>
      </c>
      <c r="AP1943" s="21">
        <v>1.5</v>
      </c>
      <c r="AQ1943" s="21">
        <v>1200</v>
      </c>
      <c r="AR1943" s="21">
        <v>1</v>
      </c>
      <c r="AS1943" s="21">
        <v>15</v>
      </c>
      <c r="AT1943" s="19">
        <v>0</v>
      </c>
      <c r="AU1943" s="21" t="s">
        <v>204</v>
      </c>
      <c r="AV1943" s="21"/>
      <c r="AW1943" s="30" t="s">
        <v>262</v>
      </c>
      <c r="AX1943" s="21" t="s">
        <v>221</v>
      </c>
      <c r="AY1943" s="32">
        <v>10000011</v>
      </c>
      <c r="AZ1943" s="32">
        <v>70404001</v>
      </c>
      <c r="BA1943" s="30" t="s">
        <v>222</v>
      </c>
      <c r="BB1943" s="21">
        <v>0</v>
      </c>
      <c r="BC1943" s="31">
        <v>0</v>
      </c>
      <c r="BD1943" s="31">
        <v>0</v>
      </c>
      <c r="BE1943" s="33" t="s">
        <v>804</v>
      </c>
      <c r="BF1943" s="33" t="s">
        <v>805</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19.5" customHeight="1">
      <c r="C1944" s="32">
        <v>70304007</v>
      </c>
      <c r="D1944" s="30" t="s">
        <v>771</v>
      </c>
      <c r="E1944" s="30" t="s">
        <v>772</v>
      </c>
      <c r="F1944" s="32">
        <v>1</v>
      </c>
      <c r="G1944" s="21">
        <v>60010100</v>
      </c>
      <c r="H1944" s="32">
        <v>0</v>
      </c>
      <c r="I1944" s="31">
        <v>0</v>
      </c>
      <c r="J1944" s="32">
        <v>1</v>
      </c>
      <c r="K1944" s="32">
        <v>0</v>
      </c>
      <c r="L1944" s="32">
        <v>0</v>
      </c>
      <c r="M1944" s="21">
        <v>0</v>
      </c>
      <c r="N1944" s="21">
        <v>0</v>
      </c>
      <c r="O1944" s="21">
        <v>2</v>
      </c>
      <c r="P1944" s="21">
        <v>1</v>
      </c>
      <c r="Q1944" s="21">
        <v>0.3</v>
      </c>
      <c r="R1944" s="21">
        <v>0</v>
      </c>
      <c r="S1944" s="19">
        <v>0</v>
      </c>
      <c r="T1944" s="21">
        <v>0</v>
      </c>
      <c r="U1944" s="21">
        <v>1</v>
      </c>
      <c r="V1944" s="21">
        <v>2</v>
      </c>
      <c r="W1944" s="21">
        <v>0</v>
      </c>
      <c r="X1944" s="21">
        <v>3</v>
      </c>
      <c r="Y1944" s="19">
        <v>0</v>
      </c>
      <c r="Z1944" s="21">
        <v>0</v>
      </c>
      <c r="AA1944" s="21">
        <v>1</v>
      </c>
      <c r="AB1944" s="21">
        <v>0</v>
      </c>
      <c r="AC1944" s="21">
        <v>0</v>
      </c>
      <c r="AD1944" s="21">
        <v>0</v>
      </c>
      <c r="AE1944" s="21">
        <v>0</v>
      </c>
      <c r="AF1944" s="21">
        <v>15</v>
      </c>
      <c r="AG1944" s="21">
        <v>1</v>
      </c>
      <c r="AH1944" s="21" t="s">
        <v>613</v>
      </c>
      <c r="AI1944" s="19">
        <v>0</v>
      </c>
      <c r="AJ1944" s="19">
        <v>1</v>
      </c>
      <c r="AK1944" s="19">
        <v>0</v>
      </c>
      <c r="AL1944" s="19">
        <v>3</v>
      </c>
      <c r="AM1944" s="21">
        <v>0</v>
      </c>
      <c r="AN1944" s="21">
        <v>0</v>
      </c>
      <c r="AO1944" s="21">
        <v>0</v>
      </c>
      <c r="AP1944" s="21">
        <v>3</v>
      </c>
      <c r="AQ1944" s="21">
        <v>5000</v>
      </c>
      <c r="AR1944" s="21">
        <v>2.5</v>
      </c>
      <c r="AS1944" s="21">
        <v>0</v>
      </c>
      <c r="AT1944" s="19">
        <v>0</v>
      </c>
      <c r="AU1944" s="21" t="s">
        <v>665</v>
      </c>
      <c r="AV1944" s="21"/>
      <c r="AW1944" s="35" t="s">
        <v>262</v>
      </c>
      <c r="AX1944" s="21" t="s">
        <v>540</v>
      </c>
      <c r="AY1944" s="32">
        <v>10000007</v>
      </c>
      <c r="AZ1944" s="32">
        <v>70205002</v>
      </c>
      <c r="BA1944" s="30" t="s">
        <v>206</v>
      </c>
      <c r="BB1944" s="21">
        <v>0</v>
      </c>
      <c r="BC1944" s="31">
        <v>0</v>
      </c>
      <c r="BD1944" s="31">
        <v>0</v>
      </c>
      <c r="BE1944" s="33" t="s">
        <v>773</v>
      </c>
      <c r="BF1944" s="33" t="s">
        <v>774</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70304008</v>
      </c>
      <c r="D1945" s="25" t="s">
        <v>806</v>
      </c>
      <c r="E1945" s="25" t="s">
        <v>461</v>
      </c>
      <c r="F1945" s="25">
        <v>1</v>
      </c>
      <c r="G1945" s="25">
        <v>60010002</v>
      </c>
      <c r="H1945" s="25">
        <v>0</v>
      </c>
      <c r="I1945" s="26">
        <v>0</v>
      </c>
      <c r="J1945" s="25">
        <v>0</v>
      </c>
      <c r="K1945" s="25">
        <v>0</v>
      </c>
      <c r="L1945" s="26">
        <v>0</v>
      </c>
      <c r="M1945" s="26">
        <v>0</v>
      </c>
      <c r="N1945" s="25">
        <v>0</v>
      </c>
      <c r="O1945" s="21">
        <v>2</v>
      </c>
      <c r="P1945" s="25">
        <v>2</v>
      </c>
      <c r="Q1945" s="25">
        <v>0.95</v>
      </c>
      <c r="R1945" s="25">
        <v>0</v>
      </c>
      <c r="S1945" s="19">
        <v>0</v>
      </c>
      <c r="T1945" s="25">
        <v>0</v>
      </c>
      <c r="U1945" s="21">
        <v>1</v>
      </c>
      <c r="V1945" s="25">
        <v>2</v>
      </c>
      <c r="W1945" s="26">
        <v>0</v>
      </c>
      <c r="X1945" s="25">
        <v>3</v>
      </c>
      <c r="Y1945" s="19">
        <v>0</v>
      </c>
      <c r="Z1945" s="25">
        <v>0</v>
      </c>
      <c r="AA1945" s="25">
        <v>0</v>
      </c>
      <c r="AB1945" s="25">
        <v>0</v>
      </c>
      <c r="AC1945" s="26">
        <v>0</v>
      </c>
      <c r="AD1945" s="25">
        <v>0</v>
      </c>
      <c r="AE1945" s="25">
        <v>0</v>
      </c>
      <c r="AF1945" s="25">
        <v>15</v>
      </c>
      <c r="AG1945" s="25">
        <v>2</v>
      </c>
      <c r="AH1945" s="25" t="s">
        <v>807</v>
      </c>
      <c r="AI1945" s="56">
        <v>0</v>
      </c>
      <c r="AJ1945" s="56">
        <v>2</v>
      </c>
      <c r="AK1945" s="19">
        <v>0</v>
      </c>
      <c r="AL1945" s="25">
        <v>4</v>
      </c>
      <c r="AM1945" s="27">
        <v>0</v>
      </c>
      <c r="AN1945" s="25">
        <v>0</v>
      </c>
      <c r="AO1945" s="25">
        <v>0</v>
      </c>
      <c r="AP1945" s="25">
        <v>2</v>
      </c>
      <c r="AQ1945" s="21">
        <v>4000</v>
      </c>
      <c r="AR1945" s="25">
        <v>2</v>
      </c>
      <c r="AS1945" s="25">
        <v>0</v>
      </c>
      <c r="AT1945" s="19">
        <v>0</v>
      </c>
      <c r="AU1945" s="21" t="s">
        <v>665</v>
      </c>
      <c r="AV1945" s="21"/>
      <c r="AW1945" s="35" t="s">
        <v>293</v>
      </c>
      <c r="AX1945" s="26">
        <v>0</v>
      </c>
      <c r="AY1945" s="26">
        <v>0</v>
      </c>
      <c r="AZ1945" s="26">
        <v>70205004</v>
      </c>
      <c r="BA1945" s="35" t="s">
        <v>206</v>
      </c>
      <c r="BB1945" s="21">
        <v>0</v>
      </c>
      <c r="BC1945" s="31">
        <v>0</v>
      </c>
      <c r="BD1945" s="31">
        <v>0</v>
      </c>
      <c r="BE1945" s="33" t="s">
        <v>808</v>
      </c>
      <c r="BF1945" s="58" t="s">
        <v>809</v>
      </c>
      <c r="BG1945" s="25">
        <v>2</v>
      </c>
      <c r="BH1945" s="25">
        <v>0</v>
      </c>
      <c r="BI1945" s="32">
        <v>0</v>
      </c>
      <c r="BJ1945" s="25">
        <v>1</v>
      </c>
      <c r="BK1945" s="25">
        <v>2</v>
      </c>
      <c r="BL1945" s="27">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70305001</v>
      </c>
      <c r="D1946" s="30" t="s">
        <v>1122</v>
      </c>
      <c r="E1946" s="30" t="s">
        <v>397</v>
      </c>
      <c r="F1946" s="32">
        <v>1</v>
      </c>
      <c r="G1946" s="21">
        <v>60010100</v>
      </c>
      <c r="H1946" s="32">
        <v>0</v>
      </c>
      <c r="I1946" s="31">
        <v>0</v>
      </c>
      <c r="J1946" s="32">
        <v>1</v>
      </c>
      <c r="K1946" s="32">
        <v>0</v>
      </c>
      <c r="L1946" s="32">
        <v>0</v>
      </c>
      <c r="M1946" s="21">
        <v>0</v>
      </c>
      <c r="N1946" s="21">
        <v>0</v>
      </c>
      <c r="O1946" s="21">
        <v>2</v>
      </c>
      <c r="P1946" s="21">
        <v>1</v>
      </c>
      <c r="Q1946" s="21">
        <v>0.3</v>
      </c>
      <c r="R1946" s="21">
        <v>0</v>
      </c>
      <c r="S1946" s="19">
        <v>0</v>
      </c>
      <c r="T1946" s="21">
        <v>0</v>
      </c>
      <c r="U1946" s="21">
        <v>1</v>
      </c>
      <c r="V1946" s="21">
        <v>2</v>
      </c>
      <c r="W1946" s="21">
        <v>0</v>
      </c>
      <c r="X1946" s="21">
        <v>2.5</v>
      </c>
      <c r="Y1946" s="19">
        <v>0</v>
      </c>
      <c r="Z1946" s="21">
        <v>0</v>
      </c>
      <c r="AA1946" s="21">
        <v>1</v>
      </c>
      <c r="AB1946" s="21">
        <v>0</v>
      </c>
      <c r="AC1946" s="21">
        <v>0</v>
      </c>
      <c r="AD1946" s="21">
        <v>0</v>
      </c>
      <c r="AE1946" s="21">
        <v>0</v>
      </c>
      <c r="AF1946" s="21">
        <v>12</v>
      </c>
      <c r="AG1946" s="21">
        <v>1</v>
      </c>
      <c r="AH1946" s="21">
        <v>3</v>
      </c>
      <c r="AI1946" s="19">
        <v>4</v>
      </c>
      <c r="AJ1946" s="19">
        <v>1</v>
      </c>
      <c r="AK1946" s="19">
        <v>0</v>
      </c>
      <c r="AL1946" s="19">
        <v>1.5</v>
      </c>
      <c r="AM1946" s="21">
        <v>0</v>
      </c>
      <c r="AN1946" s="21">
        <v>0</v>
      </c>
      <c r="AO1946" s="21">
        <v>0</v>
      </c>
      <c r="AP1946" s="21">
        <v>3</v>
      </c>
      <c r="AQ1946" s="21">
        <v>5000</v>
      </c>
      <c r="AR1946" s="21">
        <v>3</v>
      </c>
      <c r="AS1946" s="21">
        <v>0</v>
      </c>
      <c r="AT1946" s="19">
        <v>0</v>
      </c>
      <c r="AU1946" s="21">
        <v>80001030</v>
      </c>
      <c r="AV1946" s="21"/>
      <c r="AW1946" s="35" t="s">
        <v>262</v>
      </c>
      <c r="AX1946" s="21" t="s">
        <v>540</v>
      </c>
      <c r="AY1946" s="32">
        <v>10000007</v>
      </c>
      <c r="AZ1946" s="32">
        <v>70204002</v>
      </c>
      <c r="BA1946" s="30" t="s">
        <v>206</v>
      </c>
      <c r="BB1946" s="21" t="s">
        <v>4599</v>
      </c>
      <c r="BC1946" s="31">
        <v>0</v>
      </c>
      <c r="BD1946" s="31">
        <v>0</v>
      </c>
      <c r="BE1946" s="33" t="s">
        <v>1328</v>
      </c>
      <c r="BF1946" s="33" t="s">
        <v>1329</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70305002</v>
      </c>
      <c r="D1947" s="30" t="s">
        <v>1330</v>
      </c>
      <c r="E1947" s="30" t="s">
        <v>1331</v>
      </c>
      <c r="F1947" s="32">
        <v>1</v>
      </c>
      <c r="G1947" s="21">
        <v>60010100</v>
      </c>
      <c r="H1947" s="32">
        <v>0</v>
      </c>
      <c r="I1947" s="31">
        <v>0</v>
      </c>
      <c r="J1947" s="32">
        <v>1</v>
      </c>
      <c r="K1947" s="32">
        <v>0</v>
      </c>
      <c r="L1947" s="32">
        <v>0</v>
      </c>
      <c r="M1947" s="21">
        <v>0</v>
      </c>
      <c r="N1947" s="21">
        <v>0</v>
      </c>
      <c r="O1947" s="21">
        <v>2</v>
      </c>
      <c r="P1947" s="21">
        <v>1</v>
      </c>
      <c r="Q1947" s="21">
        <v>1</v>
      </c>
      <c r="R1947" s="21">
        <v>0</v>
      </c>
      <c r="S1947" s="19">
        <v>0</v>
      </c>
      <c r="T1947" s="21">
        <v>0</v>
      </c>
      <c r="U1947" s="21">
        <v>1</v>
      </c>
      <c r="V1947" s="21">
        <v>2</v>
      </c>
      <c r="W1947" s="21">
        <v>0</v>
      </c>
      <c r="X1947" s="21">
        <v>2</v>
      </c>
      <c r="Y1947" s="19">
        <v>0</v>
      </c>
      <c r="Z1947" s="21">
        <v>0</v>
      </c>
      <c r="AA1947" s="21">
        <v>1</v>
      </c>
      <c r="AB1947" s="21">
        <v>0</v>
      </c>
      <c r="AC1947" s="21">
        <v>0</v>
      </c>
      <c r="AD1947" s="21">
        <v>0</v>
      </c>
      <c r="AE1947" s="21">
        <v>0</v>
      </c>
      <c r="AF1947" s="21">
        <v>12</v>
      </c>
      <c r="AG1947" s="21">
        <v>2</v>
      </c>
      <c r="AH1947" s="21" t="s">
        <v>219</v>
      </c>
      <c r="AI1947" s="19">
        <v>0</v>
      </c>
      <c r="AJ1947" s="19">
        <v>2</v>
      </c>
      <c r="AK1947" s="19">
        <v>0</v>
      </c>
      <c r="AL1947" s="19">
        <v>1.5</v>
      </c>
      <c r="AM1947" s="21">
        <v>0</v>
      </c>
      <c r="AN1947" s="21">
        <v>0</v>
      </c>
      <c r="AO1947" s="21">
        <v>0</v>
      </c>
      <c r="AP1947" s="21">
        <v>1.5</v>
      </c>
      <c r="AQ1947" s="21">
        <v>10000</v>
      </c>
      <c r="AR1947" s="21">
        <v>1</v>
      </c>
      <c r="AS1947" s="21">
        <v>5</v>
      </c>
      <c r="AT1947" s="19">
        <v>0</v>
      </c>
      <c r="AU1947" s="21" t="s">
        <v>204</v>
      </c>
      <c r="AV1947" s="21"/>
      <c r="AW1947" s="35" t="s">
        <v>623</v>
      </c>
      <c r="AX1947" s="21" t="s">
        <v>540</v>
      </c>
      <c r="AY1947" s="32">
        <v>10000007</v>
      </c>
      <c r="AZ1947" s="32">
        <v>70302003</v>
      </c>
      <c r="BA1947" s="35" t="s">
        <v>592</v>
      </c>
      <c r="BB1947" s="21">
        <v>0</v>
      </c>
      <c r="BC1947" s="31">
        <v>0</v>
      </c>
      <c r="BD1947" s="31">
        <v>0</v>
      </c>
      <c r="BE1947" s="33" t="s">
        <v>1114</v>
      </c>
      <c r="BF1947" s="33" t="s">
        <v>1115</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70305003</v>
      </c>
      <c r="D1948" s="35" t="s">
        <v>627</v>
      </c>
      <c r="E1948" s="35" t="s">
        <v>628</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12</v>
      </c>
      <c r="AG1948" s="32">
        <v>0</v>
      </c>
      <c r="AH1948" s="32">
        <v>0</v>
      </c>
      <c r="AI1948" s="19">
        <v>7</v>
      </c>
      <c r="AJ1948" s="19">
        <v>0</v>
      </c>
      <c r="AK1948" s="19">
        <v>0</v>
      </c>
      <c r="AL1948" s="19">
        <v>0</v>
      </c>
      <c r="AM1948" s="32">
        <v>0</v>
      </c>
      <c r="AN1948" s="32">
        <v>0</v>
      </c>
      <c r="AO1948" s="32">
        <v>0</v>
      </c>
      <c r="AP1948" s="32">
        <v>0</v>
      </c>
      <c r="AQ1948" s="32">
        <v>1000</v>
      </c>
      <c r="AR1948" s="32">
        <v>0</v>
      </c>
      <c r="AS1948" s="32">
        <v>0</v>
      </c>
      <c r="AT1948" s="19">
        <v>0</v>
      </c>
      <c r="AU1948" s="32">
        <v>90204004</v>
      </c>
      <c r="AV1948" s="32"/>
      <c r="AW1948" s="35" t="s">
        <v>205</v>
      </c>
      <c r="AX1948" s="32" t="s">
        <v>354</v>
      </c>
      <c r="AY1948" s="32">
        <v>0</v>
      </c>
      <c r="AZ1948" s="32">
        <v>0</v>
      </c>
      <c r="BA1948" s="35" t="s">
        <v>206</v>
      </c>
      <c r="BB1948" s="35" t="s">
        <v>204</v>
      </c>
      <c r="BC1948" s="31">
        <v>0</v>
      </c>
      <c r="BD1948" s="31">
        <v>0</v>
      </c>
      <c r="BE1948" s="60" t="s">
        <v>629</v>
      </c>
      <c r="BF1948" s="60" t="s">
        <v>630</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70305004</v>
      </c>
      <c r="D1949" s="35" t="s">
        <v>763</v>
      </c>
      <c r="E1949" s="35" t="s">
        <v>405</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15</v>
      </c>
      <c r="AG1949" s="32">
        <v>0</v>
      </c>
      <c r="AH1949" s="32">
        <v>0</v>
      </c>
      <c r="AI1949" s="19">
        <v>2</v>
      </c>
      <c r="AJ1949" s="19">
        <v>0</v>
      </c>
      <c r="AK1949" s="19">
        <v>0</v>
      </c>
      <c r="AL1949" s="19">
        <v>0</v>
      </c>
      <c r="AM1949" s="32">
        <v>0</v>
      </c>
      <c r="AN1949" s="32">
        <v>0</v>
      </c>
      <c r="AO1949" s="32">
        <v>0</v>
      </c>
      <c r="AP1949" s="32">
        <v>0</v>
      </c>
      <c r="AQ1949" s="32">
        <v>1000</v>
      </c>
      <c r="AR1949" s="32">
        <v>0</v>
      </c>
      <c r="AS1949" s="32">
        <v>0</v>
      </c>
      <c r="AT1949" s="19" t="s">
        <v>760</v>
      </c>
      <c r="AU1949" s="32" t="s">
        <v>204</v>
      </c>
      <c r="AV1949" s="32"/>
      <c r="AW1949" s="35" t="s">
        <v>205</v>
      </c>
      <c r="AX1949" s="32" t="s">
        <v>354</v>
      </c>
      <c r="AY1949" s="32">
        <v>0</v>
      </c>
      <c r="AZ1949" s="32">
        <v>0</v>
      </c>
      <c r="BA1949" s="35" t="s">
        <v>206</v>
      </c>
      <c r="BB1949" s="35" t="s">
        <v>204</v>
      </c>
      <c r="BC1949" s="31">
        <v>0</v>
      </c>
      <c r="BD1949" s="31">
        <v>0</v>
      </c>
      <c r="BE1949" s="60" t="s">
        <v>1124</v>
      </c>
      <c r="BF1949" s="60" t="s">
        <v>1125</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70305005</v>
      </c>
      <c r="D1950" s="30" t="s">
        <v>1332</v>
      </c>
      <c r="E1950" s="30" t="s">
        <v>1333</v>
      </c>
      <c r="F1950" s="32">
        <v>1</v>
      </c>
      <c r="G1950" s="21">
        <v>60010100</v>
      </c>
      <c r="H1950" s="32">
        <v>0</v>
      </c>
      <c r="I1950" s="31">
        <v>0</v>
      </c>
      <c r="J1950" s="32">
        <v>1</v>
      </c>
      <c r="K1950" s="32">
        <v>0</v>
      </c>
      <c r="L1950" s="32">
        <v>0</v>
      </c>
      <c r="M1950" s="21">
        <v>0</v>
      </c>
      <c r="N1950" s="21">
        <v>0</v>
      </c>
      <c r="O1950" s="21">
        <v>2</v>
      </c>
      <c r="P1950" s="21">
        <v>1</v>
      </c>
      <c r="Q1950" s="21">
        <v>0.3</v>
      </c>
      <c r="R1950" s="21">
        <v>0</v>
      </c>
      <c r="S1950" s="19">
        <v>0</v>
      </c>
      <c r="T1950" s="21">
        <v>0</v>
      </c>
      <c r="U1950" s="21">
        <v>1</v>
      </c>
      <c r="V1950" s="21">
        <v>2</v>
      </c>
      <c r="W1950" s="21">
        <v>0</v>
      </c>
      <c r="X1950" s="21">
        <v>3</v>
      </c>
      <c r="Y1950" s="19">
        <v>0</v>
      </c>
      <c r="Z1950" s="21">
        <v>0</v>
      </c>
      <c r="AA1950" s="21">
        <v>1</v>
      </c>
      <c r="AB1950" s="21">
        <v>0</v>
      </c>
      <c r="AC1950" s="21">
        <v>0</v>
      </c>
      <c r="AD1950" s="21">
        <v>0</v>
      </c>
      <c r="AE1950" s="21">
        <v>0</v>
      </c>
      <c r="AF1950" s="21">
        <v>15</v>
      </c>
      <c r="AG1950" s="21">
        <v>1</v>
      </c>
      <c r="AH1950" s="21" t="s">
        <v>613</v>
      </c>
      <c r="AI1950" s="19">
        <v>0</v>
      </c>
      <c r="AJ1950" s="19">
        <v>1</v>
      </c>
      <c r="AK1950" s="19">
        <v>0</v>
      </c>
      <c r="AL1950" s="19">
        <v>3</v>
      </c>
      <c r="AM1950" s="21">
        <v>0</v>
      </c>
      <c r="AN1950" s="21">
        <v>0</v>
      </c>
      <c r="AO1950" s="21">
        <v>0</v>
      </c>
      <c r="AP1950" s="21">
        <v>3</v>
      </c>
      <c r="AQ1950" s="21">
        <v>5000</v>
      </c>
      <c r="AR1950" s="21">
        <v>2.5</v>
      </c>
      <c r="AS1950" s="21">
        <v>0</v>
      </c>
      <c r="AT1950" s="19">
        <v>0</v>
      </c>
      <c r="AU1950" s="21" t="s">
        <v>665</v>
      </c>
      <c r="AV1950" s="21"/>
      <c r="AW1950" s="35" t="s">
        <v>293</v>
      </c>
      <c r="AX1950" s="21" t="s">
        <v>540</v>
      </c>
      <c r="AY1950" s="32">
        <v>10000007</v>
      </c>
      <c r="AZ1950" s="32">
        <v>70305005</v>
      </c>
      <c r="BA1950" s="30" t="s">
        <v>206</v>
      </c>
      <c r="BB1950" s="21">
        <v>0</v>
      </c>
      <c r="BC1950" s="31">
        <v>0</v>
      </c>
      <c r="BD1950" s="31">
        <v>0</v>
      </c>
      <c r="BE1950" s="33" t="s">
        <v>4600</v>
      </c>
      <c r="BF1950" s="33" t="s">
        <v>4601</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70305006</v>
      </c>
      <c r="D1951" s="30" t="s">
        <v>4602</v>
      </c>
      <c r="E1951" s="30" t="s">
        <v>4603</v>
      </c>
      <c r="F1951" s="21">
        <v>1</v>
      </c>
      <c r="G1951" s="21">
        <v>60010300</v>
      </c>
      <c r="H1951" s="32">
        <v>0</v>
      </c>
      <c r="I1951" s="31">
        <v>0</v>
      </c>
      <c r="J1951" s="32">
        <v>1</v>
      </c>
      <c r="K1951" s="32">
        <v>0</v>
      </c>
      <c r="L1951" s="32">
        <v>0</v>
      </c>
      <c r="M1951" s="21">
        <v>0</v>
      </c>
      <c r="N1951" s="21">
        <v>0</v>
      </c>
      <c r="O1951" s="21">
        <v>2</v>
      </c>
      <c r="P1951" s="21">
        <v>2</v>
      </c>
      <c r="Q1951" s="21">
        <v>0.8</v>
      </c>
      <c r="R1951" s="21">
        <v>0</v>
      </c>
      <c r="S1951" s="19">
        <v>0</v>
      </c>
      <c r="T1951" s="21">
        <v>0</v>
      </c>
      <c r="U1951" s="21">
        <v>1</v>
      </c>
      <c r="V1951" s="21">
        <v>2</v>
      </c>
      <c r="W1951" s="21">
        <v>0</v>
      </c>
      <c r="X1951" s="21">
        <v>0</v>
      </c>
      <c r="Y1951" s="19">
        <v>0</v>
      </c>
      <c r="Z1951" s="21">
        <v>0</v>
      </c>
      <c r="AA1951" s="21">
        <v>0</v>
      </c>
      <c r="AB1951" s="21">
        <v>0</v>
      </c>
      <c r="AC1951" s="21">
        <v>0</v>
      </c>
      <c r="AD1951" s="21">
        <v>0</v>
      </c>
      <c r="AE1951" s="21">
        <v>0</v>
      </c>
      <c r="AF1951" s="21">
        <v>15</v>
      </c>
      <c r="AG1951" s="21">
        <v>0</v>
      </c>
      <c r="AH1951" s="21">
        <v>0</v>
      </c>
      <c r="AI1951" s="19">
        <v>2</v>
      </c>
      <c r="AJ1951" s="19">
        <v>2</v>
      </c>
      <c r="AK1951" s="19">
        <v>0</v>
      </c>
      <c r="AL1951" s="19">
        <v>1.5</v>
      </c>
      <c r="AM1951" s="21">
        <v>0</v>
      </c>
      <c r="AN1951" s="21">
        <v>0</v>
      </c>
      <c r="AO1951" s="21">
        <v>0</v>
      </c>
      <c r="AP1951" s="21">
        <v>1</v>
      </c>
      <c r="AQ1951" s="21">
        <v>3000</v>
      </c>
      <c r="AR1951" s="21">
        <v>0.5</v>
      </c>
      <c r="AS1951" s="21">
        <v>0</v>
      </c>
      <c r="AT1951" s="19">
        <v>0</v>
      </c>
      <c r="AU1951" s="21" t="s">
        <v>204</v>
      </c>
      <c r="AV1951" s="21"/>
      <c r="AW1951" s="35" t="s">
        <v>205</v>
      </c>
      <c r="AX1951" s="21" t="s">
        <v>551</v>
      </c>
      <c r="AY1951" s="32">
        <v>0</v>
      </c>
      <c r="AZ1951" s="32">
        <v>0</v>
      </c>
      <c r="BA1951" s="30" t="s">
        <v>534</v>
      </c>
      <c r="BB1951" s="21" t="s">
        <v>4604</v>
      </c>
      <c r="BC1951" s="31">
        <v>0</v>
      </c>
      <c r="BD1951" s="31">
        <v>0</v>
      </c>
      <c r="BE1951" s="33" t="s">
        <v>4605</v>
      </c>
      <c r="BF1951" s="33" t="s">
        <v>4606</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70305007</v>
      </c>
      <c r="D1952" s="30" t="s">
        <v>4607</v>
      </c>
      <c r="E1952" s="30" t="s">
        <v>4608</v>
      </c>
      <c r="F1952" s="32">
        <v>1</v>
      </c>
      <c r="G1952" s="21">
        <v>60010100</v>
      </c>
      <c r="H1952" s="32">
        <v>0</v>
      </c>
      <c r="I1952" s="31">
        <v>0</v>
      </c>
      <c r="J1952" s="32">
        <v>1</v>
      </c>
      <c r="K1952" s="32">
        <v>0</v>
      </c>
      <c r="L1952" s="32">
        <v>0</v>
      </c>
      <c r="M1952" s="21">
        <v>0</v>
      </c>
      <c r="N1952" s="21">
        <v>0</v>
      </c>
      <c r="O1952" s="21">
        <v>2</v>
      </c>
      <c r="P1952" s="21">
        <v>1</v>
      </c>
      <c r="Q1952" s="21">
        <v>1</v>
      </c>
      <c r="R1952" s="21">
        <v>0</v>
      </c>
      <c r="S1952" s="19">
        <v>0</v>
      </c>
      <c r="T1952" s="21">
        <v>0</v>
      </c>
      <c r="U1952" s="21">
        <v>1</v>
      </c>
      <c r="V1952" s="21">
        <v>2</v>
      </c>
      <c r="W1952" s="21">
        <v>0</v>
      </c>
      <c r="X1952" s="21">
        <v>3</v>
      </c>
      <c r="Y1952" s="19">
        <v>0</v>
      </c>
      <c r="Z1952" s="21">
        <v>0</v>
      </c>
      <c r="AA1952" s="21">
        <v>1</v>
      </c>
      <c r="AB1952" s="21">
        <v>0</v>
      </c>
      <c r="AC1952" s="21">
        <v>0</v>
      </c>
      <c r="AD1952" s="21">
        <v>0</v>
      </c>
      <c r="AE1952" s="21">
        <v>0</v>
      </c>
      <c r="AF1952" s="21">
        <v>7</v>
      </c>
      <c r="AG1952" s="21">
        <v>1</v>
      </c>
      <c r="AH1952" s="21" t="s">
        <v>613</v>
      </c>
      <c r="AI1952" s="19">
        <v>0</v>
      </c>
      <c r="AJ1952" s="19">
        <v>1</v>
      </c>
      <c r="AK1952" s="19">
        <v>0</v>
      </c>
      <c r="AL1952" s="19">
        <v>3</v>
      </c>
      <c r="AM1952" s="21">
        <v>0</v>
      </c>
      <c r="AN1952" s="21">
        <v>0</v>
      </c>
      <c r="AO1952" s="21">
        <v>0</v>
      </c>
      <c r="AP1952" s="21">
        <v>3</v>
      </c>
      <c r="AQ1952" s="21">
        <v>5000</v>
      </c>
      <c r="AR1952" s="21">
        <v>2.5</v>
      </c>
      <c r="AS1952" s="21">
        <v>0</v>
      </c>
      <c r="AT1952" s="19">
        <v>0</v>
      </c>
      <c r="AU1952" s="21" t="s">
        <v>204</v>
      </c>
      <c r="AV1952" s="21"/>
      <c r="AW1952" s="35" t="s">
        <v>205</v>
      </c>
      <c r="AX1952" s="21" t="s">
        <v>540</v>
      </c>
      <c r="AY1952" s="32">
        <v>10000007</v>
      </c>
      <c r="AZ1952" s="32">
        <v>70305007</v>
      </c>
      <c r="BA1952" s="30" t="s">
        <v>206</v>
      </c>
      <c r="BB1952" s="21">
        <v>0</v>
      </c>
      <c r="BC1952" s="31">
        <v>0</v>
      </c>
      <c r="BD1952" s="31">
        <v>0</v>
      </c>
      <c r="BE1952" s="33" t="s">
        <v>588</v>
      </c>
      <c r="BF1952" s="33" t="s">
        <v>589</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70401001</v>
      </c>
      <c r="D1953" s="30" t="s">
        <v>606</v>
      </c>
      <c r="E1953" s="30" t="s">
        <v>607</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20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4609</v>
      </c>
      <c r="BC1953" s="31">
        <v>0</v>
      </c>
      <c r="BD1953" s="31">
        <v>0</v>
      </c>
      <c r="BE1953" s="33" t="s">
        <v>4610</v>
      </c>
      <c r="BF1953" s="33" t="s">
        <v>4611</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70401002</v>
      </c>
      <c r="D1954" s="30" t="s">
        <v>4612</v>
      </c>
      <c r="E1954" s="30" t="s">
        <v>4613</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30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4614</v>
      </c>
      <c r="BC1954" s="31">
        <v>0</v>
      </c>
      <c r="BD1954" s="31">
        <v>0</v>
      </c>
      <c r="BE1954" s="33" t="s">
        <v>4615</v>
      </c>
      <c r="BF1954" s="33" t="s">
        <v>4616</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70401003</v>
      </c>
      <c r="D1955" s="35" t="s">
        <v>750</v>
      </c>
      <c r="E1955" s="35" t="s">
        <v>751</v>
      </c>
      <c r="F1955" s="32">
        <v>1</v>
      </c>
      <c r="G1955" s="32">
        <v>60010500</v>
      </c>
      <c r="H1955" s="32">
        <v>0</v>
      </c>
      <c r="I1955" s="31">
        <v>0</v>
      </c>
      <c r="J1955" s="32">
        <v>1</v>
      </c>
      <c r="K1955" s="32">
        <v>0</v>
      </c>
      <c r="L1955" s="32">
        <v>0</v>
      </c>
      <c r="M1955" s="32">
        <v>0</v>
      </c>
      <c r="N1955" s="32">
        <v>0</v>
      </c>
      <c r="O1955" s="21">
        <v>2</v>
      </c>
      <c r="P1955" s="32">
        <v>1</v>
      </c>
      <c r="Q1955" s="32">
        <v>0.05</v>
      </c>
      <c r="R1955" s="32">
        <v>0</v>
      </c>
      <c r="S1955" s="19">
        <v>0</v>
      </c>
      <c r="T1955" s="31">
        <v>0</v>
      </c>
      <c r="U1955" s="21">
        <v>1</v>
      </c>
      <c r="V1955" s="32">
        <v>1</v>
      </c>
      <c r="W1955" s="32">
        <v>0</v>
      </c>
      <c r="X1955" s="32">
        <v>2</v>
      </c>
      <c r="Y1955" s="19">
        <v>0</v>
      </c>
      <c r="Z1955" s="32">
        <v>0</v>
      </c>
      <c r="AA1955" s="32">
        <v>0</v>
      </c>
      <c r="AB1955" s="32">
        <v>0</v>
      </c>
      <c r="AC1955" s="32">
        <v>0</v>
      </c>
      <c r="AD1955" s="21">
        <v>0</v>
      </c>
      <c r="AE1955" s="32">
        <v>0</v>
      </c>
      <c r="AF1955" s="32">
        <v>10</v>
      </c>
      <c r="AG1955" s="32">
        <v>0</v>
      </c>
      <c r="AH1955" s="32">
        <v>0</v>
      </c>
      <c r="AI1955" s="19">
        <v>7</v>
      </c>
      <c r="AJ1955" s="19">
        <v>0</v>
      </c>
      <c r="AK1955" s="19">
        <v>0</v>
      </c>
      <c r="AL1955" s="19">
        <v>0</v>
      </c>
      <c r="AM1955" s="32">
        <v>0</v>
      </c>
      <c r="AN1955" s="32">
        <v>0</v>
      </c>
      <c r="AO1955" s="32">
        <v>0</v>
      </c>
      <c r="AP1955" s="32">
        <v>0</v>
      </c>
      <c r="AQ1955" s="32">
        <v>1000</v>
      </c>
      <c r="AR1955" s="32">
        <v>0.5</v>
      </c>
      <c r="AS1955" s="32">
        <v>0</v>
      </c>
      <c r="AT1955" s="19">
        <v>0</v>
      </c>
      <c r="AU1955" s="32" t="s">
        <v>665</v>
      </c>
      <c r="AV1955" s="32"/>
      <c r="AW1955" s="35" t="s">
        <v>747</v>
      </c>
      <c r="AX1955" s="32">
        <v>0</v>
      </c>
      <c r="AY1955" s="32">
        <v>10007001</v>
      </c>
      <c r="AZ1955" s="32">
        <v>0</v>
      </c>
      <c r="BA1955" s="35" t="s">
        <v>206</v>
      </c>
      <c r="BB1955" s="35" t="s">
        <v>204</v>
      </c>
      <c r="BC1955" s="31">
        <v>0</v>
      </c>
      <c r="BD1955" s="31">
        <v>0</v>
      </c>
      <c r="BE1955" s="60" t="s">
        <v>752</v>
      </c>
      <c r="BF1955" s="60" t="s">
        <v>753</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70401004</v>
      </c>
      <c r="D1956" s="35" t="s">
        <v>544</v>
      </c>
      <c r="E1956" s="35" t="s">
        <v>545</v>
      </c>
      <c r="F1956" s="32">
        <v>1</v>
      </c>
      <c r="G1956" s="32">
        <v>60010500</v>
      </c>
      <c r="H1956" s="32">
        <v>0</v>
      </c>
      <c r="I1956" s="31">
        <v>0</v>
      </c>
      <c r="J1956" s="32">
        <v>1</v>
      </c>
      <c r="K1956" s="32">
        <v>0</v>
      </c>
      <c r="L1956" s="32">
        <v>0</v>
      </c>
      <c r="M1956" s="32">
        <v>0</v>
      </c>
      <c r="N1956" s="32">
        <v>0</v>
      </c>
      <c r="O1956" s="21">
        <v>2</v>
      </c>
      <c r="P1956" s="32">
        <v>2</v>
      </c>
      <c r="Q1956" s="32">
        <v>0.6</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32">
        <v>20</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90401004</v>
      </c>
      <c r="AU1956" s="32" t="s">
        <v>204</v>
      </c>
      <c r="AV1956" s="32"/>
      <c r="AW1956" s="35" t="s">
        <v>204</v>
      </c>
      <c r="AX1956" s="32" t="s">
        <v>354</v>
      </c>
      <c r="AY1956" s="32">
        <v>0</v>
      </c>
      <c r="AZ1956" s="32">
        <v>40000003</v>
      </c>
      <c r="BA1956" s="35" t="s">
        <v>206</v>
      </c>
      <c r="BB1956" s="35" t="s">
        <v>204</v>
      </c>
      <c r="BC1956" s="31">
        <v>0</v>
      </c>
      <c r="BD1956" s="31">
        <v>0</v>
      </c>
      <c r="BE1956" s="60" t="s">
        <v>870</v>
      </c>
      <c r="BF1956" s="60" t="s">
        <v>871</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70401005</v>
      </c>
      <c r="D1957" s="35" t="s">
        <v>763</v>
      </c>
      <c r="E1957" s="35" t="s">
        <v>405</v>
      </c>
      <c r="F1957" s="32">
        <v>1</v>
      </c>
      <c r="G1957" s="32">
        <v>60010500</v>
      </c>
      <c r="H1957" s="32">
        <v>0</v>
      </c>
      <c r="I1957" s="31">
        <v>0</v>
      </c>
      <c r="J1957" s="32">
        <v>1</v>
      </c>
      <c r="K1957" s="32">
        <v>0</v>
      </c>
      <c r="L1957" s="32">
        <v>0</v>
      </c>
      <c r="M1957" s="32">
        <v>0</v>
      </c>
      <c r="N1957" s="32">
        <v>0</v>
      </c>
      <c r="O1957" s="21">
        <v>2</v>
      </c>
      <c r="P1957" s="32">
        <v>2</v>
      </c>
      <c r="Q1957" s="32">
        <v>0.3</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21">
        <v>15</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90304001</v>
      </c>
      <c r="AU1957" s="32" t="s">
        <v>204</v>
      </c>
      <c r="AV1957" s="32"/>
      <c r="AW1957" s="35" t="s">
        <v>293</v>
      </c>
      <c r="AX1957" s="32" t="s">
        <v>354</v>
      </c>
      <c r="AY1957" s="32">
        <v>0</v>
      </c>
      <c r="AZ1957" s="32">
        <v>0</v>
      </c>
      <c r="BA1957" s="35" t="s">
        <v>206</v>
      </c>
      <c r="BB1957" s="35" t="s">
        <v>204</v>
      </c>
      <c r="BC1957" s="31">
        <v>0</v>
      </c>
      <c r="BD1957" s="31">
        <v>0</v>
      </c>
      <c r="BE1957" s="60" t="s">
        <v>764</v>
      </c>
      <c r="BF1957" s="60" t="s">
        <v>765</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70401006</v>
      </c>
      <c r="D1958" s="30" t="s">
        <v>4617</v>
      </c>
      <c r="E1958" s="30" t="s">
        <v>4618</v>
      </c>
      <c r="F1958" s="32">
        <v>1</v>
      </c>
      <c r="G1958" s="21">
        <v>60010300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3</v>
      </c>
      <c r="Y1958" s="19">
        <v>0</v>
      </c>
      <c r="Z1958" s="21">
        <v>350</v>
      </c>
      <c r="AA1958" s="21">
        <v>0</v>
      </c>
      <c r="AB1958" s="21">
        <v>0</v>
      </c>
      <c r="AC1958" s="21">
        <v>0</v>
      </c>
      <c r="AD1958" s="21">
        <v>0</v>
      </c>
      <c r="AE1958" s="21">
        <v>0</v>
      </c>
      <c r="AF1958" s="21">
        <v>9</v>
      </c>
      <c r="AG1958" s="21">
        <v>2</v>
      </c>
      <c r="AH1958" s="21" t="s">
        <v>219</v>
      </c>
      <c r="AI1958" s="19">
        <v>0</v>
      </c>
      <c r="AJ1958" s="19">
        <v>2</v>
      </c>
      <c r="AK1958" s="19">
        <v>0</v>
      </c>
      <c r="AL1958" s="19">
        <v>1.5</v>
      </c>
      <c r="AM1958" s="21">
        <v>0</v>
      </c>
      <c r="AN1958" s="21">
        <v>0</v>
      </c>
      <c r="AO1958" s="21">
        <v>0</v>
      </c>
      <c r="AP1958" s="21">
        <v>1.5</v>
      </c>
      <c r="AQ1958" s="21">
        <v>3000</v>
      </c>
      <c r="AR1958" s="21">
        <v>1</v>
      </c>
      <c r="AS1958" s="21">
        <v>0</v>
      </c>
      <c r="AT1958" s="19">
        <v>0</v>
      </c>
      <c r="AU1958" s="21" t="s">
        <v>4619</v>
      </c>
      <c r="AV1958" s="21"/>
      <c r="AW1958" s="35" t="s">
        <v>623</v>
      </c>
      <c r="AX1958" s="21" t="s">
        <v>551</v>
      </c>
      <c r="AY1958" s="32">
        <v>10000007</v>
      </c>
      <c r="AZ1958" s="32">
        <v>70401006</v>
      </c>
      <c r="BA1958" s="30" t="s">
        <v>206</v>
      </c>
      <c r="BB1958" s="21">
        <v>0</v>
      </c>
      <c r="BC1958" s="31">
        <v>0</v>
      </c>
      <c r="BD1958" s="31">
        <v>0</v>
      </c>
      <c r="BE1958" s="33" t="s">
        <v>4620</v>
      </c>
      <c r="BF1958" s="33" t="s">
        <v>4621</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19.5" customHeight="1">
      <c r="C1959" s="32">
        <v>70402001</v>
      </c>
      <c r="D1959" s="30" t="s">
        <v>1130</v>
      </c>
      <c r="E1959" s="30" t="s">
        <v>1131</v>
      </c>
      <c r="F1959" s="32">
        <v>1</v>
      </c>
      <c r="G1959" s="21">
        <v>60010100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1</v>
      </c>
      <c r="Y1959" s="19">
        <v>0</v>
      </c>
      <c r="Z1959" s="21">
        <v>0</v>
      </c>
      <c r="AA1959" s="21">
        <v>1</v>
      </c>
      <c r="AB1959" s="21">
        <v>0</v>
      </c>
      <c r="AC1959" s="21">
        <v>0</v>
      </c>
      <c r="AD1959" s="21">
        <v>0</v>
      </c>
      <c r="AE1959" s="21">
        <v>0</v>
      </c>
      <c r="AF1959" s="21">
        <v>30</v>
      </c>
      <c r="AG1959" s="21">
        <v>1</v>
      </c>
      <c r="AH1959" s="21" t="s">
        <v>867</v>
      </c>
      <c r="AI1959" s="19">
        <v>0</v>
      </c>
      <c r="AJ1959" s="19">
        <v>0</v>
      </c>
      <c r="AK1959" s="19">
        <v>0</v>
      </c>
      <c r="AL1959" s="19">
        <v>0</v>
      </c>
      <c r="AM1959" s="21">
        <v>0</v>
      </c>
      <c r="AN1959" s="21">
        <v>0</v>
      </c>
      <c r="AO1959" s="21">
        <v>0</v>
      </c>
      <c r="AP1959" s="21">
        <v>0.5</v>
      </c>
      <c r="AQ1959" s="21">
        <v>999999</v>
      </c>
      <c r="AR1959" s="21">
        <v>0.5</v>
      </c>
      <c r="AS1959" s="21">
        <v>0</v>
      </c>
      <c r="AT1959" s="19">
        <v>0</v>
      </c>
      <c r="AU1959" s="341" t="s">
        <v>1025</v>
      </c>
      <c r="AV1959" s="19"/>
      <c r="AW1959" s="35" t="s">
        <v>293</v>
      </c>
      <c r="AX1959" s="21" t="s">
        <v>540</v>
      </c>
      <c r="AY1959" s="32">
        <v>10000007</v>
      </c>
      <c r="AZ1959" s="32">
        <v>70202004</v>
      </c>
      <c r="BA1959" s="35" t="s">
        <v>321</v>
      </c>
      <c r="BB1959" s="35" t="s">
        <v>377</v>
      </c>
      <c r="BC1959" s="31">
        <v>0</v>
      </c>
      <c r="BD1959" s="31">
        <v>0</v>
      </c>
      <c r="BE1959" s="33" t="s">
        <v>1007</v>
      </c>
      <c r="BF1959" s="33" t="s">
        <v>1008</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20.100000000000001" customHeight="1">
      <c r="C1960" s="32">
        <v>70402002</v>
      </c>
      <c r="D1960" s="30" t="s">
        <v>4622</v>
      </c>
      <c r="E1960" s="30" t="s">
        <v>4623</v>
      </c>
      <c r="F1960" s="21">
        <v>1</v>
      </c>
      <c r="G1960" s="21">
        <v>60010300</v>
      </c>
      <c r="H1960" s="32">
        <v>0</v>
      </c>
      <c r="I1960" s="31">
        <v>0</v>
      </c>
      <c r="J1960" s="32">
        <v>1</v>
      </c>
      <c r="K1960" s="32">
        <v>0</v>
      </c>
      <c r="L1960" s="32">
        <v>0</v>
      </c>
      <c r="M1960" s="21">
        <v>0</v>
      </c>
      <c r="N1960" s="21">
        <v>0</v>
      </c>
      <c r="O1960" s="21">
        <v>2</v>
      </c>
      <c r="P1960" s="21">
        <v>2</v>
      </c>
      <c r="Q1960" s="21">
        <v>0.8</v>
      </c>
      <c r="R1960" s="21">
        <v>0</v>
      </c>
      <c r="S1960" s="19">
        <v>0</v>
      </c>
      <c r="T1960" s="21">
        <v>0</v>
      </c>
      <c r="U1960" s="21">
        <v>1</v>
      </c>
      <c r="V1960" s="21">
        <v>2</v>
      </c>
      <c r="W1960" s="21">
        <v>0</v>
      </c>
      <c r="X1960" s="21">
        <v>0</v>
      </c>
      <c r="Y1960" s="19">
        <v>0</v>
      </c>
      <c r="Z1960" s="21">
        <v>0</v>
      </c>
      <c r="AA1960" s="21">
        <v>0</v>
      </c>
      <c r="AB1960" s="21">
        <v>0</v>
      </c>
      <c r="AC1960" s="21">
        <v>0</v>
      </c>
      <c r="AD1960" s="21">
        <v>0</v>
      </c>
      <c r="AE1960" s="21">
        <v>0</v>
      </c>
      <c r="AF1960" s="21">
        <v>15</v>
      </c>
      <c r="AG1960" s="21">
        <v>0</v>
      </c>
      <c r="AH1960" s="21">
        <v>0</v>
      </c>
      <c r="AI1960" s="19">
        <v>2</v>
      </c>
      <c r="AJ1960" s="19">
        <v>2</v>
      </c>
      <c r="AK1960" s="19">
        <v>0</v>
      </c>
      <c r="AL1960" s="19">
        <v>1.5</v>
      </c>
      <c r="AM1960" s="21">
        <v>0</v>
      </c>
      <c r="AN1960" s="21">
        <v>0</v>
      </c>
      <c r="AO1960" s="21">
        <v>0</v>
      </c>
      <c r="AP1960" s="21">
        <v>1</v>
      </c>
      <c r="AQ1960" s="21">
        <v>3000</v>
      </c>
      <c r="AR1960" s="21">
        <v>0.5</v>
      </c>
      <c r="AS1960" s="21">
        <v>0</v>
      </c>
      <c r="AT1960" s="19">
        <v>0</v>
      </c>
      <c r="AU1960" s="21" t="s">
        <v>204</v>
      </c>
      <c r="AV1960" s="21"/>
      <c r="AW1960" s="35" t="s">
        <v>205</v>
      </c>
      <c r="AX1960" s="21" t="s">
        <v>551</v>
      </c>
      <c r="AY1960" s="32">
        <v>0</v>
      </c>
      <c r="AZ1960" s="32">
        <v>0</v>
      </c>
      <c r="BA1960" s="30" t="s">
        <v>534</v>
      </c>
      <c r="BB1960" s="21" t="s">
        <v>4624</v>
      </c>
      <c r="BC1960" s="31">
        <v>0</v>
      </c>
      <c r="BD1960" s="31">
        <v>0</v>
      </c>
      <c r="BE1960" s="33" t="s">
        <v>4625</v>
      </c>
      <c r="BF1960" s="33" t="s">
        <v>4626</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19.5" customHeight="1">
      <c r="C1961" s="32">
        <v>70402003</v>
      </c>
      <c r="D1961" s="30" t="s">
        <v>4569</v>
      </c>
      <c r="E1961" s="30" t="s">
        <v>4570</v>
      </c>
      <c r="F1961" s="32">
        <v>1</v>
      </c>
      <c r="G1961" s="21">
        <v>60010100</v>
      </c>
      <c r="H1961" s="32">
        <v>0</v>
      </c>
      <c r="I1961" s="31">
        <v>0</v>
      </c>
      <c r="J1961" s="32">
        <v>1</v>
      </c>
      <c r="K1961" s="32">
        <v>0</v>
      </c>
      <c r="L1961" s="32">
        <v>0</v>
      </c>
      <c r="M1961" s="21">
        <v>0</v>
      </c>
      <c r="N1961" s="21">
        <v>0</v>
      </c>
      <c r="O1961" s="21">
        <v>2</v>
      </c>
      <c r="P1961" s="21">
        <v>1</v>
      </c>
      <c r="Q1961" s="21">
        <v>0.3</v>
      </c>
      <c r="R1961" s="21">
        <v>0</v>
      </c>
      <c r="S1961" s="19">
        <v>0</v>
      </c>
      <c r="T1961" s="21">
        <v>0</v>
      </c>
      <c r="U1961" s="21">
        <v>1</v>
      </c>
      <c r="V1961" s="21">
        <v>2</v>
      </c>
      <c r="W1961" s="21">
        <v>0</v>
      </c>
      <c r="X1961" s="21">
        <v>3</v>
      </c>
      <c r="Y1961" s="19">
        <v>0</v>
      </c>
      <c r="Z1961" s="21">
        <v>0</v>
      </c>
      <c r="AA1961" s="21">
        <v>1</v>
      </c>
      <c r="AB1961" s="21">
        <v>0</v>
      </c>
      <c r="AC1961" s="21">
        <v>0</v>
      </c>
      <c r="AD1961" s="21">
        <v>0</v>
      </c>
      <c r="AE1961" s="21">
        <v>0</v>
      </c>
      <c r="AF1961" s="21">
        <v>15</v>
      </c>
      <c r="AG1961" s="21">
        <v>1</v>
      </c>
      <c r="AH1961" s="21" t="s">
        <v>613</v>
      </c>
      <c r="AI1961" s="19">
        <v>0</v>
      </c>
      <c r="AJ1961" s="19">
        <v>1</v>
      </c>
      <c r="AK1961" s="19">
        <v>0</v>
      </c>
      <c r="AL1961" s="19">
        <v>3</v>
      </c>
      <c r="AM1961" s="21">
        <v>0</v>
      </c>
      <c r="AN1961" s="21">
        <v>0</v>
      </c>
      <c r="AO1961" s="21">
        <v>0</v>
      </c>
      <c r="AP1961" s="21">
        <v>2.5</v>
      </c>
      <c r="AQ1961" s="21">
        <v>5000</v>
      </c>
      <c r="AR1961" s="21">
        <v>2</v>
      </c>
      <c r="AS1961" s="21">
        <v>0</v>
      </c>
      <c r="AT1961" s="19">
        <v>0</v>
      </c>
      <c r="AU1961" s="21" t="s">
        <v>665</v>
      </c>
      <c r="AV1961" s="21"/>
      <c r="AW1961" s="35" t="s">
        <v>623</v>
      </c>
      <c r="AX1961" s="21" t="s">
        <v>540</v>
      </c>
      <c r="AY1961" s="32">
        <v>10000007</v>
      </c>
      <c r="AZ1961" s="32">
        <v>70402003</v>
      </c>
      <c r="BA1961" s="30" t="s">
        <v>206</v>
      </c>
      <c r="BB1961" s="21">
        <v>0</v>
      </c>
      <c r="BC1961" s="31">
        <v>0</v>
      </c>
      <c r="BD1961" s="31">
        <v>0</v>
      </c>
      <c r="BE1961" s="33" t="s">
        <v>4600</v>
      </c>
      <c r="BF1961" s="33" t="s">
        <v>4601</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70402004</v>
      </c>
      <c r="D1962" s="35" t="s">
        <v>750</v>
      </c>
      <c r="E1962" s="35" t="s">
        <v>751</v>
      </c>
      <c r="F1962" s="32">
        <v>1</v>
      </c>
      <c r="G1962" s="32">
        <v>60010500</v>
      </c>
      <c r="H1962" s="32">
        <v>0</v>
      </c>
      <c r="I1962" s="31">
        <v>0</v>
      </c>
      <c r="J1962" s="32">
        <v>1</v>
      </c>
      <c r="K1962" s="32">
        <v>0</v>
      </c>
      <c r="L1962" s="32">
        <v>0</v>
      </c>
      <c r="M1962" s="32">
        <v>0</v>
      </c>
      <c r="N1962" s="32">
        <v>0</v>
      </c>
      <c r="O1962" s="21">
        <v>2</v>
      </c>
      <c r="P1962" s="32">
        <v>1</v>
      </c>
      <c r="Q1962" s="32">
        <v>0.05</v>
      </c>
      <c r="R1962" s="32">
        <v>0</v>
      </c>
      <c r="S1962" s="19">
        <v>0</v>
      </c>
      <c r="T1962" s="31">
        <v>0</v>
      </c>
      <c r="U1962" s="21">
        <v>1</v>
      </c>
      <c r="V1962" s="32">
        <v>1</v>
      </c>
      <c r="W1962" s="32">
        <v>0</v>
      </c>
      <c r="X1962" s="32">
        <v>2</v>
      </c>
      <c r="Y1962" s="19">
        <v>0</v>
      </c>
      <c r="Z1962" s="32">
        <v>0</v>
      </c>
      <c r="AA1962" s="32">
        <v>0</v>
      </c>
      <c r="AB1962" s="32">
        <v>0</v>
      </c>
      <c r="AC1962" s="32">
        <v>0</v>
      </c>
      <c r="AD1962" s="21">
        <v>0</v>
      </c>
      <c r="AE1962" s="32">
        <v>0</v>
      </c>
      <c r="AF1962" s="32">
        <v>10</v>
      </c>
      <c r="AG1962" s="32">
        <v>0</v>
      </c>
      <c r="AH1962" s="32">
        <v>0</v>
      </c>
      <c r="AI1962" s="19">
        <v>7</v>
      </c>
      <c r="AJ1962" s="19">
        <v>0</v>
      </c>
      <c r="AK1962" s="19">
        <v>0</v>
      </c>
      <c r="AL1962" s="19">
        <v>0</v>
      </c>
      <c r="AM1962" s="32">
        <v>0</v>
      </c>
      <c r="AN1962" s="32">
        <v>0</v>
      </c>
      <c r="AO1962" s="32">
        <v>0</v>
      </c>
      <c r="AP1962" s="32">
        <v>0</v>
      </c>
      <c r="AQ1962" s="32">
        <v>1000</v>
      </c>
      <c r="AR1962" s="32">
        <v>0.5</v>
      </c>
      <c r="AS1962" s="32">
        <v>0</v>
      </c>
      <c r="AT1962" s="19">
        <v>0</v>
      </c>
      <c r="AU1962" s="32" t="s">
        <v>860</v>
      </c>
      <c r="AV1962" s="32"/>
      <c r="AW1962" s="35" t="s">
        <v>747</v>
      </c>
      <c r="AX1962" s="32">
        <v>0</v>
      </c>
      <c r="AY1962" s="32">
        <v>10007001</v>
      </c>
      <c r="AZ1962" s="32">
        <v>0</v>
      </c>
      <c r="BA1962" s="35" t="s">
        <v>206</v>
      </c>
      <c r="BB1962" s="35" t="s">
        <v>204</v>
      </c>
      <c r="BC1962" s="31">
        <v>0</v>
      </c>
      <c r="BD1962" s="31">
        <v>0</v>
      </c>
      <c r="BE1962" s="60" t="s">
        <v>4627</v>
      </c>
      <c r="BF1962" s="60" t="s">
        <v>4628</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70402005</v>
      </c>
      <c r="D1963" s="35" t="s">
        <v>573</v>
      </c>
      <c r="E1963" s="35" t="s">
        <v>574</v>
      </c>
      <c r="F1963" s="32">
        <v>1</v>
      </c>
      <c r="G1963" s="32">
        <v>60010500</v>
      </c>
      <c r="H1963" s="32">
        <v>0</v>
      </c>
      <c r="I1963" s="31">
        <v>0</v>
      </c>
      <c r="J1963" s="32">
        <v>1</v>
      </c>
      <c r="K1963" s="32">
        <v>0</v>
      </c>
      <c r="L1963" s="32">
        <v>0</v>
      </c>
      <c r="M1963" s="32">
        <v>0</v>
      </c>
      <c r="N1963" s="32">
        <v>0</v>
      </c>
      <c r="O1963" s="21">
        <v>2</v>
      </c>
      <c r="P1963" s="32">
        <v>2</v>
      </c>
      <c r="Q1963" s="32">
        <v>0.3</v>
      </c>
      <c r="R1963" s="32">
        <v>1</v>
      </c>
      <c r="S1963" s="19">
        <v>0</v>
      </c>
      <c r="T1963" s="31">
        <v>0</v>
      </c>
      <c r="U1963" s="21">
        <v>1</v>
      </c>
      <c r="V1963" s="32">
        <v>2</v>
      </c>
      <c r="W1963" s="32">
        <v>0</v>
      </c>
      <c r="X1963" s="32">
        <v>0</v>
      </c>
      <c r="Y1963" s="19">
        <v>0</v>
      </c>
      <c r="Z1963" s="32">
        <v>0</v>
      </c>
      <c r="AA1963" s="32">
        <v>0</v>
      </c>
      <c r="AB1963" s="32">
        <v>0</v>
      </c>
      <c r="AC1963" s="32">
        <v>0</v>
      </c>
      <c r="AD1963" s="21">
        <v>0</v>
      </c>
      <c r="AE1963" s="32">
        <v>0</v>
      </c>
      <c r="AF1963" s="21">
        <v>15</v>
      </c>
      <c r="AG1963" s="32">
        <v>0</v>
      </c>
      <c r="AH1963" s="32">
        <v>0</v>
      </c>
      <c r="AI1963" s="19">
        <v>2</v>
      </c>
      <c r="AJ1963" s="19">
        <v>0</v>
      </c>
      <c r="AK1963" s="19">
        <v>0</v>
      </c>
      <c r="AL1963" s="19">
        <v>0</v>
      </c>
      <c r="AM1963" s="32">
        <v>0</v>
      </c>
      <c r="AN1963" s="32">
        <v>0</v>
      </c>
      <c r="AO1963" s="32">
        <v>0</v>
      </c>
      <c r="AP1963" s="32">
        <v>0</v>
      </c>
      <c r="AQ1963" s="32">
        <v>1000</v>
      </c>
      <c r="AR1963" s="32">
        <v>0</v>
      </c>
      <c r="AS1963" s="32">
        <v>0</v>
      </c>
      <c r="AT1963" s="19">
        <v>90402005</v>
      </c>
      <c r="AU1963" s="32" t="s">
        <v>204</v>
      </c>
      <c r="AV1963" s="32"/>
      <c r="AW1963" s="35" t="s">
        <v>205</v>
      </c>
      <c r="AX1963" s="32" t="s">
        <v>354</v>
      </c>
      <c r="AY1963" s="32">
        <v>0</v>
      </c>
      <c r="AZ1963" s="32">
        <v>0</v>
      </c>
      <c r="BA1963" s="35" t="s">
        <v>206</v>
      </c>
      <c r="BB1963" s="35" t="s">
        <v>204</v>
      </c>
      <c r="BC1963" s="31">
        <v>0</v>
      </c>
      <c r="BD1963" s="31">
        <v>0</v>
      </c>
      <c r="BE1963" s="60" t="s">
        <v>856</v>
      </c>
      <c r="BF1963" s="60" t="s">
        <v>857</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70403001</v>
      </c>
      <c r="D1964" s="30" t="s">
        <v>4629</v>
      </c>
      <c r="E1964" s="30" t="s">
        <v>4630</v>
      </c>
      <c r="F1964" s="21">
        <v>1</v>
      </c>
      <c r="G1964" s="21">
        <v>60010300</v>
      </c>
      <c r="H1964" s="32">
        <v>0</v>
      </c>
      <c r="I1964" s="31">
        <v>0</v>
      </c>
      <c r="J1964" s="32">
        <v>1</v>
      </c>
      <c r="K1964" s="32">
        <v>0</v>
      </c>
      <c r="L1964" s="32">
        <v>0</v>
      </c>
      <c r="M1964" s="21">
        <v>0</v>
      </c>
      <c r="N1964" s="21">
        <v>0</v>
      </c>
      <c r="O1964" s="21">
        <v>2</v>
      </c>
      <c r="P1964" s="21">
        <v>2</v>
      </c>
      <c r="Q1964" s="21">
        <v>0.8</v>
      </c>
      <c r="R1964" s="21">
        <v>0</v>
      </c>
      <c r="S1964" s="19">
        <v>0</v>
      </c>
      <c r="T1964" s="21">
        <v>0</v>
      </c>
      <c r="U1964" s="21">
        <v>1</v>
      </c>
      <c r="V1964" s="21">
        <v>2</v>
      </c>
      <c r="W1964" s="21">
        <v>0</v>
      </c>
      <c r="X1964" s="21">
        <v>0</v>
      </c>
      <c r="Y1964" s="19">
        <v>0</v>
      </c>
      <c r="Z1964" s="21">
        <v>0</v>
      </c>
      <c r="AA1964" s="21">
        <v>0</v>
      </c>
      <c r="AB1964" s="21">
        <v>0</v>
      </c>
      <c r="AC1964" s="21">
        <v>0</v>
      </c>
      <c r="AD1964" s="21">
        <v>0</v>
      </c>
      <c r="AE1964" s="21">
        <v>0</v>
      </c>
      <c r="AF1964" s="21">
        <v>15</v>
      </c>
      <c r="AG1964" s="21">
        <v>0</v>
      </c>
      <c r="AH1964" s="21">
        <v>0</v>
      </c>
      <c r="AI1964" s="19">
        <v>2</v>
      </c>
      <c r="AJ1964" s="19">
        <v>2</v>
      </c>
      <c r="AK1964" s="19">
        <v>0</v>
      </c>
      <c r="AL1964" s="19">
        <v>1.5</v>
      </c>
      <c r="AM1964" s="21">
        <v>0</v>
      </c>
      <c r="AN1964" s="21">
        <v>0</v>
      </c>
      <c r="AO1964" s="21">
        <v>0</v>
      </c>
      <c r="AP1964" s="21">
        <v>1</v>
      </c>
      <c r="AQ1964" s="21">
        <v>3000</v>
      </c>
      <c r="AR1964" s="21">
        <v>0.5</v>
      </c>
      <c r="AS1964" s="21">
        <v>0</v>
      </c>
      <c r="AT1964" s="19">
        <v>0</v>
      </c>
      <c r="AU1964" s="21" t="s">
        <v>204</v>
      </c>
      <c r="AV1964" s="21"/>
      <c r="AW1964" s="35" t="s">
        <v>205</v>
      </c>
      <c r="AX1964" s="21" t="s">
        <v>551</v>
      </c>
      <c r="AY1964" s="32">
        <v>0</v>
      </c>
      <c r="AZ1964" s="32">
        <v>0</v>
      </c>
      <c r="BA1964" s="30" t="s">
        <v>534</v>
      </c>
      <c r="BB1964" s="21" t="s">
        <v>4631</v>
      </c>
      <c r="BC1964" s="31">
        <v>0</v>
      </c>
      <c r="BD1964" s="31">
        <v>0</v>
      </c>
      <c r="BE1964" s="33" t="s">
        <v>4632</v>
      </c>
      <c r="BF1964" s="33" t="s">
        <v>4633</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70403002</v>
      </c>
      <c r="D1965" s="30" t="s">
        <v>4634</v>
      </c>
      <c r="E1965" s="30" t="s">
        <v>4635</v>
      </c>
      <c r="F1965" s="32">
        <v>1</v>
      </c>
      <c r="G1965" s="21">
        <v>60010300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350</v>
      </c>
      <c r="AA1965" s="21">
        <v>0</v>
      </c>
      <c r="AB1965" s="21">
        <v>0</v>
      </c>
      <c r="AC1965" s="21">
        <v>0</v>
      </c>
      <c r="AD1965" s="21">
        <v>0</v>
      </c>
      <c r="AE1965" s="21">
        <v>0</v>
      </c>
      <c r="AF1965" s="21">
        <v>9</v>
      </c>
      <c r="AG1965" s="21">
        <v>2</v>
      </c>
      <c r="AH1965" s="21" t="s">
        <v>219</v>
      </c>
      <c r="AI1965" s="19">
        <v>0</v>
      </c>
      <c r="AJ1965" s="19">
        <v>2</v>
      </c>
      <c r="AK1965" s="19">
        <v>0</v>
      </c>
      <c r="AL1965" s="19">
        <v>1.5</v>
      </c>
      <c r="AM1965" s="21">
        <v>0</v>
      </c>
      <c r="AN1965" s="21">
        <v>0</v>
      </c>
      <c r="AO1965" s="21">
        <v>0</v>
      </c>
      <c r="AP1965" s="21">
        <v>1</v>
      </c>
      <c r="AQ1965" s="21">
        <v>3000</v>
      </c>
      <c r="AR1965" s="21">
        <v>0.5</v>
      </c>
      <c r="AS1965" s="21">
        <v>0</v>
      </c>
      <c r="AT1965" s="19">
        <v>0</v>
      </c>
      <c r="AU1965" s="21" t="s">
        <v>860</v>
      </c>
      <c r="AV1965" s="21"/>
      <c r="AW1965" s="30" t="s">
        <v>293</v>
      </c>
      <c r="AX1965" s="21" t="s">
        <v>551</v>
      </c>
      <c r="AY1965" s="32">
        <v>10000007</v>
      </c>
      <c r="AZ1965" s="32">
        <v>70403002</v>
      </c>
      <c r="BA1965" s="30" t="s">
        <v>206</v>
      </c>
      <c r="BB1965" s="21">
        <v>0</v>
      </c>
      <c r="BC1965" s="31">
        <v>0</v>
      </c>
      <c r="BD1965" s="31">
        <v>0</v>
      </c>
      <c r="BE1965" s="33" t="s">
        <v>4620</v>
      </c>
      <c r="BF1965" s="33" t="s">
        <v>4621</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19.5" customHeight="1">
      <c r="C1966" s="32">
        <v>70403003</v>
      </c>
      <c r="D1966" s="30" t="s">
        <v>1097</v>
      </c>
      <c r="E1966" s="30" t="s">
        <v>1098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0</v>
      </c>
      <c r="AA1966" s="21">
        <v>1</v>
      </c>
      <c r="AB1966" s="21">
        <v>0</v>
      </c>
      <c r="AC1966" s="21">
        <v>0</v>
      </c>
      <c r="AD1966" s="21">
        <v>0</v>
      </c>
      <c r="AE1966" s="21">
        <v>0</v>
      </c>
      <c r="AF1966" s="21">
        <v>15</v>
      </c>
      <c r="AG1966" s="21">
        <v>1</v>
      </c>
      <c r="AH1966" s="21" t="s">
        <v>613</v>
      </c>
      <c r="AI1966" s="19">
        <v>0</v>
      </c>
      <c r="AJ1966" s="19">
        <v>1</v>
      </c>
      <c r="AK1966" s="19">
        <v>0</v>
      </c>
      <c r="AL1966" s="19">
        <v>3</v>
      </c>
      <c r="AM1966" s="21">
        <v>0</v>
      </c>
      <c r="AN1966" s="21">
        <v>0</v>
      </c>
      <c r="AO1966" s="21">
        <v>0</v>
      </c>
      <c r="AP1966" s="21">
        <v>3</v>
      </c>
      <c r="AQ1966" s="21">
        <v>5000</v>
      </c>
      <c r="AR1966" s="21">
        <v>2.5</v>
      </c>
      <c r="AS1966" s="21">
        <v>0</v>
      </c>
      <c r="AT1966" s="19">
        <v>0</v>
      </c>
      <c r="AU1966" s="21" t="s">
        <v>665</v>
      </c>
      <c r="AV1966" s="21"/>
      <c r="AW1966" s="35" t="s">
        <v>262</v>
      </c>
      <c r="AX1966" s="21" t="s">
        <v>540</v>
      </c>
      <c r="AY1966" s="32">
        <v>10000007</v>
      </c>
      <c r="AZ1966" s="32">
        <v>70403003</v>
      </c>
      <c r="BA1966" s="30" t="s">
        <v>206</v>
      </c>
      <c r="BB1966" s="21">
        <v>0</v>
      </c>
      <c r="BC1966" s="31">
        <v>0</v>
      </c>
      <c r="BD1966" s="31">
        <v>0</v>
      </c>
      <c r="BE1966" s="33" t="s">
        <v>4600</v>
      </c>
      <c r="BF1966" s="33" t="s">
        <v>4601</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70403004</v>
      </c>
      <c r="D1967" s="30" t="s">
        <v>957</v>
      </c>
      <c r="E1967" s="30" t="s">
        <v>958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2.5</v>
      </c>
      <c r="Y1967" s="19">
        <v>0</v>
      </c>
      <c r="Z1967" s="21">
        <v>0</v>
      </c>
      <c r="AA1967" s="21">
        <v>1</v>
      </c>
      <c r="AB1967" s="21">
        <v>0</v>
      </c>
      <c r="AC1967" s="21">
        <v>0</v>
      </c>
      <c r="AD1967" s="21">
        <v>0</v>
      </c>
      <c r="AE1967" s="21">
        <v>0</v>
      </c>
      <c r="AF1967" s="21">
        <v>12</v>
      </c>
      <c r="AG1967" s="21">
        <v>1</v>
      </c>
      <c r="AH1967" s="21">
        <v>3</v>
      </c>
      <c r="AI1967" s="19">
        <v>4</v>
      </c>
      <c r="AJ1967" s="19">
        <v>1</v>
      </c>
      <c r="AK1967" s="19">
        <v>0</v>
      </c>
      <c r="AL1967" s="19">
        <v>1.5</v>
      </c>
      <c r="AM1967" s="21">
        <v>0</v>
      </c>
      <c r="AN1967" s="21">
        <v>0</v>
      </c>
      <c r="AO1967" s="21">
        <v>0</v>
      </c>
      <c r="AP1967" s="21">
        <v>2.5</v>
      </c>
      <c r="AQ1967" s="21">
        <v>5000</v>
      </c>
      <c r="AR1967" s="21">
        <v>2</v>
      </c>
      <c r="AS1967" s="21">
        <v>0</v>
      </c>
      <c r="AT1967" s="19">
        <v>0</v>
      </c>
      <c r="AU1967" s="21">
        <v>80001030</v>
      </c>
      <c r="AV1967" s="21"/>
      <c r="AW1967" s="35" t="s">
        <v>623</v>
      </c>
      <c r="AX1967" s="21" t="s">
        <v>540</v>
      </c>
      <c r="AY1967" s="32">
        <v>10000007</v>
      </c>
      <c r="AZ1967" s="32">
        <v>70403004</v>
      </c>
      <c r="BA1967" s="30" t="s">
        <v>206</v>
      </c>
      <c r="BB1967" s="21" t="s">
        <v>4636</v>
      </c>
      <c r="BC1967" s="31">
        <v>0</v>
      </c>
      <c r="BD1967" s="31">
        <v>0</v>
      </c>
      <c r="BE1967" s="33" t="s">
        <v>4637</v>
      </c>
      <c r="BF1967" s="33" t="s">
        <v>4638</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70403005</v>
      </c>
      <c r="D1968" s="35" t="s">
        <v>573</v>
      </c>
      <c r="E1968" s="35" t="s">
        <v>574</v>
      </c>
      <c r="F1968" s="32">
        <v>1</v>
      </c>
      <c r="G1968" s="32">
        <v>60010500</v>
      </c>
      <c r="H1968" s="32">
        <v>0</v>
      </c>
      <c r="I1968" s="31">
        <v>0</v>
      </c>
      <c r="J1968" s="32">
        <v>1</v>
      </c>
      <c r="K1968" s="32">
        <v>0</v>
      </c>
      <c r="L1968" s="32">
        <v>0</v>
      </c>
      <c r="M1968" s="32">
        <v>0</v>
      </c>
      <c r="N1968" s="32">
        <v>0</v>
      </c>
      <c r="O1968" s="21">
        <v>2</v>
      </c>
      <c r="P1968" s="32">
        <v>2</v>
      </c>
      <c r="Q1968" s="32">
        <v>0.3</v>
      </c>
      <c r="R1968" s="32">
        <v>1</v>
      </c>
      <c r="S1968" s="19">
        <v>0</v>
      </c>
      <c r="T1968" s="31">
        <v>0</v>
      </c>
      <c r="U1968" s="21">
        <v>1</v>
      </c>
      <c r="V1968" s="32">
        <v>2</v>
      </c>
      <c r="W1968" s="32">
        <v>0</v>
      </c>
      <c r="X1968" s="32">
        <v>0</v>
      </c>
      <c r="Y1968" s="19">
        <v>0</v>
      </c>
      <c r="Z1968" s="32">
        <v>0</v>
      </c>
      <c r="AA1968" s="32">
        <v>0</v>
      </c>
      <c r="AB1968" s="32">
        <v>0</v>
      </c>
      <c r="AC1968" s="32">
        <v>0</v>
      </c>
      <c r="AD1968" s="21">
        <v>0</v>
      </c>
      <c r="AE1968" s="32">
        <v>0</v>
      </c>
      <c r="AF1968" s="21">
        <v>15</v>
      </c>
      <c r="AG1968" s="32">
        <v>0</v>
      </c>
      <c r="AH1968" s="32">
        <v>0</v>
      </c>
      <c r="AI1968" s="19">
        <v>2</v>
      </c>
      <c r="AJ1968" s="19">
        <v>0</v>
      </c>
      <c r="AK1968" s="19">
        <v>0</v>
      </c>
      <c r="AL1968" s="19">
        <v>0</v>
      </c>
      <c r="AM1968" s="32">
        <v>0</v>
      </c>
      <c r="AN1968" s="32">
        <v>0</v>
      </c>
      <c r="AO1968" s="32">
        <v>0</v>
      </c>
      <c r="AP1968" s="32">
        <v>0</v>
      </c>
      <c r="AQ1968" s="32">
        <v>1000</v>
      </c>
      <c r="AR1968" s="32">
        <v>0</v>
      </c>
      <c r="AS1968" s="32">
        <v>0</v>
      </c>
      <c r="AT1968" s="19">
        <v>90402005</v>
      </c>
      <c r="AU1968" s="32" t="s">
        <v>204</v>
      </c>
      <c r="AV1968" s="32"/>
      <c r="AW1968" s="35" t="s">
        <v>205</v>
      </c>
      <c r="AX1968" s="32" t="s">
        <v>354</v>
      </c>
      <c r="AY1968" s="32">
        <v>0</v>
      </c>
      <c r="AZ1968" s="32">
        <v>0</v>
      </c>
      <c r="BA1968" s="35" t="s">
        <v>206</v>
      </c>
      <c r="BB1968" s="35" t="s">
        <v>204</v>
      </c>
      <c r="BC1968" s="31">
        <v>0</v>
      </c>
      <c r="BD1968" s="31">
        <v>0</v>
      </c>
      <c r="BE1968" s="60" t="s">
        <v>804</v>
      </c>
      <c r="BF1968" s="60" t="s">
        <v>805</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19.5" customHeight="1">
      <c r="C1969" s="32">
        <v>70404001</v>
      </c>
      <c r="D1969" s="35" t="s">
        <v>766</v>
      </c>
      <c r="E1969" s="35" t="s">
        <v>767</v>
      </c>
      <c r="F1969" s="32">
        <v>1</v>
      </c>
      <c r="G1969" s="32">
        <v>60010300</v>
      </c>
      <c r="H1969" s="32">
        <v>0</v>
      </c>
      <c r="I1969" s="31">
        <v>0</v>
      </c>
      <c r="J1969" s="32">
        <v>1</v>
      </c>
      <c r="K1969" s="32">
        <v>0</v>
      </c>
      <c r="L1969" s="32">
        <v>0</v>
      </c>
      <c r="M1969" s="32">
        <v>0</v>
      </c>
      <c r="N1969" s="32">
        <v>0</v>
      </c>
      <c r="O1969" s="21">
        <v>2</v>
      </c>
      <c r="P1969" s="32">
        <v>0</v>
      </c>
      <c r="Q1969" s="32">
        <v>0</v>
      </c>
      <c r="R1969" s="32">
        <v>0</v>
      </c>
      <c r="S1969" s="19">
        <v>0</v>
      </c>
      <c r="T1969" s="31">
        <v>0</v>
      </c>
      <c r="U1969" s="21">
        <v>1</v>
      </c>
      <c r="V1969" s="32">
        <v>2</v>
      </c>
      <c r="W1969" s="32">
        <v>0</v>
      </c>
      <c r="X1969" s="32">
        <v>3</v>
      </c>
      <c r="Y1969" s="19">
        <v>0</v>
      </c>
      <c r="Z1969" s="32">
        <v>0</v>
      </c>
      <c r="AA1969" s="32">
        <v>0</v>
      </c>
      <c r="AB1969" s="32">
        <v>0</v>
      </c>
      <c r="AC1969" s="32">
        <v>0</v>
      </c>
      <c r="AD1969" s="21">
        <v>0</v>
      </c>
      <c r="AE1969" s="32">
        <v>0</v>
      </c>
      <c r="AF1969" s="32">
        <v>20</v>
      </c>
      <c r="AG1969" s="32">
        <v>1</v>
      </c>
      <c r="AH1969" s="32">
        <v>1</v>
      </c>
      <c r="AI1969" s="19">
        <v>2</v>
      </c>
      <c r="AJ1969" s="19">
        <v>2</v>
      </c>
      <c r="AK1969" s="19">
        <v>0</v>
      </c>
      <c r="AL1969" s="19">
        <v>1.5</v>
      </c>
      <c r="AM1969" s="32">
        <v>0</v>
      </c>
      <c r="AN1969" s="32">
        <v>0</v>
      </c>
      <c r="AO1969" s="32">
        <v>0</v>
      </c>
      <c r="AP1969" s="32">
        <v>1</v>
      </c>
      <c r="AQ1969" s="32">
        <v>30000</v>
      </c>
      <c r="AR1969" s="32">
        <v>0</v>
      </c>
      <c r="AS1969" s="32">
        <v>4</v>
      </c>
      <c r="AT1969" s="19">
        <v>0</v>
      </c>
      <c r="AU1969" s="21" t="s">
        <v>665</v>
      </c>
      <c r="AV1969" s="21"/>
      <c r="AW1969" s="35" t="s">
        <v>205</v>
      </c>
      <c r="AX1969" s="32" t="s">
        <v>551</v>
      </c>
      <c r="AY1969" s="32">
        <v>10003002</v>
      </c>
      <c r="AZ1969" s="32">
        <v>70106005</v>
      </c>
      <c r="BA1969" s="35" t="s">
        <v>592</v>
      </c>
      <c r="BB1969" s="35">
        <v>0</v>
      </c>
      <c r="BC1969" s="31">
        <v>0</v>
      </c>
      <c r="BD1969" s="31">
        <v>0</v>
      </c>
      <c r="BE1969" s="60" t="s">
        <v>1071</v>
      </c>
      <c r="BF1969" s="60" t="s">
        <v>1072</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70404002</v>
      </c>
      <c r="D1970" s="30" t="s">
        <v>1073</v>
      </c>
      <c r="E1970" s="30" t="s">
        <v>1074</v>
      </c>
      <c r="F1970" s="32">
        <v>1</v>
      </c>
      <c r="G1970" s="21">
        <v>60010100</v>
      </c>
      <c r="H1970" s="32">
        <v>0</v>
      </c>
      <c r="I1970" s="31">
        <v>0</v>
      </c>
      <c r="J1970" s="32">
        <v>1</v>
      </c>
      <c r="K1970" s="32">
        <v>0</v>
      </c>
      <c r="L1970" s="32">
        <v>0</v>
      </c>
      <c r="M1970" s="21">
        <v>0</v>
      </c>
      <c r="N1970" s="21">
        <v>0</v>
      </c>
      <c r="O1970" s="21">
        <v>2</v>
      </c>
      <c r="P1970" s="21">
        <v>1</v>
      </c>
      <c r="Q1970" s="21">
        <v>0.3</v>
      </c>
      <c r="R1970" s="21">
        <v>0</v>
      </c>
      <c r="S1970" s="19">
        <v>0</v>
      </c>
      <c r="T1970" s="21">
        <v>0</v>
      </c>
      <c r="U1970" s="21">
        <v>1</v>
      </c>
      <c r="V1970" s="21">
        <v>2</v>
      </c>
      <c r="W1970" s="21">
        <v>0</v>
      </c>
      <c r="X1970" s="21">
        <v>2.5</v>
      </c>
      <c r="Y1970" s="19">
        <v>0</v>
      </c>
      <c r="Z1970" s="21">
        <v>0</v>
      </c>
      <c r="AA1970" s="21">
        <v>1</v>
      </c>
      <c r="AB1970" s="21">
        <v>0</v>
      </c>
      <c r="AC1970" s="21">
        <v>0</v>
      </c>
      <c r="AD1970" s="21">
        <v>0</v>
      </c>
      <c r="AE1970" s="21">
        <v>0</v>
      </c>
      <c r="AF1970" s="21">
        <v>12</v>
      </c>
      <c r="AG1970" s="21">
        <v>1</v>
      </c>
      <c r="AH1970" s="21">
        <v>3</v>
      </c>
      <c r="AI1970" s="19">
        <v>4</v>
      </c>
      <c r="AJ1970" s="19">
        <v>1</v>
      </c>
      <c r="AK1970" s="19">
        <v>0</v>
      </c>
      <c r="AL1970" s="19">
        <v>1.5</v>
      </c>
      <c r="AM1970" s="21">
        <v>0</v>
      </c>
      <c r="AN1970" s="21">
        <v>0</v>
      </c>
      <c r="AO1970" s="21">
        <v>0</v>
      </c>
      <c r="AP1970" s="21">
        <v>2.5</v>
      </c>
      <c r="AQ1970" s="21">
        <v>5000</v>
      </c>
      <c r="AR1970" s="21">
        <v>2</v>
      </c>
      <c r="AS1970" s="21">
        <v>0</v>
      </c>
      <c r="AT1970" s="19">
        <v>0</v>
      </c>
      <c r="AU1970" s="21">
        <v>0</v>
      </c>
      <c r="AV1970" s="21"/>
      <c r="AW1970" s="35" t="s">
        <v>623</v>
      </c>
      <c r="AX1970" s="21" t="s">
        <v>540</v>
      </c>
      <c r="AY1970" s="32">
        <v>10000007</v>
      </c>
      <c r="AZ1970" s="32">
        <v>70404002</v>
      </c>
      <c r="BA1970" s="30" t="s">
        <v>206</v>
      </c>
      <c r="BB1970" s="21" t="s">
        <v>4639</v>
      </c>
      <c r="BC1970" s="31">
        <v>0</v>
      </c>
      <c r="BD1970" s="31">
        <v>0</v>
      </c>
      <c r="BE1970" s="33" t="s">
        <v>4640</v>
      </c>
      <c r="BF1970" s="33" t="s">
        <v>4641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70404003</v>
      </c>
      <c r="D1971" s="30" t="s">
        <v>799</v>
      </c>
      <c r="E1971" s="30" t="s">
        <v>800</v>
      </c>
      <c r="F1971" s="21">
        <v>1</v>
      </c>
      <c r="G1971" s="21">
        <v>60010300</v>
      </c>
      <c r="H1971" s="32">
        <v>0</v>
      </c>
      <c r="I1971" s="31">
        <v>0</v>
      </c>
      <c r="J1971" s="32">
        <v>1</v>
      </c>
      <c r="K1971" s="32">
        <v>0</v>
      </c>
      <c r="L1971" s="32">
        <v>0</v>
      </c>
      <c r="M1971" s="21">
        <v>0</v>
      </c>
      <c r="N1971" s="21">
        <v>0</v>
      </c>
      <c r="O1971" s="21">
        <v>2</v>
      </c>
      <c r="P1971" s="21">
        <v>2</v>
      </c>
      <c r="Q1971" s="21">
        <v>0.5</v>
      </c>
      <c r="R1971" s="21">
        <v>1</v>
      </c>
      <c r="S1971" s="19">
        <v>0</v>
      </c>
      <c r="T1971" s="21">
        <v>0</v>
      </c>
      <c r="U1971" s="21">
        <v>1</v>
      </c>
      <c r="V1971" s="21">
        <v>2</v>
      </c>
      <c r="W1971" s="21">
        <v>0</v>
      </c>
      <c r="X1971" s="21">
        <v>0</v>
      </c>
      <c r="Y1971" s="19">
        <v>0</v>
      </c>
      <c r="Z1971" s="21">
        <v>0</v>
      </c>
      <c r="AA1971" s="21">
        <v>0</v>
      </c>
      <c r="AB1971" s="21">
        <v>0</v>
      </c>
      <c r="AC1971" s="21">
        <v>0</v>
      </c>
      <c r="AD1971" s="21">
        <v>0</v>
      </c>
      <c r="AE1971" s="21">
        <v>0</v>
      </c>
      <c r="AF1971" s="21">
        <v>99999</v>
      </c>
      <c r="AG1971" s="21">
        <v>0</v>
      </c>
      <c r="AH1971" s="21">
        <v>0</v>
      </c>
      <c r="AI1971" s="19">
        <v>2</v>
      </c>
      <c r="AJ1971" s="19">
        <v>2</v>
      </c>
      <c r="AK1971" s="19">
        <v>0</v>
      </c>
      <c r="AL1971" s="19">
        <v>1.5</v>
      </c>
      <c r="AM1971" s="21">
        <v>0</v>
      </c>
      <c r="AN1971" s="21">
        <v>0</v>
      </c>
      <c r="AO1971" s="21">
        <v>0</v>
      </c>
      <c r="AP1971" s="21">
        <v>1</v>
      </c>
      <c r="AQ1971" s="21">
        <v>3000</v>
      </c>
      <c r="AR1971" s="21">
        <v>0.5</v>
      </c>
      <c r="AS1971" s="21">
        <v>0</v>
      </c>
      <c r="AT1971" s="19">
        <v>0</v>
      </c>
      <c r="AU1971" s="21" t="s">
        <v>204</v>
      </c>
      <c r="AV1971" s="21"/>
      <c r="AW1971" s="35" t="s">
        <v>293</v>
      </c>
      <c r="AX1971" s="21" t="s">
        <v>551</v>
      </c>
      <c r="AY1971" s="32">
        <v>0</v>
      </c>
      <c r="AZ1971" s="32">
        <v>0</v>
      </c>
      <c r="BA1971" s="30" t="s">
        <v>534</v>
      </c>
      <c r="BB1971" s="21" t="s">
        <v>4642</v>
      </c>
      <c r="BC1971" s="31">
        <v>0</v>
      </c>
      <c r="BD1971" s="31">
        <v>0</v>
      </c>
      <c r="BE1971" s="33" t="s">
        <v>870</v>
      </c>
      <c r="BF1971" s="33" t="s">
        <v>871</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70404004</v>
      </c>
      <c r="D1972" s="35" t="s">
        <v>544</v>
      </c>
      <c r="E1972" s="35" t="s">
        <v>545</v>
      </c>
      <c r="F1972" s="32">
        <v>1</v>
      </c>
      <c r="G1972" s="32">
        <v>60010500</v>
      </c>
      <c r="H1972" s="32">
        <v>0</v>
      </c>
      <c r="I1972" s="31">
        <v>0</v>
      </c>
      <c r="J1972" s="32">
        <v>1</v>
      </c>
      <c r="K1972" s="32">
        <v>0</v>
      </c>
      <c r="L1972" s="32">
        <v>0</v>
      </c>
      <c r="M1972" s="32">
        <v>0</v>
      </c>
      <c r="N1972" s="32">
        <v>0</v>
      </c>
      <c r="O1972" s="21">
        <v>2</v>
      </c>
      <c r="P1972" s="32">
        <v>2</v>
      </c>
      <c r="Q1972" s="32">
        <v>0.6</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32">
        <v>20</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90401004</v>
      </c>
      <c r="AU1972" s="32" t="s">
        <v>204</v>
      </c>
      <c r="AV1972" s="32"/>
      <c r="AW1972" s="35" t="s">
        <v>204</v>
      </c>
      <c r="AX1972" s="32" t="s">
        <v>354</v>
      </c>
      <c r="AY1972" s="32">
        <v>0</v>
      </c>
      <c r="AZ1972" s="32">
        <v>40000003</v>
      </c>
      <c r="BA1972" s="35" t="s">
        <v>206</v>
      </c>
      <c r="BB1972" s="35" t="s">
        <v>204</v>
      </c>
      <c r="BC1972" s="31">
        <v>0</v>
      </c>
      <c r="BD1972" s="31">
        <v>0</v>
      </c>
      <c r="BE1972" s="60" t="s">
        <v>856</v>
      </c>
      <c r="BF1972" s="60" t="s">
        <v>857</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70404005</v>
      </c>
      <c r="D1973" s="35" t="s">
        <v>573</v>
      </c>
      <c r="E1973" s="35" t="s">
        <v>574</v>
      </c>
      <c r="F1973" s="32">
        <v>1</v>
      </c>
      <c r="G1973" s="32">
        <v>60010500</v>
      </c>
      <c r="H1973" s="32">
        <v>0</v>
      </c>
      <c r="I1973" s="31">
        <v>0</v>
      </c>
      <c r="J1973" s="32">
        <v>1</v>
      </c>
      <c r="K1973" s="32">
        <v>0</v>
      </c>
      <c r="L1973" s="32">
        <v>0</v>
      </c>
      <c r="M1973" s="32">
        <v>0</v>
      </c>
      <c r="N1973" s="32">
        <v>0</v>
      </c>
      <c r="O1973" s="21">
        <v>2</v>
      </c>
      <c r="P1973" s="32">
        <v>2</v>
      </c>
      <c r="Q1973" s="32">
        <v>0.3</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21">
        <v>15</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90402005</v>
      </c>
      <c r="AU1973" s="32" t="s">
        <v>204</v>
      </c>
      <c r="AV1973" s="32"/>
      <c r="AW1973" s="35" t="s">
        <v>205</v>
      </c>
      <c r="AX1973" s="32" t="s">
        <v>354</v>
      </c>
      <c r="AY1973" s="32">
        <v>0</v>
      </c>
      <c r="AZ1973" s="32">
        <v>0</v>
      </c>
      <c r="BA1973" s="35" t="s">
        <v>206</v>
      </c>
      <c r="BB1973" s="35" t="s">
        <v>204</v>
      </c>
      <c r="BC1973" s="31">
        <v>0</v>
      </c>
      <c r="BD1973" s="31">
        <v>0</v>
      </c>
      <c r="BE1973" s="60" t="s">
        <v>761</v>
      </c>
      <c r="BF1973" s="60" t="s">
        <v>762</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70404006</v>
      </c>
      <c r="D1974" s="30" t="s">
        <v>1666</v>
      </c>
      <c r="E1974" s="30" t="s">
        <v>1667</v>
      </c>
      <c r="F1974" s="21">
        <v>2</v>
      </c>
      <c r="G1974" s="21">
        <v>61012301</v>
      </c>
      <c r="H1974" s="21">
        <v>0</v>
      </c>
      <c r="I1974" s="31">
        <v>0</v>
      </c>
      <c r="J1974" s="32">
        <v>1</v>
      </c>
      <c r="K1974" s="32">
        <v>0</v>
      </c>
      <c r="L1974" s="32">
        <v>0</v>
      </c>
      <c r="M1974" s="21">
        <v>0</v>
      </c>
      <c r="N1974" s="21">
        <v>0</v>
      </c>
      <c r="O1974" s="21">
        <v>2</v>
      </c>
      <c r="P1974" s="21">
        <v>1</v>
      </c>
      <c r="Q1974" s="21">
        <v>0.5</v>
      </c>
      <c r="R1974" s="21">
        <v>0</v>
      </c>
      <c r="S1974" s="19">
        <v>0</v>
      </c>
      <c r="T1974" s="21">
        <v>0</v>
      </c>
      <c r="U1974" s="21">
        <v>1</v>
      </c>
      <c r="V1974" s="21">
        <v>2</v>
      </c>
      <c r="W1974" s="21">
        <v>0</v>
      </c>
      <c r="X1974" s="21">
        <v>3</v>
      </c>
      <c r="Y1974" s="19">
        <v>0</v>
      </c>
      <c r="Z1974" s="21">
        <v>0</v>
      </c>
      <c r="AA1974" s="21">
        <v>1</v>
      </c>
      <c r="AB1974" s="21">
        <v>0</v>
      </c>
      <c r="AC1974" s="21">
        <v>0</v>
      </c>
      <c r="AD1974" s="21">
        <v>0</v>
      </c>
      <c r="AE1974" s="21">
        <v>0</v>
      </c>
      <c r="AF1974" s="21">
        <v>12</v>
      </c>
      <c r="AG1974" s="21">
        <v>2</v>
      </c>
      <c r="AH1974" s="21" t="s">
        <v>219</v>
      </c>
      <c r="AI1974" s="19">
        <v>0</v>
      </c>
      <c r="AJ1974" s="19">
        <v>2</v>
      </c>
      <c r="AK1974" s="19">
        <v>0</v>
      </c>
      <c r="AL1974" s="19">
        <v>1.5</v>
      </c>
      <c r="AM1974" s="21">
        <v>0</v>
      </c>
      <c r="AN1974" s="21">
        <v>0</v>
      </c>
      <c r="AO1974" s="21">
        <v>0</v>
      </c>
      <c r="AP1974" s="21">
        <v>1.5</v>
      </c>
      <c r="AQ1974" s="21">
        <v>1200</v>
      </c>
      <c r="AR1974" s="21">
        <v>1</v>
      </c>
      <c r="AS1974" s="21">
        <v>30</v>
      </c>
      <c r="AT1974" s="19">
        <v>0</v>
      </c>
      <c r="AU1974" s="21" t="s">
        <v>204</v>
      </c>
      <c r="AV1974" s="21"/>
      <c r="AW1974" s="30" t="s">
        <v>262</v>
      </c>
      <c r="AX1974" s="21" t="s">
        <v>221</v>
      </c>
      <c r="AY1974" s="32">
        <v>10000011</v>
      </c>
      <c r="AZ1974" s="32">
        <v>70404001</v>
      </c>
      <c r="BA1974" s="30" t="s">
        <v>222</v>
      </c>
      <c r="BB1974" s="21">
        <v>0</v>
      </c>
      <c r="BC1974" s="31">
        <v>0</v>
      </c>
      <c r="BD1974" s="31">
        <v>0</v>
      </c>
      <c r="BE1974" s="33" t="s">
        <v>4643</v>
      </c>
      <c r="BF1974" s="33" t="s">
        <v>4644</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70405001</v>
      </c>
      <c r="D1975" s="30" t="s">
        <v>606</v>
      </c>
      <c r="E1975" s="30" t="s">
        <v>607</v>
      </c>
      <c r="F1975" s="21">
        <v>1</v>
      </c>
      <c r="G1975" s="21">
        <v>60010300</v>
      </c>
      <c r="H1975" s="32">
        <v>0</v>
      </c>
      <c r="I1975" s="31">
        <v>0</v>
      </c>
      <c r="J1975" s="32">
        <v>1</v>
      </c>
      <c r="K1975" s="32">
        <v>0</v>
      </c>
      <c r="L1975" s="32">
        <v>0</v>
      </c>
      <c r="M1975" s="21">
        <v>0</v>
      </c>
      <c r="N1975" s="21">
        <v>0</v>
      </c>
      <c r="O1975" s="21">
        <v>2</v>
      </c>
      <c r="P1975" s="21">
        <v>2</v>
      </c>
      <c r="Q1975" s="21">
        <v>0.8</v>
      </c>
      <c r="R1975" s="21">
        <v>0</v>
      </c>
      <c r="S1975" s="19">
        <v>0</v>
      </c>
      <c r="T1975" s="21">
        <v>0</v>
      </c>
      <c r="U1975" s="21">
        <v>1</v>
      </c>
      <c r="V1975" s="21">
        <v>2</v>
      </c>
      <c r="W1975" s="21">
        <v>0</v>
      </c>
      <c r="X1975" s="21">
        <v>0</v>
      </c>
      <c r="Y1975" s="19">
        <v>0</v>
      </c>
      <c r="Z1975" s="21">
        <v>0</v>
      </c>
      <c r="AA1975" s="21">
        <v>0</v>
      </c>
      <c r="AB1975" s="21">
        <v>0</v>
      </c>
      <c r="AC1975" s="21">
        <v>0</v>
      </c>
      <c r="AD1975" s="21">
        <v>0</v>
      </c>
      <c r="AE1975" s="21">
        <v>0</v>
      </c>
      <c r="AF1975" s="21">
        <v>30</v>
      </c>
      <c r="AG1975" s="21">
        <v>0</v>
      </c>
      <c r="AH1975" s="21">
        <v>0</v>
      </c>
      <c r="AI1975" s="19">
        <v>2</v>
      </c>
      <c r="AJ1975" s="19">
        <v>2</v>
      </c>
      <c r="AK1975" s="19">
        <v>0</v>
      </c>
      <c r="AL1975" s="19">
        <v>1.5</v>
      </c>
      <c r="AM1975" s="21">
        <v>0</v>
      </c>
      <c r="AN1975" s="21">
        <v>0</v>
      </c>
      <c r="AO1975" s="21">
        <v>0</v>
      </c>
      <c r="AP1975" s="21">
        <v>1</v>
      </c>
      <c r="AQ1975" s="21">
        <v>3000</v>
      </c>
      <c r="AR1975" s="21">
        <v>0.5</v>
      </c>
      <c r="AS1975" s="21">
        <v>0</v>
      </c>
      <c r="AT1975" s="19">
        <v>0</v>
      </c>
      <c r="AU1975" s="21" t="s">
        <v>204</v>
      </c>
      <c r="AV1975" s="21"/>
      <c r="AW1975" s="35" t="s">
        <v>205</v>
      </c>
      <c r="AX1975" s="21" t="s">
        <v>551</v>
      </c>
      <c r="AY1975" s="32">
        <v>0</v>
      </c>
      <c r="AZ1975" s="32">
        <v>0</v>
      </c>
      <c r="BA1975" s="30" t="s">
        <v>534</v>
      </c>
      <c r="BB1975" s="21" t="s">
        <v>844</v>
      </c>
      <c r="BC1975" s="31">
        <v>0</v>
      </c>
      <c r="BD1975" s="31">
        <v>0</v>
      </c>
      <c r="BE1975" s="33" t="s">
        <v>4645</v>
      </c>
      <c r="BF1975" s="33" t="s">
        <v>4646</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70405002</v>
      </c>
      <c r="D1976" s="30" t="s">
        <v>1107</v>
      </c>
      <c r="E1976" s="30" t="s">
        <v>1108</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3</v>
      </c>
      <c r="Y1976" s="19">
        <v>0</v>
      </c>
      <c r="Z1976" s="21">
        <v>0</v>
      </c>
      <c r="AA1976" s="21">
        <v>1</v>
      </c>
      <c r="AB1976" s="21">
        <v>0</v>
      </c>
      <c r="AC1976" s="21">
        <v>0</v>
      </c>
      <c r="AD1976" s="21">
        <v>0</v>
      </c>
      <c r="AE1976" s="21">
        <v>0</v>
      </c>
      <c r="AF1976" s="21">
        <v>15</v>
      </c>
      <c r="AG1976" s="21">
        <v>1</v>
      </c>
      <c r="AH1976" s="21" t="s">
        <v>613</v>
      </c>
      <c r="AI1976" s="19">
        <v>0</v>
      </c>
      <c r="AJ1976" s="19">
        <v>1</v>
      </c>
      <c r="AK1976" s="19">
        <v>0</v>
      </c>
      <c r="AL1976" s="19">
        <v>3</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70405001</v>
      </c>
      <c r="BA1976" s="30" t="s">
        <v>206</v>
      </c>
      <c r="BB1976" s="21">
        <v>0</v>
      </c>
      <c r="BC1976" s="31">
        <v>0</v>
      </c>
      <c r="BD1976" s="31">
        <v>0</v>
      </c>
      <c r="BE1976" s="33" t="s">
        <v>1109</v>
      </c>
      <c r="BF1976" s="33" t="s">
        <v>1110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70405003</v>
      </c>
      <c r="D1977" s="30" t="s">
        <v>4549</v>
      </c>
      <c r="E1977" s="30" t="s">
        <v>1272</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2.5</v>
      </c>
      <c r="Y1977" s="19">
        <v>0</v>
      </c>
      <c r="Z1977" s="21">
        <v>0</v>
      </c>
      <c r="AA1977" s="21">
        <v>1</v>
      </c>
      <c r="AB1977" s="21">
        <v>0</v>
      </c>
      <c r="AC1977" s="21">
        <v>0</v>
      </c>
      <c r="AD1977" s="21">
        <v>0</v>
      </c>
      <c r="AE1977" s="21">
        <v>0</v>
      </c>
      <c r="AF1977" s="21">
        <v>15</v>
      </c>
      <c r="AG1977" s="21">
        <v>1</v>
      </c>
      <c r="AH1977" s="21">
        <v>3</v>
      </c>
      <c r="AI1977" s="19">
        <v>4</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70405002</v>
      </c>
      <c r="BA1977" s="30" t="s">
        <v>206</v>
      </c>
      <c r="BB1977" s="21" t="s">
        <v>4647</v>
      </c>
      <c r="BC1977" s="31">
        <v>0</v>
      </c>
      <c r="BD1977" s="31">
        <v>0</v>
      </c>
      <c r="BE1977" s="33" t="s">
        <v>1328</v>
      </c>
      <c r="BF1977" s="33" t="s">
        <v>1329</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70405004</v>
      </c>
      <c r="D1978" s="30" t="s">
        <v>1122</v>
      </c>
      <c r="E1978" s="30" t="s">
        <v>397</v>
      </c>
      <c r="F1978" s="32">
        <v>1</v>
      </c>
      <c r="G1978" s="21">
        <v>60010100</v>
      </c>
      <c r="H1978" s="32">
        <v>0</v>
      </c>
      <c r="I1978" s="31">
        <v>0</v>
      </c>
      <c r="J1978" s="32">
        <v>1</v>
      </c>
      <c r="K1978" s="32">
        <v>0</v>
      </c>
      <c r="L1978" s="32">
        <v>0</v>
      </c>
      <c r="M1978" s="21">
        <v>0</v>
      </c>
      <c r="N1978" s="21">
        <v>0</v>
      </c>
      <c r="O1978" s="21">
        <v>2</v>
      </c>
      <c r="P1978" s="21">
        <v>1</v>
      </c>
      <c r="Q1978" s="21">
        <v>1</v>
      </c>
      <c r="R1978" s="21">
        <v>0</v>
      </c>
      <c r="S1978" s="19">
        <v>0</v>
      </c>
      <c r="T1978" s="21">
        <v>0</v>
      </c>
      <c r="U1978" s="21">
        <v>1</v>
      </c>
      <c r="V1978" s="21">
        <v>2</v>
      </c>
      <c r="W1978" s="21">
        <v>0</v>
      </c>
      <c r="X1978" s="21">
        <v>3</v>
      </c>
      <c r="Y1978" s="19">
        <v>0</v>
      </c>
      <c r="Z1978" s="21">
        <v>0</v>
      </c>
      <c r="AA1978" s="21">
        <v>1</v>
      </c>
      <c r="AB1978" s="21">
        <v>0</v>
      </c>
      <c r="AC1978" s="21">
        <v>0</v>
      </c>
      <c r="AD1978" s="21">
        <v>0</v>
      </c>
      <c r="AE1978" s="21">
        <v>0</v>
      </c>
      <c r="AF1978" s="21">
        <v>6</v>
      </c>
      <c r="AG1978" s="21">
        <v>1</v>
      </c>
      <c r="AH1978" s="21">
        <v>3</v>
      </c>
      <c r="AI1978" s="19">
        <v>6</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70405003</v>
      </c>
      <c r="BA1978" s="30" t="s">
        <v>206</v>
      </c>
      <c r="BB1978" s="21" t="s">
        <v>4648</v>
      </c>
      <c r="BC1978" s="31">
        <v>0</v>
      </c>
      <c r="BD1978" s="31">
        <v>0</v>
      </c>
      <c r="BE1978" s="33" t="s">
        <v>4579</v>
      </c>
      <c r="BF1978" s="33" t="s">
        <v>4580</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70405005</v>
      </c>
      <c r="D1979" s="35" t="s">
        <v>573</v>
      </c>
      <c r="E1979" s="35" t="s">
        <v>574</v>
      </c>
      <c r="F1979" s="32">
        <v>1</v>
      </c>
      <c r="G1979" s="32">
        <v>60010500</v>
      </c>
      <c r="H1979" s="32">
        <v>0</v>
      </c>
      <c r="I1979" s="31">
        <v>0</v>
      </c>
      <c r="J1979" s="32">
        <v>1</v>
      </c>
      <c r="K1979" s="32">
        <v>0</v>
      </c>
      <c r="L1979" s="32">
        <v>0</v>
      </c>
      <c r="M1979" s="32">
        <v>0</v>
      </c>
      <c r="N1979" s="32">
        <v>0</v>
      </c>
      <c r="O1979" s="21">
        <v>2</v>
      </c>
      <c r="P1979" s="32">
        <v>2</v>
      </c>
      <c r="Q1979" s="32">
        <v>0.3</v>
      </c>
      <c r="R1979" s="32">
        <v>0</v>
      </c>
      <c r="S1979" s="19">
        <v>0</v>
      </c>
      <c r="T1979" s="31">
        <v>0</v>
      </c>
      <c r="U1979" s="21">
        <v>1</v>
      </c>
      <c r="V1979" s="32">
        <v>2</v>
      </c>
      <c r="W1979" s="32">
        <v>0</v>
      </c>
      <c r="X1979" s="32">
        <v>0</v>
      </c>
      <c r="Y1979" s="19">
        <v>0</v>
      </c>
      <c r="Z1979" s="32">
        <v>0</v>
      </c>
      <c r="AA1979" s="32">
        <v>0</v>
      </c>
      <c r="AB1979" s="32">
        <v>0</v>
      </c>
      <c r="AC1979" s="32">
        <v>0</v>
      </c>
      <c r="AD1979" s="21">
        <v>0</v>
      </c>
      <c r="AE1979" s="32">
        <v>0</v>
      </c>
      <c r="AF1979" s="21">
        <v>15</v>
      </c>
      <c r="AG1979" s="32">
        <v>0</v>
      </c>
      <c r="AH1979" s="32">
        <v>0</v>
      </c>
      <c r="AI1979" s="19">
        <v>2</v>
      </c>
      <c r="AJ1979" s="19">
        <v>0</v>
      </c>
      <c r="AK1979" s="19">
        <v>0</v>
      </c>
      <c r="AL1979" s="19">
        <v>0</v>
      </c>
      <c r="AM1979" s="32">
        <v>0</v>
      </c>
      <c r="AN1979" s="32">
        <v>0</v>
      </c>
      <c r="AO1979" s="32">
        <v>0</v>
      </c>
      <c r="AP1979" s="32">
        <v>0</v>
      </c>
      <c r="AQ1979" s="32">
        <v>1000</v>
      </c>
      <c r="AR1979" s="32">
        <v>0</v>
      </c>
      <c r="AS1979" s="32">
        <v>0</v>
      </c>
      <c r="AT1979" s="19">
        <v>90402005</v>
      </c>
      <c r="AU1979" s="32" t="s">
        <v>204</v>
      </c>
      <c r="AV1979" s="32"/>
      <c r="AW1979" s="35" t="s">
        <v>205</v>
      </c>
      <c r="AX1979" s="32" t="s">
        <v>354</v>
      </c>
      <c r="AY1979" s="32">
        <v>0</v>
      </c>
      <c r="AZ1979" s="32">
        <v>0</v>
      </c>
      <c r="BA1979" s="35" t="s">
        <v>206</v>
      </c>
      <c r="BB1979" s="35" t="s">
        <v>204</v>
      </c>
      <c r="BC1979" s="31">
        <v>0</v>
      </c>
      <c r="BD1979" s="31">
        <v>0</v>
      </c>
      <c r="BE1979" s="60" t="s">
        <v>856</v>
      </c>
      <c r="BF1979" s="60" t="s">
        <v>857</v>
      </c>
      <c r="BG1979" s="32">
        <v>0</v>
      </c>
      <c r="BH1979" s="21">
        <v>0</v>
      </c>
      <c r="BI1979" s="32">
        <v>0</v>
      </c>
      <c r="BJ1979" s="32">
        <v>0</v>
      </c>
      <c r="BK1979" s="32">
        <v>0</v>
      </c>
      <c r="BL1979" s="32">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70405006</v>
      </c>
      <c r="D1980" s="30" t="s">
        <v>754</v>
      </c>
      <c r="E1980" s="30" t="s">
        <v>755</v>
      </c>
      <c r="F1980" s="32">
        <v>1</v>
      </c>
      <c r="G1980" s="21">
        <v>60010300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3</v>
      </c>
      <c r="Y1980" s="19">
        <v>0</v>
      </c>
      <c r="Z1980" s="21">
        <v>350</v>
      </c>
      <c r="AA1980" s="21">
        <v>0</v>
      </c>
      <c r="AB1980" s="21">
        <v>0</v>
      </c>
      <c r="AC1980" s="21">
        <v>0</v>
      </c>
      <c r="AD1980" s="21">
        <v>0</v>
      </c>
      <c r="AE1980" s="21">
        <v>0</v>
      </c>
      <c r="AF1980" s="21">
        <v>9</v>
      </c>
      <c r="AG1980" s="21">
        <v>2</v>
      </c>
      <c r="AH1980" s="21" t="s">
        <v>219</v>
      </c>
      <c r="AI1980" s="19">
        <v>0</v>
      </c>
      <c r="AJ1980" s="19">
        <v>2</v>
      </c>
      <c r="AK1980" s="19">
        <v>0</v>
      </c>
      <c r="AL1980" s="19">
        <v>1.5</v>
      </c>
      <c r="AM1980" s="21">
        <v>0</v>
      </c>
      <c r="AN1980" s="21">
        <v>0</v>
      </c>
      <c r="AO1980" s="21">
        <v>0</v>
      </c>
      <c r="AP1980" s="21">
        <v>1</v>
      </c>
      <c r="AQ1980" s="21">
        <v>3000</v>
      </c>
      <c r="AR1980" s="21">
        <v>0.5</v>
      </c>
      <c r="AS1980" s="21">
        <v>0</v>
      </c>
      <c r="AT1980" s="19">
        <v>0</v>
      </c>
      <c r="AU1980" s="21" t="s">
        <v>860</v>
      </c>
      <c r="AV1980" s="21"/>
      <c r="AW1980" s="30" t="s">
        <v>623</v>
      </c>
      <c r="AX1980" s="21" t="s">
        <v>551</v>
      </c>
      <c r="AY1980" s="32">
        <v>10000007</v>
      </c>
      <c r="AZ1980" s="32">
        <v>70403002</v>
      </c>
      <c r="BA1980" s="30" t="s">
        <v>206</v>
      </c>
      <c r="BB1980" s="21">
        <v>0</v>
      </c>
      <c r="BC1980" s="31">
        <v>0</v>
      </c>
      <c r="BD1980" s="31">
        <v>0</v>
      </c>
      <c r="BE1980" s="33" t="s">
        <v>756</v>
      </c>
      <c r="BF1980" s="33" t="s">
        <v>757</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19.5" customHeight="1">
      <c r="C1981" s="32">
        <v>70405007</v>
      </c>
      <c r="D1981" s="30" t="s">
        <v>4649</v>
      </c>
      <c r="E1981" s="30" t="s">
        <v>4650</v>
      </c>
      <c r="F1981" s="32">
        <v>1</v>
      </c>
      <c r="G1981" s="21">
        <v>60010100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2</v>
      </c>
      <c r="Y1981" s="19">
        <v>0</v>
      </c>
      <c r="Z1981" s="21">
        <v>0</v>
      </c>
      <c r="AA1981" s="21">
        <v>1</v>
      </c>
      <c r="AB1981" s="21">
        <v>0</v>
      </c>
      <c r="AC1981" s="21">
        <v>0</v>
      </c>
      <c r="AD1981" s="21">
        <v>0</v>
      </c>
      <c r="AE1981" s="21">
        <v>0</v>
      </c>
      <c r="AF1981" s="21">
        <v>20</v>
      </c>
      <c r="AG1981" s="21">
        <v>1</v>
      </c>
      <c r="AH1981" s="21" t="s">
        <v>867</v>
      </c>
      <c r="AI1981" s="19">
        <v>1</v>
      </c>
      <c r="AJ1981" s="19">
        <v>0</v>
      </c>
      <c r="AK1981" s="19">
        <v>0</v>
      </c>
      <c r="AL1981" s="19">
        <v>0</v>
      </c>
      <c r="AM1981" s="21">
        <v>0</v>
      </c>
      <c r="AN1981" s="21">
        <v>0</v>
      </c>
      <c r="AO1981" s="21">
        <v>0</v>
      </c>
      <c r="AP1981" s="21">
        <v>0.5</v>
      </c>
      <c r="AQ1981" s="21">
        <v>999999</v>
      </c>
      <c r="AR1981" s="21">
        <v>2</v>
      </c>
      <c r="AS1981" s="21">
        <v>0</v>
      </c>
      <c r="AT1981" s="19">
        <v>0</v>
      </c>
      <c r="AU1981" s="21" t="s">
        <v>860</v>
      </c>
      <c r="AV1981" s="21"/>
      <c r="AW1981" s="35" t="s">
        <v>293</v>
      </c>
      <c r="AX1981" s="21" t="s">
        <v>540</v>
      </c>
      <c r="AY1981" s="32">
        <v>10000007</v>
      </c>
      <c r="AZ1981" s="32">
        <v>70405007</v>
      </c>
      <c r="BA1981" s="35" t="s">
        <v>321</v>
      </c>
      <c r="BB1981" s="35" t="s">
        <v>377</v>
      </c>
      <c r="BC1981" s="31">
        <v>0</v>
      </c>
      <c r="BD1981" s="31">
        <v>0</v>
      </c>
      <c r="BE1981" s="33" t="s">
        <v>4651</v>
      </c>
      <c r="BF1981" s="33" t="s">
        <v>4652</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20.100000000000001" customHeight="1">
      <c r="C1982" s="32">
        <v>70405008</v>
      </c>
      <c r="D1982" s="35" t="s">
        <v>544</v>
      </c>
      <c r="E1982" s="35" t="s">
        <v>545</v>
      </c>
      <c r="F1982" s="32">
        <v>1</v>
      </c>
      <c r="G1982" s="32">
        <v>60010500</v>
      </c>
      <c r="H1982" s="32">
        <v>0</v>
      </c>
      <c r="I1982" s="31">
        <v>0</v>
      </c>
      <c r="J1982" s="32">
        <v>1</v>
      </c>
      <c r="K1982" s="32">
        <v>0</v>
      </c>
      <c r="L1982" s="32">
        <v>0</v>
      </c>
      <c r="M1982" s="32">
        <v>0</v>
      </c>
      <c r="N1982" s="32">
        <v>0</v>
      </c>
      <c r="O1982" s="21">
        <v>2</v>
      </c>
      <c r="P1982" s="32">
        <v>2</v>
      </c>
      <c r="Q1982" s="32">
        <v>0.6</v>
      </c>
      <c r="R1982" s="32">
        <v>0</v>
      </c>
      <c r="S1982" s="19">
        <v>0</v>
      </c>
      <c r="T1982" s="31">
        <v>0</v>
      </c>
      <c r="U1982" s="21">
        <v>1</v>
      </c>
      <c r="V1982" s="32">
        <v>2</v>
      </c>
      <c r="W1982" s="32">
        <v>0</v>
      </c>
      <c r="X1982" s="32">
        <v>0</v>
      </c>
      <c r="Y1982" s="19">
        <v>0</v>
      </c>
      <c r="Z1982" s="32">
        <v>0</v>
      </c>
      <c r="AA1982" s="32">
        <v>0</v>
      </c>
      <c r="AB1982" s="32">
        <v>0</v>
      </c>
      <c r="AC1982" s="32">
        <v>0</v>
      </c>
      <c r="AD1982" s="21">
        <v>0</v>
      </c>
      <c r="AE1982" s="32">
        <v>0</v>
      </c>
      <c r="AF1982" s="32">
        <v>20</v>
      </c>
      <c r="AG1982" s="32">
        <v>0</v>
      </c>
      <c r="AH1982" s="32">
        <v>0</v>
      </c>
      <c r="AI1982" s="19">
        <v>2</v>
      </c>
      <c r="AJ1982" s="19">
        <v>0</v>
      </c>
      <c r="AK1982" s="19">
        <v>0</v>
      </c>
      <c r="AL1982" s="19">
        <v>0</v>
      </c>
      <c r="AM1982" s="32">
        <v>0</v>
      </c>
      <c r="AN1982" s="32">
        <v>0</v>
      </c>
      <c r="AO1982" s="32">
        <v>0</v>
      </c>
      <c r="AP1982" s="32">
        <v>0</v>
      </c>
      <c r="AQ1982" s="32">
        <v>1000</v>
      </c>
      <c r="AR1982" s="32">
        <v>0</v>
      </c>
      <c r="AS1982" s="32">
        <v>0</v>
      </c>
      <c r="AT1982" s="19">
        <v>90401004</v>
      </c>
      <c r="AU1982" s="32" t="s">
        <v>204</v>
      </c>
      <c r="AV1982" s="32"/>
      <c r="AW1982" s="35" t="s">
        <v>205</v>
      </c>
      <c r="AX1982" s="32" t="s">
        <v>354</v>
      </c>
      <c r="AY1982" s="32">
        <v>0</v>
      </c>
      <c r="AZ1982" s="32">
        <v>40000003</v>
      </c>
      <c r="BA1982" s="35" t="s">
        <v>206</v>
      </c>
      <c r="BB1982" s="35" t="s">
        <v>204</v>
      </c>
      <c r="BC1982" s="31">
        <v>0</v>
      </c>
      <c r="BD1982" s="31">
        <v>0</v>
      </c>
      <c r="BE1982" s="60" t="s">
        <v>870</v>
      </c>
      <c r="BF1982" s="60" t="s">
        <v>871</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70405009</v>
      </c>
      <c r="D1983" s="35" t="s">
        <v>1330</v>
      </c>
      <c r="E1983" s="35" t="s">
        <v>1331</v>
      </c>
      <c r="F1983" s="32">
        <v>1</v>
      </c>
      <c r="G1983" s="32">
        <v>60010300</v>
      </c>
      <c r="H1983" s="32">
        <v>0</v>
      </c>
      <c r="I1983" s="31">
        <v>0</v>
      </c>
      <c r="J1983" s="32">
        <v>1</v>
      </c>
      <c r="K1983" s="32">
        <v>0</v>
      </c>
      <c r="L1983" s="32">
        <v>0</v>
      </c>
      <c r="M1983" s="32">
        <v>0</v>
      </c>
      <c r="N1983" s="32">
        <v>0</v>
      </c>
      <c r="O1983" s="21">
        <v>2</v>
      </c>
      <c r="P1983" s="32">
        <v>2</v>
      </c>
      <c r="Q1983" s="32">
        <v>0.8</v>
      </c>
      <c r="R1983" s="32">
        <v>0</v>
      </c>
      <c r="S1983" s="19">
        <v>0</v>
      </c>
      <c r="T1983" s="31">
        <v>0</v>
      </c>
      <c r="U1983" s="21">
        <v>1</v>
      </c>
      <c r="V1983" s="32">
        <v>2</v>
      </c>
      <c r="W1983" s="32">
        <v>0</v>
      </c>
      <c r="X1983" s="32">
        <v>5</v>
      </c>
      <c r="Y1983" s="19">
        <v>0</v>
      </c>
      <c r="Z1983" s="32">
        <v>0</v>
      </c>
      <c r="AA1983" s="32">
        <v>0</v>
      </c>
      <c r="AB1983" s="32">
        <v>0</v>
      </c>
      <c r="AC1983" s="32">
        <v>0</v>
      </c>
      <c r="AD1983" s="21">
        <v>0</v>
      </c>
      <c r="AE1983" s="32">
        <v>0</v>
      </c>
      <c r="AF1983" s="32">
        <v>30</v>
      </c>
      <c r="AG1983" s="32">
        <v>1</v>
      </c>
      <c r="AH1983" s="32">
        <v>1</v>
      </c>
      <c r="AI1983" s="19">
        <v>2</v>
      </c>
      <c r="AJ1983" s="19">
        <v>2</v>
      </c>
      <c r="AK1983" s="19">
        <v>0</v>
      </c>
      <c r="AL1983" s="19">
        <v>1.5</v>
      </c>
      <c r="AM1983" s="32">
        <v>0</v>
      </c>
      <c r="AN1983" s="32">
        <v>0</v>
      </c>
      <c r="AO1983" s="32">
        <v>0</v>
      </c>
      <c r="AP1983" s="32">
        <v>1</v>
      </c>
      <c r="AQ1983" s="32">
        <v>30000</v>
      </c>
      <c r="AR1983" s="32">
        <v>0</v>
      </c>
      <c r="AS1983" s="32">
        <v>4</v>
      </c>
      <c r="AT1983" s="19">
        <v>0</v>
      </c>
      <c r="AU1983" s="32" t="s">
        <v>204</v>
      </c>
      <c r="AV1983" s="32"/>
      <c r="AW1983" s="35" t="s">
        <v>205</v>
      </c>
      <c r="AX1983" s="32" t="s">
        <v>551</v>
      </c>
      <c r="AY1983" s="32">
        <v>10003002</v>
      </c>
      <c r="AZ1983" s="32">
        <v>70405007</v>
      </c>
      <c r="BA1983" s="35" t="s">
        <v>592</v>
      </c>
      <c r="BB1983" s="35">
        <v>0</v>
      </c>
      <c r="BC1983" s="31">
        <v>0</v>
      </c>
      <c r="BD1983" s="31">
        <v>0</v>
      </c>
      <c r="BE1983" s="60" t="s">
        <v>874</v>
      </c>
      <c r="BF1983" s="60" t="s">
        <v>875</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70501001</v>
      </c>
      <c r="D1984" s="30" t="s">
        <v>606</v>
      </c>
      <c r="E1984" s="30" t="s">
        <v>607</v>
      </c>
      <c r="F1984" s="21">
        <v>1</v>
      </c>
      <c r="G1984" s="21">
        <v>60010300</v>
      </c>
      <c r="H1984" s="32">
        <v>0</v>
      </c>
      <c r="I1984" s="31">
        <v>0</v>
      </c>
      <c r="J1984" s="32">
        <v>1</v>
      </c>
      <c r="K1984" s="32">
        <v>0</v>
      </c>
      <c r="L1984" s="32">
        <v>0</v>
      </c>
      <c r="M1984" s="21">
        <v>0</v>
      </c>
      <c r="N1984" s="21">
        <v>0</v>
      </c>
      <c r="O1984" s="21">
        <v>2</v>
      </c>
      <c r="P1984" s="21">
        <v>2</v>
      </c>
      <c r="Q1984" s="21">
        <v>0.8</v>
      </c>
      <c r="R1984" s="21">
        <v>0</v>
      </c>
      <c r="S1984" s="19">
        <v>0</v>
      </c>
      <c r="T1984" s="21">
        <v>0</v>
      </c>
      <c r="U1984" s="21">
        <v>1</v>
      </c>
      <c r="V1984" s="21">
        <v>2</v>
      </c>
      <c r="W1984" s="21">
        <v>0</v>
      </c>
      <c r="X1984" s="21">
        <v>0</v>
      </c>
      <c r="Y1984" s="19">
        <v>0</v>
      </c>
      <c r="Z1984" s="21">
        <v>0</v>
      </c>
      <c r="AA1984" s="21">
        <v>0</v>
      </c>
      <c r="AB1984" s="21">
        <v>0</v>
      </c>
      <c r="AC1984" s="21">
        <v>0</v>
      </c>
      <c r="AD1984" s="21">
        <v>0</v>
      </c>
      <c r="AE1984" s="21">
        <v>0</v>
      </c>
      <c r="AF1984" s="21">
        <v>15</v>
      </c>
      <c r="AG1984" s="21">
        <v>0</v>
      </c>
      <c r="AH1984" s="21">
        <v>0</v>
      </c>
      <c r="AI1984" s="19">
        <v>2</v>
      </c>
      <c r="AJ1984" s="19">
        <v>2</v>
      </c>
      <c r="AK1984" s="19">
        <v>0</v>
      </c>
      <c r="AL1984" s="19">
        <v>1.5</v>
      </c>
      <c r="AM1984" s="21">
        <v>0</v>
      </c>
      <c r="AN1984" s="21">
        <v>0</v>
      </c>
      <c r="AO1984" s="21">
        <v>0</v>
      </c>
      <c r="AP1984" s="21">
        <v>1</v>
      </c>
      <c r="AQ1984" s="21">
        <v>3000</v>
      </c>
      <c r="AR1984" s="21">
        <v>0.5</v>
      </c>
      <c r="AS1984" s="21">
        <v>0</v>
      </c>
      <c r="AT1984" s="19">
        <v>0</v>
      </c>
      <c r="AU1984" s="21" t="s">
        <v>204</v>
      </c>
      <c r="AV1984" s="21"/>
      <c r="AW1984" s="35" t="s">
        <v>205</v>
      </c>
      <c r="AX1984" s="21" t="s">
        <v>551</v>
      </c>
      <c r="AY1984" s="32">
        <v>0</v>
      </c>
      <c r="AZ1984" s="32">
        <v>0</v>
      </c>
      <c r="BA1984" s="30" t="s">
        <v>534</v>
      </c>
      <c r="BB1984" s="21" t="s">
        <v>4653</v>
      </c>
      <c r="BC1984" s="31">
        <v>0</v>
      </c>
      <c r="BD1984" s="31">
        <v>0</v>
      </c>
      <c r="BE1984" s="33" t="s">
        <v>4645</v>
      </c>
      <c r="BF1984" s="33" t="s">
        <v>4646</v>
      </c>
      <c r="BG1984" s="21">
        <v>0</v>
      </c>
      <c r="BH1984" s="21">
        <v>0</v>
      </c>
      <c r="BI1984" s="21">
        <v>0</v>
      </c>
      <c r="BJ1984" s="21">
        <v>0</v>
      </c>
      <c r="BK1984" s="21">
        <v>0</v>
      </c>
      <c r="BL1984" s="21">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70501002</v>
      </c>
      <c r="D1985" s="35" t="s">
        <v>750</v>
      </c>
      <c r="E1985" s="35" t="s">
        <v>751</v>
      </c>
      <c r="F1985" s="32">
        <v>1</v>
      </c>
      <c r="G1985" s="32">
        <v>60010500</v>
      </c>
      <c r="H1985" s="32">
        <v>0</v>
      </c>
      <c r="I1985" s="31">
        <v>0</v>
      </c>
      <c r="J1985" s="32">
        <v>1</v>
      </c>
      <c r="K1985" s="32">
        <v>0</v>
      </c>
      <c r="L1985" s="32">
        <v>0</v>
      </c>
      <c r="M1985" s="32">
        <v>0</v>
      </c>
      <c r="N1985" s="32">
        <v>0</v>
      </c>
      <c r="O1985" s="21">
        <v>2</v>
      </c>
      <c r="P1985" s="32">
        <v>1</v>
      </c>
      <c r="Q1985" s="32">
        <v>0.05</v>
      </c>
      <c r="R1985" s="32">
        <v>0</v>
      </c>
      <c r="S1985" s="19">
        <v>0</v>
      </c>
      <c r="T1985" s="31">
        <v>0</v>
      </c>
      <c r="U1985" s="21">
        <v>1</v>
      </c>
      <c r="V1985" s="32">
        <v>1</v>
      </c>
      <c r="W1985" s="32">
        <v>0</v>
      </c>
      <c r="X1985" s="32">
        <v>2</v>
      </c>
      <c r="Y1985" s="19">
        <v>0</v>
      </c>
      <c r="Z1985" s="32">
        <v>0</v>
      </c>
      <c r="AA1985" s="32">
        <v>0</v>
      </c>
      <c r="AB1985" s="32">
        <v>0</v>
      </c>
      <c r="AC1985" s="32">
        <v>0</v>
      </c>
      <c r="AD1985" s="21">
        <v>0</v>
      </c>
      <c r="AE1985" s="32">
        <v>0</v>
      </c>
      <c r="AF1985" s="32">
        <v>10</v>
      </c>
      <c r="AG1985" s="32">
        <v>0</v>
      </c>
      <c r="AH1985" s="32">
        <v>0</v>
      </c>
      <c r="AI1985" s="19">
        <v>7</v>
      </c>
      <c r="AJ1985" s="19">
        <v>0</v>
      </c>
      <c r="AK1985" s="19">
        <v>0</v>
      </c>
      <c r="AL1985" s="19">
        <v>0</v>
      </c>
      <c r="AM1985" s="32">
        <v>0</v>
      </c>
      <c r="AN1985" s="32">
        <v>0</v>
      </c>
      <c r="AO1985" s="32">
        <v>0</v>
      </c>
      <c r="AP1985" s="32">
        <v>0</v>
      </c>
      <c r="AQ1985" s="32">
        <v>1000</v>
      </c>
      <c r="AR1985" s="32">
        <v>0.5</v>
      </c>
      <c r="AS1985" s="32">
        <v>0</v>
      </c>
      <c r="AT1985" s="19">
        <v>0</v>
      </c>
      <c r="AU1985" s="32" t="s">
        <v>665</v>
      </c>
      <c r="AV1985" s="32"/>
      <c r="AW1985" s="35" t="s">
        <v>747</v>
      </c>
      <c r="AX1985" s="32">
        <v>0</v>
      </c>
      <c r="AY1985" s="32">
        <v>10007001</v>
      </c>
      <c r="AZ1985" s="32">
        <v>0</v>
      </c>
      <c r="BA1985" s="35" t="s">
        <v>206</v>
      </c>
      <c r="BB1985" s="35" t="s">
        <v>204</v>
      </c>
      <c r="BC1985" s="31">
        <v>0</v>
      </c>
      <c r="BD1985" s="31">
        <v>0</v>
      </c>
      <c r="BE1985" s="60" t="s">
        <v>752</v>
      </c>
      <c r="BF1985" s="60" t="s">
        <v>753</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70501003</v>
      </c>
      <c r="D1986" s="35" t="s">
        <v>544</v>
      </c>
      <c r="E1986" s="35" t="s">
        <v>545</v>
      </c>
      <c r="F1986" s="32">
        <v>1</v>
      </c>
      <c r="G1986" s="32">
        <v>60010500</v>
      </c>
      <c r="H1986" s="32">
        <v>0</v>
      </c>
      <c r="I1986" s="31">
        <v>0</v>
      </c>
      <c r="J1986" s="32">
        <v>1</v>
      </c>
      <c r="K1986" s="32">
        <v>0</v>
      </c>
      <c r="L1986" s="32">
        <v>0</v>
      </c>
      <c r="M1986" s="32">
        <v>0</v>
      </c>
      <c r="N1986" s="32">
        <v>0</v>
      </c>
      <c r="O1986" s="21">
        <v>2</v>
      </c>
      <c r="P1986" s="32">
        <v>2</v>
      </c>
      <c r="Q1986" s="32">
        <v>0.6</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32">
        <v>20</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90401004</v>
      </c>
      <c r="AU1986" s="32" t="s">
        <v>204</v>
      </c>
      <c r="AV1986" s="32"/>
      <c r="AW1986" s="35" t="s">
        <v>204</v>
      </c>
      <c r="AX1986" s="32" t="s">
        <v>354</v>
      </c>
      <c r="AY1986" s="32">
        <v>0</v>
      </c>
      <c r="AZ1986" s="32">
        <v>40000003</v>
      </c>
      <c r="BA1986" s="35" t="s">
        <v>206</v>
      </c>
      <c r="BB1986" s="35" t="s">
        <v>204</v>
      </c>
      <c r="BC1986" s="31">
        <v>0</v>
      </c>
      <c r="BD1986" s="31">
        <v>0</v>
      </c>
      <c r="BE1986" s="60" t="s">
        <v>870</v>
      </c>
      <c r="BF1986" s="60" t="s">
        <v>871</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70501004</v>
      </c>
      <c r="D1987" s="35" t="s">
        <v>763</v>
      </c>
      <c r="E1987" s="35" t="s">
        <v>405</v>
      </c>
      <c r="F1987" s="32">
        <v>1</v>
      </c>
      <c r="G1987" s="32">
        <v>60010500</v>
      </c>
      <c r="H1987" s="32">
        <v>0</v>
      </c>
      <c r="I1987" s="31">
        <v>0</v>
      </c>
      <c r="J1987" s="32">
        <v>1</v>
      </c>
      <c r="K1987" s="32">
        <v>0</v>
      </c>
      <c r="L1987" s="32">
        <v>0</v>
      </c>
      <c r="M1987" s="32">
        <v>0</v>
      </c>
      <c r="N1987" s="32">
        <v>0</v>
      </c>
      <c r="O1987" s="21">
        <v>2</v>
      </c>
      <c r="P1987" s="32">
        <v>2</v>
      </c>
      <c r="Q1987" s="32">
        <v>0.3</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21">
        <v>15</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90304001</v>
      </c>
      <c r="AU1987" s="32" t="s">
        <v>204</v>
      </c>
      <c r="AV1987" s="32"/>
      <c r="AW1987" s="35" t="s">
        <v>293</v>
      </c>
      <c r="AX1987" s="32" t="s">
        <v>354</v>
      </c>
      <c r="AY1987" s="32">
        <v>0</v>
      </c>
      <c r="AZ1987" s="32">
        <v>0</v>
      </c>
      <c r="BA1987" s="35" t="s">
        <v>206</v>
      </c>
      <c r="BB1987" s="35" t="s">
        <v>204</v>
      </c>
      <c r="BC1987" s="31">
        <v>0</v>
      </c>
      <c r="BD1987" s="31">
        <v>0</v>
      </c>
      <c r="BE1987" s="60" t="s">
        <v>4654</v>
      </c>
      <c r="BF1987" s="60" t="s">
        <v>4655</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70501005</v>
      </c>
      <c r="D1988" s="30" t="s">
        <v>4617</v>
      </c>
      <c r="E1988" s="30" t="s">
        <v>4618</v>
      </c>
      <c r="F1988" s="32">
        <v>1</v>
      </c>
      <c r="G1988" s="21">
        <v>60010300</v>
      </c>
      <c r="H1988" s="32">
        <v>0</v>
      </c>
      <c r="I1988" s="31">
        <v>0</v>
      </c>
      <c r="J1988" s="32">
        <v>1</v>
      </c>
      <c r="K1988" s="32">
        <v>0</v>
      </c>
      <c r="L1988" s="32">
        <v>0</v>
      </c>
      <c r="M1988" s="21">
        <v>0</v>
      </c>
      <c r="N1988" s="21">
        <v>0</v>
      </c>
      <c r="O1988" s="21">
        <v>2</v>
      </c>
      <c r="P1988" s="21">
        <v>1</v>
      </c>
      <c r="Q1988" s="21">
        <v>0.3</v>
      </c>
      <c r="R1988" s="21">
        <v>0</v>
      </c>
      <c r="S1988" s="19">
        <v>0</v>
      </c>
      <c r="T1988" s="21">
        <v>0</v>
      </c>
      <c r="U1988" s="21">
        <v>1</v>
      </c>
      <c r="V1988" s="21">
        <v>2</v>
      </c>
      <c r="W1988" s="21">
        <v>0</v>
      </c>
      <c r="X1988" s="21">
        <v>3</v>
      </c>
      <c r="Y1988" s="19">
        <v>0</v>
      </c>
      <c r="Z1988" s="21">
        <v>350</v>
      </c>
      <c r="AA1988" s="21">
        <v>0</v>
      </c>
      <c r="AB1988" s="21">
        <v>0</v>
      </c>
      <c r="AC1988" s="21">
        <v>0</v>
      </c>
      <c r="AD1988" s="21">
        <v>0</v>
      </c>
      <c r="AE1988" s="21">
        <v>0</v>
      </c>
      <c r="AF1988" s="21">
        <v>9</v>
      </c>
      <c r="AG1988" s="21">
        <v>2</v>
      </c>
      <c r="AH1988" s="21" t="s">
        <v>219</v>
      </c>
      <c r="AI1988" s="19">
        <v>0</v>
      </c>
      <c r="AJ1988" s="19">
        <v>2</v>
      </c>
      <c r="AK1988" s="19">
        <v>0</v>
      </c>
      <c r="AL1988" s="19">
        <v>1.5</v>
      </c>
      <c r="AM1988" s="21">
        <v>0</v>
      </c>
      <c r="AN1988" s="21">
        <v>0</v>
      </c>
      <c r="AO1988" s="21">
        <v>0</v>
      </c>
      <c r="AP1988" s="21">
        <v>1.5</v>
      </c>
      <c r="AQ1988" s="21">
        <v>3000</v>
      </c>
      <c r="AR1988" s="21">
        <v>1</v>
      </c>
      <c r="AS1988" s="21">
        <v>0</v>
      </c>
      <c r="AT1988" s="19">
        <v>0</v>
      </c>
      <c r="AU1988" s="21" t="s">
        <v>4619</v>
      </c>
      <c r="AV1988" s="21"/>
      <c r="AW1988" s="35" t="s">
        <v>623</v>
      </c>
      <c r="AX1988" s="21" t="s">
        <v>551</v>
      </c>
      <c r="AY1988" s="32">
        <v>10000007</v>
      </c>
      <c r="AZ1988" s="32">
        <v>70401006</v>
      </c>
      <c r="BA1988" s="30" t="s">
        <v>206</v>
      </c>
      <c r="BB1988" s="21">
        <v>0</v>
      </c>
      <c r="BC1988" s="31">
        <v>0</v>
      </c>
      <c r="BD1988" s="31">
        <v>0</v>
      </c>
      <c r="BE1988" s="33" t="s">
        <v>4620</v>
      </c>
      <c r="BF1988" s="33" t="s">
        <v>4621</v>
      </c>
      <c r="BG1988" s="21">
        <v>0</v>
      </c>
      <c r="BH1988" s="21">
        <v>0</v>
      </c>
      <c r="BI1988" s="21">
        <v>0</v>
      </c>
      <c r="BJ1988" s="21">
        <v>0</v>
      </c>
      <c r="BK1988" s="21">
        <v>0</v>
      </c>
      <c r="BL1988" s="21">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70501006</v>
      </c>
      <c r="D1989" s="35" t="s">
        <v>1330</v>
      </c>
      <c r="E1989" s="35" t="s">
        <v>1331</v>
      </c>
      <c r="F1989" s="32">
        <v>1</v>
      </c>
      <c r="G1989" s="32">
        <v>60010300</v>
      </c>
      <c r="H1989" s="32">
        <v>0</v>
      </c>
      <c r="I1989" s="31">
        <v>0</v>
      </c>
      <c r="J1989" s="32">
        <v>1</v>
      </c>
      <c r="K1989" s="32">
        <v>0</v>
      </c>
      <c r="L1989" s="32">
        <v>0</v>
      </c>
      <c r="M1989" s="32">
        <v>0</v>
      </c>
      <c r="N1989" s="32">
        <v>0</v>
      </c>
      <c r="O1989" s="21">
        <v>2</v>
      </c>
      <c r="P1989" s="32">
        <v>2</v>
      </c>
      <c r="Q1989" s="32">
        <v>0.8</v>
      </c>
      <c r="R1989" s="32">
        <v>0</v>
      </c>
      <c r="S1989" s="19">
        <v>0</v>
      </c>
      <c r="T1989" s="31">
        <v>0</v>
      </c>
      <c r="U1989" s="21">
        <v>1</v>
      </c>
      <c r="V1989" s="32">
        <v>2</v>
      </c>
      <c r="W1989" s="32">
        <v>0</v>
      </c>
      <c r="X1989" s="32">
        <v>5</v>
      </c>
      <c r="Y1989" s="19">
        <v>0</v>
      </c>
      <c r="Z1989" s="32">
        <v>0</v>
      </c>
      <c r="AA1989" s="32">
        <v>0</v>
      </c>
      <c r="AB1989" s="32">
        <v>0</v>
      </c>
      <c r="AC1989" s="32">
        <v>0</v>
      </c>
      <c r="AD1989" s="21">
        <v>0</v>
      </c>
      <c r="AE1989" s="32">
        <v>0</v>
      </c>
      <c r="AF1989" s="32">
        <v>30</v>
      </c>
      <c r="AG1989" s="32">
        <v>1</v>
      </c>
      <c r="AH1989" s="32">
        <v>1</v>
      </c>
      <c r="AI1989" s="19">
        <v>2</v>
      </c>
      <c r="AJ1989" s="19">
        <v>2</v>
      </c>
      <c r="AK1989" s="19">
        <v>0</v>
      </c>
      <c r="AL1989" s="19">
        <v>1.5</v>
      </c>
      <c r="AM1989" s="32">
        <v>0</v>
      </c>
      <c r="AN1989" s="32">
        <v>0</v>
      </c>
      <c r="AO1989" s="32">
        <v>0</v>
      </c>
      <c r="AP1989" s="32">
        <v>1</v>
      </c>
      <c r="AQ1989" s="32">
        <v>30000</v>
      </c>
      <c r="AR1989" s="32">
        <v>0</v>
      </c>
      <c r="AS1989" s="32">
        <v>4</v>
      </c>
      <c r="AT1989" s="19">
        <v>0</v>
      </c>
      <c r="AU1989" s="32" t="s">
        <v>204</v>
      </c>
      <c r="AV1989" s="32"/>
      <c r="AW1989" s="35" t="s">
        <v>205</v>
      </c>
      <c r="AX1989" s="32" t="s">
        <v>551</v>
      </c>
      <c r="AY1989" s="32">
        <v>10003002</v>
      </c>
      <c r="AZ1989" s="32">
        <v>70405007</v>
      </c>
      <c r="BA1989" s="35" t="s">
        <v>592</v>
      </c>
      <c r="BB1989" s="35">
        <v>0</v>
      </c>
      <c r="BC1989" s="31">
        <v>0</v>
      </c>
      <c r="BD1989" s="31">
        <v>0</v>
      </c>
      <c r="BE1989" s="60" t="s">
        <v>874</v>
      </c>
      <c r="BF1989" s="60" t="s">
        <v>875</v>
      </c>
      <c r="BG1989" s="32">
        <v>0</v>
      </c>
      <c r="BH1989" s="21">
        <v>0</v>
      </c>
      <c r="BI1989" s="32">
        <v>0</v>
      </c>
      <c r="BJ1989" s="32">
        <v>0</v>
      </c>
      <c r="BK1989" s="32">
        <v>0</v>
      </c>
      <c r="BL1989" s="32">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70502001</v>
      </c>
      <c r="D1990" s="30" t="s">
        <v>611</v>
      </c>
      <c r="E1990" s="30" t="s">
        <v>612</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t="s">
        <v>613</v>
      </c>
      <c r="AI1990" s="19">
        <v>1</v>
      </c>
      <c r="AJ1990" s="19">
        <v>1</v>
      </c>
      <c r="AK1990" s="19">
        <v>0</v>
      </c>
      <c r="AL1990" s="19">
        <v>3</v>
      </c>
      <c r="AM1990" s="21">
        <v>0</v>
      </c>
      <c r="AN1990" s="21">
        <v>0</v>
      </c>
      <c r="AO1990" s="21">
        <v>0</v>
      </c>
      <c r="AP1990" s="21">
        <v>3</v>
      </c>
      <c r="AQ1990" s="21">
        <v>5000</v>
      </c>
      <c r="AR1990" s="21">
        <v>2.5</v>
      </c>
      <c r="AS1990" s="21">
        <v>0</v>
      </c>
      <c r="AT1990" s="19">
        <v>0</v>
      </c>
      <c r="AU1990" s="21" t="s">
        <v>204</v>
      </c>
      <c r="AV1990" s="21"/>
      <c r="AW1990" s="35" t="s">
        <v>293</v>
      </c>
      <c r="AX1990" s="21" t="s">
        <v>540</v>
      </c>
      <c r="AY1990" s="32">
        <v>10000007</v>
      </c>
      <c r="AZ1990" s="32">
        <v>70107001</v>
      </c>
      <c r="BA1990" s="30" t="s">
        <v>206</v>
      </c>
      <c r="BB1990" s="21">
        <v>0</v>
      </c>
      <c r="BC1990" s="31">
        <v>0</v>
      </c>
      <c r="BD1990" s="31">
        <v>0</v>
      </c>
      <c r="BE1990" s="33" t="s">
        <v>614</v>
      </c>
      <c r="BF1990" s="33" t="s">
        <v>615</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70502002</v>
      </c>
      <c r="D1991" s="30" t="s">
        <v>666</v>
      </c>
      <c r="E1991" s="30" t="s">
        <v>667</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v>3</v>
      </c>
      <c r="AI1991" s="19">
        <v>4</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205</v>
      </c>
      <c r="AX1991" s="21" t="s">
        <v>540</v>
      </c>
      <c r="AY1991" s="32">
        <v>10000007</v>
      </c>
      <c r="AZ1991" s="32">
        <v>70103003</v>
      </c>
      <c r="BA1991" s="30" t="s">
        <v>206</v>
      </c>
      <c r="BB1991" s="21" t="s">
        <v>4656</v>
      </c>
      <c r="BC1991" s="31">
        <v>0</v>
      </c>
      <c r="BD1991" s="31">
        <v>0</v>
      </c>
      <c r="BE1991" s="33" t="s">
        <v>669</v>
      </c>
      <c r="BF1991" s="33" t="s">
        <v>670</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70502003</v>
      </c>
      <c r="D1992" s="30" t="s">
        <v>671</v>
      </c>
      <c r="E1992" s="30" t="s">
        <v>612</v>
      </c>
      <c r="F1992" s="21">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0</v>
      </c>
      <c r="AB1992" s="21">
        <v>0</v>
      </c>
      <c r="AC1992" s="21">
        <v>0</v>
      </c>
      <c r="AD1992" s="21">
        <v>0</v>
      </c>
      <c r="AE1992" s="21">
        <v>0</v>
      </c>
      <c r="AF1992" s="21">
        <v>12</v>
      </c>
      <c r="AG1992" s="21">
        <v>1</v>
      </c>
      <c r="AH1992" s="21">
        <v>3</v>
      </c>
      <c r="AI1992" s="19">
        <v>6</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262</v>
      </c>
      <c r="AX1992" s="21" t="s">
        <v>540</v>
      </c>
      <c r="AY1992" s="32">
        <v>10000007</v>
      </c>
      <c r="AZ1992" s="32">
        <v>70103003</v>
      </c>
      <c r="BA1992" s="30" t="s">
        <v>206</v>
      </c>
      <c r="BB1992" s="21" t="s">
        <v>4657</v>
      </c>
      <c r="BC1992" s="31">
        <v>0</v>
      </c>
      <c r="BD1992" s="31">
        <v>0</v>
      </c>
      <c r="BE1992" s="33" t="s">
        <v>673</v>
      </c>
      <c r="BF1992" s="33" t="s">
        <v>674</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70502004</v>
      </c>
      <c r="D1993" s="35" t="s">
        <v>675</v>
      </c>
      <c r="E1993" s="35" t="s">
        <v>676</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32">
        <v>20</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90102001</v>
      </c>
      <c r="AU1993" s="32" t="s">
        <v>204</v>
      </c>
      <c r="AV1993" s="32"/>
      <c r="AW1993" s="35" t="s">
        <v>205</v>
      </c>
      <c r="AX1993" s="32" t="s">
        <v>354</v>
      </c>
      <c r="AY1993" s="32">
        <v>0</v>
      </c>
      <c r="AZ1993" s="32">
        <v>40000003</v>
      </c>
      <c r="BA1993" s="35" t="s">
        <v>206</v>
      </c>
      <c r="BB1993" s="35" t="s">
        <v>204</v>
      </c>
      <c r="BC1993" s="31">
        <v>0</v>
      </c>
      <c r="BD1993" s="31">
        <v>0</v>
      </c>
      <c r="BE1993" s="60" t="s">
        <v>677</v>
      </c>
      <c r="BF1993" s="60" t="s">
        <v>678</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70502005</v>
      </c>
      <c r="D1994" s="35" t="s">
        <v>679</v>
      </c>
      <c r="E1994" s="35" t="s">
        <v>680</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21">
        <v>99999</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90104002</v>
      </c>
      <c r="AU1994" s="32" t="s">
        <v>204</v>
      </c>
      <c r="AV1994" s="32"/>
      <c r="AW1994" s="35" t="s">
        <v>205</v>
      </c>
      <c r="AX1994" s="32" t="s">
        <v>354</v>
      </c>
      <c r="AY1994" s="32">
        <v>0</v>
      </c>
      <c r="AZ1994" s="32">
        <v>0</v>
      </c>
      <c r="BA1994" s="35" t="s">
        <v>206</v>
      </c>
      <c r="BB1994" s="35" t="s">
        <v>204</v>
      </c>
      <c r="BC1994" s="31">
        <v>0</v>
      </c>
      <c r="BD1994" s="31">
        <v>0</v>
      </c>
      <c r="BE1994" s="60" t="s">
        <v>681</v>
      </c>
      <c r="BF1994" s="60" t="s">
        <v>682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19.5" customHeight="1">
      <c r="C1995" s="32">
        <v>70503001</v>
      </c>
      <c r="D1995" s="35" t="s">
        <v>766</v>
      </c>
      <c r="E1995" s="35" t="s">
        <v>767</v>
      </c>
      <c r="F1995" s="32">
        <v>1</v>
      </c>
      <c r="G1995" s="32">
        <v>60010300</v>
      </c>
      <c r="H1995" s="32">
        <v>0</v>
      </c>
      <c r="I1995" s="31">
        <v>0</v>
      </c>
      <c r="J1995" s="32">
        <v>1</v>
      </c>
      <c r="K1995" s="32">
        <v>0</v>
      </c>
      <c r="L1995" s="32">
        <v>0</v>
      </c>
      <c r="M1995" s="32">
        <v>0</v>
      </c>
      <c r="N1995" s="32">
        <v>0</v>
      </c>
      <c r="O1995" s="21">
        <v>2</v>
      </c>
      <c r="P1995" s="32">
        <v>0</v>
      </c>
      <c r="Q1995" s="32">
        <v>0</v>
      </c>
      <c r="R1995" s="32">
        <v>0</v>
      </c>
      <c r="S1995" s="19">
        <v>0</v>
      </c>
      <c r="T1995" s="31">
        <v>0</v>
      </c>
      <c r="U1995" s="21">
        <v>1</v>
      </c>
      <c r="V1995" s="32">
        <v>2</v>
      </c>
      <c r="W1995" s="32">
        <v>0</v>
      </c>
      <c r="X1995" s="32">
        <v>3</v>
      </c>
      <c r="Y1995" s="19">
        <v>0</v>
      </c>
      <c r="Z1995" s="32">
        <v>0</v>
      </c>
      <c r="AA1995" s="32">
        <v>0</v>
      </c>
      <c r="AB1995" s="32">
        <v>0</v>
      </c>
      <c r="AC1995" s="32">
        <v>0</v>
      </c>
      <c r="AD1995" s="21">
        <v>0</v>
      </c>
      <c r="AE1995" s="32">
        <v>0</v>
      </c>
      <c r="AF1995" s="32">
        <v>20</v>
      </c>
      <c r="AG1995" s="32">
        <v>1</v>
      </c>
      <c r="AH1995" s="32">
        <v>1</v>
      </c>
      <c r="AI1995" s="19">
        <v>2</v>
      </c>
      <c r="AJ1995" s="19">
        <v>2</v>
      </c>
      <c r="AK1995" s="19">
        <v>0</v>
      </c>
      <c r="AL1995" s="19">
        <v>1.5</v>
      </c>
      <c r="AM1995" s="32">
        <v>0</v>
      </c>
      <c r="AN1995" s="32">
        <v>0</v>
      </c>
      <c r="AO1995" s="32">
        <v>0</v>
      </c>
      <c r="AP1995" s="32">
        <v>1</v>
      </c>
      <c r="AQ1995" s="32">
        <v>30000</v>
      </c>
      <c r="AR1995" s="32">
        <v>0</v>
      </c>
      <c r="AS1995" s="32">
        <v>4</v>
      </c>
      <c r="AT1995" s="19">
        <v>0</v>
      </c>
      <c r="AU1995" s="21" t="s">
        <v>665</v>
      </c>
      <c r="AV1995" s="21"/>
      <c r="AW1995" s="35" t="s">
        <v>205</v>
      </c>
      <c r="AX1995" s="32" t="s">
        <v>551</v>
      </c>
      <c r="AY1995" s="32">
        <v>10003002</v>
      </c>
      <c r="AZ1995" s="32">
        <v>70106005</v>
      </c>
      <c r="BA1995" s="35" t="s">
        <v>592</v>
      </c>
      <c r="BB1995" s="35">
        <v>0</v>
      </c>
      <c r="BC1995" s="31">
        <v>0</v>
      </c>
      <c r="BD1995" s="31">
        <v>0</v>
      </c>
      <c r="BE1995" s="60" t="s">
        <v>1071</v>
      </c>
      <c r="BF1995" s="60" t="s">
        <v>1072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70503002</v>
      </c>
      <c r="D1996" s="30" t="s">
        <v>1073</v>
      </c>
      <c r="E1996" s="30" t="s">
        <v>1074</v>
      </c>
      <c r="F1996" s="32">
        <v>1</v>
      </c>
      <c r="G1996" s="21">
        <v>60010100</v>
      </c>
      <c r="H1996" s="32">
        <v>0</v>
      </c>
      <c r="I1996" s="31">
        <v>0</v>
      </c>
      <c r="J1996" s="32">
        <v>1</v>
      </c>
      <c r="K1996" s="32">
        <v>0</v>
      </c>
      <c r="L1996" s="32">
        <v>0</v>
      </c>
      <c r="M1996" s="21">
        <v>0</v>
      </c>
      <c r="N1996" s="21">
        <v>0</v>
      </c>
      <c r="O1996" s="21">
        <v>2</v>
      </c>
      <c r="P1996" s="21">
        <v>1</v>
      </c>
      <c r="Q1996" s="21">
        <v>0.3</v>
      </c>
      <c r="R1996" s="21">
        <v>0</v>
      </c>
      <c r="S1996" s="19">
        <v>0</v>
      </c>
      <c r="T1996" s="21">
        <v>0</v>
      </c>
      <c r="U1996" s="21">
        <v>1</v>
      </c>
      <c r="V1996" s="21">
        <v>2</v>
      </c>
      <c r="W1996" s="21">
        <v>0</v>
      </c>
      <c r="X1996" s="21">
        <v>2.5</v>
      </c>
      <c r="Y1996" s="19">
        <v>0</v>
      </c>
      <c r="Z1996" s="21">
        <v>0</v>
      </c>
      <c r="AA1996" s="21">
        <v>1</v>
      </c>
      <c r="AB1996" s="21">
        <v>0</v>
      </c>
      <c r="AC1996" s="21">
        <v>0</v>
      </c>
      <c r="AD1996" s="21">
        <v>0</v>
      </c>
      <c r="AE1996" s="21">
        <v>0</v>
      </c>
      <c r="AF1996" s="21">
        <v>12</v>
      </c>
      <c r="AG1996" s="21">
        <v>1</v>
      </c>
      <c r="AH1996" s="21">
        <v>3</v>
      </c>
      <c r="AI1996" s="19">
        <v>4</v>
      </c>
      <c r="AJ1996" s="19">
        <v>1</v>
      </c>
      <c r="AK1996" s="19">
        <v>0</v>
      </c>
      <c r="AL1996" s="19">
        <v>1.5</v>
      </c>
      <c r="AM1996" s="21">
        <v>0</v>
      </c>
      <c r="AN1996" s="21">
        <v>0</v>
      </c>
      <c r="AO1996" s="21">
        <v>0</v>
      </c>
      <c r="AP1996" s="21">
        <v>2.5</v>
      </c>
      <c r="AQ1996" s="21">
        <v>5000</v>
      </c>
      <c r="AR1996" s="21">
        <v>2</v>
      </c>
      <c r="AS1996" s="21">
        <v>0</v>
      </c>
      <c r="AT1996" s="19">
        <v>0</v>
      </c>
      <c r="AU1996" s="21">
        <v>0</v>
      </c>
      <c r="AV1996" s="21"/>
      <c r="AW1996" s="35" t="s">
        <v>623</v>
      </c>
      <c r="AX1996" s="21" t="s">
        <v>540</v>
      </c>
      <c r="AY1996" s="32">
        <v>10000007</v>
      </c>
      <c r="AZ1996" s="32">
        <v>70404002</v>
      </c>
      <c r="BA1996" s="30" t="s">
        <v>206</v>
      </c>
      <c r="BB1996" s="21" t="s">
        <v>4658</v>
      </c>
      <c r="BC1996" s="31">
        <v>0</v>
      </c>
      <c r="BD1996" s="31">
        <v>0</v>
      </c>
      <c r="BE1996" s="33" t="s">
        <v>4640</v>
      </c>
      <c r="BF1996" s="33" t="s">
        <v>4641</v>
      </c>
      <c r="BG1996" s="21">
        <v>0</v>
      </c>
      <c r="BH1996" s="21">
        <v>0</v>
      </c>
      <c r="BI1996" s="21">
        <v>0</v>
      </c>
      <c r="BJ1996" s="21">
        <v>0</v>
      </c>
      <c r="BK1996" s="21">
        <v>0</v>
      </c>
      <c r="BL1996" s="21">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70503003</v>
      </c>
      <c r="D1997" s="35" t="s">
        <v>544</v>
      </c>
      <c r="E1997" s="35" t="s">
        <v>545</v>
      </c>
      <c r="F1997" s="32">
        <v>1</v>
      </c>
      <c r="G1997" s="32">
        <v>60010500</v>
      </c>
      <c r="H1997" s="32">
        <v>0</v>
      </c>
      <c r="I1997" s="31">
        <v>0</v>
      </c>
      <c r="J1997" s="32">
        <v>1</v>
      </c>
      <c r="K1997" s="32">
        <v>0</v>
      </c>
      <c r="L1997" s="32">
        <v>0</v>
      </c>
      <c r="M1997" s="32">
        <v>0</v>
      </c>
      <c r="N1997" s="32">
        <v>0</v>
      </c>
      <c r="O1997" s="21">
        <v>2</v>
      </c>
      <c r="P1997" s="32">
        <v>2</v>
      </c>
      <c r="Q1997" s="32">
        <v>0.6</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32">
        <v>20</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90401004</v>
      </c>
      <c r="AU1997" s="32" t="s">
        <v>204</v>
      </c>
      <c r="AV1997" s="32"/>
      <c r="AW1997" s="35" t="s">
        <v>204</v>
      </c>
      <c r="AX1997" s="32" t="s">
        <v>354</v>
      </c>
      <c r="AY1997" s="32">
        <v>0</v>
      </c>
      <c r="AZ1997" s="32">
        <v>40000003</v>
      </c>
      <c r="BA1997" s="35" t="s">
        <v>206</v>
      </c>
      <c r="BB1997" s="35" t="s">
        <v>204</v>
      </c>
      <c r="BC1997" s="31">
        <v>0</v>
      </c>
      <c r="BD1997" s="31">
        <v>0</v>
      </c>
      <c r="BE1997" s="60" t="s">
        <v>856</v>
      </c>
      <c r="BF1997" s="60" t="s">
        <v>857</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70503004</v>
      </c>
      <c r="D1998" s="35" t="s">
        <v>573</v>
      </c>
      <c r="E1998" s="35" t="s">
        <v>574</v>
      </c>
      <c r="F1998" s="32">
        <v>1</v>
      </c>
      <c r="G1998" s="32">
        <v>60010500</v>
      </c>
      <c r="H1998" s="32">
        <v>0</v>
      </c>
      <c r="I1998" s="31">
        <v>0</v>
      </c>
      <c r="J1998" s="32">
        <v>1</v>
      </c>
      <c r="K1998" s="32">
        <v>0</v>
      </c>
      <c r="L1998" s="32">
        <v>0</v>
      </c>
      <c r="M1998" s="32">
        <v>0</v>
      </c>
      <c r="N1998" s="32">
        <v>0</v>
      </c>
      <c r="O1998" s="21">
        <v>2</v>
      </c>
      <c r="P1998" s="32">
        <v>2</v>
      </c>
      <c r="Q1998" s="32">
        <v>0.3</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21">
        <v>15</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90402005</v>
      </c>
      <c r="AU1998" s="32" t="s">
        <v>204</v>
      </c>
      <c r="AV1998" s="32"/>
      <c r="AW1998" s="35" t="s">
        <v>205</v>
      </c>
      <c r="AX1998" s="32" t="s">
        <v>354</v>
      </c>
      <c r="AY1998" s="32">
        <v>0</v>
      </c>
      <c r="AZ1998" s="32">
        <v>0</v>
      </c>
      <c r="BA1998" s="35" t="s">
        <v>206</v>
      </c>
      <c r="BB1998" s="35" t="s">
        <v>204</v>
      </c>
      <c r="BC1998" s="31">
        <v>0</v>
      </c>
      <c r="BD1998" s="31">
        <v>0</v>
      </c>
      <c r="BE1998" s="60" t="s">
        <v>761</v>
      </c>
      <c r="BF1998" s="60" t="s">
        <v>762</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70503005</v>
      </c>
      <c r="D1999" s="30" t="s">
        <v>1666</v>
      </c>
      <c r="E1999" s="30" t="s">
        <v>1667</v>
      </c>
      <c r="F1999" s="21">
        <v>2</v>
      </c>
      <c r="G1999" s="21">
        <v>61012301</v>
      </c>
      <c r="H1999" s="21">
        <v>0</v>
      </c>
      <c r="I1999" s="31">
        <v>0</v>
      </c>
      <c r="J1999" s="32">
        <v>1</v>
      </c>
      <c r="K1999" s="32">
        <v>0</v>
      </c>
      <c r="L1999" s="32">
        <v>0</v>
      </c>
      <c r="M1999" s="21">
        <v>0</v>
      </c>
      <c r="N1999" s="21">
        <v>0</v>
      </c>
      <c r="O1999" s="21">
        <v>2</v>
      </c>
      <c r="P1999" s="21">
        <v>1</v>
      </c>
      <c r="Q1999" s="21">
        <v>0.5</v>
      </c>
      <c r="R1999" s="21">
        <v>0</v>
      </c>
      <c r="S1999" s="19">
        <v>0</v>
      </c>
      <c r="T1999" s="21">
        <v>0</v>
      </c>
      <c r="U1999" s="21">
        <v>1</v>
      </c>
      <c r="V1999" s="21">
        <v>2</v>
      </c>
      <c r="W1999" s="21">
        <v>0</v>
      </c>
      <c r="X1999" s="21">
        <v>3</v>
      </c>
      <c r="Y1999" s="19">
        <v>0</v>
      </c>
      <c r="Z1999" s="21">
        <v>0</v>
      </c>
      <c r="AA1999" s="21">
        <v>1</v>
      </c>
      <c r="AB1999" s="21">
        <v>0</v>
      </c>
      <c r="AC1999" s="21">
        <v>0</v>
      </c>
      <c r="AD1999" s="21">
        <v>0</v>
      </c>
      <c r="AE1999" s="21">
        <v>0</v>
      </c>
      <c r="AF1999" s="21">
        <v>12</v>
      </c>
      <c r="AG1999" s="21">
        <v>2</v>
      </c>
      <c r="AH1999" s="21" t="s">
        <v>219</v>
      </c>
      <c r="AI1999" s="19">
        <v>0</v>
      </c>
      <c r="AJ1999" s="19">
        <v>2</v>
      </c>
      <c r="AK1999" s="19">
        <v>0</v>
      </c>
      <c r="AL1999" s="19">
        <v>1.5</v>
      </c>
      <c r="AM1999" s="21">
        <v>0</v>
      </c>
      <c r="AN1999" s="21">
        <v>0</v>
      </c>
      <c r="AO1999" s="21">
        <v>0</v>
      </c>
      <c r="AP1999" s="21">
        <v>0.2</v>
      </c>
      <c r="AQ1999" s="21">
        <v>200</v>
      </c>
      <c r="AR1999" s="21">
        <v>1</v>
      </c>
      <c r="AS1999" s="21">
        <v>30</v>
      </c>
      <c r="AT1999" s="19">
        <v>0</v>
      </c>
      <c r="AU1999" s="21" t="s">
        <v>204</v>
      </c>
      <c r="AV1999" s="21"/>
      <c r="AW1999" s="30" t="s">
        <v>262</v>
      </c>
      <c r="AX1999" s="21" t="s">
        <v>221</v>
      </c>
      <c r="AY1999" s="32">
        <v>10000011</v>
      </c>
      <c r="AZ1999" s="32">
        <v>70404001</v>
      </c>
      <c r="BA1999" s="30" t="s">
        <v>222</v>
      </c>
      <c r="BB1999" s="21">
        <v>0</v>
      </c>
      <c r="BC1999" s="31">
        <v>0</v>
      </c>
      <c r="BD1999" s="31">
        <v>0</v>
      </c>
      <c r="BE1999" s="33" t="s">
        <v>4643</v>
      </c>
      <c r="BF1999" s="33" t="s">
        <v>4644</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70503006</v>
      </c>
      <c r="D2000" s="30" t="s">
        <v>1035</v>
      </c>
      <c r="E2000" s="30" t="s">
        <v>1036</v>
      </c>
      <c r="F2000" s="32">
        <v>1</v>
      </c>
      <c r="G2000" s="21">
        <v>60010100</v>
      </c>
      <c r="H2000" s="32">
        <v>0</v>
      </c>
      <c r="I2000" s="31">
        <v>0</v>
      </c>
      <c r="J2000" s="32">
        <v>1</v>
      </c>
      <c r="K2000" s="32">
        <v>0</v>
      </c>
      <c r="L2000" s="32">
        <v>0</v>
      </c>
      <c r="M2000" s="21">
        <v>0</v>
      </c>
      <c r="N2000" s="21">
        <v>0</v>
      </c>
      <c r="O2000" s="21">
        <v>2</v>
      </c>
      <c r="P2000" s="21">
        <v>1</v>
      </c>
      <c r="Q2000" s="21">
        <v>0.3</v>
      </c>
      <c r="R2000" s="21">
        <v>0</v>
      </c>
      <c r="S2000" s="19">
        <v>0</v>
      </c>
      <c r="T2000" s="21">
        <v>0</v>
      </c>
      <c r="U2000" s="21">
        <v>1</v>
      </c>
      <c r="V2000" s="21">
        <v>2</v>
      </c>
      <c r="W2000" s="21">
        <v>0</v>
      </c>
      <c r="X2000" s="21">
        <v>2</v>
      </c>
      <c r="Y2000" s="19">
        <v>0</v>
      </c>
      <c r="Z2000" s="21">
        <v>0</v>
      </c>
      <c r="AA2000" s="21">
        <v>1</v>
      </c>
      <c r="AB2000" s="21">
        <v>0</v>
      </c>
      <c r="AC2000" s="21">
        <v>0</v>
      </c>
      <c r="AD2000" s="21">
        <v>0</v>
      </c>
      <c r="AE2000" s="21">
        <v>0</v>
      </c>
      <c r="AF2000" s="21">
        <v>12</v>
      </c>
      <c r="AG2000" s="21">
        <v>1</v>
      </c>
      <c r="AH2000" s="21">
        <v>3</v>
      </c>
      <c r="AI2000" s="19">
        <v>4</v>
      </c>
      <c r="AJ2000" s="19">
        <v>1</v>
      </c>
      <c r="AK2000" s="19">
        <v>0</v>
      </c>
      <c r="AL2000" s="19">
        <v>1.5</v>
      </c>
      <c r="AM2000" s="21">
        <v>0</v>
      </c>
      <c r="AN2000" s="21">
        <v>0</v>
      </c>
      <c r="AO2000" s="21">
        <v>0</v>
      </c>
      <c r="AP2000" s="21">
        <v>3</v>
      </c>
      <c r="AQ2000" s="21">
        <v>999999</v>
      </c>
      <c r="AR2000" s="21">
        <v>3</v>
      </c>
      <c r="AS2000" s="21">
        <v>0</v>
      </c>
      <c r="AT2000" s="19">
        <v>0</v>
      </c>
      <c r="AU2000" s="21" t="s">
        <v>204</v>
      </c>
      <c r="AV2000" s="21"/>
      <c r="AW2000" s="35" t="s">
        <v>293</v>
      </c>
      <c r="AX2000" s="21" t="s">
        <v>540</v>
      </c>
      <c r="AY2000" s="32">
        <v>10000007</v>
      </c>
      <c r="AZ2000" s="32">
        <v>70302004</v>
      </c>
      <c r="BA2000" s="30" t="s">
        <v>206</v>
      </c>
      <c r="BB2000" s="21" t="s">
        <v>4659</v>
      </c>
      <c r="BC2000" s="31">
        <v>0</v>
      </c>
      <c r="BD2000" s="31">
        <v>0</v>
      </c>
      <c r="BE2000" s="33" t="s">
        <v>4543</v>
      </c>
      <c r="BF2000" s="33" t="s">
        <v>4544</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70504001</v>
      </c>
      <c r="D2001" s="30" t="s">
        <v>1092</v>
      </c>
      <c r="E2001" s="30" t="s">
        <v>1093</v>
      </c>
      <c r="F2001" s="21">
        <v>1</v>
      </c>
      <c r="G2001" s="21">
        <v>60010300</v>
      </c>
      <c r="H2001" s="32">
        <v>0</v>
      </c>
      <c r="I2001" s="31">
        <v>0</v>
      </c>
      <c r="J2001" s="32">
        <v>1</v>
      </c>
      <c r="K2001" s="32">
        <v>0</v>
      </c>
      <c r="L2001" s="32">
        <v>0</v>
      </c>
      <c r="M2001" s="21">
        <v>0</v>
      </c>
      <c r="N2001" s="21">
        <v>0</v>
      </c>
      <c r="O2001" s="21">
        <v>2</v>
      </c>
      <c r="P2001" s="21">
        <v>2</v>
      </c>
      <c r="Q2001" s="21">
        <v>0.8</v>
      </c>
      <c r="R2001" s="21">
        <v>1</v>
      </c>
      <c r="S2001" s="19">
        <v>0</v>
      </c>
      <c r="T2001" s="21">
        <v>0</v>
      </c>
      <c r="U2001" s="21">
        <v>1</v>
      </c>
      <c r="V2001" s="21">
        <v>2</v>
      </c>
      <c r="W2001" s="21">
        <v>0</v>
      </c>
      <c r="X2001" s="21">
        <v>0</v>
      </c>
      <c r="Y2001" s="19">
        <v>0</v>
      </c>
      <c r="Z2001" s="21">
        <v>0</v>
      </c>
      <c r="AA2001" s="21">
        <v>0</v>
      </c>
      <c r="AB2001" s="21">
        <v>0</v>
      </c>
      <c r="AC2001" s="21">
        <v>0</v>
      </c>
      <c r="AD2001" s="21">
        <v>0</v>
      </c>
      <c r="AE2001" s="21">
        <v>0</v>
      </c>
      <c r="AF2001" s="21">
        <v>99999</v>
      </c>
      <c r="AG2001" s="21">
        <v>0</v>
      </c>
      <c r="AH2001" s="21">
        <v>0</v>
      </c>
      <c r="AI2001" s="19">
        <v>2</v>
      </c>
      <c r="AJ2001" s="19">
        <v>2</v>
      </c>
      <c r="AK2001" s="19">
        <v>0</v>
      </c>
      <c r="AL2001" s="19">
        <v>1.5</v>
      </c>
      <c r="AM2001" s="21">
        <v>0</v>
      </c>
      <c r="AN2001" s="21">
        <v>0</v>
      </c>
      <c r="AO2001" s="21">
        <v>0</v>
      </c>
      <c r="AP2001" s="21">
        <v>1</v>
      </c>
      <c r="AQ2001" s="21">
        <v>3000</v>
      </c>
      <c r="AR2001" s="21">
        <v>0.5</v>
      </c>
      <c r="AS2001" s="21">
        <v>0</v>
      </c>
      <c r="AT2001" s="19">
        <v>0</v>
      </c>
      <c r="AU2001" s="21" t="s">
        <v>204</v>
      </c>
      <c r="AV2001" s="21"/>
      <c r="AW2001" s="35" t="s">
        <v>205</v>
      </c>
      <c r="AX2001" s="21" t="s">
        <v>551</v>
      </c>
      <c r="AY2001" s="32">
        <v>0</v>
      </c>
      <c r="AZ2001" s="32">
        <v>0</v>
      </c>
      <c r="BA2001" s="30" t="s">
        <v>534</v>
      </c>
      <c r="BB2001" s="21" t="s">
        <v>1094</v>
      </c>
      <c r="BC2001" s="31">
        <v>0</v>
      </c>
      <c r="BD2001" s="31">
        <v>0</v>
      </c>
      <c r="BE2001" s="33" t="s">
        <v>1095</v>
      </c>
      <c r="BF2001" s="33" t="s">
        <v>1096</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19.5" customHeight="1">
      <c r="C2002" s="32">
        <v>70504002</v>
      </c>
      <c r="D2002" s="30" t="s">
        <v>1097</v>
      </c>
      <c r="E2002" s="30" t="s">
        <v>1098</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2.5</v>
      </c>
      <c r="Y2002" s="19">
        <v>0</v>
      </c>
      <c r="Z2002" s="21">
        <v>0</v>
      </c>
      <c r="AA2002" s="21">
        <v>1</v>
      </c>
      <c r="AB2002" s="21">
        <v>0</v>
      </c>
      <c r="AC2002" s="21">
        <v>0</v>
      </c>
      <c r="AD2002" s="21">
        <v>0</v>
      </c>
      <c r="AE2002" s="21">
        <v>0</v>
      </c>
      <c r="AF2002" s="21">
        <v>16</v>
      </c>
      <c r="AG2002" s="21">
        <v>1</v>
      </c>
      <c r="AH2002" s="21" t="s">
        <v>613</v>
      </c>
      <c r="AI2002" s="19">
        <v>0</v>
      </c>
      <c r="AJ2002" s="19">
        <v>1</v>
      </c>
      <c r="AK2002" s="19">
        <v>0</v>
      </c>
      <c r="AL2002" s="19">
        <v>3</v>
      </c>
      <c r="AM2002" s="21">
        <v>0</v>
      </c>
      <c r="AN2002" s="21">
        <v>0</v>
      </c>
      <c r="AO2002" s="21">
        <v>0</v>
      </c>
      <c r="AP2002" s="21">
        <v>3</v>
      </c>
      <c r="AQ2002" s="21">
        <v>5000</v>
      </c>
      <c r="AR2002" s="21">
        <v>2.5</v>
      </c>
      <c r="AS2002" s="21">
        <v>0</v>
      </c>
      <c r="AT2002" s="19">
        <v>0</v>
      </c>
      <c r="AU2002" s="21">
        <v>80001030</v>
      </c>
      <c r="AV2002" s="21"/>
      <c r="AW2002" s="35" t="s">
        <v>293</v>
      </c>
      <c r="AX2002" s="21" t="s">
        <v>540</v>
      </c>
      <c r="AY2002" s="32">
        <v>10000007</v>
      </c>
      <c r="AZ2002" s="32">
        <v>70204001</v>
      </c>
      <c r="BA2002" s="30" t="s">
        <v>206</v>
      </c>
      <c r="BB2002" s="21">
        <v>0</v>
      </c>
      <c r="BC2002" s="31">
        <v>0</v>
      </c>
      <c r="BD2002" s="31">
        <v>0</v>
      </c>
      <c r="BE2002" s="33" t="s">
        <v>1099</v>
      </c>
      <c r="BF2002" s="33" t="s">
        <v>1100</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70504003</v>
      </c>
      <c r="D2003" s="30" t="s">
        <v>952</v>
      </c>
      <c r="E2003" s="30" t="s">
        <v>953</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v>
      </c>
      <c r="Y2003" s="19">
        <v>0</v>
      </c>
      <c r="Z2003" s="21">
        <v>0</v>
      </c>
      <c r="AA2003" s="21">
        <v>1</v>
      </c>
      <c r="AB2003" s="21">
        <v>0</v>
      </c>
      <c r="AC2003" s="21">
        <v>0</v>
      </c>
      <c r="AD2003" s="21">
        <v>0</v>
      </c>
      <c r="AE2003" s="21">
        <v>0</v>
      </c>
      <c r="AF2003" s="21">
        <v>16</v>
      </c>
      <c r="AG2003" s="21">
        <v>1</v>
      </c>
      <c r="AH2003" s="21">
        <v>3</v>
      </c>
      <c r="AI2003" s="19">
        <v>4</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262</v>
      </c>
      <c r="AX2003" s="21" t="s">
        <v>540</v>
      </c>
      <c r="AY2003" s="32">
        <v>10000007</v>
      </c>
      <c r="AZ2003" s="32">
        <v>70204002</v>
      </c>
      <c r="BA2003" s="30" t="s">
        <v>206</v>
      </c>
      <c r="BB2003" s="21" t="s">
        <v>4660</v>
      </c>
      <c r="BC2003" s="31">
        <v>0</v>
      </c>
      <c r="BD2003" s="31">
        <v>0</v>
      </c>
      <c r="BE2003" s="33" t="s">
        <v>1102</v>
      </c>
      <c r="BF2003" s="33" t="s">
        <v>1103</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70504004</v>
      </c>
      <c r="D2004" s="30" t="s">
        <v>957</v>
      </c>
      <c r="E2004" s="30" t="s">
        <v>958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v>3</v>
      </c>
      <c r="AI2004" s="19">
        <v>6</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623</v>
      </c>
      <c r="AX2004" s="21" t="s">
        <v>540</v>
      </c>
      <c r="AY2004" s="32">
        <v>10000007</v>
      </c>
      <c r="AZ2004" s="32">
        <v>70204003</v>
      </c>
      <c r="BA2004" s="30" t="s">
        <v>206</v>
      </c>
      <c r="BB2004" s="21" t="s">
        <v>4661</v>
      </c>
      <c r="BC2004" s="31">
        <v>0</v>
      </c>
      <c r="BD2004" s="31">
        <v>0</v>
      </c>
      <c r="BE2004" s="33" t="s">
        <v>1105</v>
      </c>
      <c r="BF2004" s="33" t="s">
        <v>1106</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19.5" customHeight="1">
      <c r="C2005" s="32">
        <v>70504005</v>
      </c>
      <c r="D2005" s="30" t="s">
        <v>1107</v>
      </c>
      <c r="E2005" s="30" t="s">
        <v>1108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t="s">
        <v>613</v>
      </c>
      <c r="AI2005" s="19">
        <v>0</v>
      </c>
      <c r="AJ2005" s="19">
        <v>1</v>
      </c>
      <c r="AK2005" s="19">
        <v>0</v>
      </c>
      <c r="AL2005" s="19">
        <v>3</v>
      </c>
      <c r="AM2005" s="21">
        <v>0</v>
      </c>
      <c r="AN2005" s="21">
        <v>0</v>
      </c>
      <c r="AO2005" s="21">
        <v>0</v>
      </c>
      <c r="AP2005" s="21">
        <v>2.5</v>
      </c>
      <c r="AQ2005" s="21">
        <v>5000</v>
      </c>
      <c r="AR2005" s="21">
        <v>2</v>
      </c>
      <c r="AS2005" s="21">
        <v>0</v>
      </c>
      <c r="AT2005" s="19">
        <v>0</v>
      </c>
      <c r="AU2005" s="21">
        <v>80001030</v>
      </c>
      <c r="AV2005" s="21"/>
      <c r="AW2005" s="35" t="s">
        <v>262</v>
      </c>
      <c r="AX2005" s="21" t="s">
        <v>540</v>
      </c>
      <c r="AY2005" s="32">
        <v>10000007</v>
      </c>
      <c r="AZ2005" s="32">
        <v>70405001</v>
      </c>
      <c r="BA2005" s="30" t="s">
        <v>206</v>
      </c>
      <c r="BB2005" s="21">
        <v>0</v>
      </c>
      <c r="BC2005" s="31">
        <v>0</v>
      </c>
      <c r="BD2005" s="31">
        <v>0</v>
      </c>
      <c r="BE2005" s="33" t="s">
        <v>1109</v>
      </c>
      <c r="BF2005" s="33" t="s">
        <v>1110</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70505001</v>
      </c>
      <c r="D2006" s="30" t="s">
        <v>1122</v>
      </c>
      <c r="E2006" s="30" t="s">
        <v>397</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1</v>
      </c>
      <c r="AH2006" s="21">
        <v>3</v>
      </c>
      <c r="AI2006" s="19">
        <v>4</v>
      </c>
      <c r="AJ2006" s="19">
        <v>1</v>
      </c>
      <c r="AK2006" s="19">
        <v>0</v>
      </c>
      <c r="AL2006" s="19">
        <v>1.5</v>
      </c>
      <c r="AM2006" s="21">
        <v>0</v>
      </c>
      <c r="AN2006" s="21">
        <v>0</v>
      </c>
      <c r="AO2006" s="21">
        <v>0</v>
      </c>
      <c r="AP2006" s="21">
        <v>3</v>
      </c>
      <c r="AQ2006" s="21">
        <v>5000</v>
      </c>
      <c r="AR2006" s="21">
        <v>3</v>
      </c>
      <c r="AS2006" s="21">
        <v>0</v>
      </c>
      <c r="AT2006" s="19">
        <v>0</v>
      </c>
      <c r="AU2006" s="21">
        <v>80001030</v>
      </c>
      <c r="AV2006" s="21"/>
      <c r="AW2006" s="35" t="s">
        <v>262</v>
      </c>
      <c r="AX2006" s="21" t="s">
        <v>540</v>
      </c>
      <c r="AY2006" s="32">
        <v>10000007</v>
      </c>
      <c r="AZ2006" s="32">
        <v>70204002</v>
      </c>
      <c r="BA2006" s="30" t="s">
        <v>206</v>
      </c>
      <c r="BB2006" s="21" t="s">
        <v>4662</v>
      </c>
      <c r="BC2006" s="31">
        <v>0</v>
      </c>
      <c r="BD2006" s="31">
        <v>0</v>
      </c>
      <c r="BE2006" s="33" t="s">
        <v>1328</v>
      </c>
      <c r="BF2006" s="33" t="s">
        <v>1329</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70505002</v>
      </c>
      <c r="D2007" s="30" t="s">
        <v>1330</v>
      </c>
      <c r="E2007" s="30" t="s">
        <v>1331</v>
      </c>
      <c r="F2007" s="32">
        <v>1</v>
      </c>
      <c r="G2007" s="21">
        <v>60010100</v>
      </c>
      <c r="H2007" s="32">
        <v>0</v>
      </c>
      <c r="I2007" s="31">
        <v>0</v>
      </c>
      <c r="J2007" s="32">
        <v>1</v>
      </c>
      <c r="K2007" s="32">
        <v>0</v>
      </c>
      <c r="L2007" s="32">
        <v>0</v>
      </c>
      <c r="M2007" s="21">
        <v>0</v>
      </c>
      <c r="N2007" s="21">
        <v>0</v>
      </c>
      <c r="O2007" s="21">
        <v>2</v>
      </c>
      <c r="P2007" s="21">
        <v>1</v>
      </c>
      <c r="Q2007" s="21">
        <v>1</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2</v>
      </c>
      <c r="AH2007" s="21" t="s">
        <v>219</v>
      </c>
      <c r="AI2007" s="19">
        <v>0</v>
      </c>
      <c r="AJ2007" s="19">
        <v>2</v>
      </c>
      <c r="AK2007" s="19">
        <v>0</v>
      </c>
      <c r="AL2007" s="19">
        <v>1.5</v>
      </c>
      <c r="AM2007" s="21">
        <v>0</v>
      </c>
      <c r="AN2007" s="21">
        <v>0</v>
      </c>
      <c r="AO2007" s="21">
        <v>0</v>
      </c>
      <c r="AP2007" s="21">
        <v>1.5</v>
      </c>
      <c r="AQ2007" s="21">
        <v>10000</v>
      </c>
      <c r="AR2007" s="21">
        <v>1</v>
      </c>
      <c r="AS2007" s="21">
        <v>5</v>
      </c>
      <c r="AT2007" s="19">
        <v>0</v>
      </c>
      <c r="AU2007" s="21" t="s">
        <v>204</v>
      </c>
      <c r="AV2007" s="21"/>
      <c r="AW2007" s="35" t="s">
        <v>623</v>
      </c>
      <c r="AX2007" s="21" t="s">
        <v>540</v>
      </c>
      <c r="AY2007" s="32">
        <v>10000007</v>
      </c>
      <c r="AZ2007" s="32">
        <v>70302003</v>
      </c>
      <c r="BA2007" s="35" t="s">
        <v>592</v>
      </c>
      <c r="BB2007" s="21">
        <v>0</v>
      </c>
      <c r="BC2007" s="31">
        <v>0</v>
      </c>
      <c r="BD2007" s="31">
        <v>0</v>
      </c>
      <c r="BE2007" s="33" t="s">
        <v>1114</v>
      </c>
      <c r="BF2007" s="33" t="s">
        <v>1115</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70505003</v>
      </c>
      <c r="D2008" s="35" t="s">
        <v>627</v>
      </c>
      <c r="E2008" s="35" t="s">
        <v>628</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12</v>
      </c>
      <c r="AG2008" s="32">
        <v>0</v>
      </c>
      <c r="AH2008" s="32">
        <v>0</v>
      </c>
      <c r="AI2008" s="19">
        <v>7</v>
      </c>
      <c r="AJ2008" s="19">
        <v>0</v>
      </c>
      <c r="AK2008" s="19">
        <v>0</v>
      </c>
      <c r="AL2008" s="19">
        <v>0</v>
      </c>
      <c r="AM2008" s="32">
        <v>0</v>
      </c>
      <c r="AN2008" s="32">
        <v>0</v>
      </c>
      <c r="AO2008" s="32">
        <v>0</v>
      </c>
      <c r="AP2008" s="32">
        <v>0</v>
      </c>
      <c r="AQ2008" s="32">
        <v>1000</v>
      </c>
      <c r="AR2008" s="32">
        <v>0</v>
      </c>
      <c r="AS2008" s="32">
        <v>0</v>
      </c>
      <c r="AT2008" s="19">
        <v>0</v>
      </c>
      <c r="AU2008" s="32">
        <v>90204004</v>
      </c>
      <c r="AV2008" s="32"/>
      <c r="AW2008" s="35" t="s">
        <v>205</v>
      </c>
      <c r="AX2008" s="32" t="s">
        <v>354</v>
      </c>
      <c r="AY2008" s="32">
        <v>0</v>
      </c>
      <c r="AZ2008" s="32">
        <v>0</v>
      </c>
      <c r="BA2008" s="35" t="s">
        <v>206</v>
      </c>
      <c r="BB2008" s="35" t="s">
        <v>204</v>
      </c>
      <c r="BC2008" s="31">
        <v>0</v>
      </c>
      <c r="BD2008" s="31">
        <v>0</v>
      </c>
      <c r="BE2008" s="60" t="s">
        <v>629</v>
      </c>
      <c r="BF2008" s="60" t="s">
        <v>630</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70505004</v>
      </c>
      <c r="D2009" s="35" t="s">
        <v>763</v>
      </c>
      <c r="E2009" s="35" t="s">
        <v>405</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15</v>
      </c>
      <c r="AG2009" s="32">
        <v>0</v>
      </c>
      <c r="AH2009" s="32">
        <v>0</v>
      </c>
      <c r="AI2009" s="19">
        <v>2</v>
      </c>
      <c r="AJ2009" s="19">
        <v>0</v>
      </c>
      <c r="AK2009" s="19">
        <v>0</v>
      </c>
      <c r="AL2009" s="19">
        <v>0</v>
      </c>
      <c r="AM2009" s="32">
        <v>0</v>
      </c>
      <c r="AN2009" s="32">
        <v>0</v>
      </c>
      <c r="AO2009" s="32">
        <v>0</v>
      </c>
      <c r="AP2009" s="32">
        <v>0</v>
      </c>
      <c r="AQ2009" s="32">
        <v>1000</v>
      </c>
      <c r="AR2009" s="32">
        <v>0</v>
      </c>
      <c r="AS2009" s="32">
        <v>0</v>
      </c>
      <c r="AT2009" s="19" t="s">
        <v>760</v>
      </c>
      <c r="AU2009" s="32" t="s">
        <v>204</v>
      </c>
      <c r="AV2009" s="32"/>
      <c r="AW2009" s="35" t="s">
        <v>205</v>
      </c>
      <c r="AX2009" s="32" t="s">
        <v>354</v>
      </c>
      <c r="AY2009" s="32">
        <v>0</v>
      </c>
      <c r="AZ2009" s="32">
        <v>0</v>
      </c>
      <c r="BA2009" s="35" t="s">
        <v>206</v>
      </c>
      <c r="BB2009" s="35" t="s">
        <v>204</v>
      </c>
      <c r="BC2009" s="31">
        <v>0</v>
      </c>
      <c r="BD2009" s="31">
        <v>0</v>
      </c>
      <c r="BE2009" s="60" t="s">
        <v>1124</v>
      </c>
      <c r="BF2009" s="60" t="s">
        <v>1125</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70505005</v>
      </c>
      <c r="D2010" s="30" t="s">
        <v>1332</v>
      </c>
      <c r="E2010" s="30" t="s">
        <v>1333</v>
      </c>
      <c r="F2010" s="32">
        <v>1</v>
      </c>
      <c r="G2010" s="21">
        <v>60010100</v>
      </c>
      <c r="H2010" s="32">
        <v>0</v>
      </c>
      <c r="I2010" s="31">
        <v>0</v>
      </c>
      <c r="J2010" s="32">
        <v>1</v>
      </c>
      <c r="K2010" s="32">
        <v>0</v>
      </c>
      <c r="L2010" s="32">
        <v>0</v>
      </c>
      <c r="M2010" s="21">
        <v>0</v>
      </c>
      <c r="N2010" s="21">
        <v>0</v>
      </c>
      <c r="O2010" s="21">
        <v>2</v>
      </c>
      <c r="P2010" s="21">
        <v>1</v>
      </c>
      <c r="Q2010" s="21">
        <v>0.3</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15</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665</v>
      </c>
      <c r="AV2010" s="21"/>
      <c r="AW2010" s="35" t="s">
        <v>293</v>
      </c>
      <c r="AX2010" s="21" t="s">
        <v>540</v>
      </c>
      <c r="AY2010" s="32">
        <v>10000007</v>
      </c>
      <c r="AZ2010" s="32">
        <v>70305005</v>
      </c>
      <c r="BA2010" s="30" t="s">
        <v>206</v>
      </c>
      <c r="BB2010" s="21">
        <v>0</v>
      </c>
      <c r="BC2010" s="31">
        <v>0</v>
      </c>
      <c r="BD2010" s="31">
        <v>0</v>
      </c>
      <c r="BE2010" s="33" t="s">
        <v>1128</v>
      </c>
      <c r="BF2010" s="33" t="s">
        <v>1129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70505006</v>
      </c>
      <c r="D2011" s="30" t="s">
        <v>4607</v>
      </c>
      <c r="E2011" s="30" t="s">
        <v>4608</v>
      </c>
      <c r="F2011" s="32">
        <v>1</v>
      </c>
      <c r="G2011" s="21">
        <v>60010100</v>
      </c>
      <c r="H2011" s="32">
        <v>0</v>
      </c>
      <c r="I2011" s="31">
        <v>0</v>
      </c>
      <c r="J2011" s="32">
        <v>1</v>
      </c>
      <c r="K2011" s="32">
        <v>0</v>
      </c>
      <c r="L2011" s="32">
        <v>0</v>
      </c>
      <c r="M2011" s="21">
        <v>0</v>
      </c>
      <c r="N2011" s="21">
        <v>0</v>
      </c>
      <c r="O2011" s="21">
        <v>2</v>
      </c>
      <c r="P2011" s="21">
        <v>1</v>
      </c>
      <c r="Q2011" s="21">
        <v>1</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7</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204</v>
      </c>
      <c r="AV2011" s="21"/>
      <c r="AW2011" s="35" t="s">
        <v>205</v>
      </c>
      <c r="AX2011" s="21" t="s">
        <v>540</v>
      </c>
      <c r="AY2011" s="32">
        <v>10000007</v>
      </c>
      <c r="AZ2011" s="32">
        <v>70305007</v>
      </c>
      <c r="BA2011" s="30" t="s">
        <v>206</v>
      </c>
      <c r="BB2011" s="21">
        <v>0</v>
      </c>
      <c r="BC2011" s="31">
        <v>0</v>
      </c>
      <c r="BD2011" s="31">
        <v>0</v>
      </c>
      <c r="BE2011" s="33" t="s">
        <v>588</v>
      </c>
      <c r="BF2011" s="33" t="s">
        <v>589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70505007</v>
      </c>
      <c r="D2012" s="30" t="s">
        <v>1130</v>
      </c>
      <c r="E2012" s="30" t="s">
        <v>1131</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1</v>
      </c>
      <c r="Y2012" s="19">
        <v>0</v>
      </c>
      <c r="Z2012" s="21">
        <v>0</v>
      </c>
      <c r="AA2012" s="21">
        <v>1</v>
      </c>
      <c r="AB2012" s="21">
        <v>0</v>
      </c>
      <c r="AC2012" s="21">
        <v>0</v>
      </c>
      <c r="AD2012" s="21">
        <v>0</v>
      </c>
      <c r="AE2012" s="21">
        <v>0</v>
      </c>
      <c r="AF2012" s="21">
        <v>30</v>
      </c>
      <c r="AG2012" s="21">
        <v>1</v>
      </c>
      <c r="AH2012" s="21" t="s">
        <v>867</v>
      </c>
      <c r="AI2012" s="19">
        <v>0</v>
      </c>
      <c r="AJ2012" s="19">
        <v>0</v>
      </c>
      <c r="AK2012" s="19">
        <v>0</v>
      </c>
      <c r="AL2012" s="19">
        <v>0</v>
      </c>
      <c r="AM2012" s="21">
        <v>0</v>
      </c>
      <c r="AN2012" s="21">
        <v>0</v>
      </c>
      <c r="AO2012" s="21">
        <v>0</v>
      </c>
      <c r="AP2012" s="21">
        <v>0.5</v>
      </c>
      <c r="AQ2012" s="21">
        <v>999999</v>
      </c>
      <c r="AR2012" s="21">
        <v>0.5</v>
      </c>
      <c r="AS2012" s="21">
        <v>0</v>
      </c>
      <c r="AT2012" s="19">
        <v>0</v>
      </c>
      <c r="AU2012" s="341" t="s">
        <v>1025</v>
      </c>
      <c r="AV2012" s="19"/>
      <c r="AW2012" s="35" t="s">
        <v>293</v>
      </c>
      <c r="AX2012" s="21" t="s">
        <v>540</v>
      </c>
      <c r="AY2012" s="32">
        <v>10000007</v>
      </c>
      <c r="AZ2012" s="32">
        <v>70202004</v>
      </c>
      <c r="BA2012" s="35" t="s">
        <v>321</v>
      </c>
      <c r="BB2012" s="35" t="s">
        <v>377</v>
      </c>
      <c r="BC2012" s="31">
        <v>0</v>
      </c>
      <c r="BD2012" s="31">
        <v>0</v>
      </c>
      <c r="BE2012" s="33" t="s">
        <v>1007</v>
      </c>
      <c r="BF2012" s="33" t="s">
        <v>1008</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70505008</v>
      </c>
      <c r="D2013" s="30" t="s">
        <v>1097</v>
      </c>
      <c r="E2013" s="30" t="s">
        <v>1098</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3</v>
      </c>
      <c r="Y2013" s="19">
        <v>0</v>
      </c>
      <c r="Z2013" s="21">
        <v>0</v>
      </c>
      <c r="AA2013" s="21">
        <v>1</v>
      </c>
      <c r="AB2013" s="21">
        <v>0</v>
      </c>
      <c r="AC2013" s="21">
        <v>0</v>
      </c>
      <c r="AD2013" s="21">
        <v>0</v>
      </c>
      <c r="AE2013" s="21">
        <v>0</v>
      </c>
      <c r="AF2013" s="21">
        <v>15</v>
      </c>
      <c r="AG2013" s="21">
        <v>1</v>
      </c>
      <c r="AH2013" s="21" t="s">
        <v>613</v>
      </c>
      <c r="AI2013" s="19">
        <v>0</v>
      </c>
      <c r="AJ2013" s="19">
        <v>1</v>
      </c>
      <c r="AK2013" s="19">
        <v>0</v>
      </c>
      <c r="AL2013" s="19">
        <v>3</v>
      </c>
      <c r="AM2013" s="21">
        <v>0</v>
      </c>
      <c r="AN2013" s="21">
        <v>0</v>
      </c>
      <c r="AO2013" s="21">
        <v>0</v>
      </c>
      <c r="AP2013" s="21">
        <v>3</v>
      </c>
      <c r="AQ2013" s="21">
        <v>5000</v>
      </c>
      <c r="AR2013" s="21">
        <v>2.5</v>
      </c>
      <c r="AS2013" s="21">
        <v>0</v>
      </c>
      <c r="AT2013" s="19">
        <v>0</v>
      </c>
      <c r="AU2013" s="21" t="s">
        <v>665</v>
      </c>
      <c r="AV2013" s="21"/>
      <c r="AW2013" s="35" t="s">
        <v>262</v>
      </c>
      <c r="AX2013" s="21" t="s">
        <v>540</v>
      </c>
      <c r="AY2013" s="32">
        <v>10000007</v>
      </c>
      <c r="AZ2013" s="32">
        <v>70403003</v>
      </c>
      <c r="BA2013" s="30" t="s">
        <v>206</v>
      </c>
      <c r="BB2013" s="21">
        <v>0</v>
      </c>
      <c r="BC2013" s="31">
        <v>0</v>
      </c>
      <c r="BD2013" s="31">
        <v>0</v>
      </c>
      <c r="BE2013" s="33" t="s">
        <v>1128</v>
      </c>
      <c r="BF2013" s="33" t="s">
        <v>1129</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71000001</v>
      </c>
      <c r="D2014" s="35" t="s">
        <v>4663</v>
      </c>
      <c r="E2014" s="35" t="s">
        <v>4664</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t="s">
        <v>4665</v>
      </c>
      <c r="AV2014" s="32"/>
      <c r="AW2014" s="35" t="s">
        <v>262</v>
      </c>
      <c r="AX2014" s="32" t="s">
        <v>540</v>
      </c>
      <c r="AY2014" s="32" t="s">
        <v>204</v>
      </c>
      <c r="AZ2014" s="32" t="s">
        <v>204</v>
      </c>
      <c r="BA2014" s="35" t="s">
        <v>206</v>
      </c>
      <c r="BB2014" s="35">
        <v>0</v>
      </c>
      <c r="BC2014" s="31">
        <v>0</v>
      </c>
      <c r="BD2014" s="31">
        <v>0</v>
      </c>
      <c r="BE2014" s="60" t="s">
        <v>4666</v>
      </c>
      <c r="BF2014" s="60" t="s">
        <v>4667</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71000002</v>
      </c>
      <c r="D2015" s="35" t="s">
        <v>4668</v>
      </c>
      <c r="E2015" s="35" t="s">
        <v>4669</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v>99004005</v>
      </c>
      <c r="AV2015" s="32"/>
      <c r="AW2015" s="35" t="s">
        <v>262</v>
      </c>
      <c r="AX2015" s="32" t="s">
        <v>540</v>
      </c>
      <c r="AY2015" s="32" t="s">
        <v>204</v>
      </c>
      <c r="AZ2015" s="32" t="s">
        <v>204</v>
      </c>
      <c r="BA2015" s="35" t="s">
        <v>206</v>
      </c>
      <c r="BB2015" s="35">
        <v>0</v>
      </c>
      <c r="BC2015" s="31">
        <v>0</v>
      </c>
      <c r="BD2015" s="31">
        <v>0</v>
      </c>
      <c r="BE2015" s="60" t="s">
        <v>4666</v>
      </c>
      <c r="BF2015" s="60" t="s">
        <v>4667</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73001101</v>
      </c>
      <c r="D2016" s="35" t="s">
        <v>1759</v>
      </c>
      <c r="E2016" s="35" t="s">
        <v>1760</v>
      </c>
      <c r="F2016" s="32">
        <v>1</v>
      </c>
      <c r="G2016" s="25">
        <v>0</v>
      </c>
      <c r="H2016" s="32">
        <v>0</v>
      </c>
      <c r="I2016" s="31">
        <v>0</v>
      </c>
      <c r="J2016" s="32">
        <v>1</v>
      </c>
      <c r="K2016" s="32">
        <v>0</v>
      </c>
      <c r="L2016" s="32">
        <v>0</v>
      </c>
      <c r="M2016" s="32">
        <v>0</v>
      </c>
      <c r="N2016" s="32">
        <v>0</v>
      </c>
      <c r="O2016" s="32">
        <v>2</v>
      </c>
      <c r="P2016" s="32">
        <v>1</v>
      </c>
      <c r="Q2016" s="32">
        <v>0.1</v>
      </c>
      <c r="R2016" s="32">
        <v>0</v>
      </c>
      <c r="S2016" s="19">
        <v>0</v>
      </c>
      <c r="T2016" s="31">
        <v>0</v>
      </c>
      <c r="U2016" s="21">
        <v>1</v>
      </c>
      <c r="V2016" s="32">
        <v>1</v>
      </c>
      <c r="W2016" s="32">
        <v>0</v>
      </c>
      <c r="X2016" s="32">
        <v>1.5</v>
      </c>
      <c r="Y2016" s="19">
        <v>0</v>
      </c>
      <c r="Z2016" s="32">
        <v>0</v>
      </c>
      <c r="AA2016" s="32">
        <v>0</v>
      </c>
      <c r="AB2016" s="32">
        <v>0</v>
      </c>
      <c r="AC2016" s="32">
        <v>0</v>
      </c>
      <c r="AD2016" s="32">
        <v>1</v>
      </c>
      <c r="AE2016" s="32">
        <v>0</v>
      </c>
      <c r="AF2016" s="32">
        <v>5</v>
      </c>
      <c r="AG2016" s="32">
        <v>1</v>
      </c>
      <c r="AH2016" s="32">
        <v>3</v>
      </c>
      <c r="AI2016" s="19">
        <v>2</v>
      </c>
      <c r="AJ2016" s="19">
        <v>1</v>
      </c>
      <c r="AK2016" s="19">
        <v>0</v>
      </c>
      <c r="AL2016" s="19">
        <v>6</v>
      </c>
      <c r="AM2016" s="32">
        <v>0</v>
      </c>
      <c r="AN2016" s="32">
        <v>0</v>
      </c>
      <c r="AO2016" s="32">
        <v>0</v>
      </c>
      <c r="AP2016" s="32">
        <v>0.5</v>
      </c>
      <c r="AQ2016" s="32">
        <v>5000</v>
      </c>
      <c r="AR2016" s="32">
        <v>0.2</v>
      </c>
      <c r="AS2016" s="32">
        <v>0</v>
      </c>
      <c r="AT2016" s="19">
        <v>0</v>
      </c>
      <c r="AU2016" s="32" t="s">
        <v>204</v>
      </c>
      <c r="AV2016" s="32"/>
      <c r="AW2016" s="35" t="s">
        <v>205</v>
      </c>
      <c r="AX2016" s="32">
        <v>0</v>
      </c>
      <c r="AY2016" s="32">
        <v>10000006</v>
      </c>
      <c r="AZ2016" s="26">
        <v>60000004</v>
      </c>
      <c r="BA2016" s="35" t="s">
        <v>1763</v>
      </c>
      <c r="BB2016" s="35" t="s">
        <v>204</v>
      </c>
      <c r="BC2016" s="31">
        <v>0</v>
      </c>
      <c r="BD2016" s="31">
        <v>0</v>
      </c>
      <c r="BE2016" s="60"/>
      <c r="BF2016" s="60"/>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73001102</v>
      </c>
      <c r="D2017" s="30" t="s">
        <v>538</v>
      </c>
      <c r="E2017" s="30" t="s">
        <v>261</v>
      </c>
      <c r="F2017" s="32">
        <v>1</v>
      </c>
      <c r="G2017" s="21">
        <v>0</v>
      </c>
      <c r="H2017" s="32">
        <v>0</v>
      </c>
      <c r="I2017" s="31">
        <v>0</v>
      </c>
      <c r="J2017" s="32">
        <v>1</v>
      </c>
      <c r="K2017" s="32">
        <v>0</v>
      </c>
      <c r="L2017" s="32">
        <v>0</v>
      </c>
      <c r="M2017" s="21">
        <v>0</v>
      </c>
      <c r="N2017" s="21">
        <v>0</v>
      </c>
      <c r="O2017" s="21">
        <v>2</v>
      </c>
      <c r="P2017" s="21">
        <v>1</v>
      </c>
      <c r="Q2017" s="21">
        <v>1</v>
      </c>
      <c r="R2017" s="21">
        <v>0</v>
      </c>
      <c r="S2017" s="19">
        <v>0</v>
      </c>
      <c r="T2017" s="21">
        <v>0</v>
      </c>
      <c r="U2017" s="21">
        <v>1</v>
      </c>
      <c r="V2017" s="21">
        <v>2</v>
      </c>
      <c r="W2017" s="21">
        <v>0</v>
      </c>
      <c r="X2017" s="21">
        <v>2</v>
      </c>
      <c r="Y2017" s="19">
        <v>0</v>
      </c>
      <c r="Z2017" s="21">
        <v>0</v>
      </c>
      <c r="AA2017" s="21">
        <v>1</v>
      </c>
      <c r="AB2017" s="21">
        <v>0</v>
      </c>
      <c r="AC2017" s="21">
        <v>0</v>
      </c>
      <c r="AD2017" s="21">
        <v>0</v>
      </c>
      <c r="AE2017" s="21">
        <v>0</v>
      </c>
      <c r="AF2017" s="21">
        <v>6</v>
      </c>
      <c r="AG2017" s="21">
        <v>1</v>
      </c>
      <c r="AH2017" s="21">
        <v>3</v>
      </c>
      <c r="AI2017" s="19">
        <v>0</v>
      </c>
      <c r="AJ2017" s="19">
        <v>0</v>
      </c>
      <c r="AK2017" s="19">
        <v>0</v>
      </c>
      <c r="AL2017" s="19">
        <v>1.5</v>
      </c>
      <c r="AM2017" s="21">
        <v>0</v>
      </c>
      <c r="AN2017" s="21">
        <v>0</v>
      </c>
      <c r="AO2017" s="21">
        <v>0</v>
      </c>
      <c r="AP2017" s="21">
        <v>1</v>
      </c>
      <c r="AQ2017" s="21">
        <v>5000</v>
      </c>
      <c r="AR2017" s="21">
        <v>0.5</v>
      </c>
      <c r="AS2017" s="21">
        <v>0</v>
      </c>
      <c r="AT2017" s="19">
        <v>0</v>
      </c>
      <c r="AU2017" s="21" t="s">
        <v>204</v>
      </c>
      <c r="AV2017" s="21"/>
      <c r="AW2017" s="35" t="s">
        <v>205</v>
      </c>
      <c r="AX2017" s="21" t="s">
        <v>540</v>
      </c>
      <c r="AY2017" s="32">
        <v>10000007</v>
      </c>
      <c r="AZ2017" s="32">
        <v>70105001</v>
      </c>
      <c r="BA2017" s="30" t="s">
        <v>206</v>
      </c>
      <c r="BB2017" s="21" t="s">
        <v>4518</v>
      </c>
      <c r="BC2017" s="31">
        <v>0</v>
      </c>
      <c r="BD2017" s="31">
        <v>0</v>
      </c>
      <c r="BE2017" s="33" t="s">
        <v>4519</v>
      </c>
      <c r="BF2017" s="33" t="s">
        <v>4520</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1.75" customHeight="1">
      <c r="C2018" s="32">
        <v>73001103</v>
      </c>
      <c r="D2018" s="30" t="s">
        <v>538</v>
      </c>
      <c r="E2018" s="30" t="s">
        <v>261</v>
      </c>
      <c r="F2018" s="32">
        <v>1</v>
      </c>
      <c r="G2018" s="21">
        <v>0</v>
      </c>
      <c r="H2018" s="32">
        <v>0</v>
      </c>
      <c r="I2018" s="31">
        <v>0</v>
      </c>
      <c r="J2018" s="32">
        <v>1</v>
      </c>
      <c r="K2018" s="32">
        <v>0</v>
      </c>
      <c r="L2018" s="32">
        <v>0</v>
      </c>
      <c r="M2018" s="21">
        <v>0</v>
      </c>
      <c r="N2018" s="21">
        <v>0</v>
      </c>
      <c r="O2018" s="21">
        <v>2</v>
      </c>
      <c r="P2018" s="21">
        <v>3</v>
      </c>
      <c r="Q2018" s="21">
        <v>1</v>
      </c>
      <c r="R2018" s="21">
        <v>0</v>
      </c>
      <c r="S2018" s="19">
        <v>0</v>
      </c>
      <c r="T2018" s="21">
        <v>0</v>
      </c>
      <c r="U2018" s="21">
        <v>1</v>
      </c>
      <c r="V2018" s="21">
        <v>2</v>
      </c>
      <c r="W2018" s="21">
        <v>0</v>
      </c>
      <c r="X2018" s="21">
        <v>3</v>
      </c>
      <c r="Y2018" s="19">
        <v>0</v>
      </c>
      <c r="Z2018" s="21">
        <v>0</v>
      </c>
      <c r="AA2018" s="21">
        <v>1</v>
      </c>
      <c r="AB2018" s="21">
        <v>0</v>
      </c>
      <c r="AC2018" s="21">
        <v>0</v>
      </c>
      <c r="AD2018" s="21">
        <v>0</v>
      </c>
      <c r="AE2018" s="21">
        <v>0</v>
      </c>
      <c r="AF2018" s="21">
        <v>9</v>
      </c>
      <c r="AG2018" s="21">
        <v>1</v>
      </c>
      <c r="AH2018" s="21">
        <v>4</v>
      </c>
      <c r="AI2018" s="19">
        <v>0</v>
      </c>
      <c r="AJ2018" s="19">
        <v>1</v>
      </c>
      <c r="AK2018" s="19">
        <v>0</v>
      </c>
      <c r="AL2018" s="19">
        <v>2</v>
      </c>
      <c r="AM2018" s="21">
        <v>0</v>
      </c>
      <c r="AN2018" s="21">
        <v>0</v>
      </c>
      <c r="AO2018" s="21">
        <v>0</v>
      </c>
      <c r="AP2018" s="21">
        <v>3</v>
      </c>
      <c r="AQ2018" s="21">
        <v>5000</v>
      </c>
      <c r="AR2018" s="21">
        <v>2.5</v>
      </c>
      <c r="AS2018" s="21">
        <v>0</v>
      </c>
      <c r="AT2018" s="19">
        <v>0</v>
      </c>
      <c r="AU2018" s="21" t="s">
        <v>539</v>
      </c>
      <c r="AV2018" s="21"/>
      <c r="AW2018" s="30" t="s">
        <v>293</v>
      </c>
      <c r="AX2018" s="21" t="s">
        <v>540</v>
      </c>
      <c r="AY2018" s="32">
        <v>10000007</v>
      </c>
      <c r="AZ2018" s="32">
        <v>70102001</v>
      </c>
      <c r="BA2018" s="30" t="s">
        <v>206</v>
      </c>
      <c r="BB2018" s="21" t="s">
        <v>4513</v>
      </c>
      <c r="BC2018" s="31">
        <v>0</v>
      </c>
      <c r="BD2018" s="31">
        <v>0</v>
      </c>
      <c r="BE2018" s="33" t="s">
        <v>542</v>
      </c>
      <c r="BF2018" s="33" t="s">
        <v>543</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19.5" customHeight="1">
      <c r="C2019" s="32">
        <v>73001201</v>
      </c>
      <c r="D2019" s="30" t="s">
        <v>4649</v>
      </c>
      <c r="E2019" s="30" t="s">
        <v>4650</v>
      </c>
      <c r="F2019" s="32">
        <v>1</v>
      </c>
      <c r="G2019" s="21">
        <v>60010100</v>
      </c>
      <c r="H2019" s="32">
        <v>0</v>
      </c>
      <c r="I2019" s="31">
        <v>0</v>
      </c>
      <c r="J2019" s="32">
        <v>1</v>
      </c>
      <c r="K2019" s="32">
        <v>0</v>
      </c>
      <c r="L2019" s="32">
        <v>0</v>
      </c>
      <c r="M2019" s="21">
        <v>0</v>
      </c>
      <c r="N2019" s="21">
        <v>0</v>
      </c>
      <c r="O2019" s="21">
        <v>2</v>
      </c>
      <c r="P2019" s="21">
        <v>1</v>
      </c>
      <c r="Q2019" s="21">
        <v>0.3</v>
      </c>
      <c r="R2019" s="21">
        <v>0</v>
      </c>
      <c r="S2019" s="19">
        <v>0</v>
      </c>
      <c r="T2019" s="21">
        <v>0</v>
      </c>
      <c r="U2019" s="21">
        <v>1</v>
      </c>
      <c r="V2019" s="21">
        <v>2</v>
      </c>
      <c r="W2019" s="21">
        <v>0</v>
      </c>
      <c r="X2019" s="21">
        <v>2</v>
      </c>
      <c r="Y2019" s="19">
        <v>0</v>
      </c>
      <c r="Z2019" s="21">
        <v>0</v>
      </c>
      <c r="AA2019" s="21">
        <v>1</v>
      </c>
      <c r="AB2019" s="21">
        <v>0</v>
      </c>
      <c r="AC2019" s="21">
        <v>0</v>
      </c>
      <c r="AD2019" s="21">
        <v>0</v>
      </c>
      <c r="AE2019" s="21">
        <v>0</v>
      </c>
      <c r="AF2019" s="21">
        <v>20</v>
      </c>
      <c r="AG2019" s="21">
        <v>1</v>
      </c>
      <c r="AH2019" s="21" t="s">
        <v>867</v>
      </c>
      <c r="AI2019" s="19">
        <v>1</v>
      </c>
      <c r="AJ2019" s="19">
        <v>0</v>
      </c>
      <c r="AK2019" s="19">
        <v>0</v>
      </c>
      <c r="AL2019" s="19">
        <v>0</v>
      </c>
      <c r="AM2019" s="21">
        <v>0</v>
      </c>
      <c r="AN2019" s="21">
        <v>0</v>
      </c>
      <c r="AO2019" s="21">
        <v>0</v>
      </c>
      <c r="AP2019" s="21">
        <v>0.5</v>
      </c>
      <c r="AQ2019" s="21">
        <v>999999</v>
      </c>
      <c r="AR2019" s="21">
        <v>2</v>
      </c>
      <c r="AS2019" s="21">
        <v>0</v>
      </c>
      <c r="AT2019" s="19">
        <v>0</v>
      </c>
      <c r="AU2019" s="21" t="s">
        <v>860</v>
      </c>
      <c r="AV2019" s="21"/>
      <c r="AW2019" s="35" t="s">
        <v>293</v>
      </c>
      <c r="AX2019" s="21" t="s">
        <v>540</v>
      </c>
      <c r="AY2019" s="32">
        <v>10000007</v>
      </c>
      <c r="AZ2019" s="32">
        <v>70405007</v>
      </c>
      <c r="BA2019" s="35" t="s">
        <v>321</v>
      </c>
      <c r="BB2019" s="35" t="s">
        <v>377</v>
      </c>
      <c r="BC2019" s="31">
        <v>0</v>
      </c>
      <c r="BD2019" s="31">
        <v>0</v>
      </c>
      <c r="BE2019" s="33" t="s">
        <v>4651</v>
      </c>
      <c r="BF2019" s="33" t="s">
        <v>4652</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73001203</v>
      </c>
      <c r="D2020" s="30" t="s">
        <v>4521</v>
      </c>
      <c r="E2020" s="30" t="s">
        <v>4522</v>
      </c>
      <c r="F2020" s="32">
        <v>1</v>
      </c>
      <c r="G2020" s="21">
        <v>60010300</v>
      </c>
      <c r="H2020" s="32">
        <v>0</v>
      </c>
      <c r="I2020" s="31">
        <v>0</v>
      </c>
      <c r="J2020" s="32">
        <v>1</v>
      </c>
      <c r="K2020" s="32">
        <v>0</v>
      </c>
      <c r="L2020" s="32">
        <v>0</v>
      </c>
      <c r="M2020" s="21">
        <v>0</v>
      </c>
      <c r="N2020" s="21">
        <v>0</v>
      </c>
      <c r="O2020" s="21">
        <v>2</v>
      </c>
      <c r="P2020" s="21">
        <v>2</v>
      </c>
      <c r="Q2020" s="21">
        <v>0.8</v>
      </c>
      <c r="R2020" s="21">
        <v>0</v>
      </c>
      <c r="S2020" s="19">
        <v>0</v>
      </c>
      <c r="T2020" s="21">
        <v>0</v>
      </c>
      <c r="U2020" s="21">
        <v>1</v>
      </c>
      <c r="V2020" s="21">
        <v>2</v>
      </c>
      <c r="W2020" s="21">
        <v>0</v>
      </c>
      <c r="X2020" s="21">
        <v>0</v>
      </c>
      <c r="Y2020" s="19">
        <v>0</v>
      </c>
      <c r="Z2020" s="21">
        <v>0</v>
      </c>
      <c r="AA2020" s="21">
        <v>0</v>
      </c>
      <c r="AB2020" s="21">
        <v>0</v>
      </c>
      <c r="AC2020" s="21">
        <v>0</v>
      </c>
      <c r="AD2020" s="21">
        <v>0</v>
      </c>
      <c r="AE2020" s="21">
        <v>0</v>
      </c>
      <c r="AF2020" s="21">
        <v>30</v>
      </c>
      <c r="AG2020" s="21">
        <v>0</v>
      </c>
      <c r="AH2020" s="21">
        <v>0</v>
      </c>
      <c r="AI2020" s="19">
        <v>2</v>
      </c>
      <c r="AJ2020" s="19">
        <v>2</v>
      </c>
      <c r="AK2020" s="19">
        <v>0</v>
      </c>
      <c r="AL2020" s="19">
        <v>1.5</v>
      </c>
      <c r="AM2020" s="21">
        <v>0</v>
      </c>
      <c r="AN2020" s="21">
        <v>0</v>
      </c>
      <c r="AO2020" s="21">
        <v>0</v>
      </c>
      <c r="AP2020" s="21">
        <v>1</v>
      </c>
      <c r="AQ2020" s="21">
        <v>3000</v>
      </c>
      <c r="AR2020" s="21">
        <v>0.5</v>
      </c>
      <c r="AS2020" s="21">
        <v>0</v>
      </c>
      <c r="AT2020" s="19">
        <v>0</v>
      </c>
      <c r="AU2020" s="21" t="s">
        <v>204</v>
      </c>
      <c r="AV2020" s="21"/>
      <c r="AW2020" s="35" t="s">
        <v>205</v>
      </c>
      <c r="AX2020" s="21" t="s">
        <v>551</v>
      </c>
      <c r="AY2020" s="32">
        <v>0</v>
      </c>
      <c r="AZ2020" s="32">
        <v>0</v>
      </c>
      <c r="BA2020" s="30" t="s">
        <v>534</v>
      </c>
      <c r="BB2020" s="21" t="s">
        <v>4670</v>
      </c>
      <c r="BC2020" s="31">
        <v>0</v>
      </c>
      <c r="BD2020" s="31">
        <v>0</v>
      </c>
      <c r="BE2020" s="33" t="s">
        <v>4524</v>
      </c>
      <c r="BF2020" s="33" t="s">
        <v>4525</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73001204</v>
      </c>
      <c r="D2021" s="30" t="s">
        <v>3271</v>
      </c>
      <c r="E2021" s="30" t="s">
        <v>3272</v>
      </c>
      <c r="F2021" s="32">
        <v>1</v>
      </c>
      <c r="G2021" s="21">
        <v>60010100</v>
      </c>
      <c r="H2021" s="32">
        <v>0</v>
      </c>
      <c r="I2021" s="31">
        <v>0</v>
      </c>
      <c r="J2021" s="32">
        <v>1</v>
      </c>
      <c r="K2021" s="32">
        <v>0</v>
      </c>
      <c r="L2021" s="32">
        <v>0</v>
      </c>
      <c r="M2021" s="21">
        <v>0</v>
      </c>
      <c r="N2021" s="21">
        <v>0</v>
      </c>
      <c r="O2021" s="21">
        <v>2</v>
      </c>
      <c r="P2021" s="21">
        <v>1</v>
      </c>
      <c r="Q2021" s="21">
        <v>0.5</v>
      </c>
      <c r="R2021" s="21">
        <v>0</v>
      </c>
      <c r="S2021" s="19">
        <v>0</v>
      </c>
      <c r="T2021" s="21">
        <v>0</v>
      </c>
      <c r="U2021" s="21">
        <v>1</v>
      </c>
      <c r="V2021" s="21">
        <v>2</v>
      </c>
      <c r="W2021" s="21">
        <v>0</v>
      </c>
      <c r="X2021" s="21">
        <v>3</v>
      </c>
      <c r="Y2021" s="19">
        <v>0</v>
      </c>
      <c r="Z2021" s="21">
        <v>0</v>
      </c>
      <c r="AA2021" s="21">
        <v>1</v>
      </c>
      <c r="AB2021" s="21">
        <v>0</v>
      </c>
      <c r="AC2021" s="21">
        <v>0</v>
      </c>
      <c r="AD2021" s="21">
        <v>0</v>
      </c>
      <c r="AE2021" s="21">
        <v>0</v>
      </c>
      <c r="AF2021" s="21">
        <v>10</v>
      </c>
      <c r="AG2021" s="21">
        <v>1</v>
      </c>
      <c r="AH2021" s="21">
        <v>3</v>
      </c>
      <c r="AI2021" s="19">
        <v>1</v>
      </c>
      <c r="AJ2021" s="19">
        <v>1</v>
      </c>
      <c r="AK2021" s="19">
        <v>0</v>
      </c>
      <c r="AL2021" s="19">
        <v>1.5</v>
      </c>
      <c r="AM2021" s="21">
        <v>0</v>
      </c>
      <c r="AN2021" s="21">
        <v>0</v>
      </c>
      <c r="AO2021" s="21">
        <v>0</v>
      </c>
      <c r="AP2021" s="21">
        <v>0.5</v>
      </c>
      <c r="AQ2021" s="21">
        <v>5000</v>
      </c>
      <c r="AR2021" s="21">
        <v>3</v>
      </c>
      <c r="AS2021" s="21">
        <v>0</v>
      </c>
      <c r="AT2021" s="19">
        <v>0</v>
      </c>
      <c r="AU2021" s="21" t="s">
        <v>204</v>
      </c>
      <c r="AV2021" s="21"/>
      <c r="AW2021" s="35" t="s">
        <v>205</v>
      </c>
      <c r="AX2021" s="21" t="s">
        <v>540</v>
      </c>
      <c r="AY2021" s="32">
        <v>10000007</v>
      </c>
      <c r="AZ2021" s="32">
        <v>70103003</v>
      </c>
      <c r="BA2021" s="30" t="s">
        <v>206</v>
      </c>
      <c r="BB2021" s="21" t="s">
        <v>4671</v>
      </c>
      <c r="BC2021" s="31">
        <v>0</v>
      </c>
      <c r="BD2021" s="31">
        <v>0</v>
      </c>
      <c r="BE2021" s="33" t="s">
        <v>3274</v>
      </c>
      <c r="BF2021" s="33" t="s">
        <v>3275</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19.5" customHeight="1">
      <c r="C2022" s="32">
        <v>73001205</v>
      </c>
      <c r="D2022" s="35" t="s">
        <v>590</v>
      </c>
      <c r="E2022" s="35" t="s">
        <v>591</v>
      </c>
      <c r="F2022" s="32">
        <v>1</v>
      </c>
      <c r="G2022" s="32">
        <v>60010300</v>
      </c>
      <c r="H2022" s="32">
        <v>0</v>
      </c>
      <c r="I2022" s="31">
        <v>0</v>
      </c>
      <c r="J2022" s="32">
        <v>1</v>
      </c>
      <c r="K2022" s="32">
        <v>0</v>
      </c>
      <c r="L2022" s="32">
        <v>0</v>
      </c>
      <c r="M2022" s="32">
        <v>0</v>
      </c>
      <c r="N2022" s="32">
        <v>0</v>
      </c>
      <c r="O2022" s="21">
        <v>2</v>
      </c>
      <c r="P2022" s="32">
        <v>1</v>
      </c>
      <c r="Q2022" s="32">
        <v>0.5</v>
      </c>
      <c r="R2022" s="32">
        <v>0</v>
      </c>
      <c r="S2022" s="19">
        <v>0</v>
      </c>
      <c r="T2022" s="31">
        <v>0</v>
      </c>
      <c r="U2022" s="21">
        <v>1</v>
      </c>
      <c r="V2022" s="32">
        <v>2</v>
      </c>
      <c r="W2022" s="32">
        <v>0</v>
      </c>
      <c r="X2022" s="32">
        <v>3</v>
      </c>
      <c r="Y2022" s="19">
        <v>0</v>
      </c>
      <c r="Z2022" s="32">
        <v>0</v>
      </c>
      <c r="AA2022" s="32">
        <v>0</v>
      </c>
      <c r="AB2022" s="32">
        <v>0</v>
      </c>
      <c r="AC2022" s="32">
        <v>0</v>
      </c>
      <c r="AD2022" s="32">
        <v>0</v>
      </c>
      <c r="AE2022" s="32">
        <v>0</v>
      </c>
      <c r="AF2022" s="32">
        <v>15</v>
      </c>
      <c r="AG2022" s="32">
        <v>1</v>
      </c>
      <c r="AH2022" s="32">
        <v>2</v>
      </c>
      <c r="AI2022" s="19">
        <v>2</v>
      </c>
      <c r="AJ2022" s="19">
        <v>2</v>
      </c>
      <c r="AK2022" s="19">
        <v>0</v>
      </c>
      <c r="AL2022" s="19">
        <v>3</v>
      </c>
      <c r="AM2022" s="32">
        <v>0</v>
      </c>
      <c r="AN2022" s="32">
        <v>0</v>
      </c>
      <c r="AO2022" s="32">
        <v>0</v>
      </c>
      <c r="AP2022" s="32">
        <v>2</v>
      </c>
      <c r="AQ2022" s="32">
        <v>30000</v>
      </c>
      <c r="AR2022" s="32">
        <v>2</v>
      </c>
      <c r="AS2022" s="32">
        <v>4</v>
      </c>
      <c r="AT2022" s="19">
        <v>0</v>
      </c>
      <c r="AU2022" s="32" t="s">
        <v>204</v>
      </c>
      <c r="AV2022" s="32"/>
      <c r="AW2022" s="35" t="s">
        <v>205</v>
      </c>
      <c r="AX2022" s="32" t="s">
        <v>551</v>
      </c>
      <c r="AY2022" s="32">
        <v>10003002</v>
      </c>
      <c r="AZ2022" s="32">
        <v>70106005</v>
      </c>
      <c r="BA2022" s="35" t="s">
        <v>592</v>
      </c>
      <c r="BB2022" s="35">
        <v>0</v>
      </c>
      <c r="BC2022" s="31">
        <v>0</v>
      </c>
      <c r="BD2022" s="31">
        <v>0</v>
      </c>
      <c r="BE2022" s="60" t="s">
        <v>583</v>
      </c>
      <c r="BF2022" s="60" t="s">
        <v>584</v>
      </c>
      <c r="BG2022" s="32">
        <v>0</v>
      </c>
      <c r="BH2022" s="21">
        <v>0</v>
      </c>
      <c r="BI2022" s="32">
        <v>0</v>
      </c>
      <c r="BJ2022" s="32">
        <v>0</v>
      </c>
      <c r="BK2022" s="32">
        <v>0</v>
      </c>
      <c r="BL2022" s="32">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73001301</v>
      </c>
      <c r="D2023" s="30" t="s">
        <v>766</v>
      </c>
      <c r="E2023" s="30" t="s">
        <v>767</v>
      </c>
      <c r="F2023" s="21">
        <v>2</v>
      </c>
      <c r="G2023" s="21">
        <v>61012301</v>
      </c>
      <c r="H2023" s="21">
        <v>0</v>
      </c>
      <c r="I2023" s="31">
        <v>0</v>
      </c>
      <c r="J2023" s="32">
        <v>1</v>
      </c>
      <c r="K2023" s="32">
        <v>0</v>
      </c>
      <c r="L2023" s="32">
        <v>0</v>
      </c>
      <c r="M2023" s="21">
        <v>0</v>
      </c>
      <c r="N2023" s="21">
        <v>0</v>
      </c>
      <c r="O2023" s="21">
        <v>2</v>
      </c>
      <c r="P2023" s="21">
        <v>1</v>
      </c>
      <c r="Q2023" s="21">
        <v>0.5</v>
      </c>
      <c r="R2023" s="21">
        <v>0</v>
      </c>
      <c r="S2023" s="19">
        <v>0</v>
      </c>
      <c r="T2023" s="21">
        <v>0</v>
      </c>
      <c r="U2023" s="21">
        <v>1</v>
      </c>
      <c r="V2023" s="21">
        <v>2</v>
      </c>
      <c r="W2023" s="21">
        <v>0</v>
      </c>
      <c r="X2023" s="21">
        <v>1.4</v>
      </c>
      <c r="Y2023" s="19">
        <v>0</v>
      </c>
      <c r="Z2023" s="21">
        <v>150</v>
      </c>
      <c r="AA2023" s="21">
        <v>1</v>
      </c>
      <c r="AB2023" s="21">
        <v>0</v>
      </c>
      <c r="AC2023" s="21">
        <v>0</v>
      </c>
      <c r="AD2023" s="21">
        <v>0</v>
      </c>
      <c r="AE2023" s="21">
        <v>0</v>
      </c>
      <c r="AF2023" s="21">
        <v>12</v>
      </c>
      <c r="AG2023" s="21">
        <v>2</v>
      </c>
      <c r="AH2023" s="21" t="s">
        <v>219</v>
      </c>
      <c r="AI2023" s="19">
        <v>0</v>
      </c>
      <c r="AJ2023" s="19">
        <v>2</v>
      </c>
      <c r="AK2023" s="19">
        <v>0</v>
      </c>
      <c r="AL2023" s="19">
        <v>1.5</v>
      </c>
      <c r="AM2023" s="21">
        <v>0</v>
      </c>
      <c r="AN2023" s="21">
        <v>0</v>
      </c>
      <c r="AO2023" s="21">
        <v>0</v>
      </c>
      <c r="AP2023" s="21">
        <v>1.5</v>
      </c>
      <c r="AQ2023" s="21">
        <v>1200</v>
      </c>
      <c r="AR2023" s="21">
        <v>1</v>
      </c>
      <c r="AS2023" s="21">
        <v>15</v>
      </c>
      <c r="AT2023" s="19">
        <v>0</v>
      </c>
      <c r="AU2023" s="21" t="s">
        <v>204</v>
      </c>
      <c r="AV2023" s="21"/>
      <c r="AW2023" s="30" t="s">
        <v>262</v>
      </c>
      <c r="AX2023" s="21" t="s">
        <v>221</v>
      </c>
      <c r="AY2023" s="32">
        <v>10000011</v>
      </c>
      <c r="AZ2023" s="32">
        <v>70404001</v>
      </c>
      <c r="BA2023" s="30" t="s">
        <v>222</v>
      </c>
      <c r="BB2023" s="21">
        <v>0</v>
      </c>
      <c r="BC2023" s="31">
        <v>0</v>
      </c>
      <c r="BD2023" s="31">
        <v>0</v>
      </c>
      <c r="BE2023" s="33" t="s">
        <v>804</v>
      </c>
      <c r="BF2023" s="33" t="s">
        <v>805</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73001302</v>
      </c>
      <c r="D2024" s="30" t="s">
        <v>4521</v>
      </c>
      <c r="E2024" s="30" t="s">
        <v>4522</v>
      </c>
      <c r="F2024" s="32">
        <v>1</v>
      </c>
      <c r="G2024" s="21">
        <v>60010300</v>
      </c>
      <c r="H2024" s="32">
        <v>0</v>
      </c>
      <c r="I2024" s="31">
        <v>0</v>
      </c>
      <c r="J2024" s="32">
        <v>1</v>
      </c>
      <c r="K2024" s="32">
        <v>0</v>
      </c>
      <c r="L2024" s="32">
        <v>0</v>
      </c>
      <c r="M2024" s="21">
        <v>0</v>
      </c>
      <c r="N2024" s="21">
        <v>0</v>
      </c>
      <c r="O2024" s="21">
        <v>2</v>
      </c>
      <c r="P2024" s="21">
        <v>2</v>
      </c>
      <c r="Q2024" s="21">
        <v>0.8</v>
      </c>
      <c r="R2024" s="21">
        <v>0</v>
      </c>
      <c r="S2024" s="19">
        <v>0</v>
      </c>
      <c r="T2024" s="21">
        <v>0</v>
      </c>
      <c r="U2024" s="21">
        <v>1</v>
      </c>
      <c r="V2024" s="21">
        <v>2</v>
      </c>
      <c r="W2024" s="21">
        <v>0</v>
      </c>
      <c r="X2024" s="21">
        <v>0</v>
      </c>
      <c r="Y2024" s="19">
        <v>0</v>
      </c>
      <c r="Z2024" s="21">
        <v>0</v>
      </c>
      <c r="AA2024" s="21">
        <v>0</v>
      </c>
      <c r="AB2024" s="21">
        <v>0</v>
      </c>
      <c r="AC2024" s="21">
        <v>0</v>
      </c>
      <c r="AD2024" s="21">
        <v>0</v>
      </c>
      <c r="AE2024" s="21">
        <v>0</v>
      </c>
      <c r="AF2024" s="21">
        <v>20</v>
      </c>
      <c r="AG2024" s="21">
        <v>0</v>
      </c>
      <c r="AH2024" s="21">
        <v>0</v>
      </c>
      <c r="AI2024" s="19">
        <v>2</v>
      </c>
      <c r="AJ2024" s="19">
        <v>2</v>
      </c>
      <c r="AK2024" s="19">
        <v>0</v>
      </c>
      <c r="AL2024" s="19">
        <v>1.5</v>
      </c>
      <c r="AM2024" s="21">
        <v>0</v>
      </c>
      <c r="AN2024" s="21">
        <v>0</v>
      </c>
      <c r="AO2024" s="21">
        <v>0</v>
      </c>
      <c r="AP2024" s="21">
        <v>1</v>
      </c>
      <c r="AQ2024" s="21">
        <v>3000</v>
      </c>
      <c r="AR2024" s="21">
        <v>0.5</v>
      </c>
      <c r="AS2024" s="21">
        <v>0</v>
      </c>
      <c r="AT2024" s="19">
        <v>0</v>
      </c>
      <c r="AU2024" s="21" t="s">
        <v>204</v>
      </c>
      <c r="AV2024" s="21"/>
      <c r="AW2024" s="35" t="s">
        <v>205</v>
      </c>
      <c r="AX2024" s="21" t="s">
        <v>551</v>
      </c>
      <c r="AY2024" s="32">
        <v>0</v>
      </c>
      <c r="AZ2024" s="32">
        <v>0</v>
      </c>
      <c r="BA2024" s="30" t="s">
        <v>534</v>
      </c>
      <c r="BB2024" s="21" t="s">
        <v>4672</v>
      </c>
      <c r="BC2024" s="31">
        <v>0</v>
      </c>
      <c r="BD2024" s="31">
        <v>0</v>
      </c>
      <c r="BE2024" s="33" t="s">
        <v>4524</v>
      </c>
      <c r="BF2024" s="33" t="s">
        <v>4525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73001303</v>
      </c>
      <c r="D2025" s="30" t="s">
        <v>549</v>
      </c>
      <c r="E2025" s="30" t="s">
        <v>550</v>
      </c>
      <c r="F2025" s="32">
        <v>1</v>
      </c>
      <c r="G2025" s="21">
        <v>60010300</v>
      </c>
      <c r="H2025" s="32">
        <v>0</v>
      </c>
      <c r="I2025" s="31">
        <v>0</v>
      </c>
      <c r="J2025" s="32">
        <v>1</v>
      </c>
      <c r="K2025" s="32">
        <v>0</v>
      </c>
      <c r="L2025" s="32">
        <v>0</v>
      </c>
      <c r="M2025" s="21">
        <v>0</v>
      </c>
      <c r="N2025" s="21">
        <v>0</v>
      </c>
      <c r="O2025" s="21">
        <v>2</v>
      </c>
      <c r="P2025" s="21">
        <v>1</v>
      </c>
      <c r="Q2025" s="21">
        <v>0.5</v>
      </c>
      <c r="R2025" s="21">
        <v>0</v>
      </c>
      <c r="S2025" s="19">
        <v>0</v>
      </c>
      <c r="T2025" s="21">
        <v>0</v>
      </c>
      <c r="U2025" s="21">
        <v>1</v>
      </c>
      <c r="V2025" s="21">
        <v>2</v>
      </c>
      <c r="W2025" s="21">
        <v>0</v>
      </c>
      <c r="X2025" s="21">
        <v>3</v>
      </c>
      <c r="Y2025" s="19">
        <v>0</v>
      </c>
      <c r="Z2025" s="21">
        <v>0</v>
      </c>
      <c r="AA2025" s="21">
        <v>0</v>
      </c>
      <c r="AB2025" s="21">
        <v>0</v>
      </c>
      <c r="AC2025" s="21">
        <v>0</v>
      </c>
      <c r="AD2025" s="21">
        <v>0</v>
      </c>
      <c r="AE2025" s="21">
        <v>0</v>
      </c>
      <c r="AF2025" s="21">
        <v>12</v>
      </c>
      <c r="AG2025" s="21">
        <v>2</v>
      </c>
      <c r="AH2025" s="21" t="s">
        <v>219</v>
      </c>
      <c r="AI2025" s="19">
        <v>0</v>
      </c>
      <c r="AJ2025" s="19">
        <v>2</v>
      </c>
      <c r="AK2025" s="19">
        <v>0</v>
      </c>
      <c r="AL2025" s="19">
        <v>1.5</v>
      </c>
      <c r="AM2025" s="21">
        <v>0</v>
      </c>
      <c r="AN2025" s="21">
        <v>0</v>
      </c>
      <c r="AO2025" s="21">
        <v>0</v>
      </c>
      <c r="AP2025" s="21">
        <v>2.5</v>
      </c>
      <c r="AQ2025" s="21">
        <v>4000</v>
      </c>
      <c r="AR2025" s="21">
        <v>2</v>
      </c>
      <c r="AS2025" s="21">
        <v>0</v>
      </c>
      <c r="AT2025" s="19">
        <v>0</v>
      </c>
      <c r="AU2025" s="21" t="s">
        <v>204</v>
      </c>
      <c r="AV2025" s="21"/>
      <c r="AW2025" s="35" t="s">
        <v>293</v>
      </c>
      <c r="AX2025" s="21" t="s">
        <v>551</v>
      </c>
      <c r="AY2025" s="32">
        <v>10001007</v>
      </c>
      <c r="AZ2025" s="32">
        <v>70103001</v>
      </c>
      <c r="BA2025" s="30" t="s">
        <v>206</v>
      </c>
      <c r="BB2025" s="21">
        <v>0</v>
      </c>
      <c r="BC2025" s="31">
        <v>0</v>
      </c>
      <c r="BD2025" s="31">
        <v>0</v>
      </c>
      <c r="BE2025" s="33" t="s">
        <v>552</v>
      </c>
      <c r="BF2025" s="33" t="s">
        <v>553</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19.5" customHeight="1">
      <c r="C2026" s="32">
        <v>73001305</v>
      </c>
      <c r="D2026" s="35" t="s">
        <v>763</v>
      </c>
      <c r="E2026" s="35" t="s">
        <v>405</v>
      </c>
      <c r="F2026" s="32">
        <v>1</v>
      </c>
      <c r="G2026" s="32">
        <v>60010500</v>
      </c>
      <c r="H2026" s="32">
        <v>0</v>
      </c>
      <c r="I2026" s="31">
        <v>0</v>
      </c>
      <c r="J2026" s="32">
        <v>1</v>
      </c>
      <c r="K2026" s="32">
        <v>0</v>
      </c>
      <c r="L2026" s="32">
        <v>0</v>
      </c>
      <c r="M2026" s="32">
        <v>0</v>
      </c>
      <c r="N2026" s="32">
        <v>0</v>
      </c>
      <c r="O2026" s="21">
        <v>2</v>
      </c>
      <c r="P2026" s="32">
        <v>2</v>
      </c>
      <c r="Q2026" s="32">
        <v>0.5</v>
      </c>
      <c r="R2026" s="32">
        <v>0</v>
      </c>
      <c r="S2026" s="19">
        <v>0</v>
      </c>
      <c r="T2026" s="31">
        <v>0</v>
      </c>
      <c r="U2026" s="21">
        <v>1</v>
      </c>
      <c r="V2026" s="32">
        <v>2</v>
      </c>
      <c r="W2026" s="32">
        <v>0</v>
      </c>
      <c r="X2026" s="32">
        <v>0</v>
      </c>
      <c r="Y2026" s="19">
        <v>0</v>
      </c>
      <c r="Z2026" s="32">
        <v>0</v>
      </c>
      <c r="AA2026" s="32">
        <v>0</v>
      </c>
      <c r="AB2026" s="32">
        <v>0</v>
      </c>
      <c r="AC2026" s="32">
        <v>0</v>
      </c>
      <c r="AD2026" s="21">
        <v>0</v>
      </c>
      <c r="AE2026" s="32">
        <v>0</v>
      </c>
      <c r="AF2026" s="21">
        <v>15</v>
      </c>
      <c r="AG2026" s="32">
        <v>0</v>
      </c>
      <c r="AH2026" s="32">
        <v>0</v>
      </c>
      <c r="AI2026" s="19">
        <v>2</v>
      </c>
      <c r="AJ2026" s="19">
        <v>0</v>
      </c>
      <c r="AK2026" s="19">
        <v>0</v>
      </c>
      <c r="AL2026" s="19">
        <v>0</v>
      </c>
      <c r="AM2026" s="32">
        <v>0</v>
      </c>
      <c r="AN2026" s="32">
        <v>0</v>
      </c>
      <c r="AO2026" s="32">
        <v>0</v>
      </c>
      <c r="AP2026" s="32">
        <v>0</v>
      </c>
      <c r="AQ2026" s="32">
        <v>1000</v>
      </c>
      <c r="AR2026" s="32">
        <v>0</v>
      </c>
      <c r="AS2026" s="32">
        <v>0</v>
      </c>
      <c r="AT2026" s="19" t="s">
        <v>760</v>
      </c>
      <c r="AU2026" s="32" t="s">
        <v>204</v>
      </c>
      <c r="AV2026" s="32"/>
      <c r="AW2026" s="35" t="s">
        <v>205</v>
      </c>
      <c r="AX2026" s="32" t="s">
        <v>354</v>
      </c>
      <c r="AY2026" s="32">
        <v>0</v>
      </c>
      <c r="AZ2026" s="32">
        <v>0</v>
      </c>
      <c r="BA2026" s="35" t="s">
        <v>206</v>
      </c>
      <c r="BB2026" s="35" t="s">
        <v>204</v>
      </c>
      <c r="BC2026" s="31">
        <v>0</v>
      </c>
      <c r="BD2026" s="31">
        <v>0</v>
      </c>
      <c r="BE2026" s="60" t="s">
        <v>1124</v>
      </c>
      <c r="BF2026" s="60" t="s">
        <v>1125</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25" customHeight="1">
      <c r="C2027" s="32">
        <v>73001306</v>
      </c>
      <c r="D2027" s="35" t="s">
        <v>2956</v>
      </c>
      <c r="E2027" s="35" t="s">
        <v>2957</v>
      </c>
      <c r="F2027" s="32">
        <v>1</v>
      </c>
      <c r="G2027" s="32">
        <v>62000101</v>
      </c>
      <c r="H2027" s="32">
        <v>0</v>
      </c>
      <c r="I2027" s="31">
        <v>0</v>
      </c>
      <c r="J2027" s="32">
        <v>1</v>
      </c>
      <c r="K2027" s="32">
        <v>0</v>
      </c>
      <c r="L2027" s="21">
        <v>0</v>
      </c>
      <c r="M2027" s="32">
        <v>0</v>
      </c>
      <c r="N2027" s="32">
        <v>0</v>
      </c>
      <c r="O2027" s="21">
        <v>2</v>
      </c>
      <c r="P2027" s="32">
        <v>1</v>
      </c>
      <c r="Q2027" s="32">
        <v>0.3</v>
      </c>
      <c r="R2027" s="32">
        <v>0</v>
      </c>
      <c r="S2027" s="19">
        <v>0</v>
      </c>
      <c r="T2027" s="31">
        <v>0</v>
      </c>
      <c r="U2027" s="21">
        <v>1</v>
      </c>
      <c r="V2027" s="32">
        <v>1</v>
      </c>
      <c r="W2027" s="32">
        <v>0</v>
      </c>
      <c r="X2027" s="32">
        <v>3</v>
      </c>
      <c r="Y2027" s="19">
        <v>0</v>
      </c>
      <c r="Z2027" s="32">
        <v>0</v>
      </c>
      <c r="AA2027" s="32">
        <v>0</v>
      </c>
      <c r="AB2027" s="32">
        <v>0</v>
      </c>
      <c r="AC2027" s="32">
        <v>0</v>
      </c>
      <c r="AD2027" s="32">
        <v>1</v>
      </c>
      <c r="AE2027" s="32">
        <v>12</v>
      </c>
      <c r="AF2027" s="32">
        <v>12</v>
      </c>
      <c r="AG2027" s="32">
        <v>0</v>
      </c>
      <c r="AH2027" s="32">
        <v>3</v>
      </c>
      <c r="AI2027" s="19">
        <v>7</v>
      </c>
      <c r="AJ2027" s="19">
        <v>0</v>
      </c>
      <c r="AK2027" s="19">
        <v>0</v>
      </c>
      <c r="AL2027" s="19">
        <v>10</v>
      </c>
      <c r="AM2027" s="32">
        <v>0</v>
      </c>
      <c r="AN2027" s="32">
        <v>0</v>
      </c>
      <c r="AO2027" s="32">
        <v>0</v>
      </c>
      <c r="AP2027" s="32">
        <v>0</v>
      </c>
      <c r="AQ2027" s="32">
        <v>3000</v>
      </c>
      <c r="AR2027" s="32">
        <v>0.5</v>
      </c>
      <c r="AS2027" s="32">
        <v>20</v>
      </c>
      <c r="AT2027" s="19">
        <v>0</v>
      </c>
      <c r="AU2027" s="32" t="s">
        <v>204</v>
      </c>
      <c r="AV2027" s="32"/>
      <c r="AW2027" s="30" t="s">
        <v>248</v>
      </c>
      <c r="AX2027" s="32" t="s">
        <v>1849</v>
      </c>
      <c r="AY2027" s="32">
        <v>10000011</v>
      </c>
      <c r="AZ2027" s="32">
        <v>20001010</v>
      </c>
      <c r="BA2027" s="35" t="s">
        <v>256</v>
      </c>
      <c r="BB2027" s="35" t="s">
        <v>204</v>
      </c>
      <c r="BC2027" s="31">
        <v>0</v>
      </c>
      <c r="BD2027" s="31">
        <v>0</v>
      </c>
      <c r="BE2027" s="33" t="s">
        <v>3278</v>
      </c>
      <c r="BF2027" s="33" t="s">
        <v>3279</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73002101</v>
      </c>
      <c r="D2028" s="30" t="s">
        <v>4521</v>
      </c>
      <c r="E2028" s="30" t="s">
        <v>4522</v>
      </c>
      <c r="F2028" s="32">
        <v>1</v>
      </c>
      <c r="G2028" s="21">
        <v>60010300</v>
      </c>
      <c r="H2028" s="32">
        <v>0</v>
      </c>
      <c r="I2028" s="31">
        <v>0</v>
      </c>
      <c r="J2028" s="32">
        <v>1</v>
      </c>
      <c r="K2028" s="32">
        <v>0</v>
      </c>
      <c r="L2028" s="32">
        <v>0</v>
      </c>
      <c r="M2028" s="21">
        <v>0</v>
      </c>
      <c r="N2028" s="21">
        <v>0</v>
      </c>
      <c r="O2028" s="21">
        <v>2</v>
      </c>
      <c r="P2028" s="21">
        <v>2</v>
      </c>
      <c r="Q2028" s="21">
        <v>0.8</v>
      </c>
      <c r="R2028" s="21">
        <v>0</v>
      </c>
      <c r="S2028" s="19">
        <v>0</v>
      </c>
      <c r="T2028" s="21">
        <v>0</v>
      </c>
      <c r="U2028" s="21">
        <v>1</v>
      </c>
      <c r="V2028" s="21">
        <v>2</v>
      </c>
      <c r="W2028" s="21">
        <v>0</v>
      </c>
      <c r="X2028" s="21">
        <v>0</v>
      </c>
      <c r="Y2028" s="19">
        <v>0</v>
      </c>
      <c r="Z2028" s="21">
        <v>0</v>
      </c>
      <c r="AA2028" s="21">
        <v>0</v>
      </c>
      <c r="AB2028" s="21">
        <v>0</v>
      </c>
      <c r="AC2028" s="21">
        <v>0</v>
      </c>
      <c r="AD2028" s="21">
        <v>0</v>
      </c>
      <c r="AE2028" s="21">
        <v>0</v>
      </c>
      <c r="AF2028" s="21">
        <v>20</v>
      </c>
      <c r="AG2028" s="21">
        <v>0</v>
      </c>
      <c r="AH2028" s="21">
        <v>0</v>
      </c>
      <c r="AI2028" s="19">
        <v>2</v>
      </c>
      <c r="AJ2028" s="19">
        <v>2</v>
      </c>
      <c r="AK2028" s="19">
        <v>0</v>
      </c>
      <c r="AL2028" s="19">
        <v>1.5</v>
      </c>
      <c r="AM2028" s="21">
        <v>0</v>
      </c>
      <c r="AN2028" s="21">
        <v>0</v>
      </c>
      <c r="AO2028" s="21">
        <v>0</v>
      </c>
      <c r="AP2028" s="21">
        <v>1</v>
      </c>
      <c r="AQ2028" s="21">
        <v>3000</v>
      </c>
      <c r="AR2028" s="21">
        <v>0.5</v>
      </c>
      <c r="AS2028" s="21">
        <v>0</v>
      </c>
      <c r="AT2028" s="19">
        <v>0</v>
      </c>
      <c r="AU2028" s="21" t="s">
        <v>204</v>
      </c>
      <c r="AV2028" s="21"/>
      <c r="AW2028" s="35" t="s">
        <v>205</v>
      </c>
      <c r="AX2028" s="21" t="s">
        <v>551</v>
      </c>
      <c r="AY2028" s="32">
        <v>0</v>
      </c>
      <c r="AZ2028" s="32">
        <v>0</v>
      </c>
      <c r="BA2028" s="30" t="s">
        <v>534</v>
      </c>
      <c r="BB2028" s="21" t="s">
        <v>4673</v>
      </c>
      <c r="BC2028" s="31">
        <v>0</v>
      </c>
      <c r="BD2028" s="31">
        <v>0</v>
      </c>
      <c r="BE2028" s="33" t="s">
        <v>4524</v>
      </c>
      <c r="BF2028" s="33" t="s">
        <v>4525</v>
      </c>
      <c r="BG2028" s="21">
        <v>0</v>
      </c>
      <c r="BH2028" s="21">
        <v>0</v>
      </c>
      <c r="BI2028" s="21">
        <v>0</v>
      </c>
      <c r="BJ2028" s="21">
        <v>0</v>
      </c>
      <c r="BK2028" s="21">
        <v>0</v>
      </c>
      <c r="BL2028" s="21">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73002102</v>
      </c>
      <c r="D2029" s="35" t="s">
        <v>4674</v>
      </c>
      <c r="E2029" s="35" t="s">
        <v>4675</v>
      </c>
      <c r="F2029" s="32">
        <v>1</v>
      </c>
      <c r="G2029" s="32">
        <v>60010500</v>
      </c>
      <c r="H2029" s="32">
        <v>0</v>
      </c>
      <c r="I2029" s="31">
        <v>0</v>
      </c>
      <c r="J2029" s="32">
        <v>1</v>
      </c>
      <c r="K2029" s="32">
        <v>0</v>
      </c>
      <c r="L2029" s="32">
        <v>0</v>
      </c>
      <c r="M2029" s="32">
        <v>0</v>
      </c>
      <c r="N2029" s="32">
        <v>0</v>
      </c>
      <c r="O2029" s="21">
        <v>2</v>
      </c>
      <c r="P2029" s="32">
        <v>2</v>
      </c>
      <c r="Q2029" s="32">
        <v>0.6</v>
      </c>
      <c r="R2029" s="32">
        <v>0</v>
      </c>
      <c r="S2029" s="19">
        <v>0</v>
      </c>
      <c r="T2029" s="31">
        <v>0</v>
      </c>
      <c r="U2029" s="21">
        <v>1</v>
      </c>
      <c r="V2029" s="32">
        <v>2</v>
      </c>
      <c r="W2029" s="32">
        <v>0</v>
      </c>
      <c r="X2029" s="32">
        <v>0</v>
      </c>
      <c r="Y2029" s="19">
        <v>0</v>
      </c>
      <c r="Z2029" s="32">
        <v>0</v>
      </c>
      <c r="AA2029" s="32">
        <v>0</v>
      </c>
      <c r="AB2029" s="32">
        <v>0</v>
      </c>
      <c r="AC2029" s="32">
        <v>0</v>
      </c>
      <c r="AD2029" s="21">
        <v>0</v>
      </c>
      <c r="AE2029" s="32">
        <v>0</v>
      </c>
      <c r="AF2029" s="32">
        <v>20</v>
      </c>
      <c r="AG2029" s="32">
        <v>0</v>
      </c>
      <c r="AH2029" s="32">
        <v>0</v>
      </c>
      <c r="AI2029" s="19">
        <v>2</v>
      </c>
      <c r="AJ2029" s="19">
        <v>0</v>
      </c>
      <c r="AK2029" s="19">
        <v>0</v>
      </c>
      <c r="AL2029" s="19">
        <v>0</v>
      </c>
      <c r="AM2029" s="32">
        <v>0</v>
      </c>
      <c r="AN2029" s="32">
        <v>0</v>
      </c>
      <c r="AO2029" s="32">
        <v>0</v>
      </c>
      <c r="AP2029" s="32">
        <v>0</v>
      </c>
      <c r="AQ2029" s="32">
        <v>1000</v>
      </c>
      <c r="AR2029" s="32">
        <v>0</v>
      </c>
      <c r="AS2029" s="32">
        <v>0</v>
      </c>
      <c r="AT2029" s="19">
        <v>90401006</v>
      </c>
      <c r="AU2029" s="32" t="s">
        <v>204</v>
      </c>
      <c r="AV2029" s="32"/>
      <c r="AW2029" s="35" t="s">
        <v>205</v>
      </c>
      <c r="AX2029" s="32" t="s">
        <v>354</v>
      </c>
      <c r="AY2029" s="32">
        <v>0</v>
      </c>
      <c r="AZ2029" s="32">
        <v>40000003</v>
      </c>
      <c r="BA2029" s="35" t="s">
        <v>206</v>
      </c>
      <c r="BB2029" s="35" t="s">
        <v>204</v>
      </c>
      <c r="BC2029" s="31">
        <v>0</v>
      </c>
      <c r="BD2029" s="31">
        <v>0</v>
      </c>
      <c r="BE2029" s="60" t="s">
        <v>4676</v>
      </c>
      <c r="BF2029" s="60" t="s">
        <v>4677</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73002103</v>
      </c>
      <c r="D2030" s="35" t="s">
        <v>4678</v>
      </c>
      <c r="E2030" s="35" t="s">
        <v>4679</v>
      </c>
      <c r="F2030" s="32">
        <v>1</v>
      </c>
      <c r="G2030" s="32">
        <v>60010300</v>
      </c>
      <c r="H2030" s="32">
        <v>0</v>
      </c>
      <c r="I2030" s="31">
        <v>0</v>
      </c>
      <c r="J2030" s="32">
        <v>1</v>
      </c>
      <c r="K2030" s="32">
        <v>0</v>
      </c>
      <c r="L2030" s="32">
        <v>0</v>
      </c>
      <c r="M2030" s="32">
        <v>0</v>
      </c>
      <c r="N2030" s="32">
        <v>0</v>
      </c>
      <c r="O2030" s="21">
        <v>2</v>
      </c>
      <c r="P2030" s="32">
        <v>6</v>
      </c>
      <c r="Q2030" s="32">
        <v>0</v>
      </c>
      <c r="R2030" s="32">
        <v>0</v>
      </c>
      <c r="S2030" s="19">
        <v>0</v>
      </c>
      <c r="T2030" s="31">
        <v>0</v>
      </c>
      <c r="U2030" s="21">
        <v>1</v>
      </c>
      <c r="V2030" s="32">
        <v>2</v>
      </c>
      <c r="W2030" s="32">
        <v>0</v>
      </c>
      <c r="X2030" s="32">
        <v>10</v>
      </c>
      <c r="Y2030" s="19">
        <v>0</v>
      </c>
      <c r="Z2030" s="32">
        <v>0</v>
      </c>
      <c r="AA2030" s="32">
        <v>0</v>
      </c>
      <c r="AB2030" s="32">
        <v>0</v>
      </c>
      <c r="AC2030" s="32">
        <v>0</v>
      </c>
      <c r="AD2030" s="32">
        <v>0</v>
      </c>
      <c r="AE2030" s="32">
        <v>0</v>
      </c>
      <c r="AF2030" s="32">
        <v>15</v>
      </c>
      <c r="AG2030" s="32">
        <v>1</v>
      </c>
      <c r="AH2030" s="32">
        <v>3</v>
      </c>
      <c r="AI2030" s="19">
        <v>1</v>
      </c>
      <c r="AJ2030" s="19">
        <v>0</v>
      </c>
      <c r="AK2030" s="19">
        <v>0</v>
      </c>
      <c r="AL2030" s="19">
        <v>1.5</v>
      </c>
      <c r="AM2030" s="32">
        <v>0</v>
      </c>
      <c r="AN2030" s="32">
        <v>0</v>
      </c>
      <c r="AO2030" s="32">
        <v>0</v>
      </c>
      <c r="AP2030" s="32">
        <v>1</v>
      </c>
      <c r="AQ2030" s="32">
        <v>1000</v>
      </c>
      <c r="AR2030" s="32">
        <v>0.5</v>
      </c>
      <c r="AS2030" s="32">
        <v>0</v>
      </c>
      <c r="AT2030" s="19">
        <v>0</v>
      </c>
      <c r="AU2030" s="32" t="s">
        <v>581</v>
      </c>
      <c r="AV2030" s="32"/>
      <c r="AW2030" s="35" t="s">
        <v>205</v>
      </c>
      <c r="AX2030" s="32" t="s">
        <v>551</v>
      </c>
      <c r="AY2030" s="32">
        <v>10002001</v>
      </c>
      <c r="AZ2030" s="32">
        <v>70106001</v>
      </c>
      <c r="BA2030" s="35" t="s">
        <v>321</v>
      </c>
      <c r="BB2030" s="35" t="s">
        <v>582</v>
      </c>
      <c r="BC2030" s="31">
        <v>0</v>
      </c>
      <c r="BD2030" s="31">
        <v>0</v>
      </c>
      <c r="BE2030" s="60" t="s">
        <v>583</v>
      </c>
      <c r="BF2030" s="60" t="s">
        <v>584</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73002104</v>
      </c>
      <c r="D2031" s="35" t="s">
        <v>4678</v>
      </c>
      <c r="E2031" s="35" t="s">
        <v>4679</v>
      </c>
      <c r="F2031" s="32">
        <v>1</v>
      </c>
      <c r="G2031" s="32">
        <v>60010500</v>
      </c>
      <c r="H2031" s="32">
        <v>0</v>
      </c>
      <c r="I2031" s="31">
        <v>0</v>
      </c>
      <c r="J2031" s="32">
        <v>1</v>
      </c>
      <c r="K2031" s="32">
        <v>0</v>
      </c>
      <c r="L2031" s="32">
        <v>0</v>
      </c>
      <c r="M2031" s="32">
        <v>0</v>
      </c>
      <c r="N2031" s="32">
        <v>0</v>
      </c>
      <c r="O2031" s="21">
        <v>2</v>
      </c>
      <c r="P2031" s="32">
        <v>2</v>
      </c>
      <c r="Q2031" s="32">
        <v>0.6</v>
      </c>
      <c r="R2031" s="32">
        <v>0</v>
      </c>
      <c r="S2031" s="19">
        <v>0</v>
      </c>
      <c r="T2031" s="31">
        <v>0</v>
      </c>
      <c r="U2031" s="21">
        <v>1</v>
      </c>
      <c r="V2031" s="32">
        <v>2</v>
      </c>
      <c r="W2031" s="32">
        <v>0</v>
      </c>
      <c r="X2031" s="32">
        <v>0</v>
      </c>
      <c r="Y2031" s="19">
        <v>0</v>
      </c>
      <c r="Z2031" s="32">
        <v>0</v>
      </c>
      <c r="AA2031" s="32">
        <v>0</v>
      </c>
      <c r="AB2031" s="32">
        <v>0</v>
      </c>
      <c r="AC2031" s="32">
        <v>0</v>
      </c>
      <c r="AD2031" s="21">
        <v>0</v>
      </c>
      <c r="AE2031" s="32">
        <v>0</v>
      </c>
      <c r="AF2031" s="32">
        <v>20</v>
      </c>
      <c r="AG2031" s="32">
        <v>0</v>
      </c>
      <c r="AH2031" s="32">
        <v>0</v>
      </c>
      <c r="AI2031" s="19">
        <v>2</v>
      </c>
      <c r="AJ2031" s="19">
        <v>0</v>
      </c>
      <c r="AK2031" s="19">
        <v>0</v>
      </c>
      <c r="AL2031" s="19">
        <v>0</v>
      </c>
      <c r="AM2031" s="32">
        <v>0</v>
      </c>
      <c r="AN2031" s="32">
        <v>0</v>
      </c>
      <c r="AO2031" s="32">
        <v>0</v>
      </c>
      <c r="AP2031" s="32">
        <v>0</v>
      </c>
      <c r="AQ2031" s="32">
        <v>1000</v>
      </c>
      <c r="AR2031" s="32">
        <v>0</v>
      </c>
      <c r="AS2031" s="32">
        <v>0</v>
      </c>
      <c r="AT2031" s="19">
        <v>90401004</v>
      </c>
      <c r="AU2031" s="32" t="s">
        <v>204</v>
      </c>
      <c r="AV2031" s="32"/>
      <c r="AW2031" s="35" t="s">
        <v>205</v>
      </c>
      <c r="AX2031" s="32" t="s">
        <v>354</v>
      </c>
      <c r="AY2031" s="32">
        <v>0</v>
      </c>
      <c r="AZ2031" s="32">
        <v>40000003</v>
      </c>
      <c r="BA2031" s="35" t="s">
        <v>206</v>
      </c>
      <c r="BB2031" s="35" t="s">
        <v>204</v>
      </c>
      <c r="BC2031" s="31">
        <v>0</v>
      </c>
      <c r="BD2031" s="31">
        <v>0</v>
      </c>
      <c r="BE2031" s="60" t="s">
        <v>870</v>
      </c>
      <c r="BF2031" s="60" t="s">
        <v>871</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73002105</v>
      </c>
      <c r="D2032" s="30" t="s">
        <v>1130</v>
      </c>
      <c r="E2032" s="30" t="s">
        <v>1131</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1</v>
      </c>
      <c r="Y2032" s="19">
        <v>0</v>
      </c>
      <c r="Z2032" s="21">
        <v>0</v>
      </c>
      <c r="AA2032" s="21">
        <v>1</v>
      </c>
      <c r="AB2032" s="21">
        <v>0</v>
      </c>
      <c r="AC2032" s="21">
        <v>0</v>
      </c>
      <c r="AD2032" s="21">
        <v>0</v>
      </c>
      <c r="AE2032" s="21">
        <v>0</v>
      </c>
      <c r="AF2032" s="21">
        <v>30</v>
      </c>
      <c r="AG2032" s="21">
        <v>1</v>
      </c>
      <c r="AH2032" s="21" t="s">
        <v>867</v>
      </c>
      <c r="AI2032" s="19">
        <v>0</v>
      </c>
      <c r="AJ2032" s="19">
        <v>0</v>
      </c>
      <c r="AK2032" s="19">
        <v>0</v>
      </c>
      <c r="AL2032" s="19">
        <v>0</v>
      </c>
      <c r="AM2032" s="21">
        <v>0</v>
      </c>
      <c r="AN2032" s="21">
        <v>0</v>
      </c>
      <c r="AO2032" s="21">
        <v>0</v>
      </c>
      <c r="AP2032" s="21">
        <v>0.5</v>
      </c>
      <c r="AQ2032" s="21">
        <v>999999</v>
      </c>
      <c r="AR2032" s="21">
        <v>0.5</v>
      </c>
      <c r="AS2032" s="21">
        <v>0</v>
      </c>
      <c r="AT2032" s="19">
        <v>0</v>
      </c>
      <c r="AU2032" s="341" t="s">
        <v>1025</v>
      </c>
      <c r="AV2032" s="19"/>
      <c r="AW2032" s="35" t="s">
        <v>293</v>
      </c>
      <c r="AX2032" s="21" t="s">
        <v>540</v>
      </c>
      <c r="AY2032" s="32">
        <v>10000007</v>
      </c>
      <c r="AZ2032" s="32">
        <v>70202004</v>
      </c>
      <c r="BA2032" s="35" t="s">
        <v>321</v>
      </c>
      <c r="BB2032" s="35" t="s">
        <v>377</v>
      </c>
      <c r="BC2032" s="31">
        <v>0</v>
      </c>
      <c r="BD2032" s="31">
        <v>0</v>
      </c>
      <c r="BE2032" s="33" t="s">
        <v>4680</v>
      </c>
      <c r="BF2032" s="33" t="s">
        <v>4681</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73002201</v>
      </c>
      <c r="D2033" s="30" t="s">
        <v>611</v>
      </c>
      <c r="E2033" s="30" t="s">
        <v>612</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t="s">
        <v>613</v>
      </c>
      <c r="AI2033" s="19">
        <v>1</v>
      </c>
      <c r="AJ2033" s="19">
        <v>1</v>
      </c>
      <c r="AK2033" s="19">
        <v>0</v>
      </c>
      <c r="AL2033" s="19">
        <v>3</v>
      </c>
      <c r="AM2033" s="21">
        <v>0</v>
      </c>
      <c r="AN2033" s="21">
        <v>0</v>
      </c>
      <c r="AO2033" s="21">
        <v>0</v>
      </c>
      <c r="AP2033" s="21">
        <v>3</v>
      </c>
      <c r="AQ2033" s="21">
        <v>5000</v>
      </c>
      <c r="AR2033" s="21">
        <v>2.5</v>
      </c>
      <c r="AS2033" s="21">
        <v>0</v>
      </c>
      <c r="AT2033" s="19">
        <v>0</v>
      </c>
      <c r="AU2033" s="21" t="s">
        <v>204</v>
      </c>
      <c r="AV2033" s="21"/>
      <c r="AW2033" s="35" t="s">
        <v>293</v>
      </c>
      <c r="AX2033" s="21" t="s">
        <v>540</v>
      </c>
      <c r="AY2033" s="32">
        <v>10000007</v>
      </c>
      <c r="AZ2033" s="32">
        <v>70107001</v>
      </c>
      <c r="BA2033" s="30" t="s">
        <v>206</v>
      </c>
      <c r="BB2033" s="21">
        <v>0</v>
      </c>
      <c r="BC2033" s="31">
        <v>0</v>
      </c>
      <c r="BD2033" s="31">
        <v>0</v>
      </c>
      <c r="BE2033" s="33" t="s">
        <v>614</v>
      </c>
      <c r="BF2033" s="33" t="s">
        <v>615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73002202</v>
      </c>
      <c r="D2034" s="30" t="s">
        <v>666</v>
      </c>
      <c r="E2034" s="30" t="s">
        <v>667</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v>3</v>
      </c>
      <c r="AI2034" s="19">
        <v>4</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205</v>
      </c>
      <c r="AX2034" s="21" t="s">
        <v>540</v>
      </c>
      <c r="AY2034" s="32">
        <v>10000007</v>
      </c>
      <c r="AZ2034" s="32">
        <v>70103003</v>
      </c>
      <c r="BA2034" s="30" t="s">
        <v>206</v>
      </c>
      <c r="BB2034" s="21" t="s">
        <v>4682</v>
      </c>
      <c r="BC2034" s="31">
        <v>0</v>
      </c>
      <c r="BD2034" s="31">
        <v>0</v>
      </c>
      <c r="BE2034" s="33" t="s">
        <v>669</v>
      </c>
      <c r="BF2034" s="33" t="s">
        <v>670</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73002203</v>
      </c>
      <c r="D2035" s="30" t="s">
        <v>671</v>
      </c>
      <c r="E2035" s="30" t="s">
        <v>612</v>
      </c>
      <c r="F2035" s="21">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0</v>
      </c>
      <c r="AB2035" s="21">
        <v>0</v>
      </c>
      <c r="AC2035" s="21">
        <v>0</v>
      </c>
      <c r="AD2035" s="21">
        <v>0</v>
      </c>
      <c r="AE2035" s="21">
        <v>0</v>
      </c>
      <c r="AF2035" s="21">
        <v>12</v>
      </c>
      <c r="AG2035" s="21">
        <v>1</v>
      </c>
      <c r="AH2035" s="21">
        <v>3</v>
      </c>
      <c r="AI2035" s="19">
        <v>6</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262</v>
      </c>
      <c r="AX2035" s="21" t="s">
        <v>540</v>
      </c>
      <c r="AY2035" s="32">
        <v>10000007</v>
      </c>
      <c r="AZ2035" s="32">
        <v>70103003</v>
      </c>
      <c r="BA2035" s="30" t="s">
        <v>206</v>
      </c>
      <c r="BB2035" s="21" t="s">
        <v>4683</v>
      </c>
      <c r="BC2035" s="31">
        <v>0</v>
      </c>
      <c r="BD2035" s="31">
        <v>0</v>
      </c>
      <c r="BE2035" s="33" t="s">
        <v>673</v>
      </c>
      <c r="BF2035" s="33" t="s">
        <v>674</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73002204</v>
      </c>
      <c r="D2036" s="35" t="s">
        <v>675</v>
      </c>
      <c r="E2036" s="35" t="s">
        <v>676</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32">
        <v>20</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90102001</v>
      </c>
      <c r="AU2036" s="32" t="s">
        <v>204</v>
      </c>
      <c r="AV2036" s="32"/>
      <c r="AW2036" s="35" t="s">
        <v>205</v>
      </c>
      <c r="AX2036" s="32" t="s">
        <v>354</v>
      </c>
      <c r="AY2036" s="32">
        <v>0</v>
      </c>
      <c r="AZ2036" s="32">
        <v>40000003</v>
      </c>
      <c r="BA2036" s="35" t="s">
        <v>206</v>
      </c>
      <c r="BB2036" s="35" t="s">
        <v>204</v>
      </c>
      <c r="BC2036" s="31">
        <v>0</v>
      </c>
      <c r="BD2036" s="31">
        <v>0</v>
      </c>
      <c r="BE2036" s="60" t="s">
        <v>677</v>
      </c>
      <c r="BF2036" s="60" t="s">
        <v>678</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73002205</v>
      </c>
      <c r="D2037" s="35" t="s">
        <v>679</v>
      </c>
      <c r="E2037" s="35" t="s">
        <v>680</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21">
        <v>99999</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90104002</v>
      </c>
      <c r="AU2037" s="32" t="s">
        <v>204</v>
      </c>
      <c r="AV2037" s="32"/>
      <c r="AW2037" s="35" t="s">
        <v>205</v>
      </c>
      <c r="AX2037" s="32" t="s">
        <v>354</v>
      </c>
      <c r="AY2037" s="32">
        <v>0</v>
      </c>
      <c r="AZ2037" s="32">
        <v>0</v>
      </c>
      <c r="BA2037" s="35" t="s">
        <v>206</v>
      </c>
      <c r="BB2037" s="35" t="s">
        <v>204</v>
      </c>
      <c r="BC2037" s="31">
        <v>0</v>
      </c>
      <c r="BD2037" s="31">
        <v>0</v>
      </c>
      <c r="BE2037" s="60" t="s">
        <v>681</v>
      </c>
      <c r="BF2037" s="60" t="s">
        <v>682</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73002301</v>
      </c>
      <c r="D2038" s="30" t="s">
        <v>999</v>
      </c>
      <c r="E2038" s="30" t="s">
        <v>1000</v>
      </c>
      <c r="F2038" s="32">
        <v>1</v>
      </c>
      <c r="G2038" s="21">
        <v>60010100</v>
      </c>
      <c r="H2038" s="32">
        <v>0</v>
      </c>
      <c r="I2038" s="31">
        <v>0</v>
      </c>
      <c r="J2038" s="32">
        <v>1</v>
      </c>
      <c r="K2038" s="32">
        <v>0</v>
      </c>
      <c r="L2038" s="32">
        <v>0</v>
      </c>
      <c r="M2038" s="21">
        <v>0</v>
      </c>
      <c r="N2038" s="21">
        <v>0</v>
      </c>
      <c r="O2038" s="21">
        <v>2</v>
      </c>
      <c r="P2038" s="21">
        <v>1</v>
      </c>
      <c r="Q2038" s="21">
        <v>0.3</v>
      </c>
      <c r="R2038" s="21">
        <v>0</v>
      </c>
      <c r="S2038" s="19">
        <v>0</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v>3</v>
      </c>
      <c r="AI2038" s="19">
        <v>4</v>
      </c>
      <c r="AJ2038" s="19">
        <v>1</v>
      </c>
      <c r="AK2038" s="19">
        <v>0</v>
      </c>
      <c r="AL2038" s="19">
        <v>1.5</v>
      </c>
      <c r="AM2038" s="21">
        <v>0</v>
      </c>
      <c r="AN2038" s="21">
        <v>0</v>
      </c>
      <c r="AO2038" s="21">
        <v>0</v>
      </c>
      <c r="AP2038" s="21">
        <v>3</v>
      </c>
      <c r="AQ2038" s="21">
        <v>999999</v>
      </c>
      <c r="AR2038" s="21">
        <v>3</v>
      </c>
      <c r="AS2038" s="21">
        <v>0</v>
      </c>
      <c r="AT2038" s="19">
        <v>0</v>
      </c>
      <c r="AU2038" s="21" t="s">
        <v>204</v>
      </c>
      <c r="AV2038" s="21"/>
      <c r="AW2038" s="35" t="s">
        <v>293</v>
      </c>
      <c r="AX2038" s="21" t="s">
        <v>540</v>
      </c>
      <c r="AY2038" s="32">
        <v>10000007</v>
      </c>
      <c r="AZ2038" s="32">
        <v>70205001</v>
      </c>
      <c r="BA2038" s="30" t="s">
        <v>206</v>
      </c>
      <c r="BB2038" s="21" t="s">
        <v>4684</v>
      </c>
      <c r="BC2038" s="31">
        <v>0</v>
      </c>
      <c r="BD2038" s="31">
        <v>0</v>
      </c>
      <c r="BE2038" s="33" t="s">
        <v>1002</v>
      </c>
      <c r="BF2038" s="33" t="s">
        <v>1003</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19.5" customHeight="1">
      <c r="C2039" s="32">
        <v>73002302</v>
      </c>
      <c r="D2039" s="30" t="s">
        <v>1097</v>
      </c>
      <c r="E2039" s="30" t="s">
        <v>1098</v>
      </c>
      <c r="F2039" s="32">
        <v>1</v>
      </c>
      <c r="G2039" s="21">
        <v>60010100</v>
      </c>
      <c r="H2039" s="32">
        <v>0</v>
      </c>
      <c r="I2039" s="31">
        <v>0</v>
      </c>
      <c r="J2039" s="32">
        <v>1</v>
      </c>
      <c r="K2039" s="32">
        <v>0</v>
      </c>
      <c r="L2039" s="32">
        <v>0</v>
      </c>
      <c r="M2039" s="21">
        <v>0</v>
      </c>
      <c r="N2039" s="21">
        <v>0</v>
      </c>
      <c r="O2039" s="21">
        <v>2</v>
      </c>
      <c r="P2039" s="21">
        <v>1</v>
      </c>
      <c r="Q2039" s="21">
        <v>0.3</v>
      </c>
      <c r="R2039" s="21">
        <v>0</v>
      </c>
      <c r="S2039" s="19">
        <v>1</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t="s">
        <v>613</v>
      </c>
      <c r="AI2039" s="19">
        <v>0</v>
      </c>
      <c r="AJ2039" s="19">
        <v>1</v>
      </c>
      <c r="AK2039" s="19">
        <v>0</v>
      </c>
      <c r="AL2039" s="19">
        <v>3</v>
      </c>
      <c r="AM2039" s="21">
        <v>0</v>
      </c>
      <c r="AN2039" s="21">
        <v>0</v>
      </c>
      <c r="AO2039" s="21">
        <v>0</v>
      </c>
      <c r="AP2039" s="21">
        <v>3</v>
      </c>
      <c r="AQ2039" s="21">
        <v>5000</v>
      </c>
      <c r="AR2039" s="21">
        <v>2.5</v>
      </c>
      <c r="AS2039" s="21">
        <v>0</v>
      </c>
      <c r="AT2039" s="19">
        <v>0</v>
      </c>
      <c r="AU2039" s="21" t="s">
        <v>665</v>
      </c>
      <c r="AV2039" s="21"/>
      <c r="AW2039" s="35" t="s">
        <v>262</v>
      </c>
      <c r="AX2039" s="21" t="s">
        <v>540</v>
      </c>
      <c r="AY2039" s="32">
        <v>10000007</v>
      </c>
      <c r="AZ2039" s="32">
        <v>70403003</v>
      </c>
      <c r="BA2039" s="30" t="s">
        <v>206</v>
      </c>
      <c r="BB2039" s="21">
        <v>0</v>
      </c>
      <c r="BC2039" s="31">
        <v>0</v>
      </c>
      <c r="BD2039" s="31">
        <v>0</v>
      </c>
      <c r="BE2039" s="33" t="s">
        <v>4600</v>
      </c>
      <c r="BF2039" s="33" t="s">
        <v>4601</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73002303</v>
      </c>
      <c r="D2040" s="30" t="s">
        <v>1330</v>
      </c>
      <c r="E2040" s="30" t="s">
        <v>1331</v>
      </c>
      <c r="F2040" s="32">
        <v>1</v>
      </c>
      <c r="G2040" s="21">
        <v>60010100</v>
      </c>
      <c r="H2040" s="32">
        <v>0</v>
      </c>
      <c r="I2040" s="31">
        <v>0</v>
      </c>
      <c r="J2040" s="32">
        <v>1</v>
      </c>
      <c r="K2040" s="32">
        <v>0</v>
      </c>
      <c r="L2040" s="32">
        <v>0</v>
      </c>
      <c r="M2040" s="21">
        <v>0</v>
      </c>
      <c r="N2040" s="21">
        <v>0</v>
      </c>
      <c r="O2040" s="21">
        <v>2</v>
      </c>
      <c r="P2040" s="21">
        <v>1</v>
      </c>
      <c r="Q2040" s="21">
        <v>1</v>
      </c>
      <c r="R2040" s="21">
        <v>0</v>
      </c>
      <c r="S2040" s="19">
        <v>0</v>
      </c>
      <c r="T2040" s="21">
        <v>0</v>
      </c>
      <c r="U2040" s="21">
        <v>1</v>
      </c>
      <c r="V2040" s="21">
        <v>2</v>
      </c>
      <c r="W2040" s="21">
        <v>0</v>
      </c>
      <c r="X2040" s="21">
        <v>2</v>
      </c>
      <c r="Y2040" s="19">
        <v>0</v>
      </c>
      <c r="Z2040" s="21">
        <v>0</v>
      </c>
      <c r="AA2040" s="21">
        <v>1</v>
      </c>
      <c r="AB2040" s="21">
        <v>0</v>
      </c>
      <c r="AC2040" s="21">
        <v>0</v>
      </c>
      <c r="AD2040" s="21">
        <v>0</v>
      </c>
      <c r="AE2040" s="21">
        <v>0</v>
      </c>
      <c r="AF2040" s="21">
        <v>10</v>
      </c>
      <c r="AG2040" s="21">
        <v>2</v>
      </c>
      <c r="AH2040" s="21" t="s">
        <v>219</v>
      </c>
      <c r="AI2040" s="19">
        <v>0</v>
      </c>
      <c r="AJ2040" s="19">
        <v>2</v>
      </c>
      <c r="AK2040" s="19">
        <v>0</v>
      </c>
      <c r="AL2040" s="19">
        <v>1.5</v>
      </c>
      <c r="AM2040" s="21">
        <v>0</v>
      </c>
      <c r="AN2040" s="21">
        <v>0</v>
      </c>
      <c r="AO2040" s="21">
        <v>0</v>
      </c>
      <c r="AP2040" s="21">
        <v>1.5</v>
      </c>
      <c r="AQ2040" s="21">
        <v>10000</v>
      </c>
      <c r="AR2040" s="21">
        <v>1</v>
      </c>
      <c r="AS2040" s="21">
        <v>5</v>
      </c>
      <c r="AT2040" s="19">
        <v>0</v>
      </c>
      <c r="AU2040" s="21" t="s">
        <v>204</v>
      </c>
      <c r="AV2040" s="21"/>
      <c r="AW2040" s="35" t="s">
        <v>623</v>
      </c>
      <c r="AX2040" s="21" t="s">
        <v>540</v>
      </c>
      <c r="AY2040" s="32">
        <v>10000007</v>
      </c>
      <c r="AZ2040" s="32">
        <v>70302003</v>
      </c>
      <c r="BA2040" s="35" t="s">
        <v>592</v>
      </c>
      <c r="BB2040" s="31" t="s">
        <v>4685</v>
      </c>
      <c r="BC2040" s="31">
        <v>0</v>
      </c>
      <c r="BD2040" s="31">
        <v>0</v>
      </c>
      <c r="BE2040" s="33" t="s">
        <v>1114</v>
      </c>
      <c r="BF2040" s="33" t="s">
        <v>1115</v>
      </c>
      <c r="BG2040" s="21">
        <v>1</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73002304</v>
      </c>
      <c r="D2041" s="35" t="s">
        <v>544</v>
      </c>
      <c r="E2041" s="35" t="s">
        <v>545</v>
      </c>
      <c r="F2041" s="32">
        <v>1</v>
      </c>
      <c r="G2041" s="32">
        <v>60010500</v>
      </c>
      <c r="H2041" s="32">
        <v>0</v>
      </c>
      <c r="I2041" s="31">
        <v>0</v>
      </c>
      <c r="J2041" s="32">
        <v>1</v>
      </c>
      <c r="K2041" s="32">
        <v>0</v>
      </c>
      <c r="L2041" s="32">
        <v>0</v>
      </c>
      <c r="M2041" s="32">
        <v>0</v>
      </c>
      <c r="N2041" s="32">
        <v>0</v>
      </c>
      <c r="O2041" s="21">
        <v>2</v>
      </c>
      <c r="P2041" s="32">
        <v>2</v>
      </c>
      <c r="Q2041" s="32">
        <v>0.8</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32">
        <v>20</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v>90401004</v>
      </c>
      <c r="AU2041" s="32" t="s">
        <v>204</v>
      </c>
      <c r="AV2041" s="32"/>
      <c r="AW2041" s="35" t="s">
        <v>205</v>
      </c>
      <c r="AX2041" s="32" t="s">
        <v>354</v>
      </c>
      <c r="AY2041" s="32">
        <v>0</v>
      </c>
      <c r="AZ2041" s="32">
        <v>40000003</v>
      </c>
      <c r="BA2041" s="35" t="s">
        <v>206</v>
      </c>
      <c r="BB2041" s="35" t="s">
        <v>204</v>
      </c>
      <c r="BC2041" s="31">
        <v>0</v>
      </c>
      <c r="BD2041" s="31">
        <v>0</v>
      </c>
      <c r="BE2041" s="60" t="s">
        <v>870</v>
      </c>
      <c r="BF2041" s="60" t="s">
        <v>871</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73002305</v>
      </c>
      <c r="D2042" s="35" t="s">
        <v>763</v>
      </c>
      <c r="E2042" s="35" t="s">
        <v>405</v>
      </c>
      <c r="F2042" s="32">
        <v>1</v>
      </c>
      <c r="G2042" s="32">
        <v>60010500</v>
      </c>
      <c r="H2042" s="32">
        <v>0</v>
      </c>
      <c r="I2042" s="31">
        <v>0</v>
      </c>
      <c r="J2042" s="32">
        <v>1</v>
      </c>
      <c r="K2042" s="32">
        <v>0</v>
      </c>
      <c r="L2042" s="32">
        <v>0</v>
      </c>
      <c r="M2042" s="32">
        <v>0</v>
      </c>
      <c r="N2042" s="32">
        <v>0</v>
      </c>
      <c r="O2042" s="21">
        <v>2</v>
      </c>
      <c r="P2042" s="32">
        <v>2</v>
      </c>
      <c r="Q2042" s="32">
        <v>0.5</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21">
        <v>15</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t="s">
        <v>760</v>
      </c>
      <c r="AU2042" s="32" t="s">
        <v>204</v>
      </c>
      <c r="AV2042" s="32"/>
      <c r="AW2042" s="35" t="s">
        <v>205</v>
      </c>
      <c r="AX2042" s="32" t="s">
        <v>354</v>
      </c>
      <c r="AY2042" s="32">
        <v>0</v>
      </c>
      <c r="AZ2042" s="32">
        <v>0</v>
      </c>
      <c r="BA2042" s="35" t="s">
        <v>206</v>
      </c>
      <c r="BB2042" s="35" t="s">
        <v>204</v>
      </c>
      <c r="BC2042" s="31">
        <v>0</v>
      </c>
      <c r="BD2042" s="31">
        <v>0</v>
      </c>
      <c r="BE2042" s="60" t="s">
        <v>1124</v>
      </c>
      <c r="BF2042" s="60" t="s">
        <v>1125</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73002307</v>
      </c>
      <c r="D2043" s="30" t="s">
        <v>4686</v>
      </c>
      <c r="E2043" s="30" t="s">
        <v>4687</v>
      </c>
      <c r="F2043" s="32">
        <v>1</v>
      </c>
      <c r="G2043" s="21">
        <v>60010100</v>
      </c>
      <c r="H2043" s="32">
        <v>0</v>
      </c>
      <c r="I2043" s="31">
        <v>0</v>
      </c>
      <c r="J2043" s="32">
        <v>1</v>
      </c>
      <c r="K2043" s="32">
        <v>0</v>
      </c>
      <c r="L2043" s="32">
        <v>0</v>
      </c>
      <c r="M2043" s="21">
        <v>0</v>
      </c>
      <c r="N2043" s="21">
        <v>0</v>
      </c>
      <c r="O2043" s="21">
        <v>2</v>
      </c>
      <c r="P2043" s="21">
        <v>1</v>
      </c>
      <c r="Q2043" s="21">
        <v>0.3</v>
      </c>
      <c r="R2043" s="21">
        <v>0</v>
      </c>
      <c r="S2043" s="19">
        <v>0</v>
      </c>
      <c r="T2043" s="21">
        <v>0</v>
      </c>
      <c r="U2043" s="21">
        <v>1</v>
      </c>
      <c r="V2043" s="21">
        <v>2</v>
      </c>
      <c r="W2043" s="21">
        <v>0</v>
      </c>
      <c r="X2043" s="21">
        <v>2</v>
      </c>
      <c r="Y2043" s="19">
        <v>0</v>
      </c>
      <c r="Z2043" s="21">
        <v>0</v>
      </c>
      <c r="AA2043" s="21">
        <v>1</v>
      </c>
      <c r="AB2043" s="21">
        <v>0</v>
      </c>
      <c r="AC2043" s="21">
        <v>0</v>
      </c>
      <c r="AD2043" s="21">
        <v>0</v>
      </c>
      <c r="AE2043" s="21">
        <v>0</v>
      </c>
      <c r="AF2043" s="21">
        <v>15</v>
      </c>
      <c r="AG2043" s="21">
        <v>1</v>
      </c>
      <c r="AH2043" s="21" t="s">
        <v>867</v>
      </c>
      <c r="AI2043" s="19">
        <v>0</v>
      </c>
      <c r="AJ2043" s="19">
        <v>0</v>
      </c>
      <c r="AK2043" s="19">
        <v>0</v>
      </c>
      <c r="AL2043" s="19">
        <v>0</v>
      </c>
      <c r="AM2043" s="21">
        <v>0</v>
      </c>
      <c r="AN2043" s="21">
        <v>0</v>
      </c>
      <c r="AO2043" s="21">
        <v>0</v>
      </c>
      <c r="AP2043" s="21">
        <v>0.5</v>
      </c>
      <c r="AQ2043" s="21">
        <v>999999</v>
      </c>
      <c r="AR2043" s="21">
        <v>0.5</v>
      </c>
      <c r="AS2043" s="21">
        <v>0</v>
      </c>
      <c r="AT2043" s="19">
        <v>0</v>
      </c>
      <c r="AU2043" s="19">
        <v>90205007</v>
      </c>
      <c r="AV2043" s="19"/>
      <c r="AW2043" s="35" t="s">
        <v>623</v>
      </c>
      <c r="AX2043" s="21" t="s">
        <v>540</v>
      </c>
      <c r="AY2043" s="32">
        <v>10000007</v>
      </c>
      <c r="AZ2043" s="32">
        <v>70205001</v>
      </c>
      <c r="BA2043" s="35" t="s">
        <v>321</v>
      </c>
      <c r="BB2043" s="35" t="s">
        <v>377</v>
      </c>
      <c r="BC2043" s="31">
        <v>0</v>
      </c>
      <c r="BD2043" s="31">
        <v>0</v>
      </c>
      <c r="BE2043" s="33"/>
      <c r="BF2043" s="33"/>
      <c r="BG2043" s="21">
        <v>0</v>
      </c>
      <c r="BH2043" s="21">
        <v>0</v>
      </c>
      <c r="BI2043" s="21">
        <v>0</v>
      </c>
      <c r="BJ2043" s="21">
        <v>0</v>
      </c>
      <c r="BK2043" s="21">
        <v>0</v>
      </c>
      <c r="BL2043" s="21">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20.100000000000001" customHeight="1">
      <c r="C2044" s="74">
        <v>73003101</v>
      </c>
      <c r="D2044" s="71" t="s">
        <v>766</v>
      </c>
      <c r="E2044" s="71" t="s">
        <v>767</v>
      </c>
      <c r="F2044" s="72">
        <v>2</v>
      </c>
      <c r="G2044" s="72">
        <v>61012301</v>
      </c>
      <c r="H2044" s="72">
        <v>0</v>
      </c>
      <c r="I2044" s="75">
        <v>0</v>
      </c>
      <c r="J2044" s="74">
        <v>1</v>
      </c>
      <c r="K2044" s="74">
        <v>0</v>
      </c>
      <c r="L2044" s="74">
        <v>0</v>
      </c>
      <c r="M2044" s="72">
        <v>0</v>
      </c>
      <c r="N2044" s="72">
        <v>0</v>
      </c>
      <c r="O2044" s="21">
        <v>2</v>
      </c>
      <c r="P2044" s="72">
        <v>1</v>
      </c>
      <c r="Q2044" s="72">
        <v>0.5</v>
      </c>
      <c r="R2044" s="72">
        <v>0</v>
      </c>
      <c r="S2044" s="73">
        <v>1</v>
      </c>
      <c r="T2044" s="72">
        <v>0</v>
      </c>
      <c r="U2044" s="72">
        <v>1</v>
      </c>
      <c r="V2044" s="72">
        <v>2</v>
      </c>
      <c r="W2044" s="72">
        <v>0</v>
      </c>
      <c r="X2044" s="72">
        <v>1.4</v>
      </c>
      <c r="Y2044" s="19">
        <v>0</v>
      </c>
      <c r="Z2044" s="72">
        <v>150</v>
      </c>
      <c r="AA2044" s="72">
        <v>1</v>
      </c>
      <c r="AB2044" s="72">
        <v>0</v>
      </c>
      <c r="AC2044" s="72">
        <v>0</v>
      </c>
      <c r="AD2044" s="72">
        <v>0</v>
      </c>
      <c r="AE2044" s="72">
        <v>0</v>
      </c>
      <c r="AF2044" s="72">
        <v>12</v>
      </c>
      <c r="AG2044" s="72">
        <v>2</v>
      </c>
      <c r="AH2044" s="72" t="s">
        <v>219</v>
      </c>
      <c r="AI2044" s="73">
        <v>7</v>
      </c>
      <c r="AJ2044" s="73">
        <v>2</v>
      </c>
      <c r="AK2044" s="19">
        <v>0</v>
      </c>
      <c r="AL2044" s="73">
        <v>1.5</v>
      </c>
      <c r="AM2044" s="72">
        <v>0</v>
      </c>
      <c r="AN2044" s="72">
        <v>0</v>
      </c>
      <c r="AO2044" s="72">
        <v>0</v>
      </c>
      <c r="AP2044" s="72">
        <v>1.5</v>
      </c>
      <c r="AQ2044" s="72">
        <v>1200</v>
      </c>
      <c r="AR2044" s="72">
        <v>1</v>
      </c>
      <c r="AS2044" s="72">
        <v>15</v>
      </c>
      <c r="AT2044" s="73">
        <v>0</v>
      </c>
      <c r="AU2044" s="72" t="s">
        <v>204</v>
      </c>
      <c r="AV2044" s="72"/>
      <c r="AW2044" s="71" t="s">
        <v>262</v>
      </c>
      <c r="AX2044" s="72" t="s">
        <v>221</v>
      </c>
      <c r="AY2044" s="74">
        <v>10000011</v>
      </c>
      <c r="AZ2044" s="74">
        <v>70404001</v>
      </c>
      <c r="BA2044" s="71" t="s">
        <v>222</v>
      </c>
      <c r="BB2044" s="72">
        <v>0</v>
      </c>
      <c r="BC2044" s="75">
        <v>0</v>
      </c>
      <c r="BD2044" s="75">
        <v>0</v>
      </c>
      <c r="BE2044" s="76" t="s">
        <v>804</v>
      </c>
      <c r="BF2044" s="76" t="s">
        <v>805</v>
      </c>
      <c r="BG2044" s="72">
        <v>0</v>
      </c>
      <c r="BH2044" s="72">
        <v>0</v>
      </c>
      <c r="BI2044" s="72">
        <v>0</v>
      </c>
      <c r="BJ2044" s="72">
        <v>0</v>
      </c>
      <c r="BK2044" s="72">
        <v>0</v>
      </c>
      <c r="BL2044" s="72">
        <v>0</v>
      </c>
      <c r="BM2044" s="90">
        <v>0</v>
      </c>
      <c r="BN2044" s="19">
        <v>0</v>
      </c>
      <c r="BO2044" s="19">
        <v>0</v>
      </c>
      <c r="BP2044" s="19">
        <v>0</v>
      </c>
      <c r="BQ2044" s="19">
        <v>0</v>
      </c>
      <c r="BR2044" s="19">
        <v>0</v>
      </c>
      <c r="BS2044" s="19">
        <v>0</v>
      </c>
      <c r="BT2044" s="19">
        <v>0</v>
      </c>
      <c r="BU2044" s="23">
        <v>0</v>
      </c>
      <c r="BV2044" s="23"/>
      <c r="BW2044" s="23"/>
      <c r="BX2044" s="23"/>
      <c r="BY2044" s="23"/>
      <c r="BZ2044" s="23"/>
    </row>
    <row r="2045" spans="3:78" ht="19.5" customHeight="1">
      <c r="C2045" s="32">
        <v>73003102</v>
      </c>
      <c r="D2045" s="30" t="s">
        <v>1097</v>
      </c>
      <c r="E2045" s="30" t="s">
        <v>1098</v>
      </c>
      <c r="F2045" s="32">
        <v>1</v>
      </c>
      <c r="G2045" s="21">
        <v>60010100</v>
      </c>
      <c r="H2045" s="32">
        <v>0</v>
      </c>
      <c r="I2045" s="31">
        <v>0</v>
      </c>
      <c r="J2045" s="32">
        <v>1</v>
      </c>
      <c r="K2045" s="32">
        <v>0</v>
      </c>
      <c r="L2045" s="32">
        <v>0</v>
      </c>
      <c r="M2045" s="21">
        <v>0</v>
      </c>
      <c r="N2045" s="21">
        <v>0</v>
      </c>
      <c r="O2045" s="21">
        <v>2</v>
      </c>
      <c r="P2045" s="21">
        <v>1</v>
      </c>
      <c r="Q2045" s="21">
        <v>0.3</v>
      </c>
      <c r="R2045" s="21">
        <v>0</v>
      </c>
      <c r="S2045" s="19">
        <v>0</v>
      </c>
      <c r="T2045" s="21">
        <v>0</v>
      </c>
      <c r="U2045" s="21">
        <v>1</v>
      </c>
      <c r="V2045" s="21">
        <v>2</v>
      </c>
      <c r="W2045" s="21">
        <v>0</v>
      </c>
      <c r="X2045" s="21">
        <v>3</v>
      </c>
      <c r="Y2045" s="19">
        <v>0</v>
      </c>
      <c r="Z2045" s="21">
        <v>0</v>
      </c>
      <c r="AA2045" s="21">
        <v>1</v>
      </c>
      <c r="AB2045" s="21">
        <v>0</v>
      </c>
      <c r="AC2045" s="21">
        <v>0</v>
      </c>
      <c r="AD2045" s="21">
        <v>0</v>
      </c>
      <c r="AE2045" s="21">
        <v>0</v>
      </c>
      <c r="AF2045" s="21">
        <v>12</v>
      </c>
      <c r="AG2045" s="21">
        <v>1</v>
      </c>
      <c r="AH2045" s="21" t="s">
        <v>613</v>
      </c>
      <c r="AI2045" s="19">
        <v>0</v>
      </c>
      <c r="AJ2045" s="19">
        <v>1</v>
      </c>
      <c r="AK2045" s="19">
        <v>0</v>
      </c>
      <c r="AL2045" s="19">
        <v>3</v>
      </c>
      <c r="AM2045" s="21">
        <v>0</v>
      </c>
      <c r="AN2045" s="21">
        <v>0</v>
      </c>
      <c r="AO2045" s="21">
        <v>0</v>
      </c>
      <c r="AP2045" s="21">
        <v>3</v>
      </c>
      <c r="AQ2045" s="21">
        <v>5000</v>
      </c>
      <c r="AR2045" s="21">
        <v>2.5</v>
      </c>
      <c r="AS2045" s="21">
        <v>0</v>
      </c>
      <c r="AT2045" s="19">
        <v>0</v>
      </c>
      <c r="AU2045" s="21">
        <v>80001030</v>
      </c>
      <c r="AV2045" s="21"/>
      <c r="AW2045" s="35" t="s">
        <v>293</v>
      </c>
      <c r="AX2045" s="21" t="s">
        <v>540</v>
      </c>
      <c r="AY2045" s="32">
        <v>10000007</v>
      </c>
      <c r="AZ2045" s="32">
        <v>70204001</v>
      </c>
      <c r="BA2045" s="30" t="s">
        <v>206</v>
      </c>
      <c r="BB2045" s="21">
        <v>0</v>
      </c>
      <c r="BC2045" s="31">
        <v>0</v>
      </c>
      <c r="BD2045" s="31">
        <v>0</v>
      </c>
      <c r="BE2045" s="33" t="s">
        <v>1099</v>
      </c>
      <c r="BF2045" s="33" t="s">
        <v>1100</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73003103</v>
      </c>
      <c r="D2046" s="30" t="s">
        <v>538</v>
      </c>
      <c r="E2046" s="30" t="s">
        <v>261</v>
      </c>
      <c r="F2046" s="32">
        <v>1</v>
      </c>
      <c r="G2046" s="21">
        <v>0</v>
      </c>
      <c r="H2046" s="32">
        <v>0</v>
      </c>
      <c r="I2046" s="31">
        <v>0</v>
      </c>
      <c r="J2046" s="32">
        <v>1</v>
      </c>
      <c r="K2046" s="32">
        <v>0</v>
      </c>
      <c r="L2046" s="32">
        <v>0</v>
      </c>
      <c r="M2046" s="21">
        <v>0</v>
      </c>
      <c r="N2046" s="21">
        <v>0</v>
      </c>
      <c r="O2046" s="21">
        <v>2</v>
      </c>
      <c r="P2046" s="21">
        <v>1</v>
      </c>
      <c r="Q2046" s="21">
        <v>1</v>
      </c>
      <c r="R2046" s="21">
        <v>0</v>
      </c>
      <c r="S2046" s="19">
        <v>0</v>
      </c>
      <c r="T2046" s="21">
        <v>0</v>
      </c>
      <c r="U2046" s="21">
        <v>1</v>
      </c>
      <c r="V2046" s="21">
        <v>2</v>
      </c>
      <c r="W2046" s="21">
        <v>0</v>
      </c>
      <c r="X2046" s="21">
        <v>2</v>
      </c>
      <c r="Y2046" s="19">
        <v>0</v>
      </c>
      <c r="Z2046" s="21">
        <v>0</v>
      </c>
      <c r="AA2046" s="21">
        <v>1</v>
      </c>
      <c r="AB2046" s="21">
        <v>0</v>
      </c>
      <c r="AC2046" s="21">
        <v>0</v>
      </c>
      <c r="AD2046" s="21">
        <v>0</v>
      </c>
      <c r="AE2046" s="21">
        <v>0</v>
      </c>
      <c r="AF2046" s="21">
        <v>6</v>
      </c>
      <c r="AG2046" s="21">
        <v>1</v>
      </c>
      <c r="AH2046" s="21">
        <v>3</v>
      </c>
      <c r="AI2046" s="19">
        <v>0</v>
      </c>
      <c r="AJ2046" s="19">
        <v>0</v>
      </c>
      <c r="AK2046" s="19">
        <v>0</v>
      </c>
      <c r="AL2046" s="19">
        <v>1.5</v>
      </c>
      <c r="AM2046" s="21">
        <v>0</v>
      </c>
      <c r="AN2046" s="21">
        <v>0</v>
      </c>
      <c r="AO2046" s="21">
        <v>0</v>
      </c>
      <c r="AP2046" s="21">
        <v>1</v>
      </c>
      <c r="AQ2046" s="21">
        <v>5000</v>
      </c>
      <c r="AR2046" s="21">
        <v>0.5</v>
      </c>
      <c r="AS2046" s="21">
        <v>0</v>
      </c>
      <c r="AT2046" s="19">
        <v>0</v>
      </c>
      <c r="AU2046" s="21" t="s">
        <v>204</v>
      </c>
      <c r="AV2046" s="21"/>
      <c r="AW2046" s="35" t="s">
        <v>205</v>
      </c>
      <c r="AX2046" s="21" t="s">
        <v>540</v>
      </c>
      <c r="AY2046" s="32">
        <v>10000007</v>
      </c>
      <c r="AZ2046" s="32">
        <v>70105001</v>
      </c>
      <c r="BA2046" s="30" t="s">
        <v>206</v>
      </c>
      <c r="BB2046" s="21" t="s">
        <v>4518</v>
      </c>
      <c r="BC2046" s="31">
        <v>0</v>
      </c>
      <c r="BD2046" s="31">
        <v>0</v>
      </c>
      <c r="BE2046" s="33" t="s">
        <v>4519</v>
      </c>
      <c r="BF2046" s="33" t="s">
        <v>4520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73003104</v>
      </c>
      <c r="D2047" s="30" t="s">
        <v>750</v>
      </c>
      <c r="E2047" s="30" t="s">
        <v>751</v>
      </c>
      <c r="F2047" s="32">
        <v>1</v>
      </c>
      <c r="G2047" s="32">
        <v>60010500</v>
      </c>
      <c r="H2047" s="32">
        <v>0</v>
      </c>
      <c r="I2047" s="31">
        <v>0</v>
      </c>
      <c r="J2047" s="32">
        <v>1</v>
      </c>
      <c r="K2047" s="32">
        <v>0</v>
      </c>
      <c r="L2047" s="32">
        <v>0</v>
      </c>
      <c r="M2047" s="32">
        <v>0</v>
      </c>
      <c r="N2047" s="32">
        <v>0</v>
      </c>
      <c r="O2047" s="21">
        <v>2</v>
      </c>
      <c r="P2047" s="32">
        <v>1</v>
      </c>
      <c r="Q2047" s="32">
        <v>0.05</v>
      </c>
      <c r="R2047" s="32">
        <v>0</v>
      </c>
      <c r="S2047" s="19">
        <v>0</v>
      </c>
      <c r="T2047" s="31">
        <v>0</v>
      </c>
      <c r="U2047" s="21">
        <v>1</v>
      </c>
      <c r="V2047" s="32">
        <v>1</v>
      </c>
      <c r="W2047" s="32">
        <v>0</v>
      </c>
      <c r="X2047" s="32">
        <v>2</v>
      </c>
      <c r="Y2047" s="19">
        <v>0</v>
      </c>
      <c r="Z2047" s="32">
        <v>0</v>
      </c>
      <c r="AA2047" s="32">
        <v>0</v>
      </c>
      <c r="AB2047" s="32">
        <v>0</v>
      </c>
      <c r="AC2047" s="32">
        <v>0</v>
      </c>
      <c r="AD2047" s="21">
        <v>0</v>
      </c>
      <c r="AE2047" s="32">
        <v>0</v>
      </c>
      <c r="AF2047" s="32">
        <v>10</v>
      </c>
      <c r="AG2047" s="32">
        <v>0</v>
      </c>
      <c r="AH2047" s="32">
        <v>0</v>
      </c>
      <c r="AI2047" s="19">
        <v>7</v>
      </c>
      <c r="AJ2047" s="19">
        <v>0</v>
      </c>
      <c r="AK2047" s="19">
        <v>0</v>
      </c>
      <c r="AL2047" s="19">
        <v>0</v>
      </c>
      <c r="AM2047" s="32">
        <v>0</v>
      </c>
      <c r="AN2047" s="32">
        <v>0</v>
      </c>
      <c r="AO2047" s="32">
        <v>0</v>
      </c>
      <c r="AP2047" s="32">
        <v>0</v>
      </c>
      <c r="AQ2047" s="32">
        <v>1000</v>
      </c>
      <c r="AR2047" s="32">
        <v>0.5</v>
      </c>
      <c r="AS2047" s="32">
        <v>0</v>
      </c>
      <c r="AT2047" s="19">
        <v>0</v>
      </c>
      <c r="AU2047" s="32" t="s">
        <v>665</v>
      </c>
      <c r="AV2047" s="32"/>
      <c r="AW2047" s="35" t="s">
        <v>747</v>
      </c>
      <c r="AX2047" s="32">
        <v>0</v>
      </c>
      <c r="AY2047" s="32">
        <v>10007001</v>
      </c>
      <c r="AZ2047" s="32">
        <v>0</v>
      </c>
      <c r="BA2047" s="35" t="s">
        <v>206</v>
      </c>
      <c r="BB2047" s="35" t="s">
        <v>204</v>
      </c>
      <c r="BC2047" s="31">
        <v>0</v>
      </c>
      <c r="BD2047" s="31">
        <v>0</v>
      </c>
      <c r="BE2047" s="60" t="s">
        <v>4688</v>
      </c>
      <c r="BF2047" s="60" t="s">
        <v>4689</v>
      </c>
      <c r="BG2047" s="32">
        <v>0</v>
      </c>
      <c r="BH2047" s="21">
        <v>0</v>
      </c>
      <c r="BI2047" s="32">
        <v>0</v>
      </c>
      <c r="BJ2047" s="32">
        <v>0</v>
      </c>
      <c r="BK2047" s="32">
        <v>0</v>
      </c>
      <c r="BL2047" s="32">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73003201</v>
      </c>
      <c r="D2048" s="30" t="s">
        <v>671</v>
      </c>
      <c r="E2048" s="30" t="s">
        <v>612</v>
      </c>
      <c r="F2048" s="21">
        <v>1</v>
      </c>
      <c r="G2048" s="21">
        <v>60010100</v>
      </c>
      <c r="H2048" s="32">
        <v>0</v>
      </c>
      <c r="I2048" s="31">
        <v>0</v>
      </c>
      <c r="J2048" s="32">
        <v>1</v>
      </c>
      <c r="K2048" s="32">
        <v>0</v>
      </c>
      <c r="L2048" s="32">
        <v>0</v>
      </c>
      <c r="M2048" s="21">
        <v>0</v>
      </c>
      <c r="N2048" s="21">
        <v>0</v>
      </c>
      <c r="O2048" s="21">
        <v>2</v>
      </c>
      <c r="P2048" s="21">
        <v>1</v>
      </c>
      <c r="Q2048" s="21">
        <v>0.3</v>
      </c>
      <c r="R2048" s="21">
        <v>0</v>
      </c>
      <c r="S2048" s="19">
        <v>0</v>
      </c>
      <c r="T2048" s="21">
        <v>0</v>
      </c>
      <c r="U2048" s="21">
        <v>1</v>
      </c>
      <c r="V2048" s="21">
        <v>2</v>
      </c>
      <c r="W2048" s="21">
        <v>0</v>
      </c>
      <c r="X2048" s="21">
        <v>3</v>
      </c>
      <c r="Y2048" s="19">
        <v>0</v>
      </c>
      <c r="Z2048" s="21">
        <v>0</v>
      </c>
      <c r="AA2048" s="21">
        <v>0</v>
      </c>
      <c r="AB2048" s="21">
        <v>0</v>
      </c>
      <c r="AC2048" s="21">
        <v>0</v>
      </c>
      <c r="AD2048" s="21">
        <v>0</v>
      </c>
      <c r="AE2048" s="21">
        <v>0</v>
      </c>
      <c r="AF2048" s="21">
        <v>12</v>
      </c>
      <c r="AG2048" s="21">
        <v>1</v>
      </c>
      <c r="AH2048" s="21">
        <v>3</v>
      </c>
      <c r="AI2048" s="19">
        <v>6</v>
      </c>
      <c r="AJ2048" s="19">
        <v>1</v>
      </c>
      <c r="AK2048" s="19">
        <v>0</v>
      </c>
      <c r="AL2048" s="19">
        <v>1.5</v>
      </c>
      <c r="AM2048" s="21">
        <v>0</v>
      </c>
      <c r="AN2048" s="21">
        <v>0</v>
      </c>
      <c r="AO2048" s="21">
        <v>0</v>
      </c>
      <c r="AP2048" s="21">
        <v>3</v>
      </c>
      <c r="AQ2048" s="21">
        <v>5000</v>
      </c>
      <c r="AR2048" s="21">
        <v>3</v>
      </c>
      <c r="AS2048" s="21">
        <v>0</v>
      </c>
      <c r="AT2048" s="19">
        <v>0</v>
      </c>
      <c r="AU2048" s="21" t="s">
        <v>204</v>
      </c>
      <c r="AV2048" s="21"/>
      <c r="AW2048" s="35" t="s">
        <v>262</v>
      </c>
      <c r="AX2048" s="21" t="s">
        <v>540</v>
      </c>
      <c r="AY2048" s="32">
        <v>10000007</v>
      </c>
      <c r="AZ2048" s="32">
        <v>70103003</v>
      </c>
      <c r="BA2048" s="30" t="s">
        <v>206</v>
      </c>
      <c r="BB2048" s="21" t="s">
        <v>4657</v>
      </c>
      <c r="BC2048" s="31">
        <v>0</v>
      </c>
      <c r="BD2048" s="31">
        <v>0</v>
      </c>
      <c r="BE2048" s="33" t="s">
        <v>673</v>
      </c>
      <c r="BF2048" s="33" t="s">
        <v>674</v>
      </c>
      <c r="BG2048" s="21">
        <v>0</v>
      </c>
      <c r="BH2048" s="21">
        <v>0</v>
      </c>
      <c r="BI2048" s="21">
        <v>0</v>
      </c>
      <c r="BJ2048" s="21">
        <v>0</v>
      </c>
      <c r="BK2048" s="21">
        <v>0</v>
      </c>
      <c r="BL2048" s="21">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73003202</v>
      </c>
      <c r="D2049" s="35" t="s">
        <v>4690</v>
      </c>
      <c r="E2049" s="35" t="s">
        <v>4691</v>
      </c>
      <c r="F2049" s="32">
        <v>1</v>
      </c>
      <c r="G2049" s="32">
        <v>60010500</v>
      </c>
      <c r="H2049" s="32">
        <v>0</v>
      </c>
      <c r="I2049" s="31">
        <v>0</v>
      </c>
      <c r="J2049" s="32">
        <v>1</v>
      </c>
      <c r="K2049" s="32">
        <v>0</v>
      </c>
      <c r="L2049" s="32">
        <v>0</v>
      </c>
      <c r="M2049" s="32">
        <v>0</v>
      </c>
      <c r="N2049" s="32">
        <v>0</v>
      </c>
      <c r="O2049" s="21">
        <v>2</v>
      </c>
      <c r="P2049" s="32">
        <v>2</v>
      </c>
      <c r="Q2049" s="32">
        <v>0.95</v>
      </c>
      <c r="R2049" s="32">
        <v>0</v>
      </c>
      <c r="S2049" s="19">
        <v>0</v>
      </c>
      <c r="T2049" s="31">
        <v>0</v>
      </c>
      <c r="U2049" s="21">
        <v>1</v>
      </c>
      <c r="V2049" s="32">
        <v>2</v>
      </c>
      <c r="W2049" s="32">
        <v>0</v>
      </c>
      <c r="X2049" s="32">
        <v>0</v>
      </c>
      <c r="Y2049" s="19">
        <v>0</v>
      </c>
      <c r="Z2049" s="32">
        <v>0</v>
      </c>
      <c r="AA2049" s="32">
        <v>0</v>
      </c>
      <c r="AB2049" s="32">
        <v>0</v>
      </c>
      <c r="AC2049" s="32">
        <v>0</v>
      </c>
      <c r="AD2049" s="21">
        <v>0</v>
      </c>
      <c r="AE2049" s="32">
        <v>0</v>
      </c>
      <c r="AF2049" s="32">
        <v>20</v>
      </c>
      <c r="AG2049" s="32">
        <v>0</v>
      </c>
      <c r="AH2049" s="32">
        <v>0</v>
      </c>
      <c r="AI2049" s="19">
        <v>7</v>
      </c>
      <c r="AJ2049" s="19">
        <v>0</v>
      </c>
      <c r="AK2049" s="19">
        <v>0</v>
      </c>
      <c r="AL2049" s="19">
        <v>0</v>
      </c>
      <c r="AM2049" s="32">
        <v>0</v>
      </c>
      <c r="AN2049" s="32">
        <v>0</v>
      </c>
      <c r="AO2049" s="32">
        <v>0</v>
      </c>
      <c r="AP2049" s="32">
        <v>0</v>
      </c>
      <c r="AQ2049" s="32">
        <v>1000</v>
      </c>
      <c r="AR2049" s="32">
        <v>0.5</v>
      </c>
      <c r="AS2049" s="32">
        <v>0</v>
      </c>
      <c r="AT2049" s="19">
        <v>0</v>
      </c>
      <c r="AU2049" s="32">
        <v>83000001</v>
      </c>
      <c r="AV2049" s="32"/>
      <c r="AW2049" s="35" t="s">
        <v>747</v>
      </c>
      <c r="AX2049" s="32">
        <v>0</v>
      </c>
      <c r="AY2049" s="32">
        <v>10007001</v>
      </c>
      <c r="AZ2049" s="32">
        <v>0</v>
      </c>
      <c r="BA2049" s="35" t="s">
        <v>206</v>
      </c>
      <c r="BB2049" s="35" t="s">
        <v>204</v>
      </c>
      <c r="BC2049" s="31">
        <v>0</v>
      </c>
      <c r="BD2049" s="31">
        <v>0</v>
      </c>
      <c r="BE2049" s="60" t="s">
        <v>4692</v>
      </c>
      <c r="BF2049" s="60" t="s">
        <v>4693</v>
      </c>
      <c r="BG2049" s="32">
        <v>0</v>
      </c>
      <c r="BH2049" s="21">
        <v>0</v>
      </c>
      <c r="BI2049" s="32">
        <v>0</v>
      </c>
      <c r="BJ2049" s="32">
        <v>0</v>
      </c>
      <c r="BK2049" s="32">
        <v>0</v>
      </c>
      <c r="BL2049" s="32">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19.5" customHeight="1">
      <c r="C2050" s="32">
        <v>73003203</v>
      </c>
      <c r="D2050" s="30" t="s">
        <v>1097</v>
      </c>
      <c r="E2050" s="30" t="s">
        <v>1098</v>
      </c>
      <c r="F2050" s="32">
        <v>1</v>
      </c>
      <c r="G2050" s="21">
        <v>60010100</v>
      </c>
      <c r="H2050" s="32">
        <v>0</v>
      </c>
      <c r="I2050" s="31">
        <v>0</v>
      </c>
      <c r="J2050" s="32">
        <v>1</v>
      </c>
      <c r="K2050" s="32">
        <v>0</v>
      </c>
      <c r="L2050" s="32">
        <v>0</v>
      </c>
      <c r="M2050" s="21">
        <v>0</v>
      </c>
      <c r="N2050" s="21">
        <v>0</v>
      </c>
      <c r="O2050" s="21">
        <v>2</v>
      </c>
      <c r="P2050" s="21">
        <v>1</v>
      </c>
      <c r="Q2050" s="21">
        <v>0.3</v>
      </c>
      <c r="R2050" s="21">
        <v>0</v>
      </c>
      <c r="S2050" s="19">
        <v>0</v>
      </c>
      <c r="T2050" s="21">
        <v>0</v>
      </c>
      <c r="U2050" s="21">
        <v>1</v>
      </c>
      <c r="V2050" s="21">
        <v>2</v>
      </c>
      <c r="W2050" s="21">
        <v>0</v>
      </c>
      <c r="X2050" s="21">
        <v>3</v>
      </c>
      <c r="Y2050" s="19">
        <v>0</v>
      </c>
      <c r="Z2050" s="21">
        <v>0</v>
      </c>
      <c r="AA2050" s="21">
        <v>1</v>
      </c>
      <c r="AB2050" s="21">
        <v>0</v>
      </c>
      <c r="AC2050" s="21">
        <v>0</v>
      </c>
      <c r="AD2050" s="21">
        <v>0</v>
      </c>
      <c r="AE2050" s="21">
        <v>0</v>
      </c>
      <c r="AF2050" s="21">
        <v>15</v>
      </c>
      <c r="AG2050" s="21">
        <v>1</v>
      </c>
      <c r="AH2050" s="21" t="s">
        <v>613</v>
      </c>
      <c r="AI2050" s="19">
        <v>0</v>
      </c>
      <c r="AJ2050" s="19">
        <v>1</v>
      </c>
      <c r="AK2050" s="19">
        <v>0</v>
      </c>
      <c r="AL2050" s="19">
        <v>3</v>
      </c>
      <c r="AM2050" s="21">
        <v>0</v>
      </c>
      <c r="AN2050" s="21">
        <v>0</v>
      </c>
      <c r="AO2050" s="21">
        <v>0</v>
      </c>
      <c r="AP2050" s="21">
        <v>3</v>
      </c>
      <c r="AQ2050" s="21">
        <v>5000</v>
      </c>
      <c r="AR2050" s="21">
        <v>2.5</v>
      </c>
      <c r="AS2050" s="21">
        <v>0</v>
      </c>
      <c r="AT2050" s="19">
        <v>0</v>
      </c>
      <c r="AU2050" s="21" t="s">
        <v>665</v>
      </c>
      <c r="AV2050" s="21"/>
      <c r="AW2050" s="35" t="s">
        <v>262</v>
      </c>
      <c r="AX2050" s="21" t="s">
        <v>540</v>
      </c>
      <c r="AY2050" s="32">
        <v>10000007</v>
      </c>
      <c r="AZ2050" s="32">
        <v>70403003</v>
      </c>
      <c r="BA2050" s="30" t="s">
        <v>206</v>
      </c>
      <c r="BB2050" s="21">
        <v>0</v>
      </c>
      <c r="BC2050" s="31">
        <v>0</v>
      </c>
      <c r="BD2050" s="31">
        <v>0</v>
      </c>
      <c r="BE2050" s="33" t="s">
        <v>4600</v>
      </c>
      <c r="BF2050" s="33" t="s">
        <v>4601</v>
      </c>
      <c r="BG2050" s="21">
        <v>0</v>
      </c>
      <c r="BH2050" s="21">
        <v>0</v>
      </c>
      <c r="BI2050" s="21">
        <v>0</v>
      </c>
      <c r="BJ2050" s="21">
        <v>0</v>
      </c>
      <c r="BK2050" s="21">
        <v>0</v>
      </c>
      <c r="BL2050" s="21">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73003204</v>
      </c>
      <c r="D2051" s="25" t="s">
        <v>806</v>
      </c>
      <c r="E2051" s="25" t="s">
        <v>461</v>
      </c>
      <c r="F2051" s="25">
        <v>1</v>
      </c>
      <c r="G2051" s="21">
        <v>60010002</v>
      </c>
      <c r="H2051" s="25">
        <v>0</v>
      </c>
      <c r="I2051" s="26">
        <v>0</v>
      </c>
      <c r="J2051" s="25">
        <v>0</v>
      </c>
      <c r="K2051" s="25">
        <v>0</v>
      </c>
      <c r="L2051" s="26">
        <v>0</v>
      </c>
      <c r="M2051" s="26">
        <v>0</v>
      </c>
      <c r="N2051" s="25">
        <v>0</v>
      </c>
      <c r="O2051" s="25">
        <v>2</v>
      </c>
      <c r="P2051" s="25">
        <v>2</v>
      </c>
      <c r="Q2051" s="25">
        <v>0.95</v>
      </c>
      <c r="R2051" s="25">
        <v>0</v>
      </c>
      <c r="S2051" s="19">
        <v>0</v>
      </c>
      <c r="T2051" s="25">
        <v>0</v>
      </c>
      <c r="U2051" s="21">
        <v>1</v>
      </c>
      <c r="V2051" s="25">
        <v>2</v>
      </c>
      <c r="W2051" s="26">
        <v>0</v>
      </c>
      <c r="X2051" s="25">
        <v>3</v>
      </c>
      <c r="Y2051" s="19">
        <v>0</v>
      </c>
      <c r="Z2051" s="25">
        <v>0</v>
      </c>
      <c r="AA2051" s="25">
        <v>0</v>
      </c>
      <c r="AB2051" s="25">
        <v>0</v>
      </c>
      <c r="AC2051" s="26">
        <v>0</v>
      </c>
      <c r="AD2051" s="25">
        <v>0</v>
      </c>
      <c r="AE2051" s="25">
        <v>0</v>
      </c>
      <c r="AF2051" s="25">
        <v>15</v>
      </c>
      <c r="AG2051" s="25">
        <v>2</v>
      </c>
      <c r="AH2051" s="25" t="s">
        <v>807</v>
      </c>
      <c r="AI2051" s="56">
        <v>0</v>
      </c>
      <c r="AJ2051" s="56">
        <v>2</v>
      </c>
      <c r="AK2051" s="19">
        <v>0</v>
      </c>
      <c r="AL2051" s="25">
        <v>4</v>
      </c>
      <c r="AM2051" s="27">
        <v>0</v>
      </c>
      <c r="AN2051" s="25">
        <v>0</v>
      </c>
      <c r="AO2051" s="25">
        <v>0</v>
      </c>
      <c r="AP2051" s="25">
        <v>2</v>
      </c>
      <c r="AQ2051" s="21">
        <v>4000</v>
      </c>
      <c r="AR2051" s="25">
        <v>2</v>
      </c>
      <c r="AS2051" s="25">
        <v>0</v>
      </c>
      <c r="AT2051" s="19">
        <v>0</v>
      </c>
      <c r="AU2051" s="21" t="s">
        <v>665</v>
      </c>
      <c r="AV2051" s="21"/>
      <c r="AW2051" s="35" t="s">
        <v>293</v>
      </c>
      <c r="AX2051" s="26">
        <v>0</v>
      </c>
      <c r="AY2051" s="26">
        <v>0</v>
      </c>
      <c r="AZ2051" s="26">
        <v>70205004</v>
      </c>
      <c r="BA2051" s="35" t="s">
        <v>206</v>
      </c>
      <c r="BB2051" s="35">
        <v>0</v>
      </c>
      <c r="BC2051" s="35">
        <v>0</v>
      </c>
      <c r="BD2051" s="35">
        <v>0</v>
      </c>
      <c r="BE2051" s="33" t="s">
        <v>808</v>
      </c>
      <c r="BF2051" s="58" t="s">
        <v>809</v>
      </c>
      <c r="BG2051" s="25">
        <v>2</v>
      </c>
      <c r="BH2051" s="25">
        <v>0</v>
      </c>
      <c r="BI2051" s="32">
        <v>0</v>
      </c>
      <c r="BJ2051" s="25">
        <v>1</v>
      </c>
      <c r="BK2051" s="25">
        <v>2</v>
      </c>
      <c r="BL2051" s="27">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73003301</v>
      </c>
      <c r="D2052" s="71" t="s">
        <v>631</v>
      </c>
      <c r="E2052" s="71" t="s">
        <v>632</v>
      </c>
      <c r="F2052" s="21">
        <v>1</v>
      </c>
      <c r="G2052" s="21">
        <v>90002001</v>
      </c>
      <c r="H2052" s="72">
        <v>0</v>
      </c>
      <c r="I2052" s="31">
        <v>0</v>
      </c>
      <c r="J2052" s="32">
        <v>1</v>
      </c>
      <c r="K2052" s="32">
        <v>0</v>
      </c>
      <c r="L2052" s="32">
        <v>0</v>
      </c>
      <c r="M2052" s="72">
        <v>0</v>
      </c>
      <c r="N2052" s="72">
        <v>0</v>
      </c>
      <c r="O2052" s="72">
        <v>2</v>
      </c>
      <c r="P2052" s="72">
        <v>2</v>
      </c>
      <c r="Q2052" s="72">
        <v>0.9</v>
      </c>
      <c r="R2052" s="72">
        <v>0</v>
      </c>
      <c r="S2052" s="19">
        <v>0</v>
      </c>
      <c r="T2052" s="72">
        <v>0</v>
      </c>
      <c r="U2052" s="21">
        <v>1</v>
      </c>
      <c r="V2052" s="72">
        <v>2</v>
      </c>
      <c r="W2052" s="72">
        <v>0</v>
      </c>
      <c r="X2052" s="72">
        <v>3</v>
      </c>
      <c r="Y2052" s="19">
        <v>0</v>
      </c>
      <c r="Z2052" s="72">
        <v>0</v>
      </c>
      <c r="AA2052" s="72">
        <v>0</v>
      </c>
      <c r="AB2052" s="72">
        <v>0</v>
      </c>
      <c r="AC2052" s="72">
        <v>0</v>
      </c>
      <c r="AD2052" s="72">
        <v>0</v>
      </c>
      <c r="AE2052" s="72">
        <v>0</v>
      </c>
      <c r="AF2052" s="72">
        <v>20</v>
      </c>
      <c r="AG2052" s="72">
        <v>2</v>
      </c>
      <c r="AH2052" s="72" t="s">
        <v>633</v>
      </c>
      <c r="AI2052" s="19">
        <v>0</v>
      </c>
      <c r="AJ2052" s="19">
        <v>2</v>
      </c>
      <c r="AK2052" s="19">
        <v>0</v>
      </c>
      <c r="AL2052" s="73">
        <v>0</v>
      </c>
      <c r="AM2052" s="72">
        <v>0</v>
      </c>
      <c r="AN2052" s="72">
        <v>0</v>
      </c>
      <c r="AO2052" s="72">
        <v>0</v>
      </c>
      <c r="AP2052" s="72">
        <v>5</v>
      </c>
      <c r="AQ2052" s="72">
        <v>5000</v>
      </c>
      <c r="AR2052" s="72">
        <v>0</v>
      </c>
      <c r="AS2052" s="72">
        <v>0</v>
      </c>
      <c r="AT2052" s="19">
        <v>0</v>
      </c>
      <c r="AU2052" s="72">
        <v>0</v>
      </c>
      <c r="AV2052" s="72"/>
      <c r="AW2052" s="71" t="s">
        <v>293</v>
      </c>
      <c r="AX2052" s="21">
        <v>0</v>
      </c>
      <c r="AY2052" s="74">
        <v>0</v>
      </c>
      <c r="AZ2052" s="32">
        <v>22000030</v>
      </c>
      <c r="BA2052" s="71" t="s">
        <v>634</v>
      </c>
      <c r="BB2052" s="72" t="s">
        <v>4694</v>
      </c>
      <c r="BC2052" s="75">
        <v>0</v>
      </c>
      <c r="BD2052" s="75">
        <v>0</v>
      </c>
      <c r="BE2052" s="76" t="s">
        <v>4695</v>
      </c>
      <c r="BF2052" s="76" t="s">
        <v>4696</v>
      </c>
      <c r="BG2052" s="72">
        <v>0</v>
      </c>
      <c r="BH2052" s="21">
        <v>0</v>
      </c>
      <c r="BI2052" s="72">
        <v>0</v>
      </c>
      <c r="BJ2052" s="72">
        <v>0</v>
      </c>
      <c r="BK2052" s="72">
        <v>0</v>
      </c>
      <c r="BL2052" s="72">
        <v>0</v>
      </c>
      <c r="BM2052" s="21">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73003302</v>
      </c>
      <c r="D2053" s="30" t="s">
        <v>606</v>
      </c>
      <c r="E2053" s="30" t="s">
        <v>607</v>
      </c>
      <c r="F2053" s="32">
        <v>1</v>
      </c>
      <c r="G2053" s="21">
        <v>60010300</v>
      </c>
      <c r="H2053" s="32">
        <v>0</v>
      </c>
      <c r="I2053" s="31">
        <v>0</v>
      </c>
      <c r="J2053" s="32">
        <v>1</v>
      </c>
      <c r="K2053" s="32">
        <v>0</v>
      </c>
      <c r="L2053" s="32">
        <v>0</v>
      </c>
      <c r="M2053" s="21">
        <v>0</v>
      </c>
      <c r="N2053" s="21">
        <v>0</v>
      </c>
      <c r="O2053" s="72">
        <v>2</v>
      </c>
      <c r="P2053" s="21">
        <v>2</v>
      </c>
      <c r="Q2053" s="21">
        <v>0.8</v>
      </c>
      <c r="R2053" s="21">
        <v>0</v>
      </c>
      <c r="S2053" s="19">
        <v>0</v>
      </c>
      <c r="T2053" s="21">
        <v>0</v>
      </c>
      <c r="U2053" s="21">
        <v>1</v>
      </c>
      <c r="V2053" s="21">
        <v>2</v>
      </c>
      <c r="W2053" s="21">
        <v>0</v>
      </c>
      <c r="X2053" s="21">
        <v>0</v>
      </c>
      <c r="Y2053" s="19">
        <v>0</v>
      </c>
      <c r="Z2053" s="21">
        <v>0</v>
      </c>
      <c r="AA2053" s="21">
        <v>0</v>
      </c>
      <c r="AB2053" s="21">
        <v>0</v>
      </c>
      <c r="AC2053" s="21">
        <v>0</v>
      </c>
      <c r="AD2053" s="21">
        <v>0</v>
      </c>
      <c r="AE2053" s="21">
        <v>0</v>
      </c>
      <c r="AF2053" s="21">
        <v>30</v>
      </c>
      <c r="AG2053" s="21">
        <v>0</v>
      </c>
      <c r="AH2053" s="21">
        <v>0</v>
      </c>
      <c r="AI2053" s="19">
        <v>2</v>
      </c>
      <c r="AJ2053" s="19">
        <v>2</v>
      </c>
      <c r="AK2053" s="19">
        <v>0</v>
      </c>
      <c r="AL2053" s="19">
        <v>1.5</v>
      </c>
      <c r="AM2053" s="21">
        <v>0</v>
      </c>
      <c r="AN2053" s="21">
        <v>0</v>
      </c>
      <c r="AO2053" s="21">
        <v>0</v>
      </c>
      <c r="AP2053" s="21">
        <v>1</v>
      </c>
      <c r="AQ2053" s="21">
        <v>3000</v>
      </c>
      <c r="AR2053" s="21">
        <v>0.5</v>
      </c>
      <c r="AS2053" s="21">
        <v>0</v>
      </c>
      <c r="AT2053" s="19">
        <v>0</v>
      </c>
      <c r="AU2053" s="21" t="s">
        <v>204</v>
      </c>
      <c r="AV2053" s="21"/>
      <c r="AW2053" s="35" t="s">
        <v>205</v>
      </c>
      <c r="AX2053" s="21" t="s">
        <v>551</v>
      </c>
      <c r="AY2053" s="32">
        <v>0</v>
      </c>
      <c r="AZ2053" s="32">
        <v>0</v>
      </c>
      <c r="BA2053" s="30" t="s">
        <v>534</v>
      </c>
      <c r="BB2053" s="21" t="s">
        <v>4697</v>
      </c>
      <c r="BC2053" s="31">
        <v>0</v>
      </c>
      <c r="BD2053" s="31">
        <v>0</v>
      </c>
      <c r="BE2053" s="33" t="s">
        <v>4524</v>
      </c>
      <c r="BF2053" s="33" t="s">
        <v>4525</v>
      </c>
      <c r="BG2053" s="21">
        <v>0</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73003303</v>
      </c>
      <c r="D2054" s="30" t="s">
        <v>1330</v>
      </c>
      <c r="E2054" s="30" t="s">
        <v>1331</v>
      </c>
      <c r="F2054" s="32">
        <v>1</v>
      </c>
      <c r="G2054" s="21">
        <v>60010100</v>
      </c>
      <c r="H2054" s="32">
        <v>0</v>
      </c>
      <c r="I2054" s="31">
        <v>0</v>
      </c>
      <c r="J2054" s="32">
        <v>1</v>
      </c>
      <c r="K2054" s="32">
        <v>0</v>
      </c>
      <c r="L2054" s="32">
        <v>0</v>
      </c>
      <c r="M2054" s="21">
        <v>0</v>
      </c>
      <c r="N2054" s="21">
        <v>0</v>
      </c>
      <c r="O2054" s="72">
        <v>2</v>
      </c>
      <c r="P2054" s="21">
        <v>1</v>
      </c>
      <c r="Q2054" s="21">
        <v>1</v>
      </c>
      <c r="R2054" s="21">
        <v>0</v>
      </c>
      <c r="S2054" s="19">
        <v>0</v>
      </c>
      <c r="T2054" s="21">
        <v>0</v>
      </c>
      <c r="U2054" s="21">
        <v>1</v>
      </c>
      <c r="V2054" s="21">
        <v>2</v>
      </c>
      <c r="W2054" s="21">
        <v>0</v>
      </c>
      <c r="X2054" s="21">
        <v>2</v>
      </c>
      <c r="Y2054" s="19">
        <v>0</v>
      </c>
      <c r="Z2054" s="21">
        <v>0</v>
      </c>
      <c r="AA2054" s="21">
        <v>1</v>
      </c>
      <c r="AB2054" s="21">
        <v>0</v>
      </c>
      <c r="AC2054" s="21">
        <v>0</v>
      </c>
      <c r="AD2054" s="21">
        <v>0</v>
      </c>
      <c r="AE2054" s="21">
        <v>0</v>
      </c>
      <c r="AF2054" s="21">
        <v>10</v>
      </c>
      <c r="AG2054" s="21">
        <v>2</v>
      </c>
      <c r="AH2054" s="21" t="s">
        <v>219</v>
      </c>
      <c r="AI2054" s="19">
        <v>0</v>
      </c>
      <c r="AJ2054" s="19">
        <v>2</v>
      </c>
      <c r="AK2054" s="19">
        <v>0</v>
      </c>
      <c r="AL2054" s="19">
        <v>1.5</v>
      </c>
      <c r="AM2054" s="21">
        <v>0</v>
      </c>
      <c r="AN2054" s="21">
        <v>0</v>
      </c>
      <c r="AO2054" s="21">
        <v>0</v>
      </c>
      <c r="AP2054" s="21">
        <v>1.5</v>
      </c>
      <c r="AQ2054" s="21">
        <v>10000</v>
      </c>
      <c r="AR2054" s="21">
        <v>1</v>
      </c>
      <c r="AS2054" s="21">
        <v>5</v>
      </c>
      <c r="AT2054" s="19">
        <v>0</v>
      </c>
      <c r="AU2054" s="21" t="s">
        <v>204</v>
      </c>
      <c r="AV2054" s="21"/>
      <c r="AW2054" s="35" t="s">
        <v>623</v>
      </c>
      <c r="AX2054" s="21" t="s">
        <v>540</v>
      </c>
      <c r="AY2054" s="32">
        <v>10000007</v>
      </c>
      <c r="AZ2054" s="32">
        <v>70302003</v>
      </c>
      <c r="BA2054" s="35" t="s">
        <v>592</v>
      </c>
      <c r="BB2054" s="31">
        <v>0</v>
      </c>
      <c r="BC2054" s="31">
        <v>0</v>
      </c>
      <c r="BD2054" s="31">
        <v>0</v>
      </c>
      <c r="BE2054" s="33" t="s">
        <v>1114</v>
      </c>
      <c r="BF2054" s="33" t="s">
        <v>1115</v>
      </c>
      <c r="BG2054" s="21">
        <v>1</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73003304</v>
      </c>
      <c r="D2055" s="71" t="s">
        <v>4698</v>
      </c>
      <c r="E2055" s="71" t="s">
        <v>4699</v>
      </c>
      <c r="F2055" s="74">
        <v>1</v>
      </c>
      <c r="G2055" s="74">
        <v>60010500</v>
      </c>
      <c r="H2055" s="74">
        <v>0</v>
      </c>
      <c r="I2055" s="75">
        <v>0</v>
      </c>
      <c r="J2055" s="74">
        <v>1</v>
      </c>
      <c r="K2055" s="74">
        <v>0</v>
      </c>
      <c r="L2055" s="74">
        <v>0</v>
      </c>
      <c r="M2055" s="74">
        <v>0</v>
      </c>
      <c r="N2055" s="74">
        <v>0</v>
      </c>
      <c r="O2055" s="72">
        <v>2</v>
      </c>
      <c r="P2055" s="74">
        <v>2</v>
      </c>
      <c r="Q2055" s="74">
        <v>0.95</v>
      </c>
      <c r="R2055" s="74">
        <v>0</v>
      </c>
      <c r="S2055" s="73">
        <v>1</v>
      </c>
      <c r="T2055" s="75">
        <v>0</v>
      </c>
      <c r="U2055" s="72">
        <v>1</v>
      </c>
      <c r="V2055" s="74">
        <v>1</v>
      </c>
      <c r="W2055" s="74">
        <v>0</v>
      </c>
      <c r="X2055" s="74">
        <v>2</v>
      </c>
      <c r="Y2055" s="19">
        <v>0</v>
      </c>
      <c r="Z2055" s="74">
        <v>0</v>
      </c>
      <c r="AA2055" s="74">
        <v>0</v>
      </c>
      <c r="AB2055" s="74">
        <v>0</v>
      </c>
      <c r="AC2055" s="74">
        <v>0</v>
      </c>
      <c r="AD2055" s="72">
        <v>0</v>
      </c>
      <c r="AE2055" s="74">
        <v>0</v>
      </c>
      <c r="AF2055" s="74">
        <v>10</v>
      </c>
      <c r="AG2055" s="74">
        <v>0</v>
      </c>
      <c r="AH2055" s="74">
        <v>0</v>
      </c>
      <c r="AI2055" s="73">
        <v>7</v>
      </c>
      <c r="AJ2055" s="73">
        <v>0</v>
      </c>
      <c r="AK2055" s="19">
        <v>0</v>
      </c>
      <c r="AL2055" s="73">
        <v>0</v>
      </c>
      <c r="AM2055" s="74">
        <v>0</v>
      </c>
      <c r="AN2055" s="74">
        <v>0</v>
      </c>
      <c r="AO2055" s="74">
        <v>0</v>
      </c>
      <c r="AP2055" s="74">
        <v>0</v>
      </c>
      <c r="AQ2055" s="74">
        <v>1000</v>
      </c>
      <c r="AR2055" s="74">
        <v>0.5</v>
      </c>
      <c r="AS2055" s="74">
        <v>0</v>
      </c>
      <c r="AT2055" s="73">
        <v>0</v>
      </c>
      <c r="AU2055" s="74">
        <v>83000003</v>
      </c>
      <c r="AV2055" s="74"/>
      <c r="AW2055" s="88" t="s">
        <v>747</v>
      </c>
      <c r="AX2055" s="74">
        <v>0</v>
      </c>
      <c r="AY2055" s="74">
        <v>10007001</v>
      </c>
      <c r="AZ2055" s="74">
        <v>0</v>
      </c>
      <c r="BA2055" s="88" t="s">
        <v>206</v>
      </c>
      <c r="BB2055" s="88" t="s">
        <v>204</v>
      </c>
      <c r="BC2055" s="75">
        <v>0</v>
      </c>
      <c r="BD2055" s="75">
        <v>0</v>
      </c>
      <c r="BE2055" s="89" t="s">
        <v>4688</v>
      </c>
      <c r="BF2055" s="89" t="s">
        <v>4689</v>
      </c>
      <c r="BG2055" s="74">
        <v>0</v>
      </c>
      <c r="BH2055" s="72">
        <v>0</v>
      </c>
      <c r="BI2055" s="74">
        <v>0</v>
      </c>
      <c r="BJ2055" s="74">
        <v>0</v>
      </c>
      <c r="BK2055" s="74">
        <v>0</v>
      </c>
      <c r="BL2055" s="74">
        <v>0</v>
      </c>
      <c r="BM2055" s="90">
        <v>0</v>
      </c>
      <c r="BN2055" s="19">
        <v>0</v>
      </c>
      <c r="BO2055" s="19">
        <v>0</v>
      </c>
      <c r="BP2055" s="19">
        <v>0</v>
      </c>
      <c r="BQ2055" s="19">
        <v>0</v>
      </c>
      <c r="BR2055" s="19">
        <v>0</v>
      </c>
      <c r="BS2055" s="19">
        <v>0</v>
      </c>
      <c r="BT2055" s="19">
        <v>0</v>
      </c>
      <c r="BU2055" s="23">
        <v>0</v>
      </c>
      <c r="BV2055" s="23"/>
      <c r="BW2055" s="23"/>
      <c r="BX2055" s="23"/>
      <c r="BY2055" s="23"/>
      <c r="BZ2055" s="23"/>
    </row>
    <row r="2056" spans="3:78" ht="19.5" customHeight="1">
      <c r="C2056" s="32">
        <v>73003305</v>
      </c>
      <c r="D2056" s="30" t="s">
        <v>1097</v>
      </c>
      <c r="E2056" s="30" t="s">
        <v>1098</v>
      </c>
      <c r="F2056" s="32">
        <v>1</v>
      </c>
      <c r="G2056" s="21">
        <v>60010100</v>
      </c>
      <c r="H2056" s="32">
        <v>0</v>
      </c>
      <c r="I2056" s="31">
        <v>0</v>
      </c>
      <c r="J2056" s="32">
        <v>1</v>
      </c>
      <c r="K2056" s="32">
        <v>0</v>
      </c>
      <c r="L2056" s="32">
        <v>0</v>
      </c>
      <c r="M2056" s="21">
        <v>0</v>
      </c>
      <c r="N2056" s="21">
        <v>0</v>
      </c>
      <c r="O2056" s="72">
        <v>2</v>
      </c>
      <c r="P2056" s="21">
        <v>2</v>
      </c>
      <c r="Q2056" s="21">
        <v>0.9</v>
      </c>
      <c r="R2056" s="21">
        <v>0</v>
      </c>
      <c r="S2056" s="19">
        <v>1</v>
      </c>
      <c r="T2056" s="21">
        <v>0</v>
      </c>
      <c r="U2056" s="21">
        <v>1</v>
      </c>
      <c r="V2056" s="21">
        <v>2</v>
      </c>
      <c r="W2056" s="21">
        <v>0</v>
      </c>
      <c r="X2056" s="21">
        <v>3</v>
      </c>
      <c r="Y2056" s="19">
        <v>0</v>
      </c>
      <c r="Z2056" s="21">
        <v>0</v>
      </c>
      <c r="AA2056" s="21">
        <v>1</v>
      </c>
      <c r="AB2056" s="21">
        <v>0</v>
      </c>
      <c r="AC2056" s="21">
        <v>0</v>
      </c>
      <c r="AD2056" s="21">
        <v>0</v>
      </c>
      <c r="AE2056" s="21">
        <v>0</v>
      </c>
      <c r="AF2056" s="21">
        <v>15</v>
      </c>
      <c r="AG2056" s="21">
        <v>1</v>
      </c>
      <c r="AH2056" s="21" t="s">
        <v>613</v>
      </c>
      <c r="AI2056" s="19">
        <v>0</v>
      </c>
      <c r="AJ2056" s="19">
        <v>1</v>
      </c>
      <c r="AK2056" s="19">
        <v>0</v>
      </c>
      <c r="AL2056" s="19">
        <v>3</v>
      </c>
      <c r="AM2056" s="21">
        <v>0</v>
      </c>
      <c r="AN2056" s="21">
        <v>0</v>
      </c>
      <c r="AO2056" s="21">
        <v>0</v>
      </c>
      <c r="AP2056" s="21">
        <v>3</v>
      </c>
      <c r="AQ2056" s="21">
        <v>5000</v>
      </c>
      <c r="AR2056" s="21">
        <v>2.5</v>
      </c>
      <c r="AS2056" s="21">
        <v>0</v>
      </c>
      <c r="AT2056" s="19">
        <v>0</v>
      </c>
      <c r="AU2056" s="21">
        <v>90001023</v>
      </c>
      <c r="AV2056" s="21"/>
      <c r="AW2056" s="35" t="s">
        <v>262</v>
      </c>
      <c r="AX2056" s="21" t="s">
        <v>540</v>
      </c>
      <c r="AY2056" s="32">
        <v>10000007</v>
      </c>
      <c r="AZ2056" s="32">
        <v>70403003</v>
      </c>
      <c r="BA2056" s="30" t="s">
        <v>206</v>
      </c>
      <c r="BB2056" s="21">
        <v>0</v>
      </c>
      <c r="BC2056" s="31">
        <v>0</v>
      </c>
      <c r="BD2056" s="31">
        <v>0</v>
      </c>
      <c r="BE2056" s="33" t="s">
        <v>4600</v>
      </c>
      <c r="BF2056" s="33" t="s">
        <v>4601</v>
      </c>
      <c r="BG2056" s="21">
        <v>0</v>
      </c>
      <c r="BH2056" s="21">
        <v>0</v>
      </c>
      <c r="BI2056" s="21">
        <v>0</v>
      </c>
      <c r="BJ2056" s="21">
        <v>0</v>
      </c>
      <c r="BK2056" s="21">
        <v>0</v>
      </c>
      <c r="BL2056" s="21">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73003306</v>
      </c>
      <c r="D2057" s="35" t="s">
        <v>679</v>
      </c>
      <c r="E2057" s="35" t="s">
        <v>680</v>
      </c>
      <c r="F2057" s="32">
        <v>1</v>
      </c>
      <c r="G2057" s="32">
        <v>60010500</v>
      </c>
      <c r="H2057" s="32">
        <v>0</v>
      </c>
      <c r="I2057" s="31">
        <v>0</v>
      </c>
      <c r="J2057" s="32">
        <v>1</v>
      </c>
      <c r="K2057" s="32">
        <v>0</v>
      </c>
      <c r="L2057" s="32">
        <v>0</v>
      </c>
      <c r="M2057" s="32">
        <v>0</v>
      </c>
      <c r="N2057" s="32">
        <v>0</v>
      </c>
      <c r="O2057" s="72">
        <v>2</v>
      </c>
      <c r="P2057" s="32">
        <v>2</v>
      </c>
      <c r="Q2057" s="32">
        <v>0.6</v>
      </c>
      <c r="R2057" s="32">
        <v>0</v>
      </c>
      <c r="S2057" s="19">
        <v>0</v>
      </c>
      <c r="T2057" s="31">
        <v>0</v>
      </c>
      <c r="U2057" s="21">
        <v>1</v>
      </c>
      <c r="V2057" s="32">
        <v>2</v>
      </c>
      <c r="W2057" s="32">
        <v>0</v>
      </c>
      <c r="X2057" s="32">
        <v>0</v>
      </c>
      <c r="Y2057" s="19">
        <v>0</v>
      </c>
      <c r="Z2057" s="32">
        <v>0</v>
      </c>
      <c r="AA2057" s="32">
        <v>0</v>
      </c>
      <c r="AB2057" s="32">
        <v>0</v>
      </c>
      <c r="AC2057" s="32">
        <v>0</v>
      </c>
      <c r="AD2057" s="32">
        <v>0</v>
      </c>
      <c r="AE2057" s="32">
        <v>0</v>
      </c>
      <c r="AF2057" s="21">
        <v>99999</v>
      </c>
      <c r="AG2057" s="32">
        <v>0</v>
      </c>
      <c r="AH2057" s="32">
        <v>0</v>
      </c>
      <c r="AI2057" s="19">
        <v>2</v>
      </c>
      <c r="AJ2057" s="19">
        <v>0</v>
      </c>
      <c r="AK2057" s="19">
        <v>0</v>
      </c>
      <c r="AL2057" s="19">
        <v>0</v>
      </c>
      <c r="AM2057" s="32">
        <v>0</v>
      </c>
      <c r="AN2057" s="32">
        <v>0</v>
      </c>
      <c r="AO2057" s="32">
        <v>0</v>
      </c>
      <c r="AP2057" s="32">
        <v>0</v>
      </c>
      <c r="AQ2057" s="32">
        <v>1000</v>
      </c>
      <c r="AR2057" s="32">
        <v>0</v>
      </c>
      <c r="AS2057" s="32">
        <v>0</v>
      </c>
      <c r="AT2057" s="19">
        <v>90104002</v>
      </c>
      <c r="AU2057" s="32" t="s">
        <v>204</v>
      </c>
      <c r="AV2057" s="32"/>
      <c r="AW2057" s="35" t="s">
        <v>205</v>
      </c>
      <c r="AX2057" s="32" t="s">
        <v>354</v>
      </c>
      <c r="AY2057" s="32">
        <v>0</v>
      </c>
      <c r="AZ2057" s="32">
        <v>0</v>
      </c>
      <c r="BA2057" s="35" t="s">
        <v>206</v>
      </c>
      <c r="BB2057" s="35" t="s">
        <v>204</v>
      </c>
      <c r="BC2057" s="31">
        <v>0</v>
      </c>
      <c r="BD2057" s="31">
        <v>0</v>
      </c>
      <c r="BE2057" s="60" t="s">
        <v>681</v>
      </c>
      <c r="BF2057" s="60" t="s">
        <v>682</v>
      </c>
      <c r="BG2057" s="32">
        <v>0</v>
      </c>
      <c r="BH2057" s="21">
        <v>0</v>
      </c>
      <c r="BI2057" s="32">
        <v>0</v>
      </c>
      <c r="BJ2057" s="32">
        <v>0</v>
      </c>
      <c r="BK2057" s="32">
        <v>0</v>
      </c>
      <c r="BL2057" s="32">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73003307</v>
      </c>
      <c r="D2058" s="30" t="s">
        <v>4700</v>
      </c>
      <c r="E2058" s="30" t="s">
        <v>4701</v>
      </c>
      <c r="F2058" s="32">
        <v>1</v>
      </c>
      <c r="G2058" s="21">
        <v>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1</v>
      </c>
      <c r="Y2058" s="19">
        <v>0</v>
      </c>
      <c r="Z2058" s="21">
        <v>0</v>
      </c>
      <c r="AA2058" s="21">
        <v>1</v>
      </c>
      <c r="AB2058" s="21">
        <v>0</v>
      </c>
      <c r="AC2058" s="21">
        <v>0</v>
      </c>
      <c r="AD2058" s="21">
        <v>0</v>
      </c>
      <c r="AE2058" s="21">
        <v>0</v>
      </c>
      <c r="AF2058" s="21">
        <v>3</v>
      </c>
      <c r="AG2058" s="21">
        <v>1</v>
      </c>
      <c r="AH2058" s="21">
        <v>3</v>
      </c>
      <c r="AI2058" s="19">
        <v>0</v>
      </c>
      <c r="AJ2058" s="19">
        <v>0</v>
      </c>
      <c r="AK2058" s="19">
        <v>0</v>
      </c>
      <c r="AL2058" s="19">
        <v>1.5</v>
      </c>
      <c r="AM2058" s="21">
        <v>0</v>
      </c>
      <c r="AN2058" s="21">
        <v>0</v>
      </c>
      <c r="AO2058" s="21">
        <v>0</v>
      </c>
      <c r="AP2058" s="21">
        <v>1</v>
      </c>
      <c r="AQ2058" s="21">
        <v>1500</v>
      </c>
      <c r="AR2058" s="21">
        <v>0.5</v>
      </c>
      <c r="AS2058" s="21">
        <v>0</v>
      </c>
      <c r="AT2058" s="19">
        <v>0</v>
      </c>
      <c r="AU2058" s="21">
        <v>83000002</v>
      </c>
      <c r="AV2058" s="21"/>
      <c r="AW2058" s="35" t="s">
        <v>205</v>
      </c>
      <c r="AX2058" s="21" t="s">
        <v>540</v>
      </c>
      <c r="AY2058" s="32">
        <v>10000007</v>
      </c>
      <c r="AZ2058" s="32">
        <v>70105001</v>
      </c>
      <c r="BA2058" s="30" t="s">
        <v>206</v>
      </c>
      <c r="BB2058" s="21" t="s">
        <v>4518</v>
      </c>
      <c r="BC2058" s="31">
        <v>0</v>
      </c>
      <c r="BD2058" s="31">
        <v>0</v>
      </c>
      <c r="BE2058" s="33" t="s">
        <v>4519</v>
      </c>
      <c r="BF2058" s="33" t="s">
        <v>4520</v>
      </c>
      <c r="BG2058" s="21">
        <v>0</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73003308</v>
      </c>
      <c r="D2059" s="30" t="s">
        <v>1330</v>
      </c>
      <c r="E2059" s="30" t="s">
        <v>1331</v>
      </c>
      <c r="F2059" s="32">
        <v>1</v>
      </c>
      <c r="G2059" s="21">
        <v>60010100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2</v>
      </c>
      <c r="Y2059" s="19">
        <v>0</v>
      </c>
      <c r="Z2059" s="21">
        <v>0</v>
      </c>
      <c r="AA2059" s="21">
        <v>1</v>
      </c>
      <c r="AB2059" s="21">
        <v>0</v>
      </c>
      <c r="AC2059" s="21">
        <v>0</v>
      </c>
      <c r="AD2059" s="21">
        <v>0</v>
      </c>
      <c r="AE2059" s="21">
        <v>0</v>
      </c>
      <c r="AF2059" s="21">
        <v>10</v>
      </c>
      <c r="AG2059" s="21">
        <v>2</v>
      </c>
      <c r="AH2059" s="21" t="s">
        <v>219</v>
      </c>
      <c r="AI2059" s="19">
        <v>0</v>
      </c>
      <c r="AJ2059" s="19">
        <v>2</v>
      </c>
      <c r="AK2059" s="19">
        <v>0</v>
      </c>
      <c r="AL2059" s="19">
        <v>1.5</v>
      </c>
      <c r="AM2059" s="21">
        <v>0</v>
      </c>
      <c r="AN2059" s="21">
        <v>0</v>
      </c>
      <c r="AO2059" s="21">
        <v>0</v>
      </c>
      <c r="AP2059" s="21">
        <v>1.5</v>
      </c>
      <c r="AQ2059" s="21">
        <v>10000</v>
      </c>
      <c r="AR2059" s="21">
        <v>1</v>
      </c>
      <c r="AS2059" s="21">
        <v>5</v>
      </c>
      <c r="AT2059" s="19">
        <v>0</v>
      </c>
      <c r="AU2059" s="21" t="s">
        <v>204</v>
      </c>
      <c r="AV2059" s="21"/>
      <c r="AW2059" s="35" t="s">
        <v>623</v>
      </c>
      <c r="AX2059" s="21" t="s">
        <v>540</v>
      </c>
      <c r="AY2059" s="32">
        <v>10000007</v>
      </c>
      <c r="AZ2059" s="32">
        <v>70302003</v>
      </c>
      <c r="BA2059" s="35" t="s">
        <v>592</v>
      </c>
      <c r="BB2059" s="31" t="s">
        <v>4702</v>
      </c>
      <c r="BC2059" s="31">
        <v>0</v>
      </c>
      <c r="BD2059" s="31">
        <v>0</v>
      </c>
      <c r="BE2059" s="33" t="s">
        <v>1114</v>
      </c>
      <c r="BF2059" s="33" t="s">
        <v>1115</v>
      </c>
      <c r="BG2059" s="21">
        <v>1</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73004101</v>
      </c>
      <c r="D2060" s="30" t="s">
        <v>750</v>
      </c>
      <c r="E2060" s="30" t="s">
        <v>751</v>
      </c>
      <c r="F2060" s="32">
        <v>1</v>
      </c>
      <c r="G2060" s="32">
        <v>60010500</v>
      </c>
      <c r="H2060" s="32">
        <v>0</v>
      </c>
      <c r="I2060" s="31">
        <v>0</v>
      </c>
      <c r="J2060" s="32">
        <v>1</v>
      </c>
      <c r="K2060" s="32">
        <v>0</v>
      </c>
      <c r="L2060" s="32">
        <v>0</v>
      </c>
      <c r="M2060" s="32">
        <v>0</v>
      </c>
      <c r="N2060" s="32">
        <v>0</v>
      </c>
      <c r="O2060" s="72">
        <v>2</v>
      </c>
      <c r="P2060" s="32">
        <v>2</v>
      </c>
      <c r="Q2060" s="32">
        <v>0.95</v>
      </c>
      <c r="R2060" s="32">
        <v>0</v>
      </c>
      <c r="S2060" s="19">
        <v>0</v>
      </c>
      <c r="T2060" s="31">
        <v>0</v>
      </c>
      <c r="U2060" s="21">
        <v>1</v>
      </c>
      <c r="V2060" s="32">
        <v>1</v>
      </c>
      <c r="W2060" s="32">
        <v>0</v>
      </c>
      <c r="X2060" s="32">
        <v>3</v>
      </c>
      <c r="Y2060" s="19">
        <v>0</v>
      </c>
      <c r="Z2060" s="32">
        <v>0</v>
      </c>
      <c r="AA2060" s="32">
        <v>0</v>
      </c>
      <c r="AB2060" s="32">
        <v>0</v>
      </c>
      <c r="AC2060" s="32">
        <v>0</v>
      </c>
      <c r="AD2060" s="21">
        <v>0</v>
      </c>
      <c r="AE2060" s="32">
        <v>0</v>
      </c>
      <c r="AF2060" s="32">
        <v>10</v>
      </c>
      <c r="AG2060" s="32">
        <v>0</v>
      </c>
      <c r="AH2060" s="32">
        <v>0</v>
      </c>
      <c r="AI2060" s="19">
        <v>7</v>
      </c>
      <c r="AJ2060" s="19">
        <v>0</v>
      </c>
      <c r="AK2060" s="19">
        <v>0</v>
      </c>
      <c r="AL2060" s="19">
        <v>0</v>
      </c>
      <c r="AM2060" s="32">
        <v>0</v>
      </c>
      <c r="AN2060" s="32">
        <v>0</v>
      </c>
      <c r="AO2060" s="32">
        <v>0</v>
      </c>
      <c r="AP2060" s="32">
        <v>0</v>
      </c>
      <c r="AQ2060" s="32">
        <v>1000</v>
      </c>
      <c r="AR2060" s="32">
        <v>0.5</v>
      </c>
      <c r="AS2060" s="32">
        <v>0</v>
      </c>
      <c r="AT2060" s="19">
        <v>0</v>
      </c>
      <c r="AU2060" s="32">
        <v>0</v>
      </c>
      <c r="AV2060" s="32"/>
      <c r="AW2060" s="35" t="s">
        <v>747</v>
      </c>
      <c r="AX2060" s="32">
        <v>0</v>
      </c>
      <c r="AY2060" s="32">
        <v>10007001</v>
      </c>
      <c r="AZ2060" s="32">
        <v>0</v>
      </c>
      <c r="BA2060" s="35" t="s">
        <v>206</v>
      </c>
      <c r="BB2060" s="35" t="s">
        <v>204</v>
      </c>
      <c r="BC2060" s="31">
        <v>0</v>
      </c>
      <c r="BD2060" s="31">
        <v>0</v>
      </c>
      <c r="BE2060" s="60" t="s">
        <v>4703</v>
      </c>
      <c r="BF2060" s="60" t="s">
        <v>4704</v>
      </c>
      <c r="BG2060" s="32">
        <v>0</v>
      </c>
      <c r="BH2060" s="21">
        <v>0</v>
      </c>
      <c r="BI2060" s="32">
        <v>0</v>
      </c>
      <c r="BJ2060" s="32">
        <v>0</v>
      </c>
      <c r="BK2060" s="32">
        <v>0</v>
      </c>
      <c r="BL2060" s="32">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73004102</v>
      </c>
      <c r="D2061" s="30" t="s">
        <v>606</v>
      </c>
      <c r="E2061" s="30" t="s">
        <v>607</v>
      </c>
      <c r="F2061" s="32">
        <v>1</v>
      </c>
      <c r="G2061" s="21">
        <v>60010300</v>
      </c>
      <c r="H2061" s="32">
        <v>0</v>
      </c>
      <c r="I2061" s="31">
        <v>0</v>
      </c>
      <c r="J2061" s="32">
        <v>1</v>
      </c>
      <c r="K2061" s="32">
        <v>0</v>
      </c>
      <c r="L2061" s="32">
        <v>0</v>
      </c>
      <c r="M2061" s="21">
        <v>0</v>
      </c>
      <c r="N2061" s="21">
        <v>0</v>
      </c>
      <c r="O2061" s="72">
        <v>2</v>
      </c>
      <c r="P2061" s="21">
        <v>2</v>
      </c>
      <c r="Q2061" s="21">
        <v>0.9</v>
      </c>
      <c r="R2061" s="21">
        <v>0</v>
      </c>
      <c r="S2061" s="19">
        <v>0</v>
      </c>
      <c r="T2061" s="21">
        <v>0</v>
      </c>
      <c r="U2061" s="21">
        <v>1</v>
      </c>
      <c r="V2061" s="21">
        <v>2</v>
      </c>
      <c r="W2061" s="21">
        <v>0</v>
      </c>
      <c r="X2061" s="21">
        <v>0</v>
      </c>
      <c r="Y2061" s="19">
        <v>0</v>
      </c>
      <c r="Z2061" s="21">
        <v>0</v>
      </c>
      <c r="AA2061" s="21">
        <v>0</v>
      </c>
      <c r="AB2061" s="21">
        <v>0</v>
      </c>
      <c r="AC2061" s="21">
        <v>0</v>
      </c>
      <c r="AD2061" s="21">
        <v>0</v>
      </c>
      <c r="AE2061" s="21">
        <v>0</v>
      </c>
      <c r="AF2061" s="21">
        <v>30</v>
      </c>
      <c r="AG2061" s="21">
        <v>0</v>
      </c>
      <c r="AH2061" s="21">
        <v>0</v>
      </c>
      <c r="AI2061" s="19">
        <v>2</v>
      </c>
      <c r="AJ2061" s="19">
        <v>2</v>
      </c>
      <c r="AK2061" s="19">
        <v>0</v>
      </c>
      <c r="AL2061" s="19">
        <v>1.5</v>
      </c>
      <c r="AM2061" s="21">
        <v>0</v>
      </c>
      <c r="AN2061" s="21">
        <v>0</v>
      </c>
      <c r="AO2061" s="21">
        <v>0</v>
      </c>
      <c r="AP2061" s="21">
        <v>1</v>
      </c>
      <c r="AQ2061" s="21">
        <v>3000</v>
      </c>
      <c r="AR2061" s="21">
        <v>0.5</v>
      </c>
      <c r="AS2061" s="21">
        <v>0</v>
      </c>
      <c r="AT2061" s="19">
        <v>0</v>
      </c>
      <c r="AU2061" s="21" t="s">
        <v>204</v>
      </c>
      <c r="AV2061" s="21"/>
      <c r="AW2061" s="35" t="s">
        <v>205</v>
      </c>
      <c r="AX2061" s="21" t="s">
        <v>551</v>
      </c>
      <c r="AY2061" s="32">
        <v>0</v>
      </c>
      <c r="AZ2061" s="32">
        <v>0</v>
      </c>
      <c r="BA2061" s="30" t="s">
        <v>534</v>
      </c>
      <c r="BB2061" s="21" t="s">
        <v>4705</v>
      </c>
      <c r="BC2061" s="31">
        <v>0</v>
      </c>
      <c r="BD2061" s="31">
        <v>0</v>
      </c>
      <c r="BE2061" s="33" t="s">
        <v>4706</v>
      </c>
      <c r="BF2061" s="33" t="s">
        <v>4707</v>
      </c>
      <c r="BG2061" s="21">
        <v>0</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73004103</v>
      </c>
      <c r="D2062" s="30" t="s">
        <v>1330</v>
      </c>
      <c r="E2062" s="30" t="s">
        <v>1331</v>
      </c>
      <c r="F2062" s="32">
        <v>1</v>
      </c>
      <c r="G2062" s="21">
        <v>60010100</v>
      </c>
      <c r="H2062" s="32">
        <v>0</v>
      </c>
      <c r="I2062" s="31">
        <v>0</v>
      </c>
      <c r="J2062" s="32">
        <v>1</v>
      </c>
      <c r="K2062" s="32">
        <v>0</v>
      </c>
      <c r="L2062" s="32">
        <v>0</v>
      </c>
      <c r="M2062" s="21">
        <v>0</v>
      </c>
      <c r="N2062" s="21">
        <v>0</v>
      </c>
      <c r="O2062" s="72">
        <v>2</v>
      </c>
      <c r="P2062" s="21">
        <v>1</v>
      </c>
      <c r="Q2062" s="21">
        <v>1</v>
      </c>
      <c r="R2062" s="21">
        <v>0</v>
      </c>
      <c r="S2062" s="19">
        <v>0</v>
      </c>
      <c r="T2062" s="21">
        <v>0</v>
      </c>
      <c r="U2062" s="21">
        <v>1</v>
      </c>
      <c r="V2062" s="21">
        <v>2</v>
      </c>
      <c r="W2062" s="21">
        <v>0</v>
      </c>
      <c r="X2062" s="21">
        <v>2</v>
      </c>
      <c r="Y2062" s="19">
        <v>0</v>
      </c>
      <c r="Z2062" s="21">
        <v>0</v>
      </c>
      <c r="AA2062" s="21">
        <v>1</v>
      </c>
      <c r="AB2062" s="21">
        <v>0</v>
      </c>
      <c r="AC2062" s="21">
        <v>0</v>
      </c>
      <c r="AD2062" s="21">
        <v>0</v>
      </c>
      <c r="AE2062" s="21">
        <v>0</v>
      </c>
      <c r="AF2062" s="21">
        <v>10</v>
      </c>
      <c r="AG2062" s="21">
        <v>2</v>
      </c>
      <c r="AH2062" s="21" t="s">
        <v>219</v>
      </c>
      <c r="AI2062" s="19">
        <v>0</v>
      </c>
      <c r="AJ2062" s="19">
        <v>2</v>
      </c>
      <c r="AK2062" s="19">
        <v>0</v>
      </c>
      <c r="AL2062" s="19">
        <v>1.5</v>
      </c>
      <c r="AM2062" s="21">
        <v>0</v>
      </c>
      <c r="AN2062" s="21">
        <v>0</v>
      </c>
      <c r="AO2062" s="21">
        <v>0</v>
      </c>
      <c r="AP2062" s="21">
        <v>1.5</v>
      </c>
      <c r="AQ2062" s="21">
        <v>10000</v>
      </c>
      <c r="AR2062" s="21">
        <v>1</v>
      </c>
      <c r="AS2062" s="21">
        <v>5</v>
      </c>
      <c r="AT2062" s="19">
        <v>0</v>
      </c>
      <c r="AU2062" s="21" t="s">
        <v>204</v>
      </c>
      <c r="AV2062" s="21"/>
      <c r="AW2062" s="35" t="s">
        <v>623</v>
      </c>
      <c r="AX2062" s="21" t="s">
        <v>540</v>
      </c>
      <c r="AY2062" s="32">
        <v>10000007</v>
      </c>
      <c r="AZ2062" s="32">
        <v>70302003</v>
      </c>
      <c r="BA2062" s="35" t="s">
        <v>592</v>
      </c>
      <c r="BB2062" s="31">
        <v>0</v>
      </c>
      <c r="BC2062" s="31">
        <v>0</v>
      </c>
      <c r="BD2062" s="31">
        <v>0</v>
      </c>
      <c r="BE2062" s="33" t="s">
        <v>1114</v>
      </c>
      <c r="BF2062" s="33" t="s">
        <v>1115</v>
      </c>
      <c r="BG2062" s="21">
        <v>1</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73004201</v>
      </c>
      <c r="D2063" s="30" t="s">
        <v>671</v>
      </c>
      <c r="E2063" s="30" t="s">
        <v>612</v>
      </c>
      <c r="F2063" s="21">
        <v>1</v>
      </c>
      <c r="G2063" s="21">
        <v>60010100</v>
      </c>
      <c r="H2063" s="32">
        <v>0</v>
      </c>
      <c r="I2063" s="31">
        <v>0</v>
      </c>
      <c r="J2063" s="32">
        <v>1</v>
      </c>
      <c r="K2063" s="32">
        <v>0</v>
      </c>
      <c r="L2063" s="32">
        <v>0</v>
      </c>
      <c r="M2063" s="21">
        <v>0</v>
      </c>
      <c r="N2063" s="21">
        <v>0</v>
      </c>
      <c r="O2063" s="72">
        <v>2</v>
      </c>
      <c r="P2063" s="21">
        <v>1</v>
      </c>
      <c r="Q2063" s="21">
        <v>0.3</v>
      </c>
      <c r="R2063" s="21">
        <v>0</v>
      </c>
      <c r="S2063" s="19">
        <v>101</v>
      </c>
      <c r="T2063" s="21">
        <v>0</v>
      </c>
      <c r="U2063" s="21">
        <v>1</v>
      </c>
      <c r="V2063" s="21">
        <v>2</v>
      </c>
      <c r="W2063" s="21">
        <v>0</v>
      </c>
      <c r="X2063" s="21">
        <v>3</v>
      </c>
      <c r="Y2063" s="19">
        <v>0</v>
      </c>
      <c r="Z2063" s="21">
        <v>0</v>
      </c>
      <c r="AA2063" s="21">
        <v>0</v>
      </c>
      <c r="AB2063" s="21">
        <v>0</v>
      </c>
      <c r="AC2063" s="21">
        <v>0</v>
      </c>
      <c r="AD2063" s="21">
        <v>0</v>
      </c>
      <c r="AE2063" s="21">
        <v>0</v>
      </c>
      <c r="AF2063" s="21">
        <v>12</v>
      </c>
      <c r="AG2063" s="21">
        <v>1</v>
      </c>
      <c r="AH2063" s="21">
        <v>3</v>
      </c>
      <c r="AI2063" s="19">
        <v>6</v>
      </c>
      <c r="AJ2063" s="19">
        <v>1</v>
      </c>
      <c r="AK2063" s="19">
        <v>0</v>
      </c>
      <c r="AL2063" s="19">
        <v>1.5</v>
      </c>
      <c r="AM2063" s="21">
        <v>0</v>
      </c>
      <c r="AN2063" s="21">
        <v>0</v>
      </c>
      <c r="AO2063" s="21">
        <v>0</v>
      </c>
      <c r="AP2063" s="21">
        <v>3</v>
      </c>
      <c r="AQ2063" s="21">
        <v>5000</v>
      </c>
      <c r="AR2063" s="21">
        <v>3</v>
      </c>
      <c r="AS2063" s="21">
        <v>0</v>
      </c>
      <c r="AT2063" s="19">
        <v>0</v>
      </c>
      <c r="AU2063" s="21" t="s">
        <v>204</v>
      </c>
      <c r="AV2063" s="21"/>
      <c r="AW2063" s="35" t="s">
        <v>262</v>
      </c>
      <c r="AX2063" s="21" t="s">
        <v>540</v>
      </c>
      <c r="AY2063" s="32">
        <v>10000007</v>
      </c>
      <c r="AZ2063" s="32">
        <v>70103003</v>
      </c>
      <c r="BA2063" s="30" t="s">
        <v>206</v>
      </c>
      <c r="BB2063" s="21" t="s">
        <v>4708</v>
      </c>
      <c r="BC2063" s="31">
        <v>0</v>
      </c>
      <c r="BD2063" s="31">
        <v>0</v>
      </c>
      <c r="BE2063" s="33" t="s">
        <v>673</v>
      </c>
      <c r="BF2063" s="33" t="s">
        <v>674</v>
      </c>
      <c r="BG2063" s="21">
        <v>0</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73004202</v>
      </c>
      <c r="D2064" s="30" t="s">
        <v>750</v>
      </c>
      <c r="E2064" s="30" t="s">
        <v>751</v>
      </c>
      <c r="F2064" s="32">
        <v>1</v>
      </c>
      <c r="G2064" s="32">
        <v>60010500</v>
      </c>
      <c r="H2064" s="32">
        <v>0</v>
      </c>
      <c r="I2064" s="31">
        <v>0</v>
      </c>
      <c r="J2064" s="32">
        <v>1</v>
      </c>
      <c r="K2064" s="32">
        <v>0</v>
      </c>
      <c r="L2064" s="32">
        <v>0</v>
      </c>
      <c r="M2064" s="32">
        <v>0</v>
      </c>
      <c r="N2064" s="32">
        <v>0</v>
      </c>
      <c r="O2064" s="72">
        <v>2</v>
      </c>
      <c r="P2064" s="32">
        <v>2</v>
      </c>
      <c r="Q2064" s="32">
        <v>0.95</v>
      </c>
      <c r="R2064" s="32">
        <v>0</v>
      </c>
      <c r="S2064" s="19">
        <v>0</v>
      </c>
      <c r="T2064" s="31">
        <v>0</v>
      </c>
      <c r="U2064" s="21">
        <v>1</v>
      </c>
      <c r="V2064" s="32">
        <v>1</v>
      </c>
      <c r="W2064" s="32">
        <v>0</v>
      </c>
      <c r="X2064" s="32">
        <v>3</v>
      </c>
      <c r="Y2064" s="19">
        <v>0</v>
      </c>
      <c r="Z2064" s="32">
        <v>0</v>
      </c>
      <c r="AA2064" s="32">
        <v>0</v>
      </c>
      <c r="AB2064" s="32">
        <v>0</v>
      </c>
      <c r="AC2064" s="32">
        <v>0</v>
      </c>
      <c r="AD2064" s="21">
        <v>0</v>
      </c>
      <c r="AE2064" s="32">
        <v>0</v>
      </c>
      <c r="AF2064" s="32">
        <v>10</v>
      </c>
      <c r="AG2064" s="32">
        <v>0</v>
      </c>
      <c r="AH2064" s="32">
        <v>0</v>
      </c>
      <c r="AI2064" s="19">
        <v>7</v>
      </c>
      <c r="AJ2064" s="19">
        <v>0</v>
      </c>
      <c r="AK2064" s="19">
        <v>0</v>
      </c>
      <c r="AL2064" s="19">
        <v>0</v>
      </c>
      <c r="AM2064" s="32">
        <v>0</v>
      </c>
      <c r="AN2064" s="32">
        <v>0</v>
      </c>
      <c r="AO2064" s="32">
        <v>0</v>
      </c>
      <c r="AP2064" s="32">
        <v>0</v>
      </c>
      <c r="AQ2064" s="32">
        <v>1000</v>
      </c>
      <c r="AR2064" s="32">
        <v>0.5</v>
      </c>
      <c r="AS2064" s="32">
        <v>0</v>
      </c>
      <c r="AT2064" s="19">
        <v>0</v>
      </c>
      <c r="AU2064" s="32">
        <v>0</v>
      </c>
      <c r="AV2064" s="32"/>
      <c r="AW2064" s="35" t="s">
        <v>747</v>
      </c>
      <c r="AX2064" s="32">
        <v>0</v>
      </c>
      <c r="AY2064" s="32">
        <v>10007001</v>
      </c>
      <c r="AZ2064" s="32">
        <v>0</v>
      </c>
      <c r="BA2064" s="35" t="s">
        <v>206</v>
      </c>
      <c r="BB2064" s="35" t="s">
        <v>204</v>
      </c>
      <c r="BC2064" s="31">
        <v>0</v>
      </c>
      <c r="BD2064" s="31">
        <v>0</v>
      </c>
      <c r="BE2064" s="60" t="s">
        <v>4703</v>
      </c>
      <c r="BF2064" s="60" t="s">
        <v>4704</v>
      </c>
      <c r="BG2064" s="32">
        <v>0</v>
      </c>
      <c r="BH2064" s="21">
        <v>0</v>
      </c>
      <c r="BI2064" s="32">
        <v>0</v>
      </c>
      <c r="BJ2064" s="32">
        <v>0</v>
      </c>
      <c r="BK2064" s="32">
        <v>0</v>
      </c>
      <c r="BL2064" s="32">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73004203</v>
      </c>
      <c r="D2065" s="30" t="s">
        <v>1097</v>
      </c>
      <c r="E2065" s="30" t="s">
        <v>1098</v>
      </c>
      <c r="F2065" s="32">
        <v>1</v>
      </c>
      <c r="G2065" s="21">
        <v>60010100</v>
      </c>
      <c r="H2065" s="32">
        <v>0</v>
      </c>
      <c r="I2065" s="31">
        <v>0</v>
      </c>
      <c r="J2065" s="32">
        <v>1</v>
      </c>
      <c r="K2065" s="32">
        <v>0</v>
      </c>
      <c r="L2065" s="32">
        <v>0</v>
      </c>
      <c r="M2065" s="21">
        <v>0</v>
      </c>
      <c r="N2065" s="21">
        <v>0</v>
      </c>
      <c r="O2065" s="72">
        <v>2</v>
      </c>
      <c r="P2065" s="21">
        <v>2</v>
      </c>
      <c r="Q2065" s="21">
        <v>0.9</v>
      </c>
      <c r="R2065" s="21">
        <v>0</v>
      </c>
      <c r="S2065" s="19">
        <v>101</v>
      </c>
      <c r="T2065" s="21">
        <v>0</v>
      </c>
      <c r="U2065" s="21">
        <v>1</v>
      </c>
      <c r="V2065" s="21">
        <v>2</v>
      </c>
      <c r="W2065" s="21">
        <v>0</v>
      </c>
      <c r="X2065" s="21">
        <v>3</v>
      </c>
      <c r="Y2065" s="19">
        <v>0</v>
      </c>
      <c r="Z2065" s="21">
        <v>0</v>
      </c>
      <c r="AA2065" s="21">
        <v>1</v>
      </c>
      <c r="AB2065" s="21">
        <v>0</v>
      </c>
      <c r="AC2065" s="21">
        <v>0</v>
      </c>
      <c r="AD2065" s="21">
        <v>0</v>
      </c>
      <c r="AE2065" s="21">
        <v>0</v>
      </c>
      <c r="AF2065" s="21">
        <v>15</v>
      </c>
      <c r="AG2065" s="21">
        <v>1</v>
      </c>
      <c r="AH2065" s="21" t="s">
        <v>613</v>
      </c>
      <c r="AI2065" s="19">
        <v>1</v>
      </c>
      <c r="AJ2065" s="19">
        <v>1</v>
      </c>
      <c r="AK2065" s="19">
        <v>0</v>
      </c>
      <c r="AL2065" s="19">
        <v>3</v>
      </c>
      <c r="AM2065" s="21">
        <v>0</v>
      </c>
      <c r="AN2065" s="21">
        <v>0</v>
      </c>
      <c r="AO2065" s="21">
        <v>0</v>
      </c>
      <c r="AP2065" s="21">
        <v>3</v>
      </c>
      <c r="AQ2065" s="21">
        <v>5000</v>
      </c>
      <c r="AR2065" s="21">
        <v>2.5</v>
      </c>
      <c r="AS2065" s="21">
        <v>0</v>
      </c>
      <c r="AT2065" s="19">
        <v>0</v>
      </c>
      <c r="AU2065" s="21" t="s">
        <v>665</v>
      </c>
      <c r="AV2065" s="21"/>
      <c r="AW2065" s="35" t="s">
        <v>262</v>
      </c>
      <c r="AX2065" s="21" t="s">
        <v>540</v>
      </c>
      <c r="AY2065" s="32">
        <v>10000007</v>
      </c>
      <c r="AZ2065" s="32">
        <v>70403003</v>
      </c>
      <c r="BA2065" s="30" t="s">
        <v>206</v>
      </c>
      <c r="BB2065" s="21">
        <v>0</v>
      </c>
      <c r="BC2065" s="31">
        <v>0</v>
      </c>
      <c r="BD2065" s="31">
        <v>0</v>
      </c>
      <c r="BE2065" s="33" t="s">
        <v>4600</v>
      </c>
      <c r="BF2065" s="33" t="s">
        <v>4601</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73004204</v>
      </c>
      <c r="D2066" s="30" t="s">
        <v>1130</v>
      </c>
      <c r="E2066" s="30" t="s">
        <v>1131</v>
      </c>
      <c r="F2066" s="32">
        <v>1</v>
      </c>
      <c r="G2066" s="21">
        <v>60010100</v>
      </c>
      <c r="H2066" s="32">
        <v>0</v>
      </c>
      <c r="I2066" s="31">
        <v>0</v>
      </c>
      <c r="J2066" s="32">
        <v>1</v>
      </c>
      <c r="K2066" s="32">
        <v>0</v>
      </c>
      <c r="L2066" s="32">
        <v>0</v>
      </c>
      <c r="M2066" s="21">
        <v>0</v>
      </c>
      <c r="N2066" s="21">
        <v>0</v>
      </c>
      <c r="O2066" s="72">
        <v>2</v>
      </c>
      <c r="P2066" s="21">
        <v>1</v>
      </c>
      <c r="Q2066" s="21">
        <v>0.3</v>
      </c>
      <c r="R2066" s="21">
        <v>0</v>
      </c>
      <c r="S2066" s="19">
        <v>101</v>
      </c>
      <c r="T2066" s="21">
        <v>0</v>
      </c>
      <c r="U2066" s="21">
        <v>1</v>
      </c>
      <c r="V2066" s="21">
        <v>2</v>
      </c>
      <c r="W2066" s="21">
        <v>0</v>
      </c>
      <c r="X2066" s="21">
        <v>1</v>
      </c>
      <c r="Y2066" s="19">
        <v>0</v>
      </c>
      <c r="Z2066" s="21">
        <v>0</v>
      </c>
      <c r="AA2066" s="21">
        <v>1</v>
      </c>
      <c r="AB2066" s="21">
        <v>0</v>
      </c>
      <c r="AC2066" s="21">
        <v>0</v>
      </c>
      <c r="AD2066" s="21">
        <v>0</v>
      </c>
      <c r="AE2066" s="21">
        <v>0</v>
      </c>
      <c r="AF2066" s="21">
        <v>30</v>
      </c>
      <c r="AG2066" s="21">
        <v>1</v>
      </c>
      <c r="AH2066" s="21" t="s">
        <v>867</v>
      </c>
      <c r="AI2066" s="19">
        <v>0</v>
      </c>
      <c r="AJ2066" s="19">
        <v>0</v>
      </c>
      <c r="AK2066" s="19">
        <v>0</v>
      </c>
      <c r="AL2066" s="19">
        <v>0</v>
      </c>
      <c r="AM2066" s="21">
        <v>0</v>
      </c>
      <c r="AN2066" s="21">
        <v>0</v>
      </c>
      <c r="AO2066" s="21">
        <v>0</v>
      </c>
      <c r="AP2066" s="21">
        <v>0.5</v>
      </c>
      <c r="AQ2066" s="21">
        <v>999999</v>
      </c>
      <c r="AR2066" s="21">
        <v>0.5</v>
      </c>
      <c r="AS2066" s="21">
        <v>0</v>
      </c>
      <c r="AT2066" s="19">
        <v>0</v>
      </c>
      <c r="AU2066" s="341" t="s">
        <v>1025</v>
      </c>
      <c r="AV2066" s="19"/>
      <c r="AW2066" s="35" t="s">
        <v>293</v>
      </c>
      <c r="AX2066" s="21" t="s">
        <v>540</v>
      </c>
      <c r="AY2066" s="32">
        <v>10000007</v>
      </c>
      <c r="AZ2066" s="32">
        <v>70202004</v>
      </c>
      <c r="BA2066" s="35" t="s">
        <v>321</v>
      </c>
      <c r="BB2066" s="35" t="s">
        <v>377</v>
      </c>
      <c r="BC2066" s="31">
        <v>0</v>
      </c>
      <c r="BD2066" s="31">
        <v>0</v>
      </c>
      <c r="BE2066" s="33" t="s">
        <v>4680</v>
      </c>
      <c r="BF2066" s="33" t="s">
        <v>4681</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73004301</v>
      </c>
      <c r="D2067" s="30" t="s">
        <v>4709</v>
      </c>
      <c r="E2067" s="30" t="s">
        <v>4710</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v>0</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73004302</v>
      </c>
      <c r="D2068" s="30" t="s">
        <v>4709</v>
      </c>
      <c r="E2068" s="30" t="s">
        <v>4710</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t="s">
        <v>4711</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19.5" customHeight="1">
      <c r="C2069" s="32">
        <v>73004303</v>
      </c>
      <c r="D2069" s="30" t="s">
        <v>1097</v>
      </c>
      <c r="E2069" s="30" t="s">
        <v>1098</v>
      </c>
      <c r="F2069" s="32">
        <v>1</v>
      </c>
      <c r="G2069" s="21">
        <v>60010100</v>
      </c>
      <c r="H2069" s="32">
        <v>0</v>
      </c>
      <c r="I2069" s="31">
        <v>0</v>
      </c>
      <c r="J2069" s="32">
        <v>1</v>
      </c>
      <c r="K2069" s="32">
        <v>0</v>
      </c>
      <c r="L2069" s="32">
        <v>0</v>
      </c>
      <c r="M2069" s="21">
        <v>0</v>
      </c>
      <c r="N2069" s="21">
        <v>0</v>
      </c>
      <c r="O2069" s="72">
        <v>2</v>
      </c>
      <c r="P2069" s="21">
        <v>2</v>
      </c>
      <c r="Q2069" s="21">
        <v>0.9</v>
      </c>
      <c r="R2069" s="21">
        <v>0</v>
      </c>
      <c r="S2069" s="19">
        <v>101</v>
      </c>
      <c r="T2069" s="21">
        <v>0</v>
      </c>
      <c r="U2069" s="21">
        <v>1</v>
      </c>
      <c r="V2069" s="21">
        <v>2</v>
      </c>
      <c r="W2069" s="21">
        <v>0</v>
      </c>
      <c r="X2069" s="21">
        <v>3</v>
      </c>
      <c r="Y2069" s="19">
        <v>0</v>
      </c>
      <c r="Z2069" s="21">
        <v>0</v>
      </c>
      <c r="AA2069" s="21">
        <v>1</v>
      </c>
      <c r="AB2069" s="21">
        <v>0</v>
      </c>
      <c r="AC2069" s="21">
        <v>0</v>
      </c>
      <c r="AD2069" s="21">
        <v>0</v>
      </c>
      <c r="AE2069" s="21">
        <v>0</v>
      </c>
      <c r="AF2069" s="21">
        <v>15</v>
      </c>
      <c r="AG2069" s="21">
        <v>1</v>
      </c>
      <c r="AH2069" s="21" t="s">
        <v>613</v>
      </c>
      <c r="AI2069" s="19">
        <v>1</v>
      </c>
      <c r="AJ2069" s="19">
        <v>1</v>
      </c>
      <c r="AK2069" s="19">
        <v>0</v>
      </c>
      <c r="AL2069" s="19">
        <v>3</v>
      </c>
      <c r="AM2069" s="21">
        <v>0</v>
      </c>
      <c r="AN2069" s="21">
        <v>0</v>
      </c>
      <c r="AO2069" s="21">
        <v>0</v>
      </c>
      <c r="AP2069" s="21">
        <v>3</v>
      </c>
      <c r="AQ2069" s="21">
        <v>5000</v>
      </c>
      <c r="AR2069" s="21">
        <v>2.5</v>
      </c>
      <c r="AS2069" s="21">
        <v>0</v>
      </c>
      <c r="AT2069" s="19">
        <v>0</v>
      </c>
      <c r="AU2069" s="21" t="s">
        <v>665</v>
      </c>
      <c r="AV2069" s="21"/>
      <c r="AW2069" s="35" t="s">
        <v>262</v>
      </c>
      <c r="AX2069" s="21" t="s">
        <v>540</v>
      </c>
      <c r="AY2069" s="32">
        <v>10000007</v>
      </c>
      <c r="AZ2069" s="32">
        <v>70403003</v>
      </c>
      <c r="BA2069" s="30" t="s">
        <v>206</v>
      </c>
      <c r="BB2069" s="21">
        <v>0</v>
      </c>
      <c r="BC2069" s="31">
        <v>0</v>
      </c>
      <c r="BD2069" s="31">
        <v>0</v>
      </c>
      <c r="BE2069" s="33" t="s">
        <v>4600</v>
      </c>
      <c r="BF2069" s="33" t="s">
        <v>4601</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73004304</v>
      </c>
      <c r="D2070" s="35" t="s">
        <v>679</v>
      </c>
      <c r="E2070" s="35" t="s">
        <v>680</v>
      </c>
      <c r="F2070" s="32">
        <v>1</v>
      </c>
      <c r="G2070" s="32">
        <v>60010500</v>
      </c>
      <c r="H2070" s="32">
        <v>0</v>
      </c>
      <c r="I2070" s="31">
        <v>0</v>
      </c>
      <c r="J2070" s="32">
        <v>1</v>
      </c>
      <c r="K2070" s="32">
        <v>0</v>
      </c>
      <c r="L2070" s="32">
        <v>0</v>
      </c>
      <c r="M2070" s="32">
        <v>0</v>
      </c>
      <c r="N2070" s="32">
        <v>0</v>
      </c>
      <c r="O2070" s="72">
        <v>2</v>
      </c>
      <c r="P2070" s="32">
        <v>2</v>
      </c>
      <c r="Q2070" s="32">
        <v>0.6</v>
      </c>
      <c r="R2070" s="32">
        <v>0</v>
      </c>
      <c r="S2070" s="19">
        <v>0</v>
      </c>
      <c r="T2070" s="31">
        <v>0</v>
      </c>
      <c r="U2070" s="21">
        <v>1</v>
      </c>
      <c r="V2070" s="32">
        <v>2</v>
      </c>
      <c r="W2070" s="32">
        <v>0</v>
      </c>
      <c r="X2070" s="32">
        <v>0</v>
      </c>
      <c r="Y2070" s="19">
        <v>0</v>
      </c>
      <c r="Z2070" s="32">
        <v>0</v>
      </c>
      <c r="AA2070" s="32">
        <v>0</v>
      </c>
      <c r="AB2070" s="32">
        <v>0</v>
      </c>
      <c r="AC2070" s="32">
        <v>0</v>
      </c>
      <c r="AD2070" s="32">
        <v>0</v>
      </c>
      <c r="AE2070" s="32">
        <v>0</v>
      </c>
      <c r="AF2070" s="21">
        <v>99999</v>
      </c>
      <c r="AG2070" s="32">
        <v>0</v>
      </c>
      <c r="AH2070" s="32">
        <v>0</v>
      </c>
      <c r="AI2070" s="19">
        <v>2</v>
      </c>
      <c r="AJ2070" s="19">
        <v>0</v>
      </c>
      <c r="AK2070" s="19">
        <v>0</v>
      </c>
      <c r="AL2070" s="19">
        <v>0</v>
      </c>
      <c r="AM2070" s="32">
        <v>0</v>
      </c>
      <c r="AN2070" s="32">
        <v>0</v>
      </c>
      <c r="AO2070" s="32">
        <v>0</v>
      </c>
      <c r="AP2070" s="32">
        <v>0</v>
      </c>
      <c r="AQ2070" s="32">
        <v>1000</v>
      </c>
      <c r="AR2070" s="32">
        <v>0</v>
      </c>
      <c r="AS2070" s="32">
        <v>0</v>
      </c>
      <c r="AT2070" s="19">
        <v>90104002</v>
      </c>
      <c r="AU2070" s="32" t="s">
        <v>204</v>
      </c>
      <c r="AV2070" s="32"/>
      <c r="AW2070" s="35" t="s">
        <v>205</v>
      </c>
      <c r="AX2070" s="32" t="s">
        <v>354</v>
      </c>
      <c r="AY2070" s="32">
        <v>0</v>
      </c>
      <c r="AZ2070" s="32">
        <v>0</v>
      </c>
      <c r="BA2070" s="35" t="s">
        <v>206</v>
      </c>
      <c r="BB2070" s="35" t="s">
        <v>204</v>
      </c>
      <c r="BC2070" s="31">
        <v>0</v>
      </c>
      <c r="BD2070" s="31">
        <v>0</v>
      </c>
      <c r="BE2070" s="60" t="s">
        <v>681</v>
      </c>
      <c r="BF2070" s="60" t="s">
        <v>682</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73004305</v>
      </c>
      <c r="D2071" s="35" t="s">
        <v>4690</v>
      </c>
      <c r="E2071" s="35" t="s">
        <v>4691</v>
      </c>
      <c r="F2071" s="32">
        <v>1</v>
      </c>
      <c r="G2071" s="32">
        <v>60010500</v>
      </c>
      <c r="H2071" s="32">
        <v>0</v>
      </c>
      <c r="I2071" s="31">
        <v>0</v>
      </c>
      <c r="J2071" s="32">
        <v>1</v>
      </c>
      <c r="K2071" s="32">
        <v>0</v>
      </c>
      <c r="L2071" s="32">
        <v>0</v>
      </c>
      <c r="M2071" s="32">
        <v>0</v>
      </c>
      <c r="N2071" s="32">
        <v>0</v>
      </c>
      <c r="O2071" s="72">
        <v>2</v>
      </c>
      <c r="P2071" s="32">
        <v>2</v>
      </c>
      <c r="Q2071" s="32">
        <v>0.95</v>
      </c>
      <c r="R2071" s="32">
        <v>0</v>
      </c>
      <c r="S2071" s="19">
        <v>101</v>
      </c>
      <c r="T2071" s="31">
        <v>0</v>
      </c>
      <c r="U2071" s="21">
        <v>1</v>
      </c>
      <c r="V2071" s="32">
        <v>2</v>
      </c>
      <c r="W2071" s="32">
        <v>0</v>
      </c>
      <c r="X2071" s="32">
        <v>0</v>
      </c>
      <c r="Y2071" s="19">
        <v>0</v>
      </c>
      <c r="Z2071" s="32">
        <v>0</v>
      </c>
      <c r="AA2071" s="32">
        <v>0</v>
      </c>
      <c r="AB2071" s="32">
        <v>0</v>
      </c>
      <c r="AC2071" s="32">
        <v>0</v>
      </c>
      <c r="AD2071" s="21">
        <v>0</v>
      </c>
      <c r="AE2071" s="32">
        <v>0</v>
      </c>
      <c r="AF2071" s="32">
        <v>10</v>
      </c>
      <c r="AG2071" s="32">
        <v>0</v>
      </c>
      <c r="AH2071" s="32">
        <v>0</v>
      </c>
      <c r="AI2071" s="19">
        <v>7</v>
      </c>
      <c r="AJ2071" s="19">
        <v>0</v>
      </c>
      <c r="AK2071" s="19">
        <v>0</v>
      </c>
      <c r="AL2071" s="19">
        <v>0</v>
      </c>
      <c r="AM2071" s="32">
        <v>0</v>
      </c>
      <c r="AN2071" s="32">
        <v>0</v>
      </c>
      <c r="AO2071" s="32">
        <v>0</v>
      </c>
      <c r="AP2071" s="32">
        <v>0</v>
      </c>
      <c r="AQ2071" s="32">
        <v>1000</v>
      </c>
      <c r="AR2071" s="32">
        <v>0.5</v>
      </c>
      <c r="AS2071" s="32">
        <v>0</v>
      </c>
      <c r="AT2071" s="19">
        <v>0</v>
      </c>
      <c r="AU2071" s="350" t="s">
        <v>4712</v>
      </c>
      <c r="AV2071" s="32"/>
      <c r="AW2071" s="35" t="s">
        <v>747</v>
      </c>
      <c r="AX2071" s="32">
        <v>0</v>
      </c>
      <c r="AY2071" s="32">
        <v>10007001</v>
      </c>
      <c r="AZ2071" s="32">
        <v>0</v>
      </c>
      <c r="BA2071" s="35" t="s">
        <v>206</v>
      </c>
      <c r="BB2071" s="35" t="s">
        <v>204</v>
      </c>
      <c r="BC2071" s="31">
        <v>0</v>
      </c>
      <c r="BD2071" s="31">
        <v>0</v>
      </c>
      <c r="BE2071" s="60" t="s">
        <v>4692</v>
      </c>
      <c r="BF2071" s="60" t="s">
        <v>4693</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73004306</v>
      </c>
      <c r="D2072" s="30" t="s">
        <v>606</v>
      </c>
      <c r="E2072" s="30" t="s">
        <v>607</v>
      </c>
      <c r="F2072" s="32">
        <v>1</v>
      </c>
      <c r="G2072" s="21">
        <v>60010300</v>
      </c>
      <c r="H2072" s="32">
        <v>0</v>
      </c>
      <c r="I2072" s="31">
        <v>0</v>
      </c>
      <c r="J2072" s="32">
        <v>1</v>
      </c>
      <c r="K2072" s="32">
        <v>0</v>
      </c>
      <c r="L2072" s="32">
        <v>0</v>
      </c>
      <c r="M2072" s="21">
        <v>0</v>
      </c>
      <c r="N2072" s="21">
        <v>0</v>
      </c>
      <c r="O2072" s="72">
        <v>2</v>
      </c>
      <c r="P2072" s="21">
        <v>2</v>
      </c>
      <c r="Q2072" s="21">
        <v>0.9</v>
      </c>
      <c r="R2072" s="21">
        <v>0</v>
      </c>
      <c r="S2072" s="19">
        <v>0</v>
      </c>
      <c r="T2072" s="21">
        <v>0</v>
      </c>
      <c r="U2072" s="21">
        <v>1</v>
      </c>
      <c r="V2072" s="21">
        <v>2</v>
      </c>
      <c r="W2072" s="21">
        <v>0</v>
      </c>
      <c r="X2072" s="21">
        <v>0</v>
      </c>
      <c r="Y2072" s="19">
        <v>0</v>
      </c>
      <c r="Z2072" s="21">
        <v>0</v>
      </c>
      <c r="AA2072" s="21">
        <v>0</v>
      </c>
      <c r="AB2072" s="21">
        <v>0</v>
      </c>
      <c r="AC2072" s="21">
        <v>0</v>
      </c>
      <c r="AD2072" s="21">
        <v>0</v>
      </c>
      <c r="AE2072" s="21">
        <v>0</v>
      </c>
      <c r="AF2072" s="21">
        <v>30</v>
      </c>
      <c r="AG2072" s="21">
        <v>0</v>
      </c>
      <c r="AH2072" s="21">
        <v>0</v>
      </c>
      <c r="AI2072" s="19">
        <v>2</v>
      </c>
      <c r="AJ2072" s="19">
        <v>2</v>
      </c>
      <c r="AK2072" s="19">
        <v>0</v>
      </c>
      <c r="AL2072" s="19">
        <v>1.5</v>
      </c>
      <c r="AM2072" s="21">
        <v>0</v>
      </c>
      <c r="AN2072" s="21">
        <v>0</v>
      </c>
      <c r="AO2072" s="21">
        <v>0</v>
      </c>
      <c r="AP2072" s="21">
        <v>1</v>
      </c>
      <c r="AQ2072" s="21">
        <v>3000</v>
      </c>
      <c r="AR2072" s="21">
        <v>0.5</v>
      </c>
      <c r="AS2072" s="21">
        <v>0</v>
      </c>
      <c r="AT2072" s="19">
        <v>0</v>
      </c>
      <c r="AU2072" s="21" t="s">
        <v>204</v>
      </c>
      <c r="AV2072" s="21"/>
      <c r="AW2072" s="35" t="s">
        <v>205</v>
      </c>
      <c r="AX2072" s="21" t="s">
        <v>551</v>
      </c>
      <c r="AY2072" s="32">
        <v>0</v>
      </c>
      <c r="AZ2072" s="32">
        <v>0</v>
      </c>
      <c r="BA2072" s="30" t="s">
        <v>534</v>
      </c>
      <c r="BB2072" s="21" t="s">
        <v>4705</v>
      </c>
      <c r="BC2072" s="31">
        <v>0</v>
      </c>
      <c r="BD2072" s="31">
        <v>0</v>
      </c>
      <c r="BE2072" s="33" t="s">
        <v>4706</v>
      </c>
      <c r="BF2072" s="33" t="s">
        <v>4707</v>
      </c>
      <c r="BG2072" s="21">
        <v>0</v>
      </c>
      <c r="BH2072" s="21">
        <v>0</v>
      </c>
      <c r="BI2072" s="21">
        <v>0</v>
      </c>
      <c r="BJ2072" s="21">
        <v>0</v>
      </c>
      <c r="BK2072" s="21">
        <v>0</v>
      </c>
      <c r="BL2072" s="21">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74001001</v>
      </c>
      <c r="D2073" s="71" t="s">
        <v>766</v>
      </c>
      <c r="E2073" s="71" t="s">
        <v>767</v>
      </c>
      <c r="F2073" s="72">
        <v>2</v>
      </c>
      <c r="G2073" s="72">
        <v>61012301</v>
      </c>
      <c r="H2073" s="72">
        <v>0</v>
      </c>
      <c r="I2073" s="75">
        <v>0</v>
      </c>
      <c r="J2073" s="74">
        <v>1</v>
      </c>
      <c r="K2073" s="74">
        <v>0</v>
      </c>
      <c r="L2073" s="74">
        <v>0</v>
      </c>
      <c r="M2073" s="72">
        <v>0</v>
      </c>
      <c r="N2073" s="72">
        <v>0</v>
      </c>
      <c r="O2073" s="72">
        <v>1</v>
      </c>
      <c r="P2073" s="72">
        <v>1</v>
      </c>
      <c r="Q2073" s="72">
        <v>0.5</v>
      </c>
      <c r="R2073" s="72">
        <v>0</v>
      </c>
      <c r="S2073" s="73">
        <v>1</v>
      </c>
      <c r="T2073" s="72">
        <v>0</v>
      </c>
      <c r="U2073" s="72">
        <v>1</v>
      </c>
      <c r="V2073" s="72">
        <v>2</v>
      </c>
      <c r="W2073" s="72">
        <v>0</v>
      </c>
      <c r="X2073" s="72">
        <v>1.4</v>
      </c>
      <c r="Y2073" s="19">
        <v>0</v>
      </c>
      <c r="Z2073" s="72">
        <v>150</v>
      </c>
      <c r="AA2073" s="72">
        <v>1</v>
      </c>
      <c r="AB2073" s="72">
        <v>0</v>
      </c>
      <c r="AC2073" s="72">
        <v>0</v>
      </c>
      <c r="AD2073" s="72">
        <v>0</v>
      </c>
      <c r="AE2073" s="72">
        <v>0</v>
      </c>
      <c r="AF2073" s="72">
        <v>12</v>
      </c>
      <c r="AG2073" s="72">
        <v>2</v>
      </c>
      <c r="AH2073" s="72" t="s">
        <v>219</v>
      </c>
      <c r="AI2073" s="73">
        <v>7</v>
      </c>
      <c r="AJ2073" s="73">
        <v>2</v>
      </c>
      <c r="AK2073" s="19">
        <v>0</v>
      </c>
      <c r="AL2073" s="73">
        <v>1.5</v>
      </c>
      <c r="AM2073" s="72">
        <v>0</v>
      </c>
      <c r="AN2073" s="72">
        <v>0</v>
      </c>
      <c r="AO2073" s="72">
        <v>0</v>
      </c>
      <c r="AP2073" s="72">
        <v>1.5</v>
      </c>
      <c r="AQ2073" s="72">
        <v>1200</v>
      </c>
      <c r="AR2073" s="72">
        <v>1</v>
      </c>
      <c r="AS2073" s="72">
        <v>15</v>
      </c>
      <c r="AT2073" s="73">
        <v>0</v>
      </c>
      <c r="AU2073" s="72" t="s">
        <v>204</v>
      </c>
      <c r="AV2073" s="72"/>
      <c r="AW2073" s="71" t="s">
        <v>262</v>
      </c>
      <c r="AX2073" s="72" t="s">
        <v>221</v>
      </c>
      <c r="AY2073" s="74">
        <v>10000011</v>
      </c>
      <c r="AZ2073" s="74">
        <v>70404001</v>
      </c>
      <c r="BA2073" s="71" t="s">
        <v>222</v>
      </c>
      <c r="BB2073" s="72">
        <v>0</v>
      </c>
      <c r="BC2073" s="75">
        <v>0</v>
      </c>
      <c r="BD2073" s="75">
        <v>0</v>
      </c>
      <c r="BE2073" s="76" t="s">
        <v>804</v>
      </c>
      <c r="BF2073" s="76" t="s">
        <v>805</v>
      </c>
      <c r="BG2073" s="72">
        <v>0</v>
      </c>
      <c r="BH2073" s="72">
        <v>0</v>
      </c>
      <c r="BI2073" s="72">
        <v>0</v>
      </c>
      <c r="BJ2073" s="72">
        <v>0</v>
      </c>
      <c r="BK2073" s="72">
        <v>0</v>
      </c>
      <c r="BL2073" s="72">
        <v>0</v>
      </c>
      <c r="BM2073" s="90">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75001001</v>
      </c>
      <c r="D2074" s="35" t="s">
        <v>4713</v>
      </c>
      <c r="E2074" s="35" t="s">
        <v>4714</v>
      </c>
      <c r="F2074" s="32">
        <v>1</v>
      </c>
      <c r="G2074" s="32">
        <v>60010500</v>
      </c>
      <c r="H2074" s="32">
        <v>0</v>
      </c>
      <c r="I2074" s="31">
        <v>0</v>
      </c>
      <c r="J2074" s="32">
        <v>1</v>
      </c>
      <c r="K2074" s="32">
        <v>0</v>
      </c>
      <c r="L2074" s="32">
        <v>0</v>
      </c>
      <c r="M2074" s="32">
        <v>0</v>
      </c>
      <c r="N2074" s="32">
        <v>0</v>
      </c>
      <c r="O2074" s="32">
        <v>1</v>
      </c>
      <c r="P2074" s="32">
        <v>2</v>
      </c>
      <c r="Q2074" s="32">
        <v>1</v>
      </c>
      <c r="R2074" s="32">
        <v>0</v>
      </c>
      <c r="S2074" s="19">
        <v>0</v>
      </c>
      <c r="T2074" s="31">
        <v>0</v>
      </c>
      <c r="U2074" s="21">
        <v>1</v>
      </c>
      <c r="V2074" s="32">
        <v>2</v>
      </c>
      <c r="W2074" s="32">
        <v>0</v>
      </c>
      <c r="X2074" s="32">
        <v>0</v>
      </c>
      <c r="Y2074" s="19">
        <v>0</v>
      </c>
      <c r="Z2074" s="32">
        <v>0</v>
      </c>
      <c r="AA2074" s="32">
        <v>0</v>
      </c>
      <c r="AB2074" s="32">
        <v>0</v>
      </c>
      <c r="AC2074" s="32">
        <v>0</v>
      </c>
      <c r="AD2074" s="32">
        <v>0</v>
      </c>
      <c r="AE2074" s="32">
        <v>0</v>
      </c>
      <c r="AF2074" s="32">
        <v>30</v>
      </c>
      <c r="AG2074" s="32">
        <v>0</v>
      </c>
      <c r="AH2074" s="32">
        <v>0</v>
      </c>
      <c r="AI2074" s="19">
        <v>2</v>
      </c>
      <c r="AJ2074" s="19">
        <v>0</v>
      </c>
      <c r="AK2074" s="19">
        <v>0</v>
      </c>
      <c r="AL2074" s="19">
        <v>0</v>
      </c>
      <c r="AM2074" s="32">
        <v>0</v>
      </c>
      <c r="AN2074" s="32">
        <v>0</v>
      </c>
      <c r="AO2074" s="32">
        <v>0</v>
      </c>
      <c r="AP2074" s="32">
        <v>0</v>
      </c>
      <c r="AQ2074" s="32">
        <v>1000</v>
      </c>
      <c r="AR2074" s="32">
        <v>0</v>
      </c>
      <c r="AS2074" s="32">
        <v>0</v>
      </c>
      <c r="AT2074" s="19">
        <v>69000131</v>
      </c>
      <c r="AU2074" s="32" t="s">
        <v>204</v>
      </c>
      <c r="AV2074" s="32"/>
      <c r="AW2074" s="35" t="s">
        <v>205</v>
      </c>
      <c r="AX2074" s="32" t="s">
        <v>354</v>
      </c>
      <c r="AY2074" s="32">
        <v>0</v>
      </c>
      <c r="AZ2074" s="32">
        <v>40000003</v>
      </c>
      <c r="BA2074" s="35" t="s">
        <v>206</v>
      </c>
      <c r="BB2074" s="35" t="s">
        <v>204</v>
      </c>
      <c r="BC2074" s="31">
        <v>0</v>
      </c>
      <c r="BD2074" s="31">
        <v>0</v>
      </c>
      <c r="BE2074" s="60" t="s">
        <v>546</v>
      </c>
      <c r="BF2074" s="60" t="s">
        <v>547</v>
      </c>
      <c r="BG2074" s="32">
        <v>0</v>
      </c>
      <c r="BH2074" s="21">
        <v>0</v>
      </c>
      <c r="BI2074" s="32">
        <v>0</v>
      </c>
      <c r="BJ2074" s="32">
        <v>0</v>
      </c>
      <c r="BK2074" s="32">
        <v>0</v>
      </c>
      <c r="BL2074" s="32">
        <v>0</v>
      </c>
      <c r="BM2074" s="25">
        <v>0</v>
      </c>
      <c r="BN2074" s="19">
        <v>0</v>
      </c>
      <c r="BO2074" s="19">
        <v>0</v>
      </c>
      <c r="BP2074" s="19">
        <v>0</v>
      </c>
      <c r="BQ2074" s="19">
        <v>0</v>
      </c>
      <c r="BR2074" s="19">
        <v>0</v>
      </c>
      <c r="BS2074" s="19">
        <v>0</v>
      </c>
      <c r="BT2074" s="19">
        <v>0</v>
      </c>
      <c r="BU2074" s="23">
        <v>0</v>
      </c>
      <c r="BV2074" s="23"/>
      <c r="BW2074" s="23"/>
      <c r="BX2074" s="23"/>
      <c r="BY2074" s="23"/>
      <c r="BZ2074" s="23"/>
    </row>
    <row r="2075" spans="3:78" ht="19.5" customHeight="1">
      <c r="C2075" s="74">
        <v>76001001</v>
      </c>
      <c r="D2075" s="30" t="s">
        <v>4715</v>
      </c>
      <c r="E2075" s="30" t="s">
        <v>4716</v>
      </c>
      <c r="F2075" s="32">
        <v>1</v>
      </c>
      <c r="G2075" s="21">
        <v>60010100</v>
      </c>
      <c r="H2075" s="32">
        <v>0</v>
      </c>
      <c r="I2075" s="31">
        <v>0</v>
      </c>
      <c r="J2075" s="32">
        <v>1</v>
      </c>
      <c r="K2075" s="32">
        <v>0</v>
      </c>
      <c r="L2075" s="32">
        <v>0</v>
      </c>
      <c r="M2075" s="21">
        <v>0</v>
      </c>
      <c r="N2075" s="21">
        <v>0</v>
      </c>
      <c r="O2075" s="21">
        <v>1</v>
      </c>
      <c r="P2075" s="21">
        <v>0</v>
      </c>
      <c r="Q2075" s="21">
        <v>0</v>
      </c>
      <c r="R2075" s="21">
        <v>0</v>
      </c>
      <c r="S2075" s="19">
        <v>0</v>
      </c>
      <c r="T2075" s="21">
        <v>0</v>
      </c>
      <c r="U2075" s="21">
        <v>1</v>
      </c>
      <c r="V2075" s="21">
        <v>2</v>
      </c>
      <c r="W2075" s="21">
        <v>0</v>
      </c>
      <c r="X2075" s="21">
        <v>0</v>
      </c>
      <c r="Y2075" s="19">
        <v>0</v>
      </c>
      <c r="Z2075" s="21">
        <v>2000</v>
      </c>
      <c r="AA2075" s="21">
        <v>1</v>
      </c>
      <c r="AB2075" s="21">
        <v>0</v>
      </c>
      <c r="AC2075" s="21">
        <v>0</v>
      </c>
      <c r="AD2075" s="21">
        <v>0</v>
      </c>
      <c r="AE2075" s="21">
        <v>0</v>
      </c>
      <c r="AF2075" s="21">
        <v>5</v>
      </c>
      <c r="AG2075" s="21">
        <v>1</v>
      </c>
      <c r="AH2075" s="21">
        <v>3</v>
      </c>
      <c r="AI2075" s="19">
        <v>2</v>
      </c>
      <c r="AJ2075" s="19">
        <v>1</v>
      </c>
      <c r="AK2075" s="19">
        <v>0</v>
      </c>
      <c r="AL2075" s="19">
        <v>6</v>
      </c>
      <c r="AM2075" s="21">
        <v>0</v>
      </c>
      <c r="AN2075" s="21">
        <v>0</v>
      </c>
      <c r="AO2075" s="21">
        <v>0</v>
      </c>
      <c r="AP2075" s="21">
        <v>0</v>
      </c>
      <c r="AQ2075" s="21">
        <v>1000</v>
      </c>
      <c r="AR2075" s="21">
        <v>0</v>
      </c>
      <c r="AS2075" s="21">
        <v>0</v>
      </c>
      <c r="AT2075" s="19">
        <v>0</v>
      </c>
      <c r="AU2075" s="21">
        <v>0</v>
      </c>
      <c r="AV2075" s="21"/>
      <c r="AW2075" s="35" t="s">
        <v>205</v>
      </c>
      <c r="AX2075" s="72" t="s">
        <v>221</v>
      </c>
      <c r="AY2075" s="32">
        <v>10000007</v>
      </c>
      <c r="AZ2075" s="32">
        <v>70203005</v>
      </c>
      <c r="BA2075" s="30" t="s">
        <v>206</v>
      </c>
      <c r="BB2075" s="21">
        <v>0</v>
      </c>
      <c r="BC2075" s="31">
        <v>0</v>
      </c>
      <c r="BD2075" s="31">
        <v>0</v>
      </c>
      <c r="BE2075" s="33" t="s">
        <v>4717</v>
      </c>
      <c r="BF2075" s="33" t="s">
        <v>4718</v>
      </c>
      <c r="BG2075" s="21">
        <v>0</v>
      </c>
      <c r="BH2075" s="21">
        <v>0</v>
      </c>
      <c r="BI2075" s="21">
        <v>0</v>
      </c>
      <c r="BJ2075" s="21">
        <v>0</v>
      </c>
      <c r="BK2075" s="21">
        <v>0</v>
      </c>
      <c r="BL2075" s="21">
        <v>0</v>
      </c>
      <c r="BM2075" s="25">
        <v>0</v>
      </c>
      <c r="BN2075" s="19">
        <v>0</v>
      </c>
      <c r="BO2075" s="19">
        <v>0</v>
      </c>
      <c r="BP2075" s="19">
        <v>0</v>
      </c>
      <c r="BQ2075" s="19">
        <v>0</v>
      </c>
      <c r="BR2075" s="19">
        <v>0</v>
      </c>
      <c r="BS2075" s="19">
        <v>0</v>
      </c>
      <c r="BT2075" s="19">
        <v>0</v>
      </c>
      <c r="BU2075" s="23">
        <v>0</v>
      </c>
      <c r="BV2075" s="23"/>
      <c r="BW2075" s="23"/>
      <c r="BX2075" s="23"/>
      <c r="BY2075" s="23">
        <v>72009001</v>
      </c>
      <c r="BZ2075" s="23"/>
    </row>
    <row r="2076" spans="3:78" ht="20.100000000000001" customHeight="1">
      <c r="C2076" s="32">
        <v>79000001</v>
      </c>
      <c r="D2076" s="35" t="s">
        <v>750</v>
      </c>
      <c r="E2076" s="35" t="s">
        <v>751</v>
      </c>
      <c r="F2076" s="32">
        <v>1</v>
      </c>
      <c r="G2076" s="32">
        <v>60010500</v>
      </c>
      <c r="H2076" s="32">
        <v>0</v>
      </c>
      <c r="I2076" s="31">
        <v>0</v>
      </c>
      <c r="J2076" s="32">
        <v>1</v>
      </c>
      <c r="K2076" s="32">
        <v>0</v>
      </c>
      <c r="L2076" s="32">
        <v>0</v>
      </c>
      <c r="M2076" s="32">
        <v>0</v>
      </c>
      <c r="N2076" s="32">
        <v>0</v>
      </c>
      <c r="O2076" s="21">
        <v>2</v>
      </c>
      <c r="P2076" s="32">
        <v>1</v>
      </c>
      <c r="Q2076" s="32">
        <v>0.1</v>
      </c>
      <c r="R2076" s="32">
        <v>0</v>
      </c>
      <c r="S2076" s="19">
        <v>0</v>
      </c>
      <c r="T2076" s="31">
        <v>0</v>
      </c>
      <c r="U2076" s="21">
        <v>1</v>
      </c>
      <c r="V2076" s="32">
        <v>1</v>
      </c>
      <c r="W2076" s="32">
        <v>0</v>
      </c>
      <c r="X2076" s="32">
        <v>2</v>
      </c>
      <c r="Y2076" s="19">
        <v>0</v>
      </c>
      <c r="Z2076" s="32">
        <v>0</v>
      </c>
      <c r="AA2076" s="32">
        <v>0</v>
      </c>
      <c r="AB2076" s="32">
        <v>0</v>
      </c>
      <c r="AC2076" s="32">
        <v>0</v>
      </c>
      <c r="AD2076" s="21">
        <v>0</v>
      </c>
      <c r="AE2076" s="32">
        <v>0</v>
      </c>
      <c r="AF2076" s="32">
        <v>10</v>
      </c>
      <c r="AG2076" s="32">
        <v>0</v>
      </c>
      <c r="AH2076" s="32">
        <v>0</v>
      </c>
      <c r="AI2076" s="19">
        <v>7</v>
      </c>
      <c r="AJ2076" s="19">
        <v>0</v>
      </c>
      <c r="AK2076" s="19">
        <v>0</v>
      </c>
      <c r="AL2076" s="19">
        <v>0</v>
      </c>
      <c r="AM2076" s="32">
        <v>0</v>
      </c>
      <c r="AN2076" s="32">
        <v>0</v>
      </c>
      <c r="AO2076" s="32">
        <v>0</v>
      </c>
      <c r="AP2076" s="32">
        <v>0</v>
      </c>
      <c r="AQ2076" s="32">
        <v>1000</v>
      </c>
      <c r="AR2076" s="32">
        <v>0.5</v>
      </c>
      <c r="AS2076" s="32">
        <v>0</v>
      </c>
      <c r="AT2076" s="19">
        <v>0</v>
      </c>
      <c r="AU2076" s="32" t="s">
        <v>665</v>
      </c>
      <c r="AV2076" s="32"/>
      <c r="AW2076" s="35" t="s">
        <v>747</v>
      </c>
      <c r="AX2076" s="32">
        <v>0</v>
      </c>
      <c r="AY2076" s="32">
        <v>10007001</v>
      </c>
      <c r="AZ2076" s="32">
        <v>0</v>
      </c>
      <c r="BA2076" s="35" t="s">
        <v>206</v>
      </c>
      <c r="BB2076" s="35" t="s">
        <v>204</v>
      </c>
      <c r="BC2076" s="31">
        <v>0</v>
      </c>
      <c r="BD2076" s="31">
        <v>0</v>
      </c>
      <c r="BE2076" s="60" t="s">
        <v>752</v>
      </c>
      <c r="BF2076" s="60" t="s">
        <v>753</v>
      </c>
      <c r="BG2076" s="32">
        <v>0</v>
      </c>
      <c r="BH2076" s="21">
        <v>0</v>
      </c>
      <c r="BI2076" s="32">
        <v>0</v>
      </c>
      <c r="BJ2076" s="32">
        <v>0</v>
      </c>
      <c r="BK2076" s="32">
        <v>0</v>
      </c>
      <c r="BL2076" s="32">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20.100000000000001" customHeight="1">
      <c r="C2077" s="32">
        <v>79000002</v>
      </c>
      <c r="D2077" s="30" t="s">
        <v>1330</v>
      </c>
      <c r="E2077" s="30" t="s">
        <v>1331</v>
      </c>
      <c r="F2077" s="32">
        <v>1</v>
      </c>
      <c r="G2077" s="21">
        <v>60010100</v>
      </c>
      <c r="H2077" s="32">
        <v>0</v>
      </c>
      <c r="I2077" s="31">
        <v>0</v>
      </c>
      <c r="J2077" s="32">
        <v>1</v>
      </c>
      <c r="K2077" s="32">
        <v>0</v>
      </c>
      <c r="L2077" s="32">
        <v>0</v>
      </c>
      <c r="M2077" s="21">
        <v>0</v>
      </c>
      <c r="N2077" s="21">
        <v>0</v>
      </c>
      <c r="O2077" s="72">
        <v>2</v>
      </c>
      <c r="P2077" s="21">
        <v>1</v>
      </c>
      <c r="Q2077" s="21">
        <v>1</v>
      </c>
      <c r="R2077" s="21">
        <v>0</v>
      </c>
      <c r="S2077" s="19">
        <v>0</v>
      </c>
      <c r="T2077" s="21">
        <v>0</v>
      </c>
      <c r="U2077" s="21">
        <v>1</v>
      </c>
      <c r="V2077" s="21">
        <v>2</v>
      </c>
      <c r="W2077" s="21">
        <v>0</v>
      </c>
      <c r="X2077" s="21">
        <v>2</v>
      </c>
      <c r="Y2077" s="19">
        <v>0</v>
      </c>
      <c r="Z2077" s="21">
        <v>0</v>
      </c>
      <c r="AA2077" s="21">
        <v>1</v>
      </c>
      <c r="AB2077" s="21">
        <v>0</v>
      </c>
      <c r="AC2077" s="21">
        <v>0</v>
      </c>
      <c r="AD2077" s="21">
        <v>0</v>
      </c>
      <c r="AE2077" s="21">
        <v>0</v>
      </c>
      <c r="AF2077" s="21">
        <v>10</v>
      </c>
      <c r="AG2077" s="21">
        <v>2</v>
      </c>
      <c r="AH2077" s="21" t="s">
        <v>1042</v>
      </c>
      <c r="AI2077" s="19">
        <v>0</v>
      </c>
      <c r="AJ2077" s="19">
        <v>2</v>
      </c>
      <c r="AK2077" s="19">
        <v>0</v>
      </c>
      <c r="AL2077" s="19">
        <v>1.5</v>
      </c>
      <c r="AM2077" s="21">
        <v>0</v>
      </c>
      <c r="AN2077" s="21">
        <v>0</v>
      </c>
      <c r="AO2077" s="21">
        <v>0</v>
      </c>
      <c r="AP2077" s="21">
        <v>1.5</v>
      </c>
      <c r="AQ2077" s="21">
        <v>10000</v>
      </c>
      <c r="AR2077" s="21">
        <v>1</v>
      </c>
      <c r="AS2077" s="21">
        <v>5</v>
      </c>
      <c r="AT2077" s="19">
        <v>0</v>
      </c>
      <c r="AU2077" s="21" t="s">
        <v>204</v>
      </c>
      <c r="AV2077" s="21"/>
      <c r="AW2077" s="35" t="s">
        <v>623</v>
      </c>
      <c r="AX2077" s="21" t="s">
        <v>540</v>
      </c>
      <c r="AY2077" s="32">
        <v>10000007</v>
      </c>
      <c r="AZ2077" s="32">
        <v>70302003</v>
      </c>
      <c r="BA2077" s="35" t="s">
        <v>592</v>
      </c>
      <c r="BB2077" s="31" t="s">
        <v>4702</v>
      </c>
      <c r="BC2077" s="31">
        <v>0</v>
      </c>
      <c r="BD2077" s="31">
        <v>0</v>
      </c>
      <c r="BE2077" s="33" t="s">
        <v>1114</v>
      </c>
      <c r="BF2077" s="33" t="s">
        <v>1115</v>
      </c>
      <c r="BG2077" s="21">
        <v>1</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79000003</v>
      </c>
      <c r="D2078" s="30" t="s">
        <v>1097</v>
      </c>
      <c r="E2078" s="30" t="s">
        <v>1098</v>
      </c>
      <c r="F2078" s="32">
        <v>1</v>
      </c>
      <c r="G2078" s="21">
        <v>60010100</v>
      </c>
      <c r="H2078" s="32">
        <v>0</v>
      </c>
      <c r="I2078" s="31">
        <v>0</v>
      </c>
      <c r="J2078" s="32">
        <v>1</v>
      </c>
      <c r="K2078" s="32">
        <v>0</v>
      </c>
      <c r="L2078" s="32">
        <v>0</v>
      </c>
      <c r="M2078" s="21">
        <v>0</v>
      </c>
      <c r="N2078" s="21">
        <v>0</v>
      </c>
      <c r="O2078" s="72">
        <v>2</v>
      </c>
      <c r="P2078" s="21">
        <v>2</v>
      </c>
      <c r="Q2078" s="21">
        <v>0.9</v>
      </c>
      <c r="R2078" s="21">
        <v>0</v>
      </c>
      <c r="S2078" s="19">
        <v>1</v>
      </c>
      <c r="T2078" s="21">
        <v>0</v>
      </c>
      <c r="U2078" s="21">
        <v>1</v>
      </c>
      <c r="V2078" s="21">
        <v>2</v>
      </c>
      <c r="W2078" s="21">
        <v>0</v>
      </c>
      <c r="X2078" s="21">
        <v>2</v>
      </c>
      <c r="Y2078" s="19">
        <v>0</v>
      </c>
      <c r="Z2078" s="21">
        <v>0</v>
      </c>
      <c r="AA2078" s="21">
        <v>1</v>
      </c>
      <c r="AB2078" s="21">
        <v>0</v>
      </c>
      <c r="AC2078" s="21">
        <v>0</v>
      </c>
      <c r="AD2078" s="21">
        <v>0</v>
      </c>
      <c r="AE2078" s="21">
        <v>0</v>
      </c>
      <c r="AF2078" s="21">
        <v>15</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90001023</v>
      </c>
      <c r="AV2078" s="21"/>
      <c r="AW2078" s="35" t="s">
        <v>262</v>
      </c>
      <c r="AX2078" s="21" t="s">
        <v>540</v>
      </c>
      <c r="AY2078" s="32">
        <v>10000007</v>
      </c>
      <c r="AZ2078" s="32">
        <v>70403003</v>
      </c>
      <c r="BA2078" s="30" t="s">
        <v>206</v>
      </c>
      <c r="BB2078" s="21">
        <v>0</v>
      </c>
      <c r="BC2078" s="31">
        <v>0</v>
      </c>
      <c r="BD2078" s="31">
        <v>0</v>
      </c>
      <c r="BE2078" s="33" t="s">
        <v>4600</v>
      </c>
      <c r="BF2078" s="33" t="s">
        <v>4601</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79000004</v>
      </c>
      <c r="D2079" s="30" t="s">
        <v>1097</v>
      </c>
      <c r="E2079" s="30" t="s">
        <v>1098</v>
      </c>
      <c r="F2079" s="32">
        <v>1</v>
      </c>
      <c r="G2079" s="21">
        <v>60010100</v>
      </c>
      <c r="H2079" s="32">
        <v>0</v>
      </c>
      <c r="I2079" s="31">
        <v>0</v>
      </c>
      <c r="J2079" s="32">
        <v>1</v>
      </c>
      <c r="K2079" s="32">
        <v>0</v>
      </c>
      <c r="L2079" s="32">
        <v>0</v>
      </c>
      <c r="M2079" s="21">
        <v>0</v>
      </c>
      <c r="N2079" s="21">
        <v>0</v>
      </c>
      <c r="O2079" s="21">
        <v>2</v>
      </c>
      <c r="P2079" s="21">
        <v>1</v>
      </c>
      <c r="Q2079" s="21">
        <v>0.3</v>
      </c>
      <c r="R2079" s="21">
        <v>0</v>
      </c>
      <c r="S2079" s="19">
        <v>0</v>
      </c>
      <c r="T2079" s="21">
        <v>0</v>
      </c>
      <c r="U2079" s="21">
        <v>1</v>
      </c>
      <c r="V2079" s="21">
        <v>2</v>
      </c>
      <c r="W2079" s="21">
        <v>0</v>
      </c>
      <c r="X2079" s="21">
        <v>2</v>
      </c>
      <c r="Y2079" s="19">
        <v>0</v>
      </c>
      <c r="Z2079" s="21">
        <v>0</v>
      </c>
      <c r="AA2079" s="21">
        <v>1</v>
      </c>
      <c r="AB2079" s="21">
        <v>0</v>
      </c>
      <c r="AC2079" s="21">
        <v>0</v>
      </c>
      <c r="AD2079" s="21">
        <v>0</v>
      </c>
      <c r="AE2079" s="21">
        <v>0</v>
      </c>
      <c r="AF2079" s="21">
        <v>12</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80001030</v>
      </c>
      <c r="AV2079" s="21"/>
      <c r="AW2079" s="35" t="s">
        <v>293</v>
      </c>
      <c r="AX2079" s="21" t="s">
        <v>540</v>
      </c>
      <c r="AY2079" s="32">
        <v>10000007</v>
      </c>
      <c r="AZ2079" s="32">
        <v>70204001</v>
      </c>
      <c r="BA2079" s="30" t="s">
        <v>206</v>
      </c>
      <c r="BB2079" s="21">
        <v>0</v>
      </c>
      <c r="BC2079" s="31">
        <v>0</v>
      </c>
      <c r="BD2079" s="31">
        <v>0</v>
      </c>
      <c r="BE2079" s="33" t="s">
        <v>1099</v>
      </c>
      <c r="BF2079" s="33" t="s">
        <v>1100</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79000005</v>
      </c>
      <c r="D2080" s="35" t="s">
        <v>679</v>
      </c>
      <c r="E2080" s="35" t="s">
        <v>680</v>
      </c>
      <c r="F2080" s="32">
        <v>1</v>
      </c>
      <c r="G2080" s="32">
        <v>60010500</v>
      </c>
      <c r="H2080" s="32">
        <v>0</v>
      </c>
      <c r="I2080" s="31">
        <v>0</v>
      </c>
      <c r="J2080" s="32">
        <v>1</v>
      </c>
      <c r="K2080" s="32">
        <v>0</v>
      </c>
      <c r="L2080" s="32">
        <v>0</v>
      </c>
      <c r="M2080" s="32">
        <v>0</v>
      </c>
      <c r="N2080" s="32">
        <v>0</v>
      </c>
      <c r="O2080" s="72">
        <v>2</v>
      </c>
      <c r="P2080" s="32">
        <v>2</v>
      </c>
      <c r="Q2080" s="32">
        <v>0.6</v>
      </c>
      <c r="R2080" s="32">
        <v>0</v>
      </c>
      <c r="S2080" s="19">
        <v>0</v>
      </c>
      <c r="T2080" s="31">
        <v>0</v>
      </c>
      <c r="U2080" s="21">
        <v>1</v>
      </c>
      <c r="V2080" s="32">
        <v>2</v>
      </c>
      <c r="W2080" s="32">
        <v>0</v>
      </c>
      <c r="X2080" s="32">
        <v>0</v>
      </c>
      <c r="Y2080" s="19">
        <v>0</v>
      </c>
      <c r="Z2080" s="32">
        <v>0</v>
      </c>
      <c r="AA2080" s="32">
        <v>0</v>
      </c>
      <c r="AB2080" s="32">
        <v>0</v>
      </c>
      <c r="AC2080" s="32">
        <v>0</v>
      </c>
      <c r="AD2080" s="32">
        <v>0</v>
      </c>
      <c r="AE2080" s="32">
        <v>0</v>
      </c>
      <c r="AF2080" s="21">
        <v>99999</v>
      </c>
      <c r="AG2080" s="32">
        <v>0</v>
      </c>
      <c r="AH2080" s="32">
        <v>0</v>
      </c>
      <c r="AI2080" s="19">
        <v>2</v>
      </c>
      <c r="AJ2080" s="19">
        <v>0</v>
      </c>
      <c r="AK2080" s="19">
        <v>0</v>
      </c>
      <c r="AL2080" s="19">
        <v>0</v>
      </c>
      <c r="AM2080" s="32">
        <v>0</v>
      </c>
      <c r="AN2080" s="32">
        <v>0</v>
      </c>
      <c r="AO2080" s="32">
        <v>0</v>
      </c>
      <c r="AP2080" s="32">
        <v>0</v>
      </c>
      <c r="AQ2080" s="32">
        <v>1000</v>
      </c>
      <c r="AR2080" s="32">
        <v>0</v>
      </c>
      <c r="AS2080" s="32">
        <v>0</v>
      </c>
      <c r="AT2080" s="19">
        <v>90104002</v>
      </c>
      <c r="AU2080" s="32" t="s">
        <v>204</v>
      </c>
      <c r="AV2080" s="32"/>
      <c r="AW2080" s="35" t="s">
        <v>205</v>
      </c>
      <c r="AX2080" s="32" t="s">
        <v>354</v>
      </c>
      <c r="AY2080" s="32">
        <v>0</v>
      </c>
      <c r="AZ2080" s="32">
        <v>0</v>
      </c>
      <c r="BA2080" s="35" t="s">
        <v>206</v>
      </c>
      <c r="BB2080" s="35" t="s">
        <v>204</v>
      </c>
      <c r="BC2080" s="31">
        <v>0</v>
      </c>
      <c r="BD2080" s="31">
        <v>0</v>
      </c>
      <c r="BE2080" s="60" t="s">
        <v>681</v>
      </c>
      <c r="BF2080" s="60" t="s">
        <v>682</v>
      </c>
      <c r="BG2080" s="32">
        <v>0</v>
      </c>
      <c r="BH2080" s="21">
        <v>0</v>
      </c>
      <c r="BI2080" s="32">
        <v>0</v>
      </c>
      <c r="BJ2080" s="32">
        <v>0</v>
      </c>
      <c r="BK2080" s="32">
        <v>0</v>
      </c>
      <c r="BL2080" s="32">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79000006</v>
      </c>
      <c r="D2081" s="30" t="s">
        <v>538</v>
      </c>
      <c r="E2081" s="30" t="s">
        <v>261</v>
      </c>
      <c r="F2081" s="32">
        <v>1</v>
      </c>
      <c r="G2081" s="21">
        <v>0</v>
      </c>
      <c r="H2081" s="32">
        <v>0</v>
      </c>
      <c r="I2081" s="31">
        <v>0</v>
      </c>
      <c r="J2081" s="32">
        <v>1</v>
      </c>
      <c r="K2081" s="32">
        <v>0</v>
      </c>
      <c r="L2081" s="32">
        <v>0</v>
      </c>
      <c r="M2081" s="21">
        <v>0</v>
      </c>
      <c r="N2081" s="21">
        <v>0</v>
      </c>
      <c r="O2081" s="21">
        <v>2</v>
      </c>
      <c r="P2081" s="21">
        <v>1</v>
      </c>
      <c r="Q2081" s="21">
        <v>1</v>
      </c>
      <c r="R2081" s="21">
        <v>0</v>
      </c>
      <c r="S2081" s="19">
        <v>0</v>
      </c>
      <c r="T2081" s="21">
        <v>0</v>
      </c>
      <c r="U2081" s="21">
        <v>1</v>
      </c>
      <c r="V2081" s="21">
        <v>2</v>
      </c>
      <c r="W2081" s="21">
        <v>0</v>
      </c>
      <c r="X2081" s="21">
        <v>2</v>
      </c>
      <c r="Y2081" s="19">
        <v>0</v>
      </c>
      <c r="Z2081" s="21">
        <v>0</v>
      </c>
      <c r="AA2081" s="21">
        <v>1</v>
      </c>
      <c r="AB2081" s="21">
        <v>0</v>
      </c>
      <c r="AC2081" s="21">
        <v>0</v>
      </c>
      <c r="AD2081" s="21">
        <v>0</v>
      </c>
      <c r="AE2081" s="21">
        <v>0</v>
      </c>
      <c r="AF2081" s="21">
        <v>6</v>
      </c>
      <c r="AG2081" s="21">
        <v>1</v>
      </c>
      <c r="AH2081" s="21">
        <v>3</v>
      </c>
      <c r="AI2081" s="19">
        <v>0</v>
      </c>
      <c r="AJ2081" s="19">
        <v>0</v>
      </c>
      <c r="AK2081" s="19">
        <v>0</v>
      </c>
      <c r="AL2081" s="19">
        <v>1.5</v>
      </c>
      <c r="AM2081" s="21">
        <v>0</v>
      </c>
      <c r="AN2081" s="21">
        <v>0</v>
      </c>
      <c r="AO2081" s="21">
        <v>0</v>
      </c>
      <c r="AP2081" s="21">
        <v>1</v>
      </c>
      <c r="AQ2081" s="21">
        <v>5000</v>
      </c>
      <c r="AR2081" s="21">
        <v>0.5</v>
      </c>
      <c r="AS2081" s="21">
        <v>0</v>
      </c>
      <c r="AT2081" s="19">
        <v>0</v>
      </c>
      <c r="AU2081" s="21" t="s">
        <v>204</v>
      </c>
      <c r="AV2081" s="21"/>
      <c r="AW2081" s="35" t="s">
        <v>205</v>
      </c>
      <c r="AX2081" s="21" t="s">
        <v>540</v>
      </c>
      <c r="AY2081" s="32">
        <v>10000007</v>
      </c>
      <c r="AZ2081" s="32">
        <v>70105001</v>
      </c>
      <c r="BA2081" s="30" t="s">
        <v>206</v>
      </c>
      <c r="BB2081" s="21" t="s">
        <v>4518</v>
      </c>
      <c r="BC2081" s="31">
        <v>0</v>
      </c>
      <c r="BD2081" s="31">
        <v>0</v>
      </c>
      <c r="BE2081" s="33" t="s">
        <v>4519</v>
      </c>
      <c r="BF2081" s="33" t="s">
        <v>4520</v>
      </c>
      <c r="BG2081" s="21">
        <v>0</v>
      </c>
      <c r="BH2081" s="21">
        <v>0</v>
      </c>
      <c r="BI2081" s="21">
        <v>0</v>
      </c>
      <c r="BJ2081" s="21">
        <v>0</v>
      </c>
      <c r="BK2081" s="21">
        <v>0</v>
      </c>
      <c r="BL2081" s="21">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79000007</v>
      </c>
      <c r="D2082" s="35" t="s">
        <v>544</v>
      </c>
      <c r="E2082" s="35" t="s">
        <v>545</v>
      </c>
      <c r="F2082" s="32">
        <v>1</v>
      </c>
      <c r="G2082" s="32">
        <v>60010500</v>
      </c>
      <c r="H2082" s="32">
        <v>0</v>
      </c>
      <c r="I2082" s="31">
        <v>0</v>
      </c>
      <c r="J2082" s="32">
        <v>1</v>
      </c>
      <c r="K2082" s="32">
        <v>0</v>
      </c>
      <c r="L2082" s="32">
        <v>0</v>
      </c>
      <c r="M2082" s="32">
        <v>0</v>
      </c>
      <c r="N2082" s="32">
        <v>0</v>
      </c>
      <c r="O2082" s="21">
        <v>2</v>
      </c>
      <c r="P2082" s="32">
        <v>2</v>
      </c>
      <c r="Q2082" s="32">
        <v>0.8</v>
      </c>
      <c r="R2082" s="32">
        <v>0</v>
      </c>
      <c r="S2082" s="19">
        <v>0</v>
      </c>
      <c r="T2082" s="31">
        <v>0</v>
      </c>
      <c r="U2082" s="21">
        <v>1</v>
      </c>
      <c r="V2082" s="32">
        <v>2</v>
      </c>
      <c r="W2082" s="32">
        <v>0</v>
      </c>
      <c r="X2082" s="32">
        <v>0</v>
      </c>
      <c r="Y2082" s="19">
        <v>0</v>
      </c>
      <c r="Z2082" s="32">
        <v>0</v>
      </c>
      <c r="AA2082" s="32">
        <v>0</v>
      </c>
      <c r="AB2082" s="32">
        <v>0</v>
      </c>
      <c r="AC2082" s="32">
        <v>0</v>
      </c>
      <c r="AD2082" s="21">
        <v>0</v>
      </c>
      <c r="AE2082" s="32">
        <v>0</v>
      </c>
      <c r="AF2082" s="32">
        <v>20</v>
      </c>
      <c r="AG2082" s="32">
        <v>0</v>
      </c>
      <c r="AH2082" s="32">
        <v>0</v>
      </c>
      <c r="AI2082" s="19">
        <v>2</v>
      </c>
      <c r="AJ2082" s="19">
        <v>0</v>
      </c>
      <c r="AK2082" s="19">
        <v>0</v>
      </c>
      <c r="AL2082" s="19">
        <v>0</v>
      </c>
      <c r="AM2082" s="32">
        <v>0</v>
      </c>
      <c r="AN2082" s="32">
        <v>0</v>
      </c>
      <c r="AO2082" s="32">
        <v>0</v>
      </c>
      <c r="AP2082" s="32">
        <v>0</v>
      </c>
      <c r="AQ2082" s="32">
        <v>1000</v>
      </c>
      <c r="AR2082" s="32">
        <v>0</v>
      </c>
      <c r="AS2082" s="32">
        <v>0</v>
      </c>
      <c r="AT2082" s="19">
        <v>90401004</v>
      </c>
      <c r="AU2082" s="32" t="s">
        <v>204</v>
      </c>
      <c r="AV2082" s="32"/>
      <c r="AW2082" s="35" t="s">
        <v>205</v>
      </c>
      <c r="AX2082" s="32" t="s">
        <v>354</v>
      </c>
      <c r="AY2082" s="32">
        <v>0</v>
      </c>
      <c r="AZ2082" s="32">
        <v>40000003</v>
      </c>
      <c r="BA2082" s="35" t="s">
        <v>206</v>
      </c>
      <c r="BB2082" s="35" t="s">
        <v>204</v>
      </c>
      <c r="BC2082" s="31">
        <v>0</v>
      </c>
      <c r="BD2082" s="31">
        <v>0</v>
      </c>
      <c r="BE2082" s="60" t="s">
        <v>870</v>
      </c>
      <c r="BF2082" s="60" t="s">
        <v>871</v>
      </c>
      <c r="BG2082" s="32">
        <v>0</v>
      </c>
      <c r="BH2082" s="21">
        <v>0</v>
      </c>
      <c r="BI2082" s="32">
        <v>0</v>
      </c>
      <c r="BJ2082" s="32">
        <v>0</v>
      </c>
      <c r="BK2082" s="32">
        <v>0</v>
      </c>
      <c r="BL2082" s="32">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19.5" customHeight="1">
      <c r="C2083" s="32">
        <v>79000008</v>
      </c>
      <c r="D2083" s="30" t="s">
        <v>1130</v>
      </c>
      <c r="E2083" s="30" t="s">
        <v>1131</v>
      </c>
      <c r="F2083" s="32">
        <v>1</v>
      </c>
      <c r="G2083" s="21">
        <v>60010100</v>
      </c>
      <c r="H2083" s="32">
        <v>0</v>
      </c>
      <c r="I2083" s="31">
        <v>0</v>
      </c>
      <c r="J2083" s="32">
        <v>1</v>
      </c>
      <c r="K2083" s="32">
        <v>0</v>
      </c>
      <c r="L2083" s="32">
        <v>0</v>
      </c>
      <c r="M2083" s="21">
        <v>0</v>
      </c>
      <c r="N2083" s="21">
        <v>0</v>
      </c>
      <c r="O2083" s="21">
        <v>2</v>
      </c>
      <c r="P2083" s="21">
        <v>1</v>
      </c>
      <c r="Q2083" s="21">
        <v>0.3</v>
      </c>
      <c r="R2083" s="21">
        <v>0</v>
      </c>
      <c r="S2083" s="19">
        <v>0</v>
      </c>
      <c r="T2083" s="21">
        <v>0</v>
      </c>
      <c r="U2083" s="21">
        <v>1</v>
      </c>
      <c r="V2083" s="21">
        <v>2</v>
      </c>
      <c r="W2083" s="21">
        <v>0</v>
      </c>
      <c r="X2083" s="21">
        <v>1</v>
      </c>
      <c r="Y2083" s="19">
        <v>0</v>
      </c>
      <c r="Z2083" s="21">
        <v>0</v>
      </c>
      <c r="AA2083" s="21">
        <v>1</v>
      </c>
      <c r="AB2083" s="21">
        <v>0</v>
      </c>
      <c r="AC2083" s="21">
        <v>0</v>
      </c>
      <c r="AD2083" s="21">
        <v>0</v>
      </c>
      <c r="AE2083" s="21">
        <v>0</v>
      </c>
      <c r="AF2083" s="21">
        <v>30</v>
      </c>
      <c r="AG2083" s="21">
        <v>1</v>
      </c>
      <c r="AH2083" s="21" t="s">
        <v>867</v>
      </c>
      <c r="AI2083" s="19">
        <v>0</v>
      </c>
      <c r="AJ2083" s="19">
        <v>0</v>
      </c>
      <c r="AK2083" s="19">
        <v>0</v>
      </c>
      <c r="AL2083" s="19">
        <v>0</v>
      </c>
      <c r="AM2083" s="21">
        <v>0</v>
      </c>
      <c r="AN2083" s="21">
        <v>0</v>
      </c>
      <c r="AO2083" s="21">
        <v>0</v>
      </c>
      <c r="AP2083" s="21">
        <v>0.5</v>
      </c>
      <c r="AQ2083" s="21">
        <v>999999</v>
      </c>
      <c r="AR2083" s="21">
        <v>0.5</v>
      </c>
      <c r="AS2083" s="21">
        <v>0</v>
      </c>
      <c r="AT2083" s="19">
        <v>0</v>
      </c>
      <c r="AU2083" s="341" t="s">
        <v>1025</v>
      </c>
      <c r="AV2083" s="19"/>
      <c r="AW2083" s="35" t="s">
        <v>293</v>
      </c>
      <c r="AX2083" s="21" t="s">
        <v>540</v>
      </c>
      <c r="AY2083" s="32">
        <v>10000007</v>
      </c>
      <c r="AZ2083" s="32">
        <v>70202004</v>
      </c>
      <c r="BA2083" s="35" t="s">
        <v>321</v>
      </c>
      <c r="BB2083" s="35" t="s">
        <v>377</v>
      </c>
      <c r="BC2083" s="31">
        <v>0</v>
      </c>
      <c r="BD2083" s="31">
        <v>0</v>
      </c>
      <c r="BE2083" s="33" t="s">
        <v>4680</v>
      </c>
      <c r="BF2083" s="33" t="s">
        <v>4681</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20.100000000000001" customHeight="1">
      <c r="C2084" s="32">
        <v>79000009</v>
      </c>
      <c r="D2084" s="30" t="s">
        <v>549</v>
      </c>
      <c r="E2084" s="30" t="s">
        <v>550</v>
      </c>
      <c r="F2084" s="32">
        <v>1</v>
      </c>
      <c r="G2084" s="21">
        <v>60010300</v>
      </c>
      <c r="H2084" s="32">
        <v>0</v>
      </c>
      <c r="I2084" s="31">
        <v>0</v>
      </c>
      <c r="J2084" s="32">
        <v>1</v>
      </c>
      <c r="K2084" s="32">
        <v>0</v>
      </c>
      <c r="L2084" s="32">
        <v>0</v>
      </c>
      <c r="M2084" s="21">
        <v>0</v>
      </c>
      <c r="N2084" s="21">
        <v>0</v>
      </c>
      <c r="O2084" s="21">
        <v>2</v>
      </c>
      <c r="P2084" s="21">
        <v>1</v>
      </c>
      <c r="Q2084" s="21">
        <v>0.5</v>
      </c>
      <c r="R2084" s="21">
        <v>0</v>
      </c>
      <c r="S2084" s="19">
        <v>0</v>
      </c>
      <c r="T2084" s="21">
        <v>0</v>
      </c>
      <c r="U2084" s="21">
        <v>1</v>
      </c>
      <c r="V2084" s="21">
        <v>2</v>
      </c>
      <c r="W2084" s="21">
        <v>0</v>
      </c>
      <c r="X2084" s="21">
        <v>2</v>
      </c>
      <c r="Y2084" s="19">
        <v>0</v>
      </c>
      <c r="Z2084" s="21">
        <v>0</v>
      </c>
      <c r="AA2084" s="21">
        <v>0</v>
      </c>
      <c r="AB2084" s="21">
        <v>0</v>
      </c>
      <c r="AC2084" s="21">
        <v>0</v>
      </c>
      <c r="AD2084" s="21">
        <v>0</v>
      </c>
      <c r="AE2084" s="21">
        <v>0</v>
      </c>
      <c r="AF2084" s="21">
        <v>12</v>
      </c>
      <c r="AG2084" s="21">
        <v>2</v>
      </c>
      <c r="AH2084" s="21" t="s">
        <v>219</v>
      </c>
      <c r="AI2084" s="19">
        <v>0</v>
      </c>
      <c r="AJ2084" s="19">
        <v>2</v>
      </c>
      <c r="AK2084" s="19">
        <v>0</v>
      </c>
      <c r="AL2084" s="19">
        <v>1.5</v>
      </c>
      <c r="AM2084" s="21">
        <v>0</v>
      </c>
      <c r="AN2084" s="21">
        <v>0</v>
      </c>
      <c r="AO2084" s="21">
        <v>0</v>
      </c>
      <c r="AP2084" s="21">
        <v>2.5</v>
      </c>
      <c r="AQ2084" s="21">
        <v>4000</v>
      </c>
      <c r="AR2084" s="21">
        <v>2</v>
      </c>
      <c r="AS2084" s="21">
        <v>0</v>
      </c>
      <c r="AT2084" s="19">
        <v>0</v>
      </c>
      <c r="AU2084" s="21" t="s">
        <v>204</v>
      </c>
      <c r="AV2084" s="21"/>
      <c r="AW2084" s="35" t="s">
        <v>293</v>
      </c>
      <c r="AX2084" s="21" t="s">
        <v>551</v>
      </c>
      <c r="AY2084" s="32">
        <v>10001007</v>
      </c>
      <c r="AZ2084" s="32">
        <v>70103001</v>
      </c>
      <c r="BA2084" s="30" t="s">
        <v>206</v>
      </c>
      <c r="BB2084" s="21">
        <v>0</v>
      </c>
      <c r="BC2084" s="31">
        <v>0</v>
      </c>
      <c r="BD2084" s="31">
        <v>0</v>
      </c>
      <c r="BE2084" s="33" t="s">
        <v>552</v>
      </c>
      <c r="BF2084" s="33" t="s">
        <v>553</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19.5" customHeight="1">
      <c r="C2085" s="32">
        <v>79000010</v>
      </c>
      <c r="D2085" s="30" t="s">
        <v>4649</v>
      </c>
      <c r="E2085" s="30" t="s">
        <v>4650</v>
      </c>
      <c r="F2085" s="32">
        <v>1</v>
      </c>
      <c r="G2085" s="21">
        <v>60010100</v>
      </c>
      <c r="H2085" s="32">
        <v>0</v>
      </c>
      <c r="I2085" s="31">
        <v>0</v>
      </c>
      <c r="J2085" s="32">
        <v>1</v>
      </c>
      <c r="K2085" s="32">
        <v>0</v>
      </c>
      <c r="L2085" s="32">
        <v>0</v>
      </c>
      <c r="M2085" s="21">
        <v>0</v>
      </c>
      <c r="N2085" s="21">
        <v>0</v>
      </c>
      <c r="O2085" s="21">
        <v>2</v>
      </c>
      <c r="P2085" s="21">
        <v>1</v>
      </c>
      <c r="Q2085" s="21">
        <v>0.3</v>
      </c>
      <c r="R2085" s="21">
        <v>0</v>
      </c>
      <c r="S2085" s="19">
        <v>0</v>
      </c>
      <c r="T2085" s="21">
        <v>0</v>
      </c>
      <c r="U2085" s="21">
        <v>1</v>
      </c>
      <c r="V2085" s="21">
        <v>2</v>
      </c>
      <c r="W2085" s="21">
        <v>0</v>
      </c>
      <c r="X2085" s="21">
        <v>2</v>
      </c>
      <c r="Y2085" s="19">
        <v>0</v>
      </c>
      <c r="Z2085" s="21">
        <v>0</v>
      </c>
      <c r="AA2085" s="21">
        <v>1</v>
      </c>
      <c r="AB2085" s="21">
        <v>0</v>
      </c>
      <c r="AC2085" s="21">
        <v>0</v>
      </c>
      <c r="AD2085" s="21">
        <v>0</v>
      </c>
      <c r="AE2085" s="21">
        <v>0</v>
      </c>
      <c r="AF2085" s="21">
        <v>20</v>
      </c>
      <c r="AG2085" s="21">
        <v>1</v>
      </c>
      <c r="AH2085" s="21" t="s">
        <v>867</v>
      </c>
      <c r="AI2085" s="19">
        <v>1</v>
      </c>
      <c r="AJ2085" s="19">
        <v>0</v>
      </c>
      <c r="AK2085" s="19">
        <v>0</v>
      </c>
      <c r="AL2085" s="19">
        <v>0</v>
      </c>
      <c r="AM2085" s="21">
        <v>0</v>
      </c>
      <c r="AN2085" s="21">
        <v>0</v>
      </c>
      <c r="AO2085" s="21">
        <v>0</v>
      </c>
      <c r="AP2085" s="21">
        <v>0.5</v>
      </c>
      <c r="AQ2085" s="21">
        <v>999999</v>
      </c>
      <c r="AR2085" s="21">
        <v>2</v>
      </c>
      <c r="AS2085" s="21">
        <v>0</v>
      </c>
      <c r="AT2085" s="19">
        <v>0</v>
      </c>
      <c r="AU2085" s="21" t="s">
        <v>860</v>
      </c>
      <c r="AV2085" s="21"/>
      <c r="AW2085" s="35" t="s">
        <v>293</v>
      </c>
      <c r="AX2085" s="21" t="s">
        <v>540</v>
      </c>
      <c r="AY2085" s="32">
        <v>10000007</v>
      </c>
      <c r="AZ2085" s="32">
        <v>70405007</v>
      </c>
      <c r="BA2085" s="35" t="s">
        <v>321</v>
      </c>
      <c r="BB2085" s="35" t="s">
        <v>377</v>
      </c>
      <c r="BC2085" s="31">
        <v>0</v>
      </c>
      <c r="BD2085" s="31">
        <v>0</v>
      </c>
      <c r="BE2085" s="33" t="s">
        <v>4651</v>
      </c>
      <c r="BF2085" s="33" t="s">
        <v>4652</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79000011</v>
      </c>
      <c r="D2086" s="35" t="s">
        <v>4690</v>
      </c>
      <c r="E2086" s="35" t="s">
        <v>4691</v>
      </c>
      <c r="F2086" s="32">
        <v>1</v>
      </c>
      <c r="G2086" s="32">
        <v>60010500</v>
      </c>
      <c r="H2086" s="32">
        <v>0</v>
      </c>
      <c r="I2086" s="31">
        <v>0</v>
      </c>
      <c r="J2086" s="32">
        <v>1</v>
      </c>
      <c r="K2086" s="32">
        <v>0</v>
      </c>
      <c r="L2086" s="32">
        <v>0</v>
      </c>
      <c r="M2086" s="32">
        <v>0</v>
      </c>
      <c r="N2086" s="32">
        <v>0</v>
      </c>
      <c r="O2086" s="21">
        <v>2</v>
      </c>
      <c r="P2086" s="32">
        <v>2</v>
      </c>
      <c r="Q2086" s="32">
        <v>0.95</v>
      </c>
      <c r="R2086" s="32">
        <v>0</v>
      </c>
      <c r="S2086" s="19">
        <v>0</v>
      </c>
      <c r="T2086" s="31">
        <v>0</v>
      </c>
      <c r="U2086" s="21">
        <v>1</v>
      </c>
      <c r="V2086" s="32">
        <v>2</v>
      </c>
      <c r="W2086" s="32">
        <v>0</v>
      </c>
      <c r="X2086" s="32">
        <v>0</v>
      </c>
      <c r="Y2086" s="19">
        <v>0</v>
      </c>
      <c r="Z2086" s="32">
        <v>0</v>
      </c>
      <c r="AA2086" s="32">
        <v>0</v>
      </c>
      <c r="AB2086" s="32">
        <v>0</v>
      </c>
      <c r="AC2086" s="32">
        <v>0</v>
      </c>
      <c r="AD2086" s="21">
        <v>0</v>
      </c>
      <c r="AE2086" s="32">
        <v>0</v>
      </c>
      <c r="AF2086" s="32">
        <v>20</v>
      </c>
      <c r="AG2086" s="32">
        <v>0</v>
      </c>
      <c r="AH2086" s="32">
        <v>0</v>
      </c>
      <c r="AI2086" s="19">
        <v>7</v>
      </c>
      <c r="AJ2086" s="19">
        <v>0</v>
      </c>
      <c r="AK2086" s="19">
        <v>0</v>
      </c>
      <c r="AL2086" s="19">
        <v>0</v>
      </c>
      <c r="AM2086" s="32">
        <v>0</v>
      </c>
      <c r="AN2086" s="32">
        <v>0</v>
      </c>
      <c r="AO2086" s="32">
        <v>0</v>
      </c>
      <c r="AP2086" s="32">
        <v>0</v>
      </c>
      <c r="AQ2086" s="32">
        <v>1000</v>
      </c>
      <c r="AR2086" s="32">
        <v>0.5</v>
      </c>
      <c r="AS2086" s="32">
        <v>0</v>
      </c>
      <c r="AT2086" s="19">
        <v>0</v>
      </c>
      <c r="AU2086" s="32">
        <v>83000001</v>
      </c>
      <c r="AV2086" s="32"/>
      <c r="AW2086" s="35" t="s">
        <v>747</v>
      </c>
      <c r="AX2086" s="32">
        <v>0</v>
      </c>
      <c r="AY2086" s="32">
        <v>10007001</v>
      </c>
      <c r="AZ2086" s="32">
        <v>0</v>
      </c>
      <c r="BA2086" s="35" t="s">
        <v>206</v>
      </c>
      <c r="BB2086" s="35" t="s">
        <v>204</v>
      </c>
      <c r="BC2086" s="31">
        <v>0</v>
      </c>
      <c r="BD2086" s="31">
        <v>0</v>
      </c>
      <c r="BE2086" s="60" t="s">
        <v>4692</v>
      </c>
      <c r="BF2086" s="60" t="s">
        <v>4693</v>
      </c>
      <c r="BG2086" s="32">
        <v>0</v>
      </c>
      <c r="BH2086" s="21">
        <v>0</v>
      </c>
      <c r="BI2086" s="32">
        <v>0</v>
      </c>
      <c r="BJ2086" s="32">
        <v>0</v>
      </c>
      <c r="BK2086" s="32">
        <v>0</v>
      </c>
      <c r="BL2086" s="32">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79000012</v>
      </c>
      <c r="D2087" s="30" t="s">
        <v>766</v>
      </c>
      <c r="E2087" s="30" t="s">
        <v>767</v>
      </c>
      <c r="F2087" s="21">
        <v>2</v>
      </c>
      <c r="G2087" s="21">
        <v>61012301</v>
      </c>
      <c r="H2087" s="21">
        <v>0</v>
      </c>
      <c r="I2087" s="31">
        <v>0</v>
      </c>
      <c r="J2087" s="32">
        <v>1</v>
      </c>
      <c r="K2087" s="32">
        <v>0</v>
      </c>
      <c r="L2087" s="32">
        <v>0</v>
      </c>
      <c r="M2087" s="21">
        <v>0</v>
      </c>
      <c r="N2087" s="21">
        <v>0</v>
      </c>
      <c r="O2087" s="21">
        <v>2</v>
      </c>
      <c r="P2087" s="21">
        <v>1</v>
      </c>
      <c r="Q2087" s="21">
        <v>0.5</v>
      </c>
      <c r="R2087" s="21">
        <v>0</v>
      </c>
      <c r="S2087" s="19">
        <v>0</v>
      </c>
      <c r="T2087" s="21">
        <v>0</v>
      </c>
      <c r="U2087" s="21">
        <v>1</v>
      </c>
      <c r="V2087" s="21">
        <v>2</v>
      </c>
      <c r="W2087" s="21">
        <v>0</v>
      </c>
      <c r="X2087" s="21">
        <v>1.4</v>
      </c>
      <c r="Y2087" s="19">
        <v>0</v>
      </c>
      <c r="Z2087" s="21">
        <v>150</v>
      </c>
      <c r="AA2087" s="21">
        <v>1</v>
      </c>
      <c r="AB2087" s="21">
        <v>0</v>
      </c>
      <c r="AC2087" s="21">
        <v>0</v>
      </c>
      <c r="AD2087" s="21">
        <v>0</v>
      </c>
      <c r="AE2087" s="21">
        <v>0</v>
      </c>
      <c r="AF2087" s="21">
        <v>12</v>
      </c>
      <c r="AG2087" s="21">
        <v>2</v>
      </c>
      <c r="AH2087" s="21" t="s">
        <v>219</v>
      </c>
      <c r="AI2087" s="19">
        <v>0</v>
      </c>
      <c r="AJ2087" s="19">
        <v>2</v>
      </c>
      <c r="AK2087" s="19">
        <v>0</v>
      </c>
      <c r="AL2087" s="19">
        <v>1.5</v>
      </c>
      <c r="AM2087" s="21">
        <v>0</v>
      </c>
      <c r="AN2087" s="21">
        <v>0</v>
      </c>
      <c r="AO2087" s="21">
        <v>0</v>
      </c>
      <c r="AP2087" s="21">
        <v>1.5</v>
      </c>
      <c r="AQ2087" s="21">
        <v>1200</v>
      </c>
      <c r="AR2087" s="21">
        <v>1</v>
      </c>
      <c r="AS2087" s="21">
        <v>15</v>
      </c>
      <c r="AT2087" s="19">
        <v>0</v>
      </c>
      <c r="AU2087" s="21" t="s">
        <v>204</v>
      </c>
      <c r="AV2087" s="21"/>
      <c r="AW2087" s="30" t="s">
        <v>262</v>
      </c>
      <c r="AX2087" s="21" t="s">
        <v>221</v>
      </c>
      <c r="AY2087" s="32">
        <v>10000011</v>
      </c>
      <c r="AZ2087" s="32">
        <v>70404001</v>
      </c>
      <c r="BA2087" s="30" t="s">
        <v>222</v>
      </c>
      <c r="BB2087" s="21">
        <v>0</v>
      </c>
      <c r="BC2087" s="31">
        <v>0</v>
      </c>
      <c r="BD2087" s="31">
        <v>0</v>
      </c>
      <c r="BE2087" s="33" t="s">
        <v>804</v>
      </c>
      <c r="BF2087" s="33" t="s">
        <v>805</v>
      </c>
      <c r="BG2087" s="21">
        <v>0</v>
      </c>
      <c r="BH2087" s="21">
        <v>0</v>
      </c>
      <c r="BI2087" s="21">
        <v>0</v>
      </c>
      <c r="BJ2087" s="21">
        <v>0</v>
      </c>
      <c r="BK2087" s="21">
        <v>0</v>
      </c>
      <c r="BL2087" s="21">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107">
        <v>79000013</v>
      </c>
      <c r="D2088" s="110" t="s">
        <v>775</v>
      </c>
      <c r="E2088" s="110" t="s">
        <v>776</v>
      </c>
      <c r="F2088" s="100">
        <v>1</v>
      </c>
      <c r="G2088" s="100">
        <v>61012201</v>
      </c>
      <c r="H2088" s="100">
        <v>0</v>
      </c>
      <c r="I2088" s="105">
        <v>0</v>
      </c>
      <c r="J2088" s="107">
        <v>1</v>
      </c>
      <c r="K2088" s="100">
        <v>0</v>
      </c>
      <c r="L2088" s="100">
        <v>0</v>
      </c>
      <c r="M2088" s="100">
        <v>0</v>
      </c>
      <c r="N2088" s="100">
        <v>0</v>
      </c>
      <c r="O2088" s="100">
        <v>2</v>
      </c>
      <c r="P2088" s="100">
        <v>2</v>
      </c>
      <c r="Q2088" s="100">
        <v>0.8</v>
      </c>
      <c r="R2088" s="100">
        <v>0</v>
      </c>
      <c r="S2088" s="99">
        <v>0</v>
      </c>
      <c r="T2088" s="100">
        <v>0</v>
      </c>
      <c r="U2088" s="100">
        <v>1</v>
      </c>
      <c r="V2088" s="100">
        <v>2</v>
      </c>
      <c r="W2088" s="100">
        <v>0</v>
      </c>
      <c r="X2088" s="100">
        <v>3</v>
      </c>
      <c r="Y2088" s="19">
        <v>0</v>
      </c>
      <c r="Z2088" s="100">
        <v>0</v>
      </c>
      <c r="AA2088" s="100">
        <v>1</v>
      </c>
      <c r="AB2088" s="100">
        <v>0</v>
      </c>
      <c r="AC2088" s="100">
        <v>0</v>
      </c>
      <c r="AD2088" s="100">
        <v>0</v>
      </c>
      <c r="AE2088" s="100">
        <v>0</v>
      </c>
      <c r="AF2088" s="100">
        <v>12</v>
      </c>
      <c r="AG2088" s="100">
        <v>1</v>
      </c>
      <c r="AH2088" s="100">
        <v>3</v>
      </c>
      <c r="AI2088" s="99">
        <v>0</v>
      </c>
      <c r="AJ2088" s="99">
        <v>1</v>
      </c>
      <c r="AK2088" s="99">
        <v>0</v>
      </c>
      <c r="AL2088" s="99">
        <v>1.5</v>
      </c>
      <c r="AM2088" s="100">
        <v>0</v>
      </c>
      <c r="AN2088" s="100">
        <v>0</v>
      </c>
      <c r="AO2088" s="100">
        <v>0</v>
      </c>
      <c r="AP2088" s="100">
        <v>1</v>
      </c>
      <c r="AQ2088" s="100">
        <v>4000</v>
      </c>
      <c r="AR2088" s="100">
        <v>1</v>
      </c>
      <c r="AS2088" s="100">
        <v>0</v>
      </c>
      <c r="AT2088" s="99">
        <v>90104021</v>
      </c>
      <c r="AU2088" s="100">
        <v>90104022</v>
      </c>
      <c r="AV2088" s="100"/>
      <c r="AW2088" s="110" t="s">
        <v>768</v>
      </c>
      <c r="AX2088" s="100" t="s">
        <v>540</v>
      </c>
      <c r="AY2088" s="107">
        <v>10000001</v>
      </c>
      <c r="AZ2088" s="107">
        <v>62001403</v>
      </c>
      <c r="BA2088" s="110" t="s">
        <v>777</v>
      </c>
      <c r="BB2088" s="100">
        <v>0</v>
      </c>
      <c r="BC2088" s="105">
        <v>0</v>
      </c>
      <c r="BD2088" s="105">
        <v>0</v>
      </c>
      <c r="BE2088" s="136" t="s">
        <v>4719</v>
      </c>
      <c r="BF2088" s="136" t="s">
        <v>4720</v>
      </c>
      <c r="BG2088" s="100">
        <v>0</v>
      </c>
      <c r="BH2088" s="100">
        <v>0</v>
      </c>
      <c r="BI2088" s="100">
        <v>0</v>
      </c>
      <c r="BJ2088" s="100">
        <v>0</v>
      </c>
      <c r="BK2088" s="100">
        <v>0</v>
      </c>
      <c r="BL2088" s="100">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79000014</v>
      </c>
      <c r="D2089" s="108" t="s">
        <v>737</v>
      </c>
      <c r="E2089" s="108" t="s">
        <v>680</v>
      </c>
      <c r="F2089" s="97">
        <v>1</v>
      </c>
      <c r="G2089" s="97">
        <v>60010002</v>
      </c>
      <c r="H2089" s="97">
        <v>0</v>
      </c>
      <c r="I2089" s="98">
        <v>0</v>
      </c>
      <c r="J2089" s="97">
        <v>1</v>
      </c>
      <c r="K2089" s="97">
        <v>0</v>
      </c>
      <c r="L2089" s="98">
        <v>0</v>
      </c>
      <c r="M2089" s="98">
        <v>0</v>
      </c>
      <c r="N2089" s="97">
        <v>0</v>
      </c>
      <c r="O2089" s="97">
        <v>2</v>
      </c>
      <c r="P2089" s="97">
        <v>2</v>
      </c>
      <c r="Q2089" s="100">
        <v>0.8</v>
      </c>
      <c r="R2089" s="97">
        <v>1</v>
      </c>
      <c r="S2089" s="99">
        <v>0</v>
      </c>
      <c r="T2089" s="97">
        <v>0</v>
      </c>
      <c r="U2089" s="100">
        <v>1</v>
      </c>
      <c r="V2089" s="97">
        <v>1</v>
      </c>
      <c r="W2089" s="98">
        <v>0</v>
      </c>
      <c r="X2089" s="97">
        <v>2</v>
      </c>
      <c r="Y2089" s="19">
        <v>0</v>
      </c>
      <c r="Z2089" s="97">
        <v>0</v>
      </c>
      <c r="AA2089" s="97">
        <v>0</v>
      </c>
      <c r="AB2089" s="97">
        <v>0</v>
      </c>
      <c r="AC2089" s="98">
        <v>0</v>
      </c>
      <c r="AD2089" s="97">
        <v>0</v>
      </c>
      <c r="AE2089" s="97">
        <v>0</v>
      </c>
      <c r="AF2089" s="97">
        <v>10</v>
      </c>
      <c r="AG2089" s="97">
        <v>1</v>
      </c>
      <c r="AH2089" s="97">
        <v>5</v>
      </c>
      <c r="AI2089" s="101">
        <v>0</v>
      </c>
      <c r="AJ2089" s="101">
        <v>1</v>
      </c>
      <c r="AK2089" s="99">
        <v>0</v>
      </c>
      <c r="AL2089" s="97">
        <v>2.5</v>
      </c>
      <c r="AM2089" s="102">
        <v>0</v>
      </c>
      <c r="AN2089" s="97">
        <v>1</v>
      </c>
      <c r="AO2089" s="97">
        <v>0</v>
      </c>
      <c r="AP2089" s="97">
        <v>1</v>
      </c>
      <c r="AQ2089" s="97">
        <v>3000</v>
      </c>
      <c r="AR2089" s="97">
        <v>1</v>
      </c>
      <c r="AS2089" s="97">
        <v>0</v>
      </c>
      <c r="AT2089" s="335" t="s">
        <v>738</v>
      </c>
      <c r="AU2089" s="336" t="s">
        <v>739</v>
      </c>
      <c r="AV2089" s="109"/>
      <c r="AW2089" s="97" t="s">
        <v>293</v>
      </c>
      <c r="AX2089" s="98">
        <v>0</v>
      </c>
      <c r="AY2089" s="98">
        <v>0</v>
      </c>
      <c r="AZ2089" s="98">
        <v>62001401</v>
      </c>
      <c r="BA2089" s="104" t="s">
        <v>206</v>
      </c>
      <c r="BB2089" s="100">
        <v>0</v>
      </c>
      <c r="BC2089" s="105">
        <v>0</v>
      </c>
      <c r="BD2089" s="105">
        <v>0</v>
      </c>
      <c r="BE2089" s="106" t="s">
        <v>4721</v>
      </c>
      <c r="BF2089" s="106" t="s">
        <v>4722</v>
      </c>
      <c r="BG2089" s="97">
        <v>0</v>
      </c>
      <c r="BH2089" s="97">
        <v>0</v>
      </c>
      <c r="BI2089" s="107">
        <v>0</v>
      </c>
      <c r="BJ2089" s="97">
        <v>0</v>
      </c>
      <c r="BK2089" s="97">
        <v>0</v>
      </c>
      <c r="BL2089" s="102">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79000015</v>
      </c>
      <c r="D2090" s="110" t="s">
        <v>816</v>
      </c>
      <c r="E2090" s="110" t="s">
        <v>817</v>
      </c>
      <c r="F2090" s="100">
        <v>2</v>
      </c>
      <c r="G2090" s="100">
        <v>61012301</v>
      </c>
      <c r="H2090" s="100">
        <v>0</v>
      </c>
      <c r="I2090" s="105">
        <v>0</v>
      </c>
      <c r="J2090" s="107">
        <v>1</v>
      </c>
      <c r="K2090" s="107">
        <v>0</v>
      </c>
      <c r="L2090" s="107">
        <v>0</v>
      </c>
      <c r="M2090" s="100">
        <v>0</v>
      </c>
      <c r="N2090" s="100">
        <v>0</v>
      </c>
      <c r="O2090" s="100">
        <v>2</v>
      </c>
      <c r="P2090" s="100">
        <v>2</v>
      </c>
      <c r="Q2090" s="100">
        <v>0.8</v>
      </c>
      <c r="R2090" s="100">
        <v>0</v>
      </c>
      <c r="S2090" s="99">
        <v>0</v>
      </c>
      <c r="T2090" s="100">
        <v>0</v>
      </c>
      <c r="U2090" s="100">
        <v>1</v>
      </c>
      <c r="V2090" s="100">
        <v>2</v>
      </c>
      <c r="W2090" s="100">
        <v>0</v>
      </c>
      <c r="X2090" s="100">
        <v>3</v>
      </c>
      <c r="Y2090" s="19">
        <v>0</v>
      </c>
      <c r="Z2090" s="100">
        <v>0</v>
      </c>
      <c r="AA2090" s="100">
        <v>1</v>
      </c>
      <c r="AB2090" s="100">
        <v>0</v>
      </c>
      <c r="AC2090" s="100">
        <v>0</v>
      </c>
      <c r="AD2090" s="100">
        <v>0</v>
      </c>
      <c r="AE2090" s="100">
        <v>1</v>
      </c>
      <c r="AF2090" s="100">
        <v>12</v>
      </c>
      <c r="AG2090" s="100">
        <v>1</v>
      </c>
      <c r="AH2090" s="100">
        <v>6</v>
      </c>
      <c r="AI2090" s="99">
        <v>0</v>
      </c>
      <c r="AJ2090" s="99">
        <v>1</v>
      </c>
      <c r="AK2090" s="99">
        <v>0</v>
      </c>
      <c r="AL2090" s="99">
        <v>3</v>
      </c>
      <c r="AM2090" s="100">
        <v>0</v>
      </c>
      <c r="AN2090" s="100">
        <v>1</v>
      </c>
      <c r="AO2090" s="100">
        <v>0</v>
      </c>
      <c r="AP2090" s="100">
        <v>1</v>
      </c>
      <c r="AQ2090" s="100">
        <v>3000</v>
      </c>
      <c r="AR2090" s="100">
        <v>1</v>
      </c>
      <c r="AS2090" s="100">
        <v>0</v>
      </c>
      <c r="AT2090" s="99">
        <v>0</v>
      </c>
      <c r="AU2090" s="339" t="s">
        <v>813</v>
      </c>
      <c r="AV2090" s="118"/>
      <c r="AW2090" s="110" t="s">
        <v>623</v>
      </c>
      <c r="AX2090" s="100" t="s">
        <v>221</v>
      </c>
      <c r="AY2090" s="107">
        <v>10000011</v>
      </c>
      <c r="AZ2090" s="107">
        <v>62001502</v>
      </c>
      <c r="BA2090" s="104" t="s">
        <v>206</v>
      </c>
      <c r="BB2090" s="100">
        <v>0</v>
      </c>
      <c r="BC2090" s="105">
        <v>0</v>
      </c>
      <c r="BD2090" s="105">
        <v>0</v>
      </c>
      <c r="BE2090" s="111" t="s">
        <v>818</v>
      </c>
      <c r="BF2090" s="111" t="s">
        <v>819</v>
      </c>
      <c r="BG2090" s="100">
        <v>0</v>
      </c>
      <c r="BH2090" s="100">
        <v>0</v>
      </c>
      <c r="BI2090" s="100">
        <v>0</v>
      </c>
      <c r="BJ2090" s="100">
        <v>0</v>
      </c>
      <c r="BK2090" s="100">
        <v>0</v>
      </c>
      <c r="BL2090" s="100">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79000016</v>
      </c>
      <c r="D2091" s="119" t="s">
        <v>820</v>
      </c>
      <c r="E2091" s="119" t="s">
        <v>821</v>
      </c>
      <c r="F2091" s="97">
        <v>1</v>
      </c>
      <c r="G2091" s="97">
        <v>60010002</v>
      </c>
      <c r="H2091" s="97">
        <v>0</v>
      </c>
      <c r="I2091" s="98">
        <v>0</v>
      </c>
      <c r="J2091" s="97">
        <v>0</v>
      </c>
      <c r="K2091" s="97">
        <v>0</v>
      </c>
      <c r="L2091" s="98">
        <v>0</v>
      </c>
      <c r="M2091" s="98">
        <v>0</v>
      </c>
      <c r="N2091" s="97">
        <v>0</v>
      </c>
      <c r="O2091" s="100">
        <v>2</v>
      </c>
      <c r="P2091" s="100">
        <v>2</v>
      </c>
      <c r="Q2091" s="97">
        <v>0.8</v>
      </c>
      <c r="R2091" s="97">
        <v>0</v>
      </c>
      <c r="S2091" s="99">
        <v>0</v>
      </c>
      <c r="T2091" s="97">
        <v>0</v>
      </c>
      <c r="U2091" s="100">
        <v>1</v>
      </c>
      <c r="V2091" s="97">
        <v>2</v>
      </c>
      <c r="W2091" s="98">
        <v>0</v>
      </c>
      <c r="X2091" s="97">
        <v>3</v>
      </c>
      <c r="Y2091" s="19">
        <v>0</v>
      </c>
      <c r="Z2091" s="97">
        <v>0</v>
      </c>
      <c r="AA2091" s="97">
        <v>0</v>
      </c>
      <c r="AB2091" s="97">
        <v>0</v>
      </c>
      <c r="AC2091" s="98">
        <v>0</v>
      </c>
      <c r="AD2091" s="97">
        <v>0</v>
      </c>
      <c r="AE2091" s="97">
        <v>0</v>
      </c>
      <c r="AF2091" s="97">
        <v>8</v>
      </c>
      <c r="AG2091" s="97">
        <v>2</v>
      </c>
      <c r="AH2091" s="97" t="s">
        <v>1042</v>
      </c>
      <c r="AI2091" s="101">
        <v>0</v>
      </c>
      <c r="AJ2091" s="101">
        <v>2</v>
      </c>
      <c r="AK2091" s="99">
        <v>0</v>
      </c>
      <c r="AL2091" s="97">
        <v>1.5</v>
      </c>
      <c r="AM2091" s="102">
        <v>0</v>
      </c>
      <c r="AN2091" s="97">
        <v>0</v>
      </c>
      <c r="AO2091" s="97">
        <v>0</v>
      </c>
      <c r="AP2091" s="97">
        <v>2.5</v>
      </c>
      <c r="AQ2091" s="100">
        <v>8000</v>
      </c>
      <c r="AR2091" s="97">
        <v>1.5</v>
      </c>
      <c r="AS2091" s="97">
        <v>10</v>
      </c>
      <c r="AT2091" s="99">
        <v>0</v>
      </c>
      <c r="AU2091" s="340" t="s">
        <v>813</v>
      </c>
      <c r="AV2091" s="100"/>
      <c r="AW2091" s="104" t="s">
        <v>293</v>
      </c>
      <c r="AX2091" s="98">
        <v>0</v>
      </c>
      <c r="AY2091" s="98">
        <v>0</v>
      </c>
      <c r="AZ2091" s="98">
        <v>62001503</v>
      </c>
      <c r="BA2091" s="104" t="s">
        <v>592</v>
      </c>
      <c r="BB2091" s="100" t="s">
        <v>822</v>
      </c>
      <c r="BC2091" s="105">
        <v>0</v>
      </c>
      <c r="BD2091" s="105">
        <v>0</v>
      </c>
      <c r="BE2091" s="111" t="s">
        <v>823</v>
      </c>
      <c r="BF2091" s="120" t="s">
        <v>824</v>
      </c>
      <c r="BG2091" s="97">
        <v>2</v>
      </c>
      <c r="BH2091" s="97">
        <v>0</v>
      </c>
      <c r="BI2091" s="107">
        <v>0</v>
      </c>
      <c r="BJ2091" s="97">
        <v>1</v>
      </c>
      <c r="BK2091" s="97">
        <v>2</v>
      </c>
      <c r="BL2091" s="102">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19.5" customHeight="1">
      <c r="C2092" s="107">
        <v>79000017</v>
      </c>
      <c r="D2092" s="110" t="s">
        <v>1308</v>
      </c>
      <c r="E2092" s="110" t="s">
        <v>1309</v>
      </c>
      <c r="F2092" s="107">
        <v>1</v>
      </c>
      <c r="G2092" s="107">
        <v>80004009</v>
      </c>
      <c r="H2092" s="107">
        <v>0</v>
      </c>
      <c r="I2092" s="105">
        <v>0</v>
      </c>
      <c r="J2092" s="107">
        <v>1</v>
      </c>
      <c r="K2092" s="107">
        <v>0</v>
      </c>
      <c r="L2092" s="107">
        <v>0</v>
      </c>
      <c r="M2092" s="100">
        <v>0</v>
      </c>
      <c r="N2092" s="100">
        <v>0</v>
      </c>
      <c r="O2092" s="100">
        <v>2</v>
      </c>
      <c r="P2092" s="100">
        <v>16</v>
      </c>
      <c r="Q2092" s="100">
        <v>5</v>
      </c>
      <c r="R2092" s="100">
        <v>0</v>
      </c>
      <c r="S2092" s="99">
        <v>0</v>
      </c>
      <c r="T2092" s="100">
        <v>0</v>
      </c>
      <c r="U2092" s="100">
        <v>1</v>
      </c>
      <c r="V2092" s="100">
        <v>2</v>
      </c>
      <c r="W2092" s="100">
        <v>0</v>
      </c>
      <c r="X2092" s="100">
        <v>1</v>
      </c>
      <c r="Y2092" s="19">
        <v>0</v>
      </c>
      <c r="Z2092" s="100">
        <v>0</v>
      </c>
      <c r="AA2092" s="100">
        <v>0</v>
      </c>
      <c r="AB2092" s="100">
        <v>0</v>
      </c>
      <c r="AC2092" s="100">
        <v>0</v>
      </c>
      <c r="AD2092" s="100">
        <v>0</v>
      </c>
      <c r="AE2092" s="100">
        <v>1</v>
      </c>
      <c r="AF2092" s="100">
        <v>0</v>
      </c>
      <c r="AG2092" s="100">
        <v>1</v>
      </c>
      <c r="AH2092" s="100">
        <v>2</v>
      </c>
      <c r="AI2092" s="99">
        <v>0</v>
      </c>
      <c r="AJ2092" s="99">
        <v>2</v>
      </c>
      <c r="AK2092" s="99">
        <v>0</v>
      </c>
      <c r="AL2092" s="99">
        <v>2</v>
      </c>
      <c r="AM2092" s="100">
        <v>0</v>
      </c>
      <c r="AN2092" s="100">
        <v>0</v>
      </c>
      <c r="AO2092" s="100">
        <v>0</v>
      </c>
      <c r="AP2092" s="100">
        <v>2</v>
      </c>
      <c r="AQ2092" s="100">
        <v>5000</v>
      </c>
      <c r="AR2092" s="100">
        <v>0</v>
      </c>
      <c r="AS2092" s="100">
        <v>10</v>
      </c>
      <c r="AT2092" s="117">
        <v>0</v>
      </c>
      <c r="AU2092" s="339" t="s">
        <v>204</v>
      </c>
      <c r="AV2092" s="118"/>
      <c r="AW2092" s="110" t="s">
        <v>205</v>
      </c>
      <c r="AX2092" s="100" t="s">
        <v>540</v>
      </c>
      <c r="AY2092" s="107">
        <v>10000007</v>
      </c>
      <c r="AZ2092" s="337" t="s">
        <v>1310</v>
      </c>
      <c r="BA2092" s="110" t="s">
        <v>592</v>
      </c>
      <c r="BB2092" s="100" t="s">
        <v>1311</v>
      </c>
      <c r="BC2092" s="105">
        <v>0</v>
      </c>
      <c r="BD2092" s="105">
        <v>1</v>
      </c>
      <c r="BE2092" s="111" t="s">
        <v>1312</v>
      </c>
      <c r="BF2092" s="111" t="s">
        <v>1313</v>
      </c>
      <c r="BG2092" s="100">
        <v>0</v>
      </c>
      <c r="BH2092" s="100">
        <v>0</v>
      </c>
      <c r="BI2092" s="100">
        <v>0</v>
      </c>
      <c r="BJ2092" s="100">
        <v>0</v>
      </c>
      <c r="BK2092" s="100">
        <v>0</v>
      </c>
      <c r="BL2092" s="100">
        <v>0</v>
      </c>
      <c r="BM2092" s="97">
        <v>0</v>
      </c>
      <c r="BN2092" s="99">
        <v>0</v>
      </c>
      <c r="BO2092" s="99">
        <v>0</v>
      </c>
      <c r="BP2092" s="99">
        <v>0</v>
      </c>
      <c r="BQ2092" s="99">
        <v>0</v>
      </c>
      <c r="BR2092" s="99">
        <v>0</v>
      </c>
      <c r="BS2092" s="99">
        <v>1</v>
      </c>
      <c r="BT2092" s="19">
        <v>0</v>
      </c>
      <c r="BU2092" s="23">
        <v>0</v>
      </c>
      <c r="BV2092" s="23"/>
      <c r="BW2092" s="23"/>
      <c r="BX2092" s="23"/>
      <c r="BY2092" s="23"/>
      <c r="BZ2092" s="23"/>
    </row>
    <row r="2093" spans="3:78" ht="20.100000000000001" customHeight="1">
      <c r="C2093" s="107">
        <v>79000018</v>
      </c>
      <c r="D2093" s="110" t="s">
        <v>810</v>
      </c>
      <c r="E2093" s="110" t="s">
        <v>811</v>
      </c>
      <c r="F2093" s="100">
        <v>2</v>
      </c>
      <c r="G2093" s="100">
        <v>61012301</v>
      </c>
      <c r="H2093" s="100">
        <v>0</v>
      </c>
      <c r="I2093" s="105">
        <v>0</v>
      </c>
      <c r="J2093" s="107">
        <v>1</v>
      </c>
      <c r="K2093" s="107">
        <v>0</v>
      </c>
      <c r="L2093" s="107">
        <v>0</v>
      </c>
      <c r="M2093" s="100">
        <v>0</v>
      </c>
      <c r="N2093" s="100">
        <v>0</v>
      </c>
      <c r="O2093" s="100">
        <v>2</v>
      </c>
      <c r="P2093" s="100">
        <v>2</v>
      </c>
      <c r="Q2093" s="100">
        <v>0.99</v>
      </c>
      <c r="R2093" s="100">
        <v>0</v>
      </c>
      <c r="S2093" s="99">
        <v>0</v>
      </c>
      <c r="T2093" s="100">
        <v>0</v>
      </c>
      <c r="U2093" s="100">
        <v>1</v>
      </c>
      <c r="V2093" s="100">
        <v>2</v>
      </c>
      <c r="W2093" s="100">
        <v>0</v>
      </c>
      <c r="X2093" s="100">
        <v>2</v>
      </c>
      <c r="Y2093" s="19">
        <v>0</v>
      </c>
      <c r="Z2093" s="100">
        <v>150</v>
      </c>
      <c r="AA2093" s="100">
        <v>1</v>
      </c>
      <c r="AB2093" s="100">
        <v>0</v>
      </c>
      <c r="AC2093" s="100">
        <v>0</v>
      </c>
      <c r="AD2093" s="100">
        <v>0</v>
      </c>
      <c r="AE2093" s="100">
        <v>1</v>
      </c>
      <c r="AF2093" s="100">
        <v>10</v>
      </c>
      <c r="AG2093" s="100">
        <v>2</v>
      </c>
      <c r="AH2093" s="100" t="s">
        <v>219</v>
      </c>
      <c r="AI2093" s="99">
        <v>0</v>
      </c>
      <c r="AJ2093" s="99">
        <v>2</v>
      </c>
      <c r="AK2093" s="99">
        <v>0</v>
      </c>
      <c r="AL2093" s="99">
        <v>1.5</v>
      </c>
      <c r="AM2093" s="100">
        <v>0</v>
      </c>
      <c r="AN2093" s="100">
        <v>0</v>
      </c>
      <c r="AO2093" s="100">
        <v>0</v>
      </c>
      <c r="AP2093" s="100">
        <v>1.5</v>
      </c>
      <c r="AQ2093" s="100">
        <v>1600</v>
      </c>
      <c r="AR2093" s="100">
        <v>1</v>
      </c>
      <c r="AS2093" s="100">
        <v>15</v>
      </c>
      <c r="AT2093" s="338" t="s">
        <v>812</v>
      </c>
      <c r="AU2093" s="339" t="s">
        <v>813</v>
      </c>
      <c r="AV2093" s="118"/>
      <c r="AW2093" s="110" t="s">
        <v>262</v>
      </c>
      <c r="AX2093" s="100" t="s">
        <v>221</v>
      </c>
      <c r="AY2093" s="107">
        <v>10000011</v>
      </c>
      <c r="AZ2093" s="107">
        <v>62001501</v>
      </c>
      <c r="BA2093" s="110" t="s">
        <v>222</v>
      </c>
      <c r="BB2093" s="100">
        <v>0</v>
      </c>
      <c r="BC2093" s="105">
        <v>0</v>
      </c>
      <c r="BD2093" s="105">
        <v>0</v>
      </c>
      <c r="BE2093" s="111" t="s">
        <v>814</v>
      </c>
      <c r="BF2093" s="111" t="s">
        <v>815</v>
      </c>
      <c r="BG2093" s="100">
        <v>0</v>
      </c>
      <c r="BH2093" s="100">
        <v>0</v>
      </c>
      <c r="BI2093" s="100">
        <v>0</v>
      </c>
      <c r="BJ2093" s="100">
        <v>0</v>
      </c>
      <c r="BK2093" s="100">
        <v>0</v>
      </c>
      <c r="BL2093" s="100">
        <v>0</v>
      </c>
      <c r="BM2093" s="97">
        <v>0</v>
      </c>
      <c r="BN2093" s="99">
        <v>0</v>
      </c>
      <c r="BO2093" s="99">
        <v>0</v>
      </c>
      <c r="BP2093" s="99">
        <v>0</v>
      </c>
      <c r="BQ2093" s="99">
        <v>0</v>
      </c>
      <c r="BR2093" s="99">
        <v>0</v>
      </c>
      <c r="BS2093" s="99">
        <v>0</v>
      </c>
      <c r="BT2093" s="19">
        <v>0</v>
      </c>
      <c r="BU2093" s="23">
        <v>0</v>
      </c>
      <c r="BV2093" s="23"/>
      <c r="BW2093" s="23"/>
      <c r="BX2093" s="23"/>
      <c r="BY2093" s="23"/>
      <c r="BZ2093" s="23"/>
    </row>
    <row r="2094" spans="3:78" ht="20.100000000000001" customHeight="1">
      <c r="C2094" s="107">
        <v>79000019</v>
      </c>
      <c r="D2094" s="110" t="s">
        <v>1287</v>
      </c>
      <c r="E2094" s="110" t="s">
        <v>1288</v>
      </c>
      <c r="F2094" s="100">
        <v>1</v>
      </c>
      <c r="G2094" s="100">
        <v>61012201</v>
      </c>
      <c r="H2094" s="100">
        <v>0</v>
      </c>
      <c r="I2094" s="105">
        <v>0</v>
      </c>
      <c r="J2094" s="107">
        <v>1</v>
      </c>
      <c r="K2094" s="100">
        <v>0</v>
      </c>
      <c r="L2094" s="100">
        <v>0</v>
      </c>
      <c r="M2094" s="100">
        <v>0</v>
      </c>
      <c r="N2094" s="100">
        <v>0</v>
      </c>
      <c r="O2094" s="100">
        <v>2</v>
      </c>
      <c r="P2094" s="100">
        <v>2</v>
      </c>
      <c r="Q2094" s="100">
        <v>0.99</v>
      </c>
      <c r="R2094" s="100">
        <v>0</v>
      </c>
      <c r="S2094" s="99">
        <v>0</v>
      </c>
      <c r="T2094" s="100">
        <v>0</v>
      </c>
      <c r="U2094" s="100">
        <v>1</v>
      </c>
      <c r="V2094" s="100">
        <v>2</v>
      </c>
      <c r="W2094" s="100">
        <v>0</v>
      </c>
      <c r="X2094" s="100">
        <v>0</v>
      </c>
      <c r="Y2094" s="19">
        <v>0</v>
      </c>
      <c r="Z2094" s="100">
        <v>0</v>
      </c>
      <c r="AA2094" s="100">
        <v>1</v>
      </c>
      <c r="AB2094" s="100">
        <v>0</v>
      </c>
      <c r="AC2094" s="100">
        <v>0</v>
      </c>
      <c r="AD2094" s="100">
        <v>0</v>
      </c>
      <c r="AE2094" s="100">
        <v>1</v>
      </c>
      <c r="AF2094" s="100">
        <v>8</v>
      </c>
      <c r="AG2094" s="100">
        <v>1</v>
      </c>
      <c r="AH2094" s="100">
        <v>1</v>
      </c>
      <c r="AI2094" s="99">
        <v>0</v>
      </c>
      <c r="AJ2094" s="99">
        <v>1</v>
      </c>
      <c r="AK2094" s="99">
        <v>0</v>
      </c>
      <c r="AL2094" s="99">
        <v>1.5</v>
      </c>
      <c r="AM2094" s="100">
        <v>0</v>
      </c>
      <c r="AN2094" s="100">
        <v>0</v>
      </c>
      <c r="AO2094" s="100">
        <v>0</v>
      </c>
      <c r="AP2094" s="100">
        <v>0</v>
      </c>
      <c r="AQ2094" s="100">
        <v>300</v>
      </c>
      <c r="AR2094" s="100">
        <v>0</v>
      </c>
      <c r="AS2094" s="100">
        <v>0</v>
      </c>
      <c r="AT2094" s="335" t="s">
        <v>1289</v>
      </c>
      <c r="AU2094" s="100">
        <v>0</v>
      </c>
      <c r="AV2094" s="100"/>
      <c r="AW2094" s="110" t="s">
        <v>205</v>
      </c>
      <c r="AX2094" s="100" t="s">
        <v>540</v>
      </c>
      <c r="AY2094" s="107">
        <v>0</v>
      </c>
      <c r="AZ2094" s="107">
        <v>0</v>
      </c>
      <c r="BA2094" s="110" t="s">
        <v>777</v>
      </c>
      <c r="BB2094" s="100">
        <v>0</v>
      </c>
      <c r="BC2094" s="105">
        <v>0</v>
      </c>
      <c r="BD2094" s="105">
        <v>0</v>
      </c>
      <c r="BE2094" s="136" t="s">
        <v>1295</v>
      </c>
      <c r="BF2094" s="136" t="s">
        <v>1296</v>
      </c>
      <c r="BG2094" s="100">
        <v>0</v>
      </c>
      <c r="BH2094" s="100">
        <v>0</v>
      </c>
      <c r="BI2094" s="100">
        <v>0</v>
      </c>
      <c r="BJ2094" s="100">
        <v>0</v>
      </c>
      <c r="BK2094" s="100">
        <v>0</v>
      </c>
      <c r="BL2094" s="100">
        <v>0</v>
      </c>
      <c r="BM2094" s="97">
        <v>0</v>
      </c>
      <c r="BN2094" s="99">
        <v>0</v>
      </c>
      <c r="BO2094" s="99">
        <v>0</v>
      </c>
      <c r="BP2094" s="99">
        <v>0</v>
      </c>
      <c r="BQ2094" s="99">
        <v>0</v>
      </c>
      <c r="BR2094" s="99">
        <v>0</v>
      </c>
      <c r="BS2094" s="99">
        <v>1</v>
      </c>
      <c r="BT2094" s="19">
        <v>0</v>
      </c>
      <c r="BU2094" s="23">
        <v>0</v>
      </c>
      <c r="BV2094" s="23"/>
      <c r="BW2094" s="23"/>
      <c r="BX2094" s="23"/>
      <c r="BY2094" s="23"/>
      <c r="BZ2094" s="23"/>
    </row>
    <row r="2095" spans="3:78" ht="20.100000000000001" customHeight="1">
      <c r="C2095" s="107">
        <v>79000020</v>
      </c>
      <c r="D2095" s="104" t="s">
        <v>579</v>
      </c>
      <c r="E2095" s="104" t="s">
        <v>580</v>
      </c>
      <c r="F2095" s="107">
        <v>1</v>
      </c>
      <c r="G2095" s="107">
        <v>60010300</v>
      </c>
      <c r="H2095" s="107">
        <v>0</v>
      </c>
      <c r="I2095" s="105">
        <v>0</v>
      </c>
      <c r="J2095" s="107">
        <v>1</v>
      </c>
      <c r="K2095" s="107">
        <v>0</v>
      </c>
      <c r="L2095" s="107">
        <v>0</v>
      </c>
      <c r="M2095" s="107">
        <v>0</v>
      </c>
      <c r="N2095" s="107">
        <v>0</v>
      </c>
      <c r="O2095" s="100">
        <v>2</v>
      </c>
      <c r="P2095" s="107">
        <v>2</v>
      </c>
      <c r="Q2095" s="107">
        <v>0.6</v>
      </c>
      <c r="R2095" s="107">
        <v>0</v>
      </c>
      <c r="S2095" s="99">
        <v>0</v>
      </c>
      <c r="T2095" s="105">
        <v>0</v>
      </c>
      <c r="U2095" s="100">
        <v>1</v>
      </c>
      <c r="V2095" s="107">
        <v>2</v>
      </c>
      <c r="W2095" s="107">
        <v>0</v>
      </c>
      <c r="X2095" s="107">
        <v>0.5</v>
      </c>
      <c r="Y2095" s="19">
        <v>0</v>
      </c>
      <c r="Z2095" s="107">
        <v>0</v>
      </c>
      <c r="AA2095" s="107">
        <v>0</v>
      </c>
      <c r="AB2095" s="107">
        <v>0</v>
      </c>
      <c r="AC2095" s="107">
        <v>0</v>
      </c>
      <c r="AD2095" s="107">
        <v>0</v>
      </c>
      <c r="AE2095" s="107">
        <v>0</v>
      </c>
      <c r="AF2095" s="107">
        <v>12</v>
      </c>
      <c r="AG2095" s="107">
        <v>1</v>
      </c>
      <c r="AH2095" s="107">
        <v>3</v>
      </c>
      <c r="AI2095" s="99">
        <v>1</v>
      </c>
      <c r="AJ2095" s="99">
        <v>0</v>
      </c>
      <c r="AK2095" s="99">
        <v>0</v>
      </c>
      <c r="AL2095" s="99">
        <v>1.5</v>
      </c>
      <c r="AM2095" s="107">
        <v>0</v>
      </c>
      <c r="AN2095" s="107">
        <v>0</v>
      </c>
      <c r="AO2095" s="107">
        <v>0</v>
      </c>
      <c r="AP2095" s="107">
        <v>1</v>
      </c>
      <c r="AQ2095" s="107">
        <v>360000</v>
      </c>
      <c r="AR2095" s="107">
        <v>0.5</v>
      </c>
      <c r="AS2095" s="107">
        <v>0</v>
      </c>
      <c r="AT2095" s="99">
        <v>0</v>
      </c>
      <c r="AU2095" s="107" t="s">
        <v>581</v>
      </c>
      <c r="AV2095" s="107"/>
      <c r="AW2095" s="104" t="s">
        <v>205</v>
      </c>
      <c r="AX2095" s="107" t="s">
        <v>551</v>
      </c>
      <c r="AY2095" s="107">
        <v>10002001</v>
      </c>
      <c r="AZ2095" s="107">
        <v>70106001</v>
      </c>
      <c r="BA2095" s="104" t="s">
        <v>321</v>
      </c>
      <c r="BB2095" s="104" t="s">
        <v>582</v>
      </c>
      <c r="BC2095" s="105">
        <v>0</v>
      </c>
      <c r="BD2095" s="105">
        <v>0</v>
      </c>
      <c r="BE2095" s="112" t="s">
        <v>583</v>
      </c>
      <c r="BF2095" s="112" t="s">
        <v>584</v>
      </c>
      <c r="BG2095" s="107">
        <v>0</v>
      </c>
      <c r="BH2095" s="100">
        <v>0</v>
      </c>
      <c r="BI2095" s="107">
        <v>0</v>
      </c>
      <c r="BJ2095" s="107">
        <v>0</v>
      </c>
      <c r="BK2095" s="107">
        <v>0</v>
      </c>
      <c r="BL2095" s="107">
        <v>0</v>
      </c>
      <c r="BM2095" s="97">
        <v>0</v>
      </c>
      <c r="BN2095" s="99">
        <v>0</v>
      </c>
      <c r="BO2095" s="99">
        <v>0</v>
      </c>
      <c r="BP2095" s="99">
        <v>0</v>
      </c>
      <c r="BQ2095" s="99">
        <v>0</v>
      </c>
      <c r="BR2095" s="99">
        <v>0</v>
      </c>
      <c r="BS2095" s="99">
        <v>0</v>
      </c>
      <c r="BT2095" s="19">
        <v>0</v>
      </c>
      <c r="BU2095" s="23">
        <v>0</v>
      </c>
      <c r="BV2095" s="23"/>
      <c r="BW2095" s="23"/>
      <c r="BX2095" s="23"/>
      <c r="BY2095" s="23"/>
      <c r="BZ2095" s="23"/>
    </row>
    <row r="2096" spans="3:78" ht="20.100000000000001" customHeight="1">
      <c r="C2096" s="32">
        <v>79001001</v>
      </c>
      <c r="D2096" s="30" t="s">
        <v>1330</v>
      </c>
      <c r="E2096" s="30" t="s">
        <v>1331</v>
      </c>
      <c r="F2096" s="32">
        <v>1</v>
      </c>
      <c r="G2096" s="21">
        <v>60010100</v>
      </c>
      <c r="H2096" s="32">
        <v>0</v>
      </c>
      <c r="I2096" s="31">
        <v>0</v>
      </c>
      <c r="J2096" s="32">
        <v>1</v>
      </c>
      <c r="K2096" s="32">
        <v>0</v>
      </c>
      <c r="L2096" s="32">
        <v>0</v>
      </c>
      <c r="M2096" s="21">
        <v>0</v>
      </c>
      <c r="N2096" s="21">
        <v>0</v>
      </c>
      <c r="O2096" s="72">
        <v>2</v>
      </c>
      <c r="P2096" s="21">
        <v>1</v>
      </c>
      <c r="Q2096" s="21">
        <v>1</v>
      </c>
      <c r="R2096" s="21">
        <v>0</v>
      </c>
      <c r="S2096" s="19">
        <v>0</v>
      </c>
      <c r="T2096" s="21">
        <v>0</v>
      </c>
      <c r="U2096" s="21">
        <v>1</v>
      </c>
      <c r="V2096" s="21">
        <v>2</v>
      </c>
      <c r="W2096" s="21">
        <v>0</v>
      </c>
      <c r="X2096" s="21">
        <v>2</v>
      </c>
      <c r="Y2096" s="19">
        <v>0</v>
      </c>
      <c r="Z2096" s="21">
        <v>0</v>
      </c>
      <c r="AA2096" s="21">
        <v>1</v>
      </c>
      <c r="AB2096" s="21">
        <v>0</v>
      </c>
      <c r="AC2096" s="21">
        <v>0</v>
      </c>
      <c r="AD2096" s="21">
        <v>0</v>
      </c>
      <c r="AE2096" s="21">
        <v>0</v>
      </c>
      <c r="AF2096" s="21">
        <v>3</v>
      </c>
      <c r="AG2096" s="21">
        <v>2</v>
      </c>
      <c r="AH2096" s="21" t="s">
        <v>219</v>
      </c>
      <c r="AI2096" s="19">
        <v>0</v>
      </c>
      <c r="AJ2096" s="19">
        <v>2</v>
      </c>
      <c r="AK2096" s="19">
        <v>0</v>
      </c>
      <c r="AL2096" s="19">
        <v>1.5</v>
      </c>
      <c r="AM2096" s="21">
        <v>0</v>
      </c>
      <c r="AN2096" s="21">
        <v>0</v>
      </c>
      <c r="AO2096" s="21">
        <v>0</v>
      </c>
      <c r="AP2096" s="21">
        <v>1.5</v>
      </c>
      <c r="AQ2096" s="21">
        <v>10000</v>
      </c>
      <c r="AR2096" s="21">
        <v>1</v>
      </c>
      <c r="AS2096" s="21">
        <v>5</v>
      </c>
      <c r="AT2096" s="19">
        <v>0</v>
      </c>
      <c r="AU2096" s="21" t="s">
        <v>204</v>
      </c>
      <c r="AV2096" s="21"/>
      <c r="AW2096" s="35" t="s">
        <v>623</v>
      </c>
      <c r="AX2096" s="21" t="s">
        <v>540</v>
      </c>
      <c r="AY2096" s="32">
        <v>10000007</v>
      </c>
      <c r="AZ2096" s="32">
        <v>70302003</v>
      </c>
      <c r="BA2096" s="35" t="s">
        <v>592</v>
      </c>
      <c r="BB2096" s="31">
        <v>0</v>
      </c>
      <c r="BC2096" s="31">
        <v>0</v>
      </c>
      <c r="BD2096" s="31">
        <v>0</v>
      </c>
      <c r="BE2096" s="33" t="s">
        <v>1114</v>
      </c>
      <c r="BF2096" s="33" t="s">
        <v>1115</v>
      </c>
      <c r="BG2096" s="21">
        <v>1</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19.5" customHeight="1">
      <c r="C2097" s="32">
        <v>79002001</v>
      </c>
      <c r="D2097" s="30" t="s">
        <v>1097</v>
      </c>
      <c r="E2097" s="30" t="s">
        <v>1098</v>
      </c>
      <c r="F2097" s="32">
        <v>1</v>
      </c>
      <c r="G2097" s="21">
        <v>60010100</v>
      </c>
      <c r="H2097" s="32">
        <v>0</v>
      </c>
      <c r="I2097" s="31">
        <v>0</v>
      </c>
      <c r="J2097" s="32">
        <v>1</v>
      </c>
      <c r="K2097" s="32">
        <v>0</v>
      </c>
      <c r="L2097" s="32">
        <v>0</v>
      </c>
      <c r="M2097" s="21">
        <v>0</v>
      </c>
      <c r="N2097" s="21">
        <v>0</v>
      </c>
      <c r="O2097" s="72">
        <v>2</v>
      </c>
      <c r="P2097" s="21">
        <v>2</v>
      </c>
      <c r="Q2097" s="21">
        <v>0.9</v>
      </c>
      <c r="R2097" s="21">
        <v>0</v>
      </c>
      <c r="S2097" s="19">
        <v>101</v>
      </c>
      <c r="T2097" s="21">
        <v>0</v>
      </c>
      <c r="U2097" s="21">
        <v>1</v>
      </c>
      <c r="V2097" s="21">
        <v>2</v>
      </c>
      <c r="W2097" s="21">
        <v>0</v>
      </c>
      <c r="X2097" s="21">
        <v>3</v>
      </c>
      <c r="Y2097" s="19">
        <v>0</v>
      </c>
      <c r="Z2097" s="21">
        <v>0</v>
      </c>
      <c r="AA2097" s="21">
        <v>1</v>
      </c>
      <c r="AB2097" s="21">
        <v>0</v>
      </c>
      <c r="AC2097" s="21">
        <v>0</v>
      </c>
      <c r="AD2097" s="21">
        <v>0</v>
      </c>
      <c r="AE2097" s="21">
        <v>0</v>
      </c>
      <c r="AF2097" s="21">
        <v>10</v>
      </c>
      <c r="AG2097" s="21">
        <v>1</v>
      </c>
      <c r="AH2097" s="21" t="s">
        <v>613</v>
      </c>
      <c r="AI2097" s="19">
        <v>1</v>
      </c>
      <c r="AJ2097" s="19">
        <v>1</v>
      </c>
      <c r="AK2097" s="19">
        <v>0</v>
      </c>
      <c r="AL2097" s="19">
        <v>3</v>
      </c>
      <c r="AM2097" s="21">
        <v>0</v>
      </c>
      <c r="AN2097" s="21">
        <v>0</v>
      </c>
      <c r="AO2097" s="21">
        <v>0</v>
      </c>
      <c r="AP2097" s="21">
        <v>3</v>
      </c>
      <c r="AQ2097" s="21">
        <v>5000</v>
      </c>
      <c r="AR2097" s="21">
        <v>2.5</v>
      </c>
      <c r="AS2097" s="21">
        <v>0</v>
      </c>
      <c r="AT2097" s="19">
        <v>0</v>
      </c>
      <c r="AU2097" s="21" t="s">
        <v>665</v>
      </c>
      <c r="AV2097" s="21"/>
      <c r="AW2097" s="35" t="s">
        <v>262</v>
      </c>
      <c r="AX2097" s="21" t="s">
        <v>540</v>
      </c>
      <c r="AY2097" s="32">
        <v>10000007</v>
      </c>
      <c r="AZ2097" s="32">
        <v>70403003</v>
      </c>
      <c r="BA2097" s="30" t="s">
        <v>206</v>
      </c>
      <c r="BB2097" s="21">
        <v>0</v>
      </c>
      <c r="BC2097" s="31">
        <v>0</v>
      </c>
      <c r="BD2097" s="31">
        <v>0</v>
      </c>
      <c r="BE2097" s="33" t="s">
        <v>4600</v>
      </c>
      <c r="BF2097" s="33" t="s">
        <v>4601</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20.100000000000001" customHeight="1">
      <c r="C2098" s="32">
        <v>79003001</v>
      </c>
      <c r="D2098" s="30" t="s">
        <v>671</v>
      </c>
      <c r="E2098" s="30" t="s">
        <v>612</v>
      </c>
      <c r="F2098" s="21">
        <v>1</v>
      </c>
      <c r="G2098" s="21">
        <v>60010100</v>
      </c>
      <c r="H2098" s="32">
        <v>0</v>
      </c>
      <c r="I2098" s="31">
        <v>0</v>
      </c>
      <c r="J2098" s="32">
        <v>1</v>
      </c>
      <c r="K2098" s="32">
        <v>0</v>
      </c>
      <c r="L2098" s="32">
        <v>0</v>
      </c>
      <c r="M2098" s="21">
        <v>0</v>
      </c>
      <c r="N2098" s="21">
        <v>0</v>
      </c>
      <c r="O2098" s="21">
        <v>2</v>
      </c>
      <c r="P2098" s="21">
        <v>1</v>
      </c>
      <c r="Q2098" s="21">
        <v>0.5</v>
      </c>
      <c r="R2098" s="21">
        <v>0</v>
      </c>
      <c r="S2098" s="19">
        <v>0</v>
      </c>
      <c r="T2098" s="21">
        <v>0</v>
      </c>
      <c r="U2098" s="21">
        <v>1</v>
      </c>
      <c r="V2098" s="21">
        <v>2</v>
      </c>
      <c r="W2098" s="21">
        <v>0</v>
      </c>
      <c r="X2098" s="21">
        <v>3</v>
      </c>
      <c r="Y2098" s="19">
        <v>0</v>
      </c>
      <c r="Z2098" s="21">
        <v>0</v>
      </c>
      <c r="AA2098" s="21">
        <v>0</v>
      </c>
      <c r="AB2098" s="21">
        <v>0</v>
      </c>
      <c r="AC2098" s="21">
        <v>0</v>
      </c>
      <c r="AD2098" s="21">
        <v>0</v>
      </c>
      <c r="AE2098" s="21">
        <v>0</v>
      </c>
      <c r="AF2098" s="21">
        <v>10</v>
      </c>
      <c r="AG2098" s="21">
        <v>1</v>
      </c>
      <c r="AH2098" s="21">
        <v>3</v>
      </c>
      <c r="AI2098" s="19">
        <v>6</v>
      </c>
      <c r="AJ2098" s="19">
        <v>1</v>
      </c>
      <c r="AK2098" s="19">
        <v>0</v>
      </c>
      <c r="AL2098" s="19">
        <v>1.5</v>
      </c>
      <c r="AM2098" s="21">
        <v>0</v>
      </c>
      <c r="AN2098" s="21">
        <v>0</v>
      </c>
      <c r="AO2098" s="21">
        <v>0</v>
      </c>
      <c r="AP2098" s="21">
        <v>3</v>
      </c>
      <c r="AQ2098" s="21">
        <v>5000</v>
      </c>
      <c r="AR2098" s="21">
        <v>3</v>
      </c>
      <c r="AS2098" s="21">
        <v>0</v>
      </c>
      <c r="AT2098" s="19">
        <v>0</v>
      </c>
      <c r="AU2098" s="21" t="s">
        <v>204</v>
      </c>
      <c r="AV2098" s="21"/>
      <c r="AW2098" s="35" t="s">
        <v>262</v>
      </c>
      <c r="AX2098" s="21" t="s">
        <v>540</v>
      </c>
      <c r="AY2098" s="32">
        <v>10000007</v>
      </c>
      <c r="AZ2098" s="32">
        <v>70103003</v>
      </c>
      <c r="BA2098" s="30" t="s">
        <v>206</v>
      </c>
      <c r="BB2098" s="21" t="s">
        <v>4683</v>
      </c>
      <c r="BC2098" s="31">
        <v>0</v>
      </c>
      <c r="BD2098" s="31">
        <v>0</v>
      </c>
      <c r="BE2098" s="33" t="s">
        <v>673</v>
      </c>
      <c r="BF2098" s="33" t="s">
        <v>674</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19.5" customHeight="1">
      <c r="C2099" s="32">
        <v>79003002</v>
      </c>
      <c r="D2099" s="30" t="s">
        <v>1130</v>
      </c>
      <c r="E2099" s="30" t="s">
        <v>1131</v>
      </c>
      <c r="F2099" s="32">
        <v>1</v>
      </c>
      <c r="G2099" s="21">
        <v>60010100</v>
      </c>
      <c r="H2099" s="32">
        <v>0</v>
      </c>
      <c r="I2099" s="31">
        <v>0</v>
      </c>
      <c r="J2099" s="32">
        <v>1</v>
      </c>
      <c r="K2099" s="32">
        <v>0</v>
      </c>
      <c r="L2099" s="32">
        <v>0</v>
      </c>
      <c r="M2099" s="21">
        <v>0</v>
      </c>
      <c r="N2099" s="21">
        <v>0</v>
      </c>
      <c r="O2099" s="72">
        <v>2</v>
      </c>
      <c r="P2099" s="21">
        <v>1</v>
      </c>
      <c r="Q2099" s="21">
        <v>0.25</v>
      </c>
      <c r="R2099" s="21">
        <v>0</v>
      </c>
      <c r="S2099" s="19">
        <v>101</v>
      </c>
      <c r="T2099" s="21">
        <v>0</v>
      </c>
      <c r="U2099" s="21">
        <v>1</v>
      </c>
      <c r="V2099" s="21">
        <v>2</v>
      </c>
      <c r="W2099" s="21">
        <v>0</v>
      </c>
      <c r="X2099" s="21">
        <v>1.5</v>
      </c>
      <c r="Y2099" s="19">
        <v>0</v>
      </c>
      <c r="Z2099" s="21">
        <v>0</v>
      </c>
      <c r="AA2099" s="21">
        <v>1</v>
      </c>
      <c r="AB2099" s="21">
        <v>0</v>
      </c>
      <c r="AC2099" s="21">
        <v>0</v>
      </c>
      <c r="AD2099" s="21">
        <v>0</v>
      </c>
      <c r="AE2099" s="21">
        <v>0</v>
      </c>
      <c r="AF2099" s="21">
        <v>15</v>
      </c>
      <c r="AG2099" s="21">
        <v>1</v>
      </c>
      <c r="AH2099" s="21" t="s">
        <v>867</v>
      </c>
      <c r="AI2099" s="19">
        <v>0</v>
      </c>
      <c r="AJ2099" s="19">
        <v>0</v>
      </c>
      <c r="AK2099" s="19">
        <v>0</v>
      </c>
      <c r="AL2099" s="19">
        <v>0</v>
      </c>
      <c r="AM2099" s="21">
        <v>0</v>
      </c>
      <c r="AN2099" s="21">
        <v>0</v>
      </c>
      <c r="AO2099" s="21">
        <v>0</v>
      </c>
      <c r="AP2099" s="21">
        <v>0.5</v>
      </c>
      <c r="AQ2099" s="21">
        <v>100000</v>
      </c>
      <c r="AR2099" s="21">
        <v>0.5</v>
      </c>
      <c r="AS2099" s="21">
        <v>0</v>
      </c>
      <c r="AT2099" s="19">
        <v>0</v>
      </c>
      <c r="AU2099" s="341" t="s">
        <v>1025</v>
      </c>
      <c r="AV2099" s="19"/>
      <c r="AW2099" s="35" t="s">
        <v>293</v>
      </c>
      <c r="AX2099" s="21" t="s">
        <v>540</v>
      </c>
      <c r="AY2099" s="32">
        <v>10000007</v>
      </c>
      <c r="AZ2099" s="32">
        <v>70202004</v>
      </c>
      <c r="BA2099" s="35" t="s">
        <v>321</v>
      </c>
      <c r="BB2099" s="35" t="s">
        <v>377</v>
      </c>
      <c r="BC2099" s="31">
        <v>0</v>
      </c>
      <c r="BD2099" s="31">
        <v>0</v>
      </c>
      <c r="BE2099" s="33" t="s">
        <v>4680</v>
      </c>
      <c r="BF2099" s="33" t="s">
        <v>4681</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80000001</v>
      </c>
      <c r="D2100" s="30" t="s">
        <v>4723</v>
      </c>
      <c r="E2100" s="30" t="s">
        <v>4724</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4725</v>
      </c>
      <c r="BC2100" s="31">
        <v>0</v>
      </c>
      <c r="BD2100" s="31">
        <v>0</v>
      </c>
      <c r="BE2100" s="33" t="s">
        <v>4726</v>
      </c>
      <c r="BF2100" s="33" t="s">
        <v>4727</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80000002</v>
      </c>
      <c r="D2101" s="30" t="s">
        <v>4728</v>
      </c>
      <c r="E2101" s="30" t="s">
        <v>4729</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4725</v>
      </c>
      <c r="BC2101" s="31">
        <v>0</v>
      </c>
      <c r="BD2101" s="31">
        <v>0</v>
      </c>
      <c r="BE2101" s="33" t="s">
        <v>544</v>
      </c>
      <c r="BF2101" s="33" t="s">
        <v>545</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80000003</v>
      </c>
      <c r="D2102" s="30" t="s">
        <v>4730</v>
      </c>
      <c r="E2102" s="30" t="s">
        <v>4731</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4725</v>
      </c>
      <c r="BC2102" s="31">
        <v>0</v>
      </c>
      <c r="BD2102" s="31">
        <v>0</v>
      </c>
      <c r="BE2102" s="33" t="s">
        <v>4732</v>
      </c>
      <c r="BF2102" s="33" t="s">
        <v>4733</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80000004</v>
      </c>
      <c r="D2103" s="30" t="s">
        <v>4734</v>
      </c>
      <c r="E2103" s="30" t="s">
        <v>4735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4725</v>
      </c>
      <c r="BC2103" s="31">
        <v>0</v>
      </c>
      <c r="BD2103" s="31">
        <v>0</v>
      </c>
      <c r="BE2103" s="33" t="s">
        <v>4736</v>
      </c>
      <c r="BF2103" s="33" t="s">
        <v>4737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80000005</v>
      </c>
      <c r="D2104" s="30" t="s">
        <v>4738</v>
      </c>
      <c r="E2104" s="30" t="s">
        <v>4739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4725</v>
      </c>
      <c r="BC2104" s="31">
        <v>0</v>
      </c>
      <c r="BD2104" s="31">
        <v>0</v>
      </c>
      <c r="BE2104" s="33" t="s">
        <v>4740</v>
      </c>
      <c r="BF2104" s="33" t="s">
        <v>4741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80000006</v>
      </c>
      <c r="D2105" s="30" t="s">
        <v>4742</v>
      </c>
      <c r="E2105" s="30" t="s">
        <v>4743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4725</v>
      </c>
      <c r="BC2105" s="31">
        <v>0</v>
      </c>
      <c r="BD2105" s="31">
        <v>0</v>
      </c>
      <c r="BE2105" s="33" t="s">
        <v>4744</v>
      </c>
      <c r="BF2105" s="33" t="s">
        <v>4745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80000007</v>
      </c>
      <c r="D2106" s="30" t="s">
        <v>4746</v>
      </c>
      <c r="E2106" s="30" t="s">
        <v>4747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4725</v>
      </c>
      <c r="BC2106" s="31">
        <v>0</v>
      </c>
      <c r="BD2106" s="31">
        <v>0</v>
      </c>
      <c r="BE2106" s="33" t="s">
        <v>4748</v>
      </c>
      <c r="BF2106" s="33" t="s">
        <v>4749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80000008</v>
      </c>
      <c r="D2107" s="30" t="s">
        <v>4750</v>
      </c>
      <c r="E2107" s="30" t="s">
        <v>4751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4725</v>
      </c>
      <c r="BC2107" s="31">
        <v>0</v>
      </c>
      <c r="BD2107" s="31">
        <v>0</v>
      </c>
      <c r="BE2107" s="33" t="s">
        <v>1759</v>
      </c>
      <c r="BF2107" s="33" t="s">
        <v>1760</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80001001</v>
      </c>
      <c r="D2108" s="30" t="s">
        <v>4752</v>
      </c>
      <c r="E2108" s="279" t="s">
        <v>3503</v>
      </c>
      <c r="F2108" s="21">
        <v>1</v>
      </c>
      <c r="G2108" s="21">
        <v>80001001</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4753</v>
      </c>
      <c r="BC2108" s="31">
        <v>0</v>
      </c>
      <c r="BD2108" s="31">
        <v>0</v>
      </c>
      <c r="BE2108" s="33" t="s">
        <v>4754</v>
      </c>
      <c r="BF2108" s="33" t="s">
        <v>4755</v>
      </c>
      <c r="BG2108" s="21">
        <v>0</v>
      </c>
      <c r="BH2108" s="21">
        <v>0</v>
      </c>
      <c r="BI2108" s="21"/>
      <c r="BJ2108" s="21"/>
      <c r="BK2108" s="21"/>
      <c r="BL2108" s="21">
        <v>80002001</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80001002</v>
      </c>
      <c r="D2109" s="30" t="s">
        <v>4756</v>
      </c>
      <c r="E2109" s="279" t="s">
        <v>4757</v>
      </c>
      <c r="F2109" s="21">
        <v>1</v>
      </c>
      <c r="G2109" s="21">
        <v>80001002</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4758</v>
      </c>
      <c r="BC2109" s="31">
        <v>0</v>
      </c>
      <c r="BD2109" s="31">
        <v>0</v>
      </c>
      <c r="BE2109" s="33" t="s">
        <v>4759</v>
      </c>
      <c r="BF2109" s="33" t="s">
        <v>4760</v>
      </c>
      <c r="BG2109" s="21"/>
      <c r="BH2109" s="21">
        <v>0</v>
      </c>
      <c r="BI2109" s="21"/>
      <c r="BJ2109" s="21"/>
      <c r="BK2109" s="21"/>
      <c r="BL2109" s="21">
        <v>80002002</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80001003</v>
      </c>
      <c r="D2110" s="30" t="s">
        <v>4761</v>
      </c>
      <c r="E2110" s="279" t="s">
        <v>4762</v>
      </c>
      <c r="F2110" s="21">
        <v>1</v>
      </c>
      <c r="G2110" s="21">
        <v>80001003</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4763</v>
      </c>
      <c r="BC2110" s="31">
        <v>0</v>
      </c>
      <c r="BD2110" s="31">
        <v>0</v>
      </c>
      <c r="BE2110" s="33" t="s">
        <v>4764</v>
      </c>
      <c r="BF2110" s="33" t="s">
        <v>4765</v>
      </c>
      <c r="BG2110" s="21"/>
      <c r="BH2110" s="21">
        <v>0</v>
      </c>
      <c r="BI2110" s="21"/>
      <c r="BJ2110" s="21"/>
      <c r="BK2110" s="21"/>
      <c r="BL2110" s="21">
        <v>80002003</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80001004</v>
      </c>
      <c r="D2111" s="30" t="s">
        <v>4766</v>
      </c>
      <c r="E2111" s="279" t="s">
        <v>4767</v>
      </c>
      <c r="F2111" s="21">
        <v>1</v>
      </c>
      <c r="G2111" s="21">
        <v>80001004</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4768</v>
      </c>
      <c r="BC2111" s="31">
        <v>0</v>
      </c>
      <c r="BD2111" s="31">
        <v>0</v>
      </c>
      <c r="BE2111" s="33" t="s">
        <v>4769</v>
      </c>
      <c r="BF2111" s="33" t="s">
        <v>4770</v>
      </c>
      <c r="BG2111" s="21"/>
      <c r="BH2111" s="21">
        <v>0</v>
      </c>
      <c r="BI2111" s="21"/>
      <c r="BJ2111" s="21"/>
      <c r="BK2111" s="21"/>
      <c r="BL2111" s="21">
        <v>80002004</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80001005</v>
      </c>
      <c r="D2112" s="30" t="s">
        <v>4771</v>
      </c>
      <c r="E2112" s="279" t="s">
        <v>4772</v>
      </c>
      <c r="F2112" s="21">
        <v>1</v>
      </c>
      <c r="G2112" s="21">
        <v>80001005</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4773</v>
      </c>
      <c r="BC2112" s="31">
        <v>0</v>
      </c>
      <c r="BD2112" s="31">
        <v>0</v>
      </c>
      <c r="BE2112" s="33" t="s">
        <v>4774</v>
      </c>
      <c r="BF2112" s="33" t="s">
        <v>4775</v>
      </c>
      <c r="BG2112" s="21"/>
      <c r="BH2112" s="21">
        <v>0</v>
      </c>
      <c r="BI2112" s="21"/>
      <c r="BJ2112" s="21"/>
      <c r="BK2112" s="21"/>
      <c r="BL2112" s="21">
        <v>80002005</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180">
        <v>80001006</v>
      </c>
      <c r="D2113" s="179" t="s">
        <v>2080</v>
      </c>
      <c r="E2113" s="279" t="s">
        <v>4776</v>
      </c>
      <c r="F2113" s="180">
        <v>1</v>
      </c>
      <c r="G2113" s="180">
        <v>80001006</v>
      </c>
      <c r="H2113" s="180">
        <v>0</v>
      </c>
      <c r="I2113" s="180">
        <v>0</v>
      </c>
      <c r="J2113" s="32">
        <v>1</v>
      </c>
      <c r="K2113" s="32">
        <v>0</v>
      </c>
      <c r="L2113" s="180">
        <v>0</v>
      </c>
      <c r="M2113" s="180">
        <v>0</v>
      </c>
      <c r="N2113" s="180">
        <v>0</v>
      </c>
      <c r="O2113" s="180">
        <v>5</v>
      </c>
      <c r="P2113" s="180">
        <v>0</v>
      </c>
      <c r="Q2113" s="180">
        <v>0</v>
      </c>
      <c r="R2113" s="180">
        <v>0</v>
      </c>
      <c r="S2113" s="19">
        <v>0</v>
      </c>
      <c r="T2113" s="180">
        <v>0</v>
      </c>
      <c r="U2113" s="180">
        <v>1</v>
      </c>
      <c r="V2113" s="180">
        <v>2</v>
      </c>
      <c r="W2113" s="180">
        <v>0</v>
      </c>
      <c r="X2113" s="21">
        <v>1</v>
      </c>
      <c r="Y2113" s="19">
        <v>0</v>
      </c>
      <c r="Z2113" s="21">
        <v>0</v>
      </c>
      <c r="AA2113" s="180">
        <v>0</v>
      </c>
      <c r="AB2113" s="180">
        <v>0</v>
      </c>
      <c r="AC2113" s="180">
        <v>0</v>
      </c>
      <c r="AD2113" s="180">
        <v>0</v>
      </c>
      <c r="AE2113" s="180">
        <v>0</v>
      </c>
      <c r="AF2113" s="180">
        <v>9</v>
      </c>
      <c r="AG2113" s="180">
        <v>2</v>
      </c>
      <c r="AH2113" s="180" t="s">
        <v>219</v>
      </c>
      <c r="AI2113" s="180">
        <v>2</v>
      </c>
      <c r="AJ2113" s="180">
        <v>2</v>
      </c>
      <c r="AK2113" s="19">
        <v>0</v>
      </c>
      <c r="AL2113" s="180">
        <v>1.5</v>
      </c>
      <c r="AM2113" s="180">
        <v>0</v>
      </c>
      <c r="AN2113" s="180">
        <v>0</v>
      </c>
      <c r="AO2113" s="180">
        <v>0</v>
      </c>
      <c r="AP2113" s="180">
        <v>1</v>
      </c>
      <c r="AQ2113" s="180">
        <v>3000</v>
      </c>
      <c r="AR2113" s="180">
        <v>0.5</v>
      </c>
      <c r="AS2113" s="180">
        <v>0</v>
      </c>
      <c r="AT2113" s="180">
        <v>0</v>
      </c>
      <c r="AU2113" s="180" t="s">
        <v>204</v>
      </c>
      <c r="AV2113" s="180"/>
      <c r="AW2113" s="179" t="s">
        <v>293</v>
      </c>
      <c r="AX2113" s="180">
        <v>0</v>
      </c>
      <c r="AY2113" s="180">
        <v>0</v>
      </c>
      <c r="AZ2113" s="180">
        <v>0</v>
      </c>
      <c r="BA2113" s="179" t="s">
        <v>206</v>
      </c>
      <c r="BB2113" s="180" t="s">
        <v>4777</v>
      </c>
      <c r="BC2113" s="180">
        <v>0</v>
      </c>
      <c r="BD2113" s="180">
        <v>0</v>
      </c>
      <c r="BE2113" s="243" t="s">
        <v>4778</v>
      </c>
      <c r="BF2113" s="243" t="s">
        <v>4779</v>
      </c>
      <c r="BG2113" s="180"/>
      <c r="BH2113" s="21">
        <v>0</v>
      </c>
      <c r="BI2113" s="180"/>
      <c r="BJ2113" s="180"/>
      <c r="BK2113" s="180"/>
      <c r="BL2113" s="180">
        <v>80002006</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80001007</v>
      </c>
      <c r="D2114" s="30" t="s">
        <v>3954</v>
      </c>
      <c r="E2114" s="279" t="s">
        <v>3955</v>
      </c>
      <c r="F2114" s="21">
        <v>1</v>
      </c>
      <c r="G2114" s="21">
        <v>80001007</v>
      </c>
      <c r="H2114" s="32">
        <v>0</v>
      </c>
      <c r="I2114" s="31">
        <v>0</v>
      </c>
      <c r="J2114" s="32">
        <v>1</v>
      </c>
      <c r="K2114" s="32">
        <v>0</v>
      </c>
      <c r="L2114" s="32">
        <v>0</v>
      </c>
      <c r="M2114" s="21">
        <v>0</v>
      </c>
      <c r="N2114" s="21">
        <v>0</v>
      </c>
      <c r="O2114" s="21">
        <v>2</v>
      </c>
      <c r="P2114" s="21">
        <v>3</v>
      </c>
      <c r="Q2114" s="21">
        <v>0.1</v>
      </c>
      <c r="R2114" s="21">
        <v>0</v>
      </c>
      <c r="S2114" s="19">
        <v>0</v>
      </c>
      <c r="T2114" s="21">
        <v>0</v>
      </c>
      <c r="U2114" s="21">
        <v>1</v>
      </c>
      <c r="V2114" s="21">
        <v>2</v>
      </c>
      <c r="W2114" s="21">
        <v>0</v>
      </c>
      <c r="X2114" s="21">
        <v>1</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4780</v>
      </c>
      <c r="BF2114" s="33" t="s">
        <v>4781</v>
      </c>
      <c r="BG2114" s="21"/>
      <c r="BH2114" s="21">
        <v>0</v>
      </c>
      <c r="BI2114" s="21"/>
      <c r="BJ2114" s="21"/>
      <c r="BK2114" s="21"/>
      <c r="BL2114" s="21">
        <v>80002007</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80001008</v>
      </c>
      <c r="D2115" s="30" t="s">
        <v>4782</v>
      </c>
      <c r="E2115" s="279" t="s">
        <v>1331</v>
      </c>
      <c r="F2115" s="21">
        <v>1</v>
      </c>
      <c r="G2115" s="21">
        <v>80001008</v>
      </c>
      <c r="H2115" s="32">
        <v>0</v>
      </c>
      <c r="I2115" s="31">
        <v>0</v>
      </c>
      <c r="J2115" s="32">
        <v>1</v>
      </c>
      <c r="K2115" s="32">
        <v>0</v>
      </c>
      <c r="L2115" s="32">
        <v>0</v>
      </c>
      <c r="M2115" s="21">
        <v>0</v>
      </c>
      <c r="N2115" s="21">
        <v>0</v>
      </c>
      <c r="O2115" s="21">
        <v>2</v>
      </c>
      <c r="P2115" s="21">
        <v>3</v>
      </c>
      <c r="Q2115" s="21">
        <v>0.2</v>
      </c>
      <c r="R2115" s="21">
        <v>0</v>
      </c>
      <c r="S2115" s="19">
        <v>0</v>
      </c>
      <c r="T2115" s="21">
        <v>0</v>
      </c>
      <c r="U2115" s="21">
        <v>1</v>
      </c>
      <c r="V2115" s="21">
        <v>2</v>
      </c>
      <c r="W2115" s="21">
        <v>0</v>
      </c>
      <c r="X2115" s="21">
        <v>0.5</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4783</v>
      </c>
      <c r="BF2115" s="33" t="s">
        <v>4784</v>
      </c>
      <c r="BG2115" s="21"/>
      <c r="BH2115" s="21">
        <v>0</v>
      </c>
      <c r="BI2115" s="21"/>
      <c r="BJ2115" s="21"/>
      <c r="BK2115" s="21"/>
      <c r="BL2115" s="21">
        <v>80002008</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80001009</v>
      </c>
      <c r="D2116" s="30" t="s">
        <v>3959</v>
      </c>
      <c r="E2116" s="279" t="s">
        <v>3960</v>
      </c>
      <c r="F2116" s="21">
        <v>1</v>
      </c>
      <c r="G2116" s="21">
        <v>80001009</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4785</v>
      </c>
      <c r="BC2116" s="31">
        <v>0</v>
      </c>
      <c r="BD2116" s="31">
        <v>0</v>
      </c>
      <c r="BE2116" s="33" t="s">
        <v>4786</v>
      </c>
      <c r="BF2116" s="33" t="s">
        <v>4787</v>
      </c>
      <c r="BG2116" s="21"/>
      <c r="BH2116" s="21">
        <v>0</v>
      </c>
      <c r="BI2116" s="21"/>
      <c r="BJ2116" s="21"/>
      <c r="BK2116" s="21"/>
      <c r="BL2116" s="21">
        <v>80002009</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80001010</v>
      </c>
      <c r="D2117" s="30" t="s">
        <v>2084</v>
      </c>
      <c r="E2117" s="279" t="s">
        <v>4788</v>
      </c>
      <c r="F2117" s="21">
        <v>1</v>
      </c>
      <c r="G2117" s="21">
        <v>80001010</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4789</v>
      </c>
      <c r="BC2117" s="31">
        <v>0</v>
      </c>
      <c r="BD2117" s="31">
        <v>0</v>
      </c>
      <c r="BE2117" s="33" t="s">
        <v>4790</v>
      </c>
      <c r="BF2117" s="33" t="s">
        <v>4791</v>
      </c>
      <c r="BG2117" s="21"/>
      <c r="BH2117" s="21">
        <v>0</v>
      </c>
      <c r="BI2117" s="21"/>
      <c r="BJ2117" s="21"/>
      <c r="BK2117" s="21"/>
      <c r="BL2117" s="21">
        <v>80002010</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80001011</v>
      </c>
      <c r="D2118" s="30" t="s">
        <v>4792</v>
      </c>
      <c r="E2118" s="279" t="s">
        <v>4793</v>
      </c>
      <c r="F2118" s="21">
        <v>1</v>
      </c>
      <c r="G2118" s="21">
        <v>80001011</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4794</v>
      </c>
      <c r="BC2118" s="31">
        <v>0</v>
      </c>
      <c r="BD2118" s="31">
        <v>0</v>
      </c>
      <c r="BE2118" s="33" t="s">
        <v>4795</v>
      </c>
      <c r="BF2118" s="33" t="s">
        <v>4796</v>
      </c>
      <c r="BG2118" s="21"/>
      <c r="BH2118" s="21">
        <v>0</v>
      </c>
      <c r="BI2118" s="21"/>
      <c r="BJ2118" s="21"/>
      <c r="BK2118" s="21"/>
      <c r="BL2118" s="21">
        <v>80002011</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80001012</v>
      </c>
      <c r="D2119" s="30" t="s">
        <v>4797</v>
      </c>
      <c r="E2119" s="279" t="s">
        <v>4798</v>
      </c>
      <c r="F2119" s="21">
        <v>1</v>
      </c>
      <c r="G2119" s="21">
        <v>80001012</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4799</v>
      </c>
      <c r="BC2119" s="31">
        <v>0</v>
      </c>
      <c r="BD2119" s="31">
        <v>0</v>
      </c>
      <c r="BE2119" s="33" t="s">
        <v>4800</v>
      </c>
      <c r="BF2119" s="33" t="s">
        <v>4801</v>
      </c>
      <c r="BG2119" s="21"/>
      <c r="BH2119" s="21">
        <v>0</v>
      </c>
      <c r="BI2119" s="21"/>
      <c r="BJ2119" s="21"/>
      <c r="BK2119" s="21"/>
      <c r="BL2119" s="21">
        <v>80002012</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80001013</v>
      </c>
      <c r="D2120" s="30" t="s">
        <v>4802</v>
      </c>
      <c r="E2120" s="279" t="s">
        <v>4803</v>
      </c>
      <c r="F2120" s="21">
        <v>1</v>
      </c>
      <c r="G2120" s="21">
        <v>80001013</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4475</v>
      </c>
      <c r="BC2120" s="31">
        <v>0</v>
      </c>
      <c r="BD2120" s="31">
        <v>0</v>
      </c>
      <c r="BE2120" s="33" t="s">
        <v>4804</v>
      </c>
      <c r="BF2120" s="33" t="s">
        <v>4805</v>
      </c>
      <c r="BG2120" s="21"/>
      <c r="BH2120" s="21">
        <v>0</v>
      </c>
      <c r="BI2120" s="21"/>
      <c r="BJ2120" s="21"/>
      <c r="BK2120" s="21"/>
      <c r="BL2120" s="21">
        <v>80002013</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80001014</v>
      </c>
      <c r="D2121" s="30" t="s">
        <v>3249</v>
      </c>
      <c r="E2121" s="279" t="s">
        <v>3250</v>
      </c>
      <c r="F2121" s="21">
        <v>1</v>
      </c>
      <c r="G2121" s="21">
        <v>80001014</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4806</v>
      </c>
      <c r="BC2121" s="31">
        <v>0</v>
      </c>
      <c r="BD2121" s="31">
        <v>0</v>
      </c>
      <c r="BE2121" s="33" t="s">
        <v>4807</v>
      </c>
      <c r="BF2121" s="33" t="s">
        <v>4808</v>
      </c>
      <c r="BG2121" s="21"/>
      <c r="BH2121" s="21">
        <v>0</v>
      </c>
      <c r="BI2121" s="21"/>
      <c r="BJ2121" s="21"/>
      <c r="BK2121" s="21"/>
      <c r="BL2121" s="21">
        <v>80002014</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180">
        <v>80001015</v>
      </c>
      <c r="D2122" s="179" t="s">
        <v>4809</v>
      </c>
      <c r="E2122" s="279" t="s">
        <v>4810</v>
      </c>
      <c r="F2122" s="180">
        <v>1</v>
      </c>
      <c r="G2122" s="180">
        <v>80001015</v>
      </c>
      <c r="H2122" s="180">
        <v>0</v>
      </c>
      <c r="I2122" s="180">
        <v>0</v>
      </c>
      <c r="J2122" s="32">
        <v>1</v>
      </c>
      <c r="K2122" s="32">
        <v>0</v>
      </c>
      <c r="L2122" s="180">
        <v>0</v>
      </c>
      <c r="M2122" s="180">
        <v>0</v>
      </c>
      <c r="N2122" s="180">
        <v>0</v>
      </c>
      <c r="O2122" s="180">
        <v>2</v>
      </c>
      <c r="P2122" s="180">
        <v>0</v>
      </c>
      <c r="Q2122" s="180">
        <v>0</v>
      </c>
      <c r="R2122" s="180">
        <v>0</v>
      </c>
      <c r="S2122" s="19">
        <v>0</v>
      </c>
      <c r="T2122" s="180">
        <v>0</v>
      </c>
      <c r="U2122" s="180">
        <v>1</v>
      </c>
      <c r="V2122" s="180">
        <v>2</v>
      </c>
      <c r="W2122" s="180">
        <v>0</v>
      </c>
      <c r="X2122" s="180">
        <v>0</v>
      </c>
      <c r="Y2122" s="19">
        <v>0</v>
      </c>
      <c r="Z2122" s="180">
        <v>0</v>
      </c>
      <c r="AA2122" s="180">
        <v>0</v>
      </c>
      <c r="AB2122" s="180">
        <v>0</v>
      </c>
      <c r="AC2122" s="180">
        <v>0</v>
      </c>
      <c r="AD2122" s="180">
        <v>0</v>
      </c>
      <c r="AE2122" s="180">
        <v>0</v>
      </c>
      <c r="AF2122" s="180">
        <v>9</v>
      </c>
      <c r="AG2122" s="180">
        <v>2</v>
      </c>
      <c r="AH2122" s="180" t="s">
        <v>219</v>
      </c>
      <c r="AI2122" s="180">
        <v>2</v>
      </c>
      <c r="AJ2122" s="180">
        <v>2</v>
      </c>
      <c r="AK2122" s="19">
        <v>0</v>
      </c>
      <c r="AL2122" s="180">
        <v>1.5</v>
      </c>
      <c r="AM2122" s="180">
        <v>0</v>
      </c>
      <c r="AN2122" s="180">
        <v>0</v>
      </c>
      <c r="AO2122" s="180">
        <v>0</v>
      </c>
      <c r="AP2122" s="180">
        <v>1</v>
      </c>
      <c r="AQ2122" s="180">
        <v>3000</v>
      </c>
      <c r="AR2122" s="180">
        <v>0.5</v>
      </c>
      <c r="AS2122" s="180">
        <v>0</v>
      </c>
      <c r="AT2122" s="180">
        <v>0</v>
      </c>
      <c r="AU2122" s="180" t="s">
        <v>204</v>
      </c>
      <c r="AV2122" s="180"/>
      <c r="AW2122" s="179" t="s">
        <v>293</v>
      </c>
      <c r="AX2122" s="180">
        <v>0</v>
      </c>
      <c r="AY2122" s="180">
        <v>0</v>
      </c>
      <c r="AZ2122" s="180">
        <v>0</v>
      </c>
      <c r="BA2122" s="179" t="s">
        <v>206</v>
      </c>
      <c r="BB2122" s="180" t="s">
        <v>4811</v>
      </c>
      <c r="BC2122" s="180">
        <v>0</v>
      </c>
      <c r="BD2122" s="180">
        <v>0</v>
      </c>
      <c r="BE2122" s="243" t="s">
        <v>4812</v>
      </c>
      <c r="BF2122" s="243" t="s">
        <v>4813</v>
      </c>
      <c r="BG2122" s="180"/>
      <c r="BH2122" s="21">
        <v>0</v>
      </c>
      <c r="BI2122" s="180"/>
      <c r="BJ2122" s="180"/>
      <c r="BK2122" s="180"/>
      <c r="BL2122" s="180">
        <v>80002015</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80001016</v>
      </c>
      <c r="D2123" s="30" t="s">
        <v>4814</v>
      </c>
      <c r="E2123" s="279" t="s">
        <v>4815</v>
      </c>
      <c r="F2123" s="21">
        <v>1</v>
      </c>
      <c r="G2123" s="21">
        <v>80001016</v>
      </c>
      <c r="H2123" s="32">
        <v>0</v>
      </c>
      <c r="I2123" s="31">
        <v>0</v>
      </c>
      <c r="J2123" s="32">
        <v>1</v>
      </c>
      <c r="K2123" s="32">
        <v>0</v>
      </c>
      <c r="L2123" s="32">
        <v>0</v>
      </c>
      <c r="M2123" s="21">
        <v>0</v>
      </c>
      <c r="N2123" s="21">
        <v>0</v>
      </c>
      <c r="O2123" s="21">
        <v>5</v>
      </c>
      <c r="P2123" s="21">
        <v>0</v>
      </c>
      <c r="Q2123" s="21">
        <v>0</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0</v>
      </c>
      <c r="AU2123" s="21" t="s">
        <v>204</v>
      </c>
      <c r="AV2123" s="21"/>
      <c r="AW2123" s="30" t="s">
        <v>293</v>
      </c>
      <c r="AX2123" s="21">
        <v>0</v>
      </c>
      <c r="AY2123" s="32">
        <v>0</v>
      </c>
      <c r="AZ2123" s="32">
        <v>0</v>
      </c>
      <c r="BA2123" s="30" t="s">
        <v>206</v>
      </c>
      <c r="BB2123" s="21" t="s">
        <v>4816</v>
      </c>
      <c r="BC2123" s="31">
        <v>0</v>
      </c>
      <c r="BD2123" s="31">
        <v>0</v>
      </c>
      <c r="BE2123" s="33" t="s">
        <v>4817</v>
      </c>
      <c r="BF2123" s="33" t="s">
        <v>4818</v>
      </c>
      <c r="BG2123" s="21"/>
      <c r="BH2123" s="21">
        <v>0</v>
      </c>
      <c r="BI2123" s="21"/>
      <c r="BJ2123" s="21"/>
      <c r="BK2123" s="21"/>
      <c r="BL2123" s="21">
        <v>80002016</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80001017</v>
      </c>
      <c r="D2124" s="30" t="s">
        <v>4819</v>
      </c>
      <c r="E2124" s="279" t="s">
        <v>4820</v>
      </c>
      <c r="F2124" s="21">
        <v>1</v>
      </c>
      <c r="G2124" s="21">
        <v>80001017</v>
      </c>
      <c r="H2124" s="32">
        <v>0</v>
      </c>
      <c r="I2124" s="31">
        <v>0</v>
      </c>
      <c r="J2124" s="32">
        <v>1</v>
      </c>
      <c r="K2124" s="32">
        <v>0</v>
      </c>
      <c r="L2124" s="32">
        <v>0</v>
      </c>
      <c r="M2124" s="21">
        <v>0</v>
      </c>
      <c r="N2124" s="21">
        <v>0</v>
      </c>
      <c r="O2124" s="21">
        <v>2</v>
      </c>
      <c r="P2124" s="21">
        <v>3</v>
      </c>
      <c r="Q2124" s="21">
        <v>0.1</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80010171</v>
      </c>
      <c r="AU2124" s="21" t="s">
        <v>204</v>
      </c>
      <c r="AV2124" s="21"/>
      <c r="AW2124" s="30" t="s">
        <v>293</v>
      </c>
      <c r="AX2124" s="21">
        <v>0</v>
      </c>
      <c r="AY2124" s="32">
        <v>0</v>
      </c>
      <c r="AZ2124" s="32">
        <v>0</v>
      </c>
      <c r="BA2124" s="30" t="s">
        <v>206</v>
      </c>
      <c r="BB2124" s="21"/>
      <c r="BC2124" s="31">
        <v>0</v>
      </c>
      <c r="BD2124" s="31">
        <v>0</v>
      </c>
      <c r="BE2124" s="243" t="s">
        <v>4821</v>
      </c>
      <c r="BF2124" s="243" t="s">
        <v>4822</v>
      </c>
      <c r="BG2124" s="21"/>
      <c r="BH2124" s="21">
        <v>0</v>
      </c>
      <c r="BI2124" s="21"/>
      <c r="BJ2124" s="21"/>
      <c r="BK2124" s="21"/>
      <c r="BL2124" s="21">
        <v>80002017</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80001018</v>
      </c>
      <c r="D2125" s="30" t="s">
        <v>4823</v>
      </c>
      <c r="E2125" s="279" t="s">
        <v>4824</v>
      </c>
      <c r="F2125" s="21">
        <v>1</v>
      </c>
      <c r="G2125" s="21">
        <v>80001018</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4825</v>
      </c>
      <c r="BC2125" s="31">
        <v>0</v>
      </c>
      <c r="BD2125" s="31">
        <v>0</v>
      </c>
      <c r="BE2125" s="33" t="s">
        <v>4826</v>
      </c>
      <c r="BF2125" s="33" t="s">
        <v>4827</v>
      </c>
      <c r="BG2125" s="21"/>
      <c r="BH2125" s="21">
        <v>0</v>
      </c>
      <c r="BI2125" s="21"/>
      <c r="BJ2125" s="21"/>
      <c r="BK2125" s="21"/>
      <c r="BL2125" s="21">
        <v>80002018</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80001019</v>
      </c>
      <c r="D2126" s="30" t="s">
        <v>414</v>
      </c>
      <c r="E2126" s="279" t="s">
        <v>415</v>
      </c>
      <c r="F2126" s="21">
        <v>1</v>
      </c>
      <c r="G2126" s="21">
        <v>80001019</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4828</v>
      </c>
      <c r="BC2126" s="31">
        <v>0</v>
      </c>
      <c r="BD2126" s="31">
        <v>0</v>
      </c>
      <c r="BE2126" s="33" t="s">
        <v>4829</v>
      </c>
      <c r="BF2126" s="33" t="s">
        <v>4830</v>
      </c>
      <c r="BG2126" s="21"/>
      <c r="BH2126" s="21">
        <v>0</v>
      </c>
      <c r="BI2126" s="21"/>
      <c r="BJ2126" s="21"/>
      <c r="BK2126" s="21"/>
      <c r="BL2126" s="21">
        <v>80002019</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80001020</v>
      </c>
      <c r="D2127" s="30" t="s">
        <v>4831</v>
      </c>
      <c r="E2127" s="279" t="s">
        <v>4832</v>
      </c>
      <c r="F2127" s="21">
        <v>1</v>
      </c>
      <c r="G2127" s="21">
        <v>80001020</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4833</v>
      </c>
      <c r="BC2127" s="31">
        <v>0</v>
      </c>
      <c r="BD2127" s="31">
        <v>0</v>
      </c>
      <c r="BE2127" s="33" t="s">
        <v>4834</v>
      </c>
      <c r="BF2127" s="33" t="s">
        <v>4835</v>
      </c>
      <c r="BG2127" s="21"/>
      <c r="BH2127" s="21">
        <v>0</v>
      </c>
      <c r="BI2127" s="21"/>
      <c r="BJ2127" s="21"/>
      <c r="BK2127" s="21"/>
      <c r="BL2127" s="21">
        <v>80002020</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25" customHeight="1">
      <c r="C2128" s="32">
        <v>80001021</v>
      </c>
      <c r="D2128" s="30" t="s">
        <v>2310</v>
      </c>
      <c r="E2128" s="279" t="s">
        <v>4836</v>
      </c>
      <c r="F2128" s="32">
        <v>1</v>
      </c>
      <c r="G2128" s="21">
        <v>80001021</v>
      </c>
      <c r="H2128" s="32">
        <v>0</v>
      </c>
      <c r="I2128" s="31">
        <v>0</v>
      </c>
      <c r="J2128" s="32">
        <v>1</v>
      </c>
      <c r="K2128" s="32">
        <v>0</v>
      </c>
      <c r="L2128" s="32">
        <v>0</v>
      </c>
      <c r="M2128" s="21">
        <v>0</v>
      </c>
      <c r="N2128" s="21">
        <v>0</v>
      </c>
      <c r="O2128" s="21">
        <v>2</v>
      </c>
      <c r="P2128" s="21">
        <v>10</v>
      </c>
      <c r="Q2128" s="21">
        <v>0.1</v>
      </c>
      <c r="R2128" s="21">
        <v>0</v>
      </c>
      <c r="S2128" s="19">
        <v>0</v>
      </c>
      <c r="T2128" s="21">
        <v>0</v>
      </c>
      <c r="U2128" s="21">
        <v>1</v>
      </c>
      <c r="V2128" s="21">
        <v>2</v>
      </c>
      <c r="W2128" s="21">
        <v>0</v>
      </c>
      <c r="X2128" s="21">
        <v>2</v>
      </c>
      <c r="Y2128" s="19">
        <v>0</v>
      </c>
      <c r="Z2128" s="21">
        <v>0</v>
      </c>
      <c r="AA2128" s="21">
        <v>0</v>
      </c>
      <c r="AB2128" s="21">
        <v>0</v>
      </c>
      <c r="AC2128" s="21">
        <v>0</v>
      </c>
      <c r="AD2128" s="21">
        <v>0</v>
      </c>
      <c r="AE2128" s="21">
        <v>0</v>
      </c>
      <c r="AF2128" s="21">
        <v>5</v>
      </c>
      <c r="AG2128" s="21">
        <v>1</v>
      </c>
      <c r="AH2128" s="21">
        <v>3</v>
      </c>
      <c r="AI2128" s="19">
        <v>1</v>
      </c>
      <c r="AJ2128" s="19">
        <v>1</v>
      </c>
      <c r="AK2128" s="19">
        <v>0</v>
      </c>
      <c r="AL2128" s="19">
        <v>3</v>
      </c>
      <c r="AM2128" s="21">
        <v>0</v>
      </c>
      <c r="AN2128" s="21">
        <v>0</v>
      </c>
      <c r="AO2128" s="21">
        <v>0</v>
      </c>
      <c r="AP2128" s="21">
        <v>3</v>
      </c>
      <c r="AQ2128" s="21">
        <v>5000</v>
      </c>
      <c r="AR2128" s="21">
        <v>0.5</v>
      </c>
      <c r="AS2128" s="21">
        <v>0</v>
      </c>
      <c r="AT2128" s="19">
        <v>0</v>
      </c>
      <c r="AU2128" s="21">
        <v>0</v>
      </c>
      <c r="AV2128" s="21"/>
      <c r="AW2128" s="30" t="s">
        <v>205</v>
      </c>
      <c r="AX2128" s="19" t="s">
        <v>1849</v>
      </c>
      <c r="AY2128" s="32">
        <v>10000007</v>
      </c>
      <c r="AZ2128" s="280">
        <v>23000080</v>
      </c>
      <c r="BA2128" s="30" t="s">
        <v>206</v>
      </c>
      <c r="BB2128" s="35" t="s">
        <v>204</v>
      </c>
      <c r="BC2128" s="31">
        <v>0</v>
      </c>
      <c r="BD2128" s="31">
        <v>0</v>
      </c>
      <c r="BE2128" s="33" t="s">
        <v>4837</v>
      </c>
      <c r="BF2128" s="33" t="s">
        <v>4838</v>
      </c>
      <c r="BG2128" s="32">
        <v>0</v>
      </c>
      <c r="BH2128" s="21">
        <v>0</v>
      </c>
      <c r="BI2128" s="32"/>
      <c r="BJ2128" s="32"/>
      <c r="BK2128" s="32"/>
      <c r="BL2128" s="32">
        <v>80002021</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80001022</v>
      </c>
      <c r="D2129" s="30" t="s">
        <v>2314</v>
      </c>
      <c r="E2129" s="279" t="s">
        <v>4839</v>
      </c>
      <c r="F2129" s="32">
        <v>1</v>
      </c>
      <c r="G2129" s="21">
        <v>80001022</v>
      </c>
      <c r="H2129" s="19">
        <v>0</v>
      </c>
      <c r="I2129" s="19">
        <v>0</v>
      </c>
      <c r="J2129" s="32">
        <v>1</v>
      </c>
      <c r="K2129" s="32">
        <v>0</v>
      </c>
      <c r="L2129" s="19">
        <v>0</v>
      </c>
      <c r="M2129" s="19">
        <v>0</v>
      </c>
      <c r="N2129" s="19">
        <v>0</v>
      </c>
      <c r="O2129" s="19">
        <v>2</v>
      </c>
      <c r="P2129" s="19">
        <v>1</v>
      </c>
      <c r="Q2129" s="19">
        <v>0.2</v>
      </c>
      <c r="R2129" s="19">
        <v>0</v>
      </c>
      <c r="S2129" s="19">
        <v>0</v>
      </c>
      <c r="T2129" s="19">
        <v>0</v>
      </c>
      <c r="U2129" s="21">
        <v>1</v>
      </c>
      <c r="V2129" s="19">
        <v>2</v>
      </c>
      <c r="W2129" s="19">
        <v>0</v>
      </c>
      <c r="X2129" s="19">
        <v>0</v>
      </c>
      <c r="Y2129" s="19">
        <v>0</v>
      </c>
      <c r="Z2129" s="19">
        <v>0</v>
      </c>
      <c r="AA2129" s="19">
        <v>0</v>
      </c>
      <c r="AB2129" s="19">
        <v>0</v>
      </c>
      <c r="AC2129" s="19">
        <v>0</v>
      </c>
      <c r="AD2129" s="32">
        <v>0</v>
      </c>
      <c r="AE2129" s="19">
        <v>0</v>
      </c>
      <c r="AF2129" s="19">
        <v>15</v>
      </c>
      <c r="AG2129" s="19">
        <v>0</v>
      </c>
      <c r="AH2129" s="19">
        <v>0</v>
      </c>
      <c r="AI2129" s="19">
        <v>7</v>
      </c>
      <c r="AJ2129" s="19">
        <v>0</v>
      </c>
      <c r="AK2129" s="19">
        <v>0</v>
      </c>
      <c r="AL2129" s="19">
        <v>6</v>
      </c>
      <c r="AM2129" s="19">
        <v>0</v>
      </c>
      <c r="AN2129" s="19">
        <v>0</v>
      </c>
      <c r="AO2129" s="19">
        <v>0</v>
      </c>
      <c r="AP2129" s="19">
        <v>0</v>
      </c>
      <c r="AQ2129" s="19">
        <v>1000</v>
      </c>
      <c r="AR2129" s="19">
        <v>0</v>
      </c>
      <c r="AS2129" s="19">
        <v>0</v>
      </c>
      <c r="AT2129" s="19">
        <v>0</v>
      </c>
      <c r="AU2129" s="341" t="s">
        <v>4840</v>
      </c>
      <c r="AV2129" s="19"/>
      <c r="AW2129" s="30" t="s">
        <v>205</v>
      </c>
      <c r="AX2129" s="19">
        <v>0</v>
      </c>
      <c r="AY2129" s="19" t="s">
        <v>204</v>
      </c>
      <c r="AZ2129" s="19">
        <v>0</v>
      </c>
      <c r="BA2129" s="20" t="s">
        <v>206</v>
      </c>
      <c r="BB2129" s="19">
        <v>0</v>
      </c>
      <c r="BC2129" s="31">
        <v>0</v>
      </c>
      <c r="BD2129" s="31">
        <v>0</v>
      </c>
      <c r="BE2129" s="33" t="s">
        <v>4841</v>
      </c>
      <c r="BF2129" s="33" t="s">
        <v>4842</v>
      </c>
      <c r="BG2129" s="19">
        <v>0</v>
      </c>
      <c r="BH2129" s="21">
        <v>0</v>
      </c>
      <c r="BI2129" s="19"/>
      <c r="BJ2129" s="19"/>
      <c r="BK2129" s="19"/>
      <c r="BL2129" s="19">
        <v>80002022</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80001023</v>
      </c>
      <c r="D2130" s="30" t="s">
        <v>300</v>
      </c>
      <c r="E2130" s="279" t="s">
        <v>301</v>
      </c>
      <c r="F2130" s="21">
        <v>1</v>
      </c>
      <c r="G2130" s="21">
        <v>80001023</v>
      </c>
      <c r="H2130" s="32">
        <v>0</v>
      </c>
      <c r="I2130" s="31">
        <v>0</v>
      </c>
      <c r="J2130" s="32">
        <v>1</v>
      </c>
      <c r="K2130" s="32">
        <v>0</v>
      </c>
      <c r="L2130" s="32">
        <v>0</v>
      </c>
      <c r="M2130" s="21">
        <v>0</v>
      </c>
      <c r="N2130" s="21">
        <v>0</v>
      </c>
      <c r="O2130" s="21">
        <v>2</v>
      </c>
      <c r="P2130" s="21">
        <v>9</v>
      </c>
      <c r="Q2130" s="21">
        <v>0.15</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10</v>
      </c>
      <c r="AG2130" s="21">
        <v>0</v>
      </c>
      <c r="AH2130" s="21">
        <v>3</v>
      </c>
      <c r="AI2130" s="19">
        <v>7</v>
      </c>
      <c r="AJ2130" s="19">
        <v>0</v>
      </c>
      <c r="AK2130" s="19">
        <v>0</v>
      </c>
      <c r="AL2130" s="19">
        <v>10</v>
      </c>
      <c r="AM2130" s="21">
        <v>0</v>
      </c>
      <c r="AN2130" s="21">
        <v>0</v>
      </c>
      <c r="AO2130" s="21">
        <v>0</v>
      </c>
      <c r="AP2130" s="21">
        <v>0</v>
      </c>
      <c r="AQ2130" s="21">
        <v>3000</v>
      </c>
      <c r="AR2130" s="21">
        <v>0.5</v>
      </c>
      <c r="AS2130" s="21">
        <v>0</v>
      </c>
      <c r="AT2130" s="19">
        <v>0</v>
      </c>
      <c r="AU2130" s="21">
        <v>80001003</v>
      </c>
      <c r="AV2130" s="21"/>
      <c r="AW2130" s="30" t="s">
        <v>205</v>
      </c>
      <c r="AX2130" s="21">
        <v>0</v>
      </c>
      <c r="AY2130" s="32">
        <v>0</v>
      </c>
      <c r="AZ2130" s="32">
        <v>0</v>
      </c>
      <c r="BA2130" s="30" t="s">
        <v>206</v>
      </c>
      <c r="BB2130" s="21">
        <v>0</v>
      </c>
      <c r="BC2130" s="31">
        <v>0</v>
      </c>
      <c r="BD2130" s="31">
        <v>0</v>
      </c>
      <c r="BE2130" s="33" t="s">
        <v>4843</v>
      </c>
      <c r="BF2130" s="33" t="s">
        <v>4844</v>
      </c>
      <c r="BG2130" s="21"/>
      <c r="BH2130" s="21">
        <v>0</v>
      </c>
      <c r="BI2130" s="21"/>
      <c r="BJ2130" s="21"/>
      <c r="BK2130" s="21"/>
      <c r="BL2130" s="21">
        <v>80002023</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80001024</v>
      </c>
      <c r="D2131" s="30" t="s">
        <v>4845</v>
      </c>
      <c r="E2131" s="279" t="s">
        <v>4846</v>
      </c>
      <c r="F2131" s="21">
        <v>1</v>
      </c>
      <c r="G2131" s="21">
        <v>80001024</v>
      </c>
      <c r="H2131" s="32">
        <v>0</v>
      </c>
      <c r="I2131" s="31">
        <v>0</v>
      </c>
      <c r="J2131" s="32">
        <v>1</v>
      </c>
      <c r="K2131" s="32">
        <v>0</v>
      </c>
      <c r="L2131" s="32">
        <v>0</v>
      </c>
      <c r="M2131" s="21">
        <v>0</v>
      </c>
      <c r="N2131" s="21">
        <v>0</v>
      </c>
      <c r="O2131" s="21">
        <v>5</v>
      </c>
      <c r="P2131" s="21">
        <v>0</v>
      </c>
      <c r="Q2131" s="21">
        <v>0</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9</v>
      </c>
      <c r="AG2131" s="21">
        <v>2</v>
      </c>
      <c r="AH2131" s="21" t="s">
        <v>219</v>
      </c>
      <c r="AI2131" s="19">
        <v>2</v>
      </c>
      <c r="AJ2131" s="19">
        <v>2</v>
      </c>
      <c r="AK2131" s="19">
        <v>0</v>
      </c>
      <c r="AL2131" s="19">
        <v>1.5</v>
      </c>
      <c r="AM2131" s="21">
        <v>0</v>
      </c>
      <c r="AN2131" s="21">
        <v>0</v>
      </c>
      <c r="AO2131" s="21">
        <v>0</v>
      </c>
      <c r="AP2131" s="21">
        <v>0</v>
      </c>
      <c r="AQ2131" s="21">
        <v>3000</v>
      </c>
      <c r="AR2131" s="21">
        <v>0.5</v>
      </c>
      <c r="AS2131" s="21">
        <v>0</v>
      </c>
      <c r="AT2131" s="19">
        <v>0</v>
      </c>
      <c r="AU2131" s="21" t="s">
        <v>204</v>
      </c>
      <c r="AV2131" s="21"/>
      <c r="AW2131" s="30" t="s">
        <v>205</v>
      </c>
      <c r="AX2131" s="21">
        <v>0</v>
      </c>
      <c r="AY2131" s="32">
        <v>0</v>
      </c>
      <c r="AZ2131" s="32">
        <v>0</v>
      </c>
      <c r="BA2131" s="30" t="s">
        <v>206</v>
      </c>
      <c r="BB2131" s="21" t="s">
        <v>4847</v>
      </c>
      <c r="BC2131" s="31">
        <v>0</v>
      </c>
      <c r="BD2131" s="31">
        <v>0</v>
      </c>
      <c r="BE2131" s="33" t="s">
        <v>4848</v>
      </c>
      <c r="BF2131" s="33" t="s">
        <v>4849</v>
      </c>
      <c r="BG2131" s="21"/>
      <c r="BH2131" s="21">
        <v>0</v>
      </c>
      <c r="BI2131" s="21"/>
      <c r="BJ2131" s="21"/>
      <c r="BK2131" s="21"/>
      <c r="BL2131" s="21">
        <v>80002024</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80001025</v>
      </c>
      <c r="D2132" s="30" t="s">
        <v>4850</v>
      </c>
      <c r="E2132" s="279" t="s">
        <v>4851</v>
      </c>
      <c r="F2132" s="32">
        <v>1</v>
      </c>
      <c r="G2132" s="21">
        <v>80001025</v>
      </c>
      <c r="H2132" s="19">
        <v>0</v>
      </c>
      <c r="I2132" s="19">
        <v>0</v>
      </c>
      <c r="J2132" s="32">
        <v>1</v>
      </c>
      <c r="K2132" s="32">
        <v>0</v>
      </c>
      <c r="L2132" s="19">
        <v>0</v>
      </c>
      <c r="M2132" s="19">
        <v>0</v>
      </c>
      <c r="N2132" s="19">
        <v>0</v>
      </c>
      <c r="O2132" s="19">
        <v>2</v>
      </c>
      <c r="P2132" s="19">
        <v>10</v>
      </c>
      <c r="Q2132" s="19">
        <v>0.05</v>
      </c>
      <c r="R2132" s="19">
        <v>0</v>
      </c>
      <c r="S2132" s="19">
        <v>0</v>
      </c>
      <c r="T2132" s="19">
        <v>0</v>
      </c>
      <c r="U2132" s="21">
        <v>1</v>
      </c>
      <c r="V2132" s="19">
        <v>2</v>
      </c>
      <c r="W2132" s="19">
        <v>0</v>
      </c>
      <c r="X2132" s="19">
        <v>2.5</v>
      </c>
      <c r="Y2132" s="19">
        <v>0</v>
      </c>
      <c r="Z2132" s="19">
        <v>0</v>
      </c>
      <c r="AA2132" s="19">
        <v>0</v>
      </c>
      <c r="AB2132" s="19">
        <v>0</v>
      </c>
      <c r="AC2132" s="19">
        <v>0</v>
      </c>
      <c r="AD2132" s="32">
        <v>0</v>
      </c>
      <c r="AE2132" s="19">
        <v>0</v>
      </c>
      <c r="AF2132" s="19">
        <v>15</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t="s">
        <v>204</v>
      </c>
      <c r="AV2132" s="19"/>
      <c r="AW2132" s="30" t="s">
        <v>205</v>
      </c>
      <c r="AX2132" s="19" t="s">
        <v>1849</v>
      </c>
      <c r="AY2132" s="19" t="s">
        <v>204</v>
      </c>
      <c r="AZ2132" s="19" t="s">
        <v>2081</v>
      </c>
      <c r="BA2132" s="20" t="s">
        <v>206</v>
      </c>
      <c r="BB2132" s="19">
        <v>0</v>
      </c>
      <c r="BC2132" s="31">
        <v>0</v>
      </c>
      <c r="BD2132" s="31">
        <v>0</v>
      </c>
      <c r="BE2132" s="22" t="s">
        <v>4852</v>
      </c>
      <c r="BF2132" s="22" t="s">
        <v>4853</v>
      </c>
      <c r="BG2132" s="19">
        <v>0</v>
      </c>
      <c r="BH2132" s="21">
        <v>0</v>
      </c>
      <c r="BI2132" s="19"/>
      <c r="BJ2132" s="19"/>
      <c r="BK2132" s="19"/>
      <c r="BL2132" s="19">
        <v>80002025</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80001026</v>
      </c>
      <c r="D2133" s="30" t="s">
        <v>3211</v>
      </c>
      <c r="E2133" s="279" t="s">
        <v>3528</v>
      </c>
      <c r="F2133" s="32">
        <v>1</v>
      </c>
      <c r="G2133" s="21">
        <v>80001026</v>
      </c>
      <c r="H2133" s="19">
        <v>0</v>
      </c>
      <c r="I2133" s="19">
        <v>0</v>
      </c>
      <c r="J2133" s="32">
        <v>1</v>
      </c>
      <c r="K2133" s="32">
        <v>0</v>
      </c>
      <c r="L2133" s="19">
        <v>0</v>
      </c>
      <c r="M2133" s="19">
        <v>0</v>
      </c>
      <c r="N2133" s="19">
        <v>0</v>
      </c>
      <c r="O2133" s="19">
        <v>2</v>
      </c>
      <c r="P2133" s="19">
        <v>1</v>
      </c>
      <c r="Q2133" s="19">
        <v>0.1</v>
      </c>
      <c r="R2133" s="19">
        <v>0</v>
      </c>
      <c r="S2133" s="19">
        <v>0</v>
      </c>
      <c r="T2133" s="19">
        <v>0</v>
      </c>
      <c r="U2133" s="21">
        <v>1</v>
      </c>
      <c r="V2133" s="19">
        <v>2</v>
      </c>
      <c r="W2133" s="19">
        <v>0</v>
      </c>
      <c r="X2133" s="19">
        <v>0</v>
      </c>
      <c r="Y2133" s="19">
        <v>0</v>
      </c>
      <c r="Z2133" s="19">
        <v>0</v>
      </c>
      <c r="AA2133" s="19">
        <v>0</v>
      </c>
      <c r="AB2133" s="19">
        <v>0</v>
      </c>
      <c r="AC2133" s="19">
        <v>0</v>
      </c>
      <c r="AD2133" s="32">
        <v>0</v>
      </c>
      <c r="AE2133" s="19">
        <v>0</v>
      </c>
      <c r="AF2133" s="19">
        <v>10</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v>80001004</v>
      </c>
      <c r="AV2133" s="19"/>
      <c r="AW2133" s="30" t="s">
        <v>205</v>
      </c>
      <c r="AX2133" s="19">
        <v>0</v>
      </c>
      <c r="AY2133" s="19" t="s">
        <v>204</v>
      </c>
      <c r="AZ2133" s="19">
        <v>0</v>
      </c>
      <c r="BA2133" s="20" t="s">
        <v>206</v>
      </c>
      <c r="BB2133" s="19">
        <v>0</v>
      </c>
      <c r="BC2133" s="31">
        <v>0</v>
      </c>
      <c r="BD2133" s="31">
        <v>0</v>
      </c>
      <c r="BE2133" s="22" t="s">
        <v>4854</v>
      </c>
      <c r="BF2133" s="22" t="s">
        <v>4855</v>
      </c>
      <c r="BG2133" s="19">
        <v>0</v>
      </c>
      <c r="BH2133" s="21">
        <v>0</v>
      </c>
      <c r="BI2133" s="19"/>
      <c r="BJ2133" s="19"/>
      <c r="BK2133" s="19"/>
      <c r="BL2133" s="19">
        <v>80002026</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80001027</v>
      </c>
      <c r="D2134" s="30" t="s">
        <v>4856</v>
      </c>
      <c r="E2134" s="279" t="s">
        <v>4857</v>
      </c>
      <c r="F2134" s="21">
        <v>1</v>
      </c>
      <c r="G2134" s="21">
        <v>80001027</v>
      </c>
      <c r="H2134" s="32">
        <v>0</v>
      </c>
      <c r="I2134" s="31">
        <v>0</v>
      </c>
      <c r="J2134" s="32">
        <v>1</v>
      </c>
      <c r="K2134" s="32">
        <v>0</v>
      </c>
      <c r="L2134" s="32">
        <v>0</v>
      </c>
      <c r="M2134" s="21">
        <v>0</v>
      </c>
      <c r="N2134" s="21">
        <v>0</v>
      </c>
      <c r="O2134" s="21">
        <v>5</v>
      </c>
      <c r="P2134" s="21">
        <v>0</v>
      </c>
      <c r="Q2134" s="21">
        <v>0</v>
      </c>
      <c r="R2134" s="21">
        <v>0</v>
      </c>
      <c r="S2134" s="19">
        <v>0</v>
      </c>
      <c r="T2134" s="21">
        <v>0</v>
      </c>
      <c r="U2134" s="21">
        <v>1</v>
      </c>
      <c r="V2134" s="21">
        <v>2</v>
      </c>
      <c r="W2134" s="21">
        <v>0</v>
      </c>
      <c r="X2134" s="21">
        <v>0</v>
      </c>
      <c r="Y2134" s="19">
        <v>0</v>
      </c>
      <c r="Z2134" s="21">
        <v>0</v>
      </c>
      <c r="AA2134" s="21">
        <v>0</v>
      </c>
      <c r="AB2134" s="21">
        <v>0</v>
      </c>
      <c r="AC2134" s="21">
        <v>0</v>
      </c>
      <c r="AD2134" s="21">
        <v>0</v>
      </c>
      <c r="AE2134" s="21">
        <v>0</v>
      </c>
      <c r="AF2134" s="21">
        <v>9</v>
      </c>
      <c r="AG2134" s="21">
        <v>2</v>
      </c>
      <c r="AH2134" s="21" t="s">
        <v>219</v>
      </c>
      <c r="AI2134" s="19">
        <v>2</v>
      </c>
      <c r="AJ2134" s="19">
        <v>2</v>
      </c>
      <c r="AK2134" s="19">
        <v>0</v>
      </c>
      <c r="AL2134" s="19">
        <v>1.5</v>
      </c>
      <c r="AM2134" s="21">
        <v>0</v>
      </c>
      <c r="AN2134" s="21">
        <v>0</v>
      </c>
      <c r="AO2134" s="21">
        <v>0</v>
      </c>
      <c r="AP2134" s="21">
        <v>0</v>
      </c>
      <c r="AQ2134" s="21">
        <v>3000</v>
      </c>
      <c r="AR2134" s="21">
        <v>0.5</v>
      </c>
      <c r="AS2134" s="21">
        <v>0</v>
      </c>
      <c r="AT2134" s="19">
        <v>0</v>
      </c>
      <c r="AU2134" s="21" t="s">
        <v>204</v>
      </c>
      <c r="AV2134" s="21"/>
      <c r="AW2134" s="30" t="s">
        <v>205</v>
      </c>
      <c r="AX2134" s="21">
        <v>0</v>
      </c>
      <c r="AY2134" s="32">
        <v>0</v>
      </c>
      <c r="AZ2134" s="32">
        <v>0</v>
      </c>
      <c r="BA2134" s="30" t="s">
        <v>206</v>
      </c>
      <c r="BB2134" s="21" t="s">
        <v>4858</v>
      </c>
      <c r="BC2134" s="31">
        <v>0</v>
      </c>
      <c r="BD2134" s="31">
        <v>0</v>
      </c>
      <c r="BE2134" s="33" t="s">
        <v>4859</v>
      </c>
      <c r="BF2134" s="33" t="s">
        <v>4860</v>
      </c>
      <c r="BG2134" s="21"/>
      <c r="BH2134" s="21">
        <v>0</v>
      </c>
      <c r="BI2134" s="21"/>
      <c r="BJ2134" s="21"/>
      <c r="BK2134" s="21"/>
      <c r="BL2134" s="21">
        <v>80002027</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80001028</v>
      </c>
      <c r="D2135" s="30" t="s">
        <v>2076</v>
      </c>
      <c r="E2135" s="279" t="s">
        <v>4861</v>
      </c>
      <c r="F2135" s="21">
        <v>1</v>
      </c>
      <c r="G2135" s="21">
        <v>80001028</v>
      </c>
      <c r="H2135" s="32">
        <v>0</v>
      </c>
      <c r="I2135" s="31">
        <v>0</v>
      </c>
      <c r="J2135" s="32">
        <v>1</v>
      </c>
      <c r="K2135" s="32">
        <v>0</v>
      </c>
      <c r="L2135" s="32">
        <v>0</v>
      </c>
      <c r="M2135" s="21">
        <v>0</v>
      </c>
      <c r="N2135" s="21">
        <v>0</v>
      </c>
      <c r="O2135" s="21">
        <v>2</v>
      </c>
      <c r="P2135" s="21">
        <v>9</v>
      </c>
      <c r="Q2135" s="21">
        <v>0.05</v>
      </c>
      <c r="R2135" s="21">
        <v>0</v>
      </c>
      <c r="S2135" s="19">
        <v>0</v>
      </c>
      <c r="T2135" s="21">
        <v>0</v>
      </c>
      <c r="U2135" s="21">
        <v>1</v>
      </c>
      <c r="V2135" s="21">
        <v>1</v>
      </c>
      <c r="W2135" s="21">
        <v>0</v>
      </c>
      <c r="X2135" s="21">
        <v>2</v>
      </c>
      <c r="Y2135" s="19">
        <v>0</v>
      </c>
      <c r="Z2135" s="21">
        <v>0</v>
      </c>
      <c r="AA2135" s="21">
        <v>0</v>
      </c>
      <c r="AB2135" s="21">
        <v>0</v>
      </c>
      <c r="AC2135" s="21">
        <v>0</v>
      </c>
      <c r="AD2135" s="21">
        <v>0</v>
      </c>
      <c r="AE2135" s="21">
        <v>0</v>
      </c>
      <c r="AF2135" s="21">
        <v>3</v>
      </c>
      <c r="AG2135" s="21">
        <v>2</v>
      </c>
      <c r="AH2135" s="21" t="s">
        <v>219</v>
      </c>
      <c r="AI2135" s="19">
        <v>0</v>
      </c>
      <c r="AJ2135" s="19">
        <v>0</v>
      </c>
      <c r="AK2135" s="19">
        <v>0</v>
      </c>
      <c r="AL2135" s="19">
        <v>1.5</v>
      </c>
      <c r="AM2135" s="21">
        <v>0</v>
      </c>
      <c r="AN2135" s="21">
        <v>0</v>
      </c>
      <c r="AO2135" s="21">
        <v>0</v>
      </c>
      <c r="AP2135" s="21">
        <v>0</v>
      </c>
      <c r="AQ2135" s="21">
        <v>3000</v>
      </c>
      <c r="AR2135" s="21">
        <v>0.5</v>
      </c>
      <c r="AS2135" s="21">
        <v>0</v>
      </c>
      <c r="AT2135" s="19">
        <v>0</v>
      </c>
      <c r="AU2135" s="21">
        <v>0</v>
      </c>
      <c r="AV2135" s="21"/>
      <c r="AW2135" s="30" t="s">
        <v>205</v>
      </c>
      <c r="AX2135" s="21">
        <v>0</v>
      </c>
      <c r="AY2135" s="32">
        <v>10000007</v>
      </c>
      <c r="AZ2135" s="32">
        <v>23000040</v>
      </c>
      <c r="BA2135" s="30" t="s">
        <v>206</v>
      </c>
      <c r="BB2135" s="21">
        <v>0</v>
      </c>
      <c r="BC2135" s="31">
        <v>0</v>
      </c>
      <c r="BD2135" s="31">
        <v>1</v>
      </c>
      <c r="BE2135" s="33" t="s">
        <v>4862</v>
      </c>
      <c r="BF2135" s="33" t="s">
        <v>4863</v>
      </c>
      <c r="BG2135" s="21">
        <v>0</v>
      </c>
      <c r="BH2135" s="21">
        <v>0</v>
      </c>
      <c r="BI2135" s="21"/>
      <c r="BJ2135" s="21"/>
      <c r="BK2135" s="21"/>
      <c r="BL2135" s="21">
        <v>80002028</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80002001</v>
      </c>
      <c r="D2136" s="30" t="s">
        <v>4864</v>
      </c>
      <c r="E2136" s="279" t="s">
        <v>4865</v>
      </c>
      <c r="F2136" s="21">
        <v>1</v>
      </c>
      <c r="G2136" s="21">
        <v>80002001</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4866</v>
      </c>
      <c r="BC2136" s="31">
        <v>0</v>
      </c>
      <c r="BD2136" s="31">
        <v>0</v>
      </c>
      <c r="BE2136" s="33" t="s">
        <v>4867</v>
      </c>
      <c r="BF2136" s="33" t="s">
        <v>4868</v>
      </c>
      <c r="BG2136" s="21">
        <v>0</v>
      </c>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80002002</v>
      </c>
      <c r="D2137" s="30" t="s">
        <v>4869</v>
      </c>
      <c r="E2137" s="279" t="s">
        <v>4870</v>
      </c>
      <c r="F2137" s="21">
        <v>1</v>
      </c>
      <c r="G2137" s="21">
        <v>80002002</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2307</v>
      </c>
      <c r="BC2137" s="31">
        <v>0</v>
      </c>
      <c r="BD2137" s="31">
        <v>0</v>
      </c>
      <c r="BE2137" s="33" t="s">
        <v>2308</v>
      </c>
      <c r="BF2137" s="33" t="s">
        <v>2309</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80002003</v>
      </c>
      <c r="D2138" s="30" t="s">
        <v>4871</v>
      </c>
      <c r="E2138" s="279" t="s">
        <v>4872</v>
      </c>
      <c r="F2138" s="21">
        <v>1</v>
      </c>
      <c r="G2138" s="21">
        <v>80002003</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4873</v>
      </c>
      <c r="BC2138" s="31">
        <v>0</v>
      </c>
      <c r="BD2138" s="31">
        <v>0</v>
      </c>
      <c r="BE2138" s="33" t="s">
        <v>4874</v>
      </c>
      <c r="BF2138" s="33" t="s">
        <v>4875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80002004</v>
      </c>
      <c r="D2139" s="30" t="s">
        <v>4876</v>
      </c>
      <c r="E2139" s="279" t="s">
        <v>4877</v>
      </c>
      <c r="F2139" s="21">
        <v>1</v>
      </c>
      <c r="G2139" s="21">
        <v>80002004</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4878</v>
      </c>
      <c r="BC2139" s="31">
        <v>0</v>
      </c>
      <c r="BD2139" s="31">
        <v>0</v>
      </c>
      <c r="BE2139" s="33" t="s">
        <v>4879</v>
      </c>
      <c r="BF2139" s="33" t="s">
        <v>4880</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80002005</v>
      </c>
      <c r="D2140" s="30" t="s">
        <v>4881</v>
      </c>
      <c r="E2140" s="279" t="s">
        <v>4882</v>
      </c>
      <c r="F2140" s="21">
        <v>1</v>
      </c>
      <c r="G2140" s="21">
        <v>80002005</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4883</v>
      </c>
      <c r="BC2140" s="31">
        <v>0</v>
      </c>
      <c r="BD2140" s="31">
        <v>0</v>
      </c>
      <c r="BE2140" s="33" t="s">
        <v>4884</v>
      </c>
      <c r="BF2140" s="33" t="s">
        <v>4885</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80002006</v>
      </c>
      <c r="D2141" s="30" t="s">
        <v>4886</v>
      </c>
      <c r="E2141" s="279" t="s">
        <v>4887</v>
      </c>
      <c r="F2141" s="21">
        <v>1</v>
      </c>
      <c r="G2141" s="21">
        <v>80002006</v>
      </c>
      <c r="H2141" s="32">
        <v>0</v>
      </c>
      <c r="I2141" s="31">
        <v>0</v>
      </c>
      <c r="J2141" s="32">
        <v>1</v>
      </c>
      <c r="K2141" s="32">
        <v>0</v>
      </c>
      <c r="L2141" s="32">
        <v>0</v>
      </c>
      <c r="M2141" s="21">
        <v>0</v>
      </c>
      <c r="N2141" s="21">
        <v>0</v>
      </c>
      <c r="O2141" s="21">
        <v>5</v>
      </c>
      <c r="P2141" s="180">
        <v>0</v>
      </c>
      <c r="Q2141" s="180">
        <v>0</v>
      </c>
      <c r="R2141" s="180">
        <v>0</v>
      </c>
      <c r="S2141" s="19">
        <v>0</v>
      </c>
      <c r="T2141" s="180">
        <v>0</v>
      </c>
      <c r="U2141" s="180">
        <v>1</v>
      </c>
      <c r="V2141" s="180">
        <v>2</v>
      </c>
      <c r="W2141" s="180">
        <v>0</v>
      </c>
      <c r="X2141" s="21">
        <v>1</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180" t="s">
        <v>4888</v>
      </c>
      <c r="BC2141" s="31">
        <v>0</v>
      </c>
      <c r="BD2141" s="31">
        <v>0</v>
      </c>
      <c r="BE2141" s="243" t="s">
        <v>4889</v>
      </c>
      <c r="BF2141" s="243" t="s">
        <v>4890</v>
      </c>
      <c r="BG2141" s="21"/>
      <c r="BH2141" s="21">
        <v>0</v>
      </c>
      <c r="BI2141" s="21"/>
      <c r="BJ2141" s="21"/>
      <c r="BK2141" s="21"/>
      <c r="BL2141" s="180"/>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80002007</v>
      </c>
      <c r="D2142" s="30" t="s">
        <v>4891</v>
      </c>
      <c r="E2142" s="279" t="s">
        <v>4892</v>
      </c>
      <c r="F2142" s="21">
        <v>1</v>
      </c>
      <c r="G2142" s="21">
        <v>80002007</v>
      </c>
      <c r="H2142" s="32">
        <v>0</v>
      </c>
      <c r="I2142" s="31">
        <v>0</v>
      </c>
      <c r="J2142" s="32">
        <v>1</v>
      </c>
      <c r="K2142" s="32">
        <v>0</v>
      </c>
      <c r="L2142" s="32">
        <v>0</v>
      </c>
      <c r="M2142" s="21">
        <v>0</v>
      </c>
      <c r="N2142" s="21">
        <v>0</v>
      </c>
      <c r="O2142" s="21">
        <v>2</v>
      </c>
      <c r="P2142" s="21">
        <v>3</v>
      </c>
      <c r="Q2142" s="21">
        <v>0.2</v>
      </c>
      <c r="R2142" s="21">
        <v>0</v>
      </c>
      <c r="S2142" s="19">
        <v>0</v>
      </c>
      <c r="T2142" s="21">
        <v>0</v>
      </c>
      <c r="U2142" s="21">
        <v>1</v>
      </c>
      <c r="V2142" s="21">
        <v>2</v>
      </c>
      <c r="W2142" s="21">
        <v>0</v>
      </c>
      <c r="X2142" s="21">
        <v>1</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4780</v>
      </c>
      <c r="BF2142" s="33" t="s">
        <v>4781</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80002008</v>
      </c>
      <c r="D2143" s="30" t="s">
        <v>4893</v>
      </c>
      <c r="E2143" s="279" t="s">
        <v>4894</v>
      </c>
      <c r="F2143" s="21">
        <v>1</v>
      </c>
      <c r="G2143" s="21">
        <v>80002008</v>
      </c>
      <c r="H2143" s="32">
        <v>0</v>
      </c>
      <c r="I2143" s="31">
        <v>0</v>
      </c>
      <c r="J2143" s="32">
        <v>1</v>
      </c>
      <c r="K2143" s="32">
        <v>0</v>
      </c>
      <c r="L2143" s="32">
        <v>0</v>
      </c>
      <c r="M2143" s="21">
        <v>0</v>
      </c>
      <c r="N2143" s="21">
        <v>0</v>
      </c>
      <c r="O2143" s="21">
        <v>2</v>
      </c>
      <c r="P2143" s="21">
        <v>3</v>
      </c>
      <c r="Q2143" s="21">
        <v>0.5</v>
      </c>
      <c r="R2143" s="21">
        <v>0</v>
      </c>
      <c r="S2143" s="19">
        <v>0</v>
      </c>
      <c r="T2143" s="21">
        <v>0</v>
      </c>
      <c r="U2143" s="21">
        <v>1</v>
      </c>
      <c r="V2143" s="21">
        <v>2</v>
      </c>
      <c r="W2143" s="21">
        <v>0</v>
      </c>
      <c r="X2143" s="21">
        <v>0.5</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4895</v>
      </c>
      <c r="BF2143" s="33" t="s">
        <v>4896</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80002009</v>
      </c>
      <c r="D2144" s="30" t="s">
        <v>4897</v>
      </c>
      <c r="E2144" s="279" t="s">
        <v>4898</v>
      </c>
      <c r="F2144" s="21">
        <v>1</v>
      </c>
      <c r="G2144" s="21">
        <v>80002009</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4899</v>
      </c>
      <c r="BC2144" s="31">
        <v>0</v>
      </c>
      <c r="BD2144" s="31">
        <v>0</v>
      </c>
      <c r="BE2144" s="33" t="s">
        <v>4900</v>
      </c>
      <c r="BF2144" s="33" t="s">
        <v>4901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80002010</v>
      </c>
      <c r="D2145" s="30" t="s">
        <v>4902</v>
      </c>
      <c r="E2145" s="279" t="s">
        <v>4903</v>
      </c>
      <c r="F2145" s="21">
        <v>1</v>
      </c>
      <c r="G2145" s="21">
        <v>80002010</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4904</v>
      </c>
      <c r="BC2145" s="31">
        <v>0</v>
      </c>
      <c r="BD2145" s="31">
        <v>0</v>
      </c>
      <c r="BE2145" s="33" t="s">
        <v>2087</v>
      </c>
      <c r="BF2145" s="33" t="s">
        <v>2088</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80002011</v>
      </c>
      <c r="D2146" s="30" t="s">
        <v>4905</v>
      </c>
      <c r="E2146" s="279" t="s">
        <v>4906</v>
      </c>
      <c r="F2146" s="21">
        <v>1</v>
      </c>
      <c r="G2146" s="21">
        <v>80002011</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4907</v>
      </c>
      <c r="BC2146" s="31">
        <v>0</v>
      </c>
      <c r="BD2146" s="31">
        <v>0</v>
      </c>
      <c r="BE2146" s="33" t="s">
        <v>4908</v>
      </c>
      <c r="BF2146" s="33" t="s">
        <v>4909</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80002012</v>
      </c>
      <c r="D2147" s="30" t="s">
        <v>4910</v>
      </c>
      <c r="E2147" s="279" t="s">
        <v>4911</v>
      </c>
      <c r="F2147" s="21">
        <v>1</v>
      </c>
      <c r="G2147" s="21">
        <v>80002012</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4912</v>
      </c>
      <c r="BC2147" s="31">
        <v>0</v>
      </c>
      <c r="BD2147" s="31">
        <v>0</v>
      </c>
      <c r="BE2147" s="33" t="s">
        <v>4913</v>
      </c>
      <c r="BF2147" s="33" t="s">
        <v>4914</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80002013</v>
      </c>
      <c r="D2148" s="30" t="s">
        <v>4915</v>
      </c>
      <c r="E2148" s="279" t="s">
        <v>4916</v>
      </c>
      <c r="F2148" s="21">
        <v>1</v>
      </c>
      <c r="G2148" s="21">
        <v>80002013</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4917</v>
      </c>
      <c r="BC2148" s="31">
        <v>0</v>
      </c>
      <c r="BD2148" s="31">
        <v>0</v>
      </c>
      <c r="BE2148" s="33" t="s">
        <v>4918</v>
      </c>
      <c r="BF2148" s="33" t="s">
        <v>4919</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80002014</v>
      </c>
      <c r="D2149" s="30" t="s">
        <v>4920</v>
      </c>
      <c r="E2149" s="279" t="s">
        <v>4921</v>
      </c>
      <c r="F2149" s="21">
        <v>1</v>
      </c>
      <c r="G2149" s="21">
        <v>80002014</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4922</v>
      </c>
      <c r="BC2149" s="31">
        <v>0</v>
      </c>
      <c r="BD2149" s="31">
        <v>0</v>
      </c>
      <c r="BE2149" s="33" t="s">
        <v>4923</v>
      </c>
      <c r="BF2149" s="33" t="s">
        <v>4924</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180">
        <v>80002015</v>
      </c>
      <c r="D2150" s="179" t="s">
        <v>4925</v>
      </c>
      <c r="E2150" s="279" t="s">
        <v>4926</v>
      </c>
      <c r="F2150" s="180">
        <v>1</v>
      </c>
      <c r="G2150" s="180">
        <v>80002015</v>
      </c>
      <c r="H2150" s="180">
        <v>0</v>
      </c>
      <c r="I2150" s="180">
        <v>0</v>
      </c>
      <c r="J2150" s="32">
        <v>1</v>
      </c>
      <c r="K2150" s="32">
        <v>0</v>
      </c>
      <c r="L2150" s="180">
        <v>0</v>
      </c>
      <c r="M2150" s="180">
        <v>0</v>
      </c>
      <c r="N2150" s="180">
        <v>0</v>
      </c>
      <c r="O2150" s="180">
        <v>2</v>
      </c>
      <c r="P2150" s="180">
        <v>0</v>
      </c>
      <c r="Q2150" s="180">
        <v>0</v>
      </c>
      <c r="R2150" s="180">
        <v>0</v>
      </c>
      <c r="S2150" s="19">
        <v>0</v>
      </c>
      <c r="T2150" s="180">
        <v>0</v>
      </c>
      <c r="U2150" s="180">
        <v>1</v>
      </c>
      <c r="V2150" s="180">
        <v>2</v>
      </c>
      <c r="W2150" s="180">
        <v>0</v>
      </c>
      <c r="X2150" s="180">
        <v>0</v>
      </c>
      <c r="Y2150" s="19">
        <v>0</v>
      </c>
      <c r="Z2150" s="180">
        <v>0</v>
      </c>
      <c r="AA2150" s="180">
        <v>0</v>
      </c>
      <c r="AB2150" s="180">
        <v>0</v>
      </c>
      <c r="AC2150" s="180">
        <v>0</v>
      </c>
      <c r="AD2150" s="180">
        <v>0</v>
      </c>
      <c r="AE2150" s="180">
        <v>0</v>
      </c>
      <c r="AF2150" s="180">
        <v>9</v>
      </c>
      <c r="AG2150" s="180">
        <v>2</v>
      </c>
      <c r="AH2150" s="180" t="s">
        <v>219</v>
      </c>
      <c r="AI2150" s="180">
        <v>2</v>
      </c>
      <c r="AJ2150" s="180">
        <v>2</v>
      </c>
      <c r="AK2150" s="19">
        <v>0</v>
      </c>
      <c r="AL2150" s="180">
        <v>1.5</v>
      </c>
      <c r="AM2150" s="180">
        <v>0</v>
      </c>
      <c r="AN2150" s="180">
        <v>0</v>
      </c>
      <c r="AO2150" s="180">
        <v>0</v>
      </c>
      <c r="AP2150" s="180">
        <v>1</v>
      </c>
      <c r="AQ2150" s="180">
        <v>3000</v>
      </c>
      <c r="AR2150" s="180">
        <v>0.5</v>
      </c>
      <c r="AS2150" s="180">
        <v>0</v>
      </c>
      <c r="AT2150" s="180">
        <v>0</v>
      </c>
      <c r="AU2150" s="180" t="s">
        <v>204</v>
      </c>
      <c r="AV2150" s="180"/>
      <c r="AW2150" s="30" t="s">
        <v>205</v>
      </c>
      <c r="AX2150" s="180">
        <v>0</v>
      </c>
      <c r="AY2150" s="180">
        <v>0</v>
      </c>
      <c r="AZ2150" s="180">
        <v>0</v>
      </c>
      <c r="BA2150" s="179" t="s">
        <v>206</v>
      </c>
      <c r="BB2150" s="180" t="s">
        <v>4927</v>
      </c>
      <c r="BC2150" s="180">
        <v>0</v>
      </c>
      <c r="BD2150" s="180">
        <v>0</v>
      </c>
      <c r="BE2150" s="243" t="s">
        <v>4928</v>
      </c>
      <c r="BF2150" s="243" t="s">
        <v>4929</v>
      </c>
      <c r="BG2150" s="180"/>
      <c r="BH2150" s="21">
        <v>0</v>
      </c>
      <c r="BI2150" s="180"/>
      <c r="BJ2150" s="180"/>
      <c r="BK2150" s="180"/>
      <c r="BL2150" s="180"/>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80002016</v>
      </c>
      <c r="D2151" s="30" t="s">
        <v>4930</v>
      </c>
      <c r="E2151" s="279" t="s">
        <v>4931</v>
      </c>
      <c r="F2151" s="21">
        <v>1</v>
      </c>
      <c r="G2151" s="21">
        <v>80002016</v>
      </c>
      <c r="H2151" s="32">
        <v>0</v>
      </c>
      <c r="I2151" s="31">
        <v>0</v>
      </c>
      <c r="J2151" s="32">
        <v>1</v>
      </c>
      <c r="K2151" s="32">
        <v>0</v>
      </c>
      <c r="L2151" s="32">
        <v>0</v>
      </c>
      <c r="M2151" s="21">
        <v>0</v>
      </c>
      <c r="N2151" s="21">
        <v>0</v>
      </c>
      <c r="O2151" s="21">
        <v>5</v>
      </c>
      <c r="P2151" s="21">
        <v>0</v>
      </c>
      <c r="Q2151" s="21">
        <v>0</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0</v>
      </c>
      <c r="AU2151" s="21" t="s">
        <v>204</v>
      </c>
      <c r="AV2151" s="21"/>
      <c r="AW2151" s="30" t="s">
        <v>205</v>
      </c>
      <c r="AX2151" s="21">
        <v>0</v>
      </c>
      <c r="AY2151" s="32">
        <v>0</v>
      </c>
      <c r="AZ2151" s="32">
        <v>0</v>
      </c>
      <c r="BA2151" s="30" t="s">
        <v>206</v>
      </c>
      <c r="BB2151" s="21" t="s">
        <v>4932</v>
      </c>
      <c r="BC2151" s="31">
        <v>0</v>
      </c>
      <c r="BD2151" s="31">
        <v>0</v>
      </c>
      <c r="BE2151" s="33" t="s">
        <v>4933</v>
      </c>
      <c r="BF2151" s="33" t="s">
        <v>4934</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80002017</v>
      </c>
      <c r="D2152" s="30" t="s">
        <v>4935</v>
      </c>
      <c r="E2152" s="279" t="s">
        <v>4936</v>
      </c>
      <c r="F2152" s="21">
        <v>1</v>
      </c>
      <c r="G2152" s="21">
        <v>80002017</v>
      </c>
      <c r="H2152" s="32">
        <v>0</v>
      </c>
      <c r="I2152" s="31">
        <v>0</v>
      </c>
      <c r="J2152" s="32">
        <v>1</v>
      </c>
      <c r="K2152" s="32">
        <v>0</v>
      </c>
      <c r="L2152" s="32">
        <v>0</v>
      </c>
      <c r="M2152" s="21">
        <v>0</v>
      </c>
      <c r="N2152" s="21">
        <v>0</v>
      </c>
      <c r="O2152" s="21">
        <v>2</v>
      </c>
      <c r="P2152" s="21">
        <v>3</v>
      </c>
      <c r="Q2152" s="21">
        <v>0.2</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80010171</v>
      </c>
      <c r="AU2152" s="21" t="s">
        <v>204</v>
      </c>
      <c r="AV2152" s="21"/>
      <c r="AW2152" s="30" t="s">
        <v>205</v>
      </c>
      <c r="AX2152" s="21">
        <v>0</v>
      </c>
      <c r="AY2152" s="32">
        <v>0</v>
      </c>
      <c r="AZ2152" s="32">
        <v>0</v>
      </c>
      <c r="BA2152" s="30" t="s">
        <v>206</v>
      </c>
      <c r="BB2152" s="21"/>
      <c r="BC2152" s="31">
        <v>0</v>
      </c>
      <c r="BD2152" s="31">
        <v>0</v>
      </c>
      <c r="BE2152" s="243" t="s">
        <v>4937</v>
      </c>
      <c r="BF2152" s="243" t="s">
        <v>4938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80002018</v>
      </c>
      <c r="D2153" s="30" t="s">
        <v>4939</v>
      </c>
      <c r="E2153" s="279" t="s">
        <v>4940</v>
      </c>
      <c r="F2153" s="21">
        <v>1</v>
      </c>
      <c r="G2153" s="21">
        <v>80002018</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4941</v>
      </c>
      <c r="BC2153" s="31">
        <v>0</v>
      </c>
      <c r="BD2153" s="31">
        <v>0</v>
      </c>
      <c r="BE2153" s="33" t="s">
        <v>4942</v>
      </c>
      <c r="BF2153" s="33" t="s">
        <v>4943</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80002019</v>
      </c>
      <c r="D2154" s="30" t="s">
        <v>4944</v>
      </c>
      <c r="E2154" s="279" t="s">
        <v>4945</v>
      </c>
      <c r="F2154" s="21">
        <v>1</v>
      </c>
      <c r="G2154" s="21">
        <v>80002019</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4946</v>
      </c>
      <c r="BC2154" s="31">
        <v>0</v>
      </c>
      <c r="BD2154" s="31">
        <v>0</v>
      </c>
      <c r="BE2154" s="33" t="s">
        <v>4947</v>
      </c>
      <c r="BF2154" s="33" t="s">
        <v>4948</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80002020</v>
      </c>
      <c r="D2155" s="30" t="s">
        <v>4949</v>
      </c>
      <c r="E2155" s="279" t="s">
        <v>4950</v>
      </c>
      <c r="F2155" s="21">
        <v>1</v>
      </c>
      <c r="G2155" s="21">
        <v>80002020</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4951</v>
      </c>
      <c r="BC2155" s="31">
        <v>0</v>
      </c>
      <c r="BD2155" s="31">
        <v>0</v>
      </c>
      <c r="BE2155" s="33" t="s">
        <v>4952</v>
      </c>
      <c r="BF2155" s="33" t="s">
        <v>4953</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25" customHeight="1">
      <c r="C2156" s="32">
        <v>80002021</v>
      </c>
      <c r="D2156" s="30" t="s">
        <v>4954</v>
      </c>
      <c r="E2156" s="279" t="s">
        <v>4955</v>
      </c>
      <c r="F2156" s="32">
        <v>1</v>
      </c>
      <c r="G2156" s="21">
        <v>80002021</v>
      </c>
      <c r="H2156" s="32">
        <v>0</v>
      </c>
      <c r="I2156" s="31">
        <v>0</v>
      </c>
      <c r="J2156" s="32">
        <v>1</v>
      </c>
      <c r="K2156" s="32">
        <v>0</v>
      </c>
      <c r="L2156" s="32">
        <v>0</v>
      </c>
      <c r="M2156" s="21">
        <v>0</v>
      </c>
      <c r="N2156" s="21">
        <v>0</v>
      </c>
      <c r="O2156" s="21">
        <v>2</v>
      </c>
      <c r="P2156" s="21">
        <v>10</v>
      </c>
      <c r="Q2156" s="21">
        <v>0.2</v>
      </c>
      <c r="R2156" s="21">
        <v>0</v>
      </c>
      <c r="S2156" s="19">
        <v>0</v>
      </c>
      <c r="T2156" s="21">
        <v>0</v>
      </c>
      <c r="U2156" s="21">
        <v>1</v>
      </c>
      <c r="V2156" s="21">
        <v>2</v>
      </c>
      <c r="W2156" s="21">
        <v>0</v>
      </c>
      <c r="X2156" s="21">
        <v>2</v>
      </c>
      <c r="Y2156" s="19">
        <v>0</v>
      </c>
      <c r="Z2156" s="21">
        <v>0</v>
      </c>
      <c r="AA2156" s="21">
        <v>0</v>
      </c>
      <c r="AB2156" s="21">
        <v>0</v>
      </c>
      <c r="AC2156" s="21">
        <v>0</v>
      </c>
      <c r="AD2156" s="21">
        <v>0</v>
      </c>
      <c r="AE2156" s="21">
        <v>0</v>
      </c>
      <c r="AF2156" s="21">
        <v>5</v>
      </c>
      <c r="AG2156" s="21">
        <v>1</v>
      </c>
      <c r="AH2156" s="21">
        <v>3</v>
      </c>
      <c r="AI2156" s="19">
        <v>1</v>
      </c>
      <c r="AJ2156" s="19">
        <v>1</v>
      </c>
      <c r="AK2156" s="19">
        <v>0</v>
      </c>
      <c r="AL2156" s="19">
        <v>3</v>
      </c>
      <c r="AM2156" s="21">
        <v>0</v>
      </c>
      <c r="AN2156" s="21">
        <v>0</v>
      </c>
      <c r="AO2156" s="21">
        <v>0</v>
      </c>
      <c r="AP2156" s="21">
        <v>3</v>
      </c>
      <c r="AQ2156" s="21">
        <v>5000</v>
      </c>
      <c r="AR2156" s="21">
        <v>0.5</v>
      </c>
      <c r="AS2156" s="21">
        <v>0</v>
      </c>
      <c r="AT2156" s="19">
        <v>0</v>
      </c>
      <c r="AU2156" s="21">
        <v>0</v>
      </c>
      <c r="AV2156" s="21"/>
      <c r="AW2156" s="30" t="s">
        <v>205</v>
      </c>
      <c r="AX2156" s="19" t="s">
        <v>1849</v>
      </c>
      <c r="AY2156" s="32">
        <v>10000007</v>
      </c>
      <c r="AZ2156" s="280">
        <v>23000080</v>
      </c>
      <c r="BA2156" s="30" t="s">
        <v>206</v>
      </c>
      <c r="BB2156" s="35" t="s">
        <v>204</v>
      </c>
      <c r="BC2156" s="31">
        <v>0</v>
      </c>
      <c r="BD2156" s="31">
        <v>0</v>
      </c>
      <c r="BE2156" s="33" t="s">
        <v>4956</v>
      </c>
      <c r="BF2156" s="33" t="s">
        <v>4957</v>
      </c>
      <c r="BG2156" s="32">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80002022</v>
      </c>
      <c r="D2157" s="30" t="s">
        <v>4958</v>
      </c>
      <c r="E2157" s="279" t="s">
        <v>4959</v>
      </c>
      <c r="F2157" s="32">
        <v>1</v>
      </c>
      <c r="G2157" s="21">
        <v>80002022</v>
      </c>
      <c r="H2157" s="19">
        <v>0</v>
      </c>
      <c r="I2157" s="19">
        <v>0</v>
      </c>
      <c r="J2157" s="32">
        <v>1</v>
      </c>
      <c r="K2157" s="32">
        <v>0</v>
      </c>
      <c r="L2157" s="19">
        <v>0</v>
      </c>
      <c r="M2157" s="19">
        <v>0</v>
      </c>
      <c r="N2157" s="19">
        <v>0</v>
      </c>
      <c r="O2157" s="19">
        <v>2</v>
      </c>
      <c r="P2157" s="19">
        <v>1</v>
      </c>
      <c r="Q2157" s="19">
        <v>0.2</v>
      </c>
      <c r="R2157" s="19">
        <v>0</v>
      </c>
      <c r="S2157" s="19">
        <v>0</v>
      </c>
      <c r="T2157" s="19">
        <v>0</v>
      </c>
      <c r="U2157" s="21">
        <v>1</v>
      </c>
      <c r="V2157" s="19">
        <v>2</v>
      </c>
      <c r="W2157" s="19">
        <v>0</v>
      </c>
      <c r="X2157" s="19">
        <v>0</v>
      </c>
      <c r="Y2157" s="19">
        <v>0</v>
      </c>
      <c r="Z2157" s="19">
        <v>0</v>
      </c>
      <c r="AA2157" s="19">
        <v>0</v>
      </c>
      <c r="AB2157" s="19">
        <v>0</v>
      </c>
      <c r="AC2157" s="19">
        <v>0</v>
      </c>
      <c r="AD2157" s="32">
        <v>0</v>
      </c>
      <c r="AE2157" s="19">
        <v>0</v>
      </c>
      <c r="AF2157" s="19">
        <v>10</v>
      </c>
      <c r="AG2157" s="19">
        <v>0</v>
      </c>
      <c r="AH2157" s="19">
        <v>0</v>
      </c>
      <c r="AI2157" s="19">
        <v>7</v>
      </c>
      <c r="AJ2157" s="19">
        <v>0</v>
      </c>
      <c r="AK2157" s="19">
        <v>0</v>
      </c>
      <c r="AL2157" s="19">
        <v>6</v>
      </c>
      <c r="AM2157" s="19">
        <v>0</v>
      </c>
      <c r="AN2157" s="19">
        <v>0</v>
      </c>
      <c r="AO2157" s="19">
        <v>0</v>
      </c>
      <c r="AP2157" s="19">
        <v>0</v>
      </c>
      <c r="AQ2157" s="19">
        <v>1000</v>
      </c>
      <c r="AR2157" s="19">
        <v>0</v>
      </c>
      <c r="AS2157" s="19">
        <v>0</v>
      </c>
      <c r="AT2157" s="19">
        <v>0</v>
      </c>
      <c r="AU2157" s="341" t="s">
        <v>2316</v>
      </c>
      <c r="AV2157" s="19"/>
      <c r="AW2157" s="30" t="s">
        <v>205</v>
      </c>
      <c r="AX2157" s="19" t="s">
        <v>1849</v>
      </c>
      <c r="AY2157" s="19" t="s">
        <v>204</v>
      </c>
      <c r="AZ2157" s="19">
        <v>0</v>
      </c>
      <c r="BA2157" s="20" t="s">
        <v>206</v>
      </c>
      <c r="BB2157" s="19">
        <v>0</v>
      </c>
      <c r="BC2157" s="31">
        <v>0</v>
      </c>
      <c r="BD2157" s="31">
        <v>0</v>
      </c>
      <c r="BE2157" s="33" t="s">
        <v>2317</v>
      </c>
      <c r="BF2157" s="33" t="s">
        <v>2318</v>
      </c>
      <c r="BG2157" s="19">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80002023</v>
      </c>
      <c r="D2158" s="30" t="s">
        <v>4960</v>
      </c>
      <c r="E2158" s="279" t="s">
        <v>4961</v>
      </c>
      <c r="F2158" s="21">
        <v>1</v>
      </c>
      <c r="G2158" s="21">
        <v>80002023</v>
      </c>
      <c r="H2158" s="32">
        <v>0</v>
      </c>
      <c r="I2158" s="31">
        <v>0</v>
      </c>
      <c r="J2158" s="32">
        <v>1</v>
      </c>
      <c r="K2158" s="32">
        <v>0</v>
      </c>
      <c r="L2158" s="32">
        <v>0</v>
      </c>
      <c r="M2158" s="21">
        <v>0</v>
      </c>
      <c r="N2158" s="21">
        <v>0</v>
      </c>
      <c r="O2158" s="21">
        <v>2</v>
      </c>
      <c r="P2158" s="21">
        <v>9</v>
      </c>
      <c r="Q2158" s="21">
        <v>0.3</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0</v>
      </c>
      <c r="AH2158" s="21">
        <v>3</v>
      </c>
      <c r="AI2158" s="19">
        <v>7</v>
      </c>
      <c r="AJ2158" s="19">
        <v>0</v>
      </c>
      <c r="AK2158" s="19">
        <v>0</v>
      </c>
      <c r="AL2158" s="19">
        <v>10</v>
      </c>
      <c r="AM2158" s="21">
        <v>0</v>
      </c>
      <c r="AN2158" s="21">
        <v>0</v>
      </c>
      <c r="AO2158" s="21">
        <v>0</v>
      </c>
      <c r="AP2158" s="21">
        <v>0</v>
      </c>
      <c r="AQ2158" s="21">
        <v>3000</v>
      </c>
      <c r="AR2158" s="21">
        <v>0.5</v>
      </c>
      <c r="AS2158" s="21">
        <v>0</v>
      </c>
      <c r="AT2158" s="19">
        <v>0</v>
      </c>
      <c r="AU2158" s="21">
        <v>80002003</v>
      </c>
      <c r="AV2158" s="21"/>
      <c r="AW2158" s="30" t="s">
        <v>205</v>
      </c>
      <c r="AX2158" s="21">
        <v>0</v>
      </c>
      <c r="AY2158" s="32">
        <v>0</v>
      </c>
      <c r="AZ2158" s="32">
        <v>0</v>
      </c>
      <c r="BA2158" s="30" t="s">
        <v>206</v>
      </c>
      <c r="BB2158" s="21">
        <v>0</v>
      </c>
      <c r="BC2158" s="31">
        <v>0</v>
      </c>
      <c r="BD2158" s="31">
        <v>0</v>
      </c>
      <c r="BE2158" s="33" t="s">
        <v>2074</v>
      </c>
      <c r="BF2158" s="33" t="s">
        <v>2075</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80002024</v>
      </c>
      <c r="D2159" s="30" t="s">
        <v>4962</v>
      </c>
      <c r="E2159" s="279" t="s">
        <v>4963</v>
      </c>
      <c r="F2159" s="21">
        <v>1</v>
      </c>
      <c r="G2159" s="21">
        <v>80002024</v>
      </c>
      <c r="H2159" s="32">
        <v>0</v>
      </c>
      <c r="I2159" s="31">
        <v>0</v>
      </c>
      <c r="J2159" s="32">
        <v>1</v>
      </c>
      <c r="K2159" s="32">
        <v>0</v>
      </c>
      <c r="L2159" s="32">
        <v>0</v>
      </c>
      <c r="M2159" s="21">
        <v>0</v>
      </c>
      <c r="N2159" s="21">
        <v>0</v>
      </c>
      <c r="O2159" s="21">
        <v>5</v>
      </c>
      <c r="P2159" s="21">
        <v>0</v>
      </c>
      <c r="Q2159" s="21">
        <v>0</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2</v>
      </c>
      <c r="AH2159" s="21" t="s">
        <v>219</v>
      </c>
      <c r="AI2159" s="19">
        <v>2</v>
      </c>
      <c r="AJ2159" s="19">
        <v>2</v>
      </c>
      <c r="AK2159" s="19">
        <v>0</v>
      </c>
      <c r="AL2159" s="19">
        <v>1.5</v>
      </c>
      <c r="AM2159" s="21">
        <v>0</v>
      </c>
      <c r="AN2159" s="21">
        <v>0</v>
      </c>
      <c r="AO2159" s="21">
        <v>0</v>
      </c>
      <c r="AP2159" s="21">
        <v>0</v>
      </c>
      <c r="AQ2159" s="21">
        <v>3000</v>
      </c>
      <c r="AR2159" s="21">
        <v>0.5</v>
      </c>
      <c r="AS2159" s="21">
        <v>0</v>
      </c>
      <c r="AT2159" s="19">
        <v>0</v>
      </c>
      <c r="AU2159" s="21" t="s">
        <v>204</v>
      </c>
      <c r="AV2159" s="21"/>
      <c r="AW2159" s="30" t="s">
        <v>205</v>
      </c>
      <c r="AX2159" s="21">
        <v>0</v>
      </c>
      <c r="AY2159" s="32">
        <v>0</v>
      </c>
      <c r="AZ2159" s="32">
        <v>0</v>
      </c>
      <c r="BA2159" s="30" t="s">
        <v>206</v>
      </c>
      <c r="BB2159" s="21" t="s">
        <v>4847</v>
      </c>
      <c r="BC2159" s="31">
        <v>0</v>
      </c>
      <c r="BD2159" s="31">
        <v>0</v>
      </c>
      <c r="BE2159" s="33" t="s">
        <v>4964</v>
      </c>
      <c r="BF2159" s="33" t="s">
        <v>4965</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80002025</v>
      </c>
      <c r="D2160" s="30" t="s">
        <v>4966</v>
      </c>
      <c r="E2160" s="279" t="s">
        <v>4967</v>
      </c>
      <c r="F2160" s="32">
        <v>1</v>
      </c>
      <c r="G2160" s="21">
        <v>80002025</v>
      </c>
      <c r="H2160" s="19">
        <v>0</v>
      </c>
      <c r="I2160" s="19">
        <v>0</v>
      </c>
      <c r="J2160" s="32">
        <v>1</v>
      </c>
      <c r="K2160" s="32">
        <v>0</v>
      </c>
      <c r="L2160" s="19">
        <v>0</v>
      </c>
      <c r="M2160" s="19">
        <v>0</v>
      </c>
      <c r="N2160" s="19">
        <v>0</v>
      </c>
      <c r="O2160" s="19">
        <v>2</v>
      </c>
      <c r="P2160" s="19">
        <v>10</v>
      </c>
      <c r="Q2160" s="19">
        <v>0.1</v>
      </c>
      <c r="R2160" s="19">
        <v>0</v>
      </c>
      <c r="S2160" s="19">
        <v>0</v>
      </c>
      <c r="T2160" s="19">
        <v>0</v>
      </c>
      <c r="U2160" s="21">
        <v>1</v>
      </c>
      <c r="V2160" s="19">
        <v>2</v>
      </c>
      <c r="W2160" s="19">
        <v>0</v>
      </c>
      <c r="X2160" s="19">
        <v>2.5</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t="s">
        <v>204</v>
      </c>
      <c r="AV2160" s="19"/>
      <c r="AW2160" s="30" t="s">
        <v>205</v>
      </c>
      <c r="AX2160" s="19" t="s">
        <v>1849</v>
      </c>
      <c r="AY2160" s="19" t="s">
        <v>204</v>
      </c>
      <c r="AZ2160" s="19" t="s">
        <v>2081</v>
      </c>
      <c r="BA2160" s="20" t="s">
        <v>206</v>
      </c>
      <c r="BB2160" s="19">
        <v>0</v>
      </c>
      <c r="BC2160" s="31">
        <v>0</v>
      </c>
      <c r="BD2160" s="31">
        <v>0</v>
      </c>
      <c r="BE2160" s="22" t="s">
        <v>4968</v>
      </c>
      <c r="BF2160" s="22" t="s">
        <v>4969</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80002026</v>
      </c>
      <c r="D2161" s="30" t="s">
        <v>4970</v>
      </c>
      <c r="E2161" s="279" t="s">
        <v>4971</v>
      </c>
      <c r="F2161" s="32">
        <v>1</v>
      </c>
      <c r="G2161" s="21">
        <v>80002026</v>
      </c>
      <c r="H2161" s="19">
        <v>0</v>
      </c>
      <c r="I2161" s="19">
        <v>0</v>
      </c>
      <c r="J2161" s="32">
        <v>1</v>
      </c>
      <c r="K2161" s="32">
        <v>0</v>
      </c>
      <c r="L2161" s="19">
        <v>0</v>
      </c>
      <c r="M2161" s="19">
        <v>0</v>
      </c>
      <c r="N2161" s="19">
        <v>0</v>
      </c>
      <c r="O2161" s="19">
        <v>2</v>
      </c>
      <c r="P2161" s="19">
        <v>1</v>
      </c>
      <c r="Q2161" s="19">
        <v>0.2</v>
      </c>
      <c r="R2161" s="19">
        <v>0</v>
      </c>
      <c r="S2161" s="19">
        <v>0</v>
      </c>
      <c r="T2161" s="19">
        <v>0</v>
      </c>
      <c r="U2161" s="21">
        <v>1</v>
      </c>
      <c r="V2161" s="19">
        <v>2</v>
      </c>
      <c r="W2161" s="19">
        <v>0</v>
      </c>
      <c r="X2161" s="19">
        <v>0</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v>80002004</v>
      </c>
      <c r="AV2161" s="19"/>
      <c r="AW2161" s="30" t="s">
        <v>205</v>
      </c>
      <c r="AX2161" s="19">
        <v>0</v>
      </c>
      <c r="AY2161" s="19" t="s">
        <v>204</v>
      </c>
      <c r="AZ2161" s="19">
        <v>0</v>
      </c>
      <c r="BA2161" s="20" t="s">
        <v>206</v>
      </c>
      <c r="BB2161" s="19">
        <v>0</v>
      </c>
      <c r="BC2161" s="31">
        <v>0</v>
      </c>
      <c r="BD2161" s="31">
        <v>0</v>
      </c>
      <c r="BE2161" s="22" t="s">
        <v>4972</v>
      </c>
      <c r="BF2161" s="22" t="s">
        <v>4973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80002027</v>
      </c>
      <c r="D2162" s="30" t="s">
        <v>4974</v>
      </c>
      <c r="E2162" s="279" t="s">
        <v>4975</v>
      </c>
      <c r="F2162" s="21">
        <v>1</v>
      </c>
      <c r="G2162" s="21">
        <v>80002027</v>
      </c>
      <c r="H2162" s="32">
        <v>0</v>
      </c>
      <c r="I2162" s="31">
        <v>0</v>
      </c>
      <c r="J2162" s="32">
        <v>1</v>
      </c>
      <c r="K2162" s="32">
        <v>0</v>
      </c>
      <c r="L2162" s="32">
        <v>0</v>
      </c>
      <c r="M2162" s="21">
        <v>0</v>
      </c>
      <c r="N2162" s="21">
        <v>0</v>
      </c>
      <c r="O2162" s="21">
        <v>5</v>
      </c>
      <c r="P2162" s="21">
        <v>0</v>
      </c>
      <c r="Q2162" s="21">
        <v>0</v>
      </c>
      <c r="R2162" s="21">
        <v>0</v>
      </c>
      <c r="S2162" s="19">
        <v>0</v>
      </c>
      <c r="T2162" s="21">
        <v>0</v>
      </c>
      <c r="U2162" s="21">
        <v>1</v>
      </c>
      <c r="V2162" s="21">
        <v>2</v>
      </c>
      <c r="W2162" s="21">
        <v>0</v>
      </c>
      <c r="X2162" s="21">
        <v>0</v>
      </c>
      <c r="Y2162" s="19">
        <v>0</v>
      </c>
      <c r="Z2162" s="21">
        <v>0</v>
      </c>
      <c r="AA2162" s="21">
        <v>0</v>
      </c>
      <c r="AB2162" s="21">
        <v>0</v>
      </c>
      <c r="AC2162" s="21">
        <v>0</v>
      </c>
      <c r="AD2162" s="21">
        <v>0</v>
      </c>
      <c r="AE2162" s="21">
        <v>0</v>
      </c>
      <c r="AF2162" s="21">
        <v>9</v>
      </c>
      <c r="AG2162" s="21">
        <v>2</v>
      </c>
      <c r="AH2162" s="21" t="s">
        <v>219</v>
      </c>
      <c r="AI2162" s="19">
        <v>2</v>
      </c>
      <c r="AJ2162" s="19">
        <v>2</v>
      </c>
      <c r="AK2162" s="19">
        <v>0</v>
      </c>
      <c r="AL2162" s="19">
        <v>1.5</v>
      </c>
      <c r="AM2162" s="21">
        <v>0</v>
      </c>
      <c r="AN2162" s="21">
        <v>0</v>
      </c>
      <c r="AO2162" s="21">
        <v>0</v>
      </c>
      <c r="AP2162" s="21">
        <v>0</v>
      </c>
      <c r="AQ2162" s="21">
        <v>3000</v>
      </c>
      <c r="AR2162" s="21">
        <v>0.5</v>
      </c>
      <c r="AS2162" s="21">
        <v>0</v>
      </c>
      <c r="AT2162" s="19">
        <v>0</v>
      </c>
      <c r="AU2162" s="21" t="s">
        <v>204</v>
      </c>
      <c r="AV2162" s="21"/>
      <c r="AW2162" s="30" t="s">
        <v>205</v>
      </c>
      <c r="AX2162" s="21">
        <v>0</v>
      </c>
      <c r="AY2162" s="32">
        <v>0</v>
      </c>
      <c r="AZ2162" s="32">
        <v>0</v>
      </c>
      <c r="BA2162" s="30" t="s">
        <v>206</v>
      </c>
      <c r="BB2162" s="21" t="s">
        <v>4858</v>
      </c>
      <c r="BC2162" s="31">
        <v>0</v>
      </c>
      <c r="BD2162" s="31">
        <v>0</v>
      </c>
      <c r="BE2162" s="33" t="s">
        <v>4976</v>
      </c>
      <c r="BF2162" s="33" t="s">
        <v>4977</v>
      </c>
      <c r="BG2162" s="21"/>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80002028</v>
      </c>
      <c r="D2163" s="30" t="s">
        <v>4978</v>
      </c>
      <c r="E2163" s="279" t="s">
        <v>4979</v>
      </c>
      <c r="F2163" s="21">
        <v>1</v>
      </c>
      <c r="G2163" s="21">
        <v>80002028</v>
      </c>
      <c r="H2163" s="32">
        <v>0</v>
      </c>
      <c r="I2163" s="31">
        <v>0</v>
      </c>
      <c r="J2163" s="32">
        <v>1</v>
      </c>
      <c r="K2163" s="32">
        <v>0</v>
      </c>
      <c r="L2163" s="32">
        <v>0</v>
      </c>
      <c r="M2163" s="21">
        <v>0</v>
      </c>
      <c r="N2163" s="21">
        <v>0</v>
      </c>
      <c r="O2163" s="21">
        <v>2</v>
      </c>
      <c r="P2163" s="21">
        <v>9</v>
      </c>
      <c r="Q2163" s="21">
        <v>0.1</v>
      </c>
      <c r="R2163" s="21">
        <v>0</v>
      </c>
      <c r="S2163" s="19">
        <v>0</v>
      </c>
      <c r="T2163" s="21">
        <v>0</v>
      </c>
      <c r="U2163" s="21">
        <v>1</v>
      </c>
      <c r="V2163" s="21">
        <v>1</v>
      </c>
      <c r="W2163" s="21">
        <v>0</v>
      </c>
      <c r="X2163" s="21">
        <v>2</v>
      </c>
      <c r="Y2163" s="19">
        <v>0</v>
      </c>
      <c r="Z2163" s="21">
        <v>0</v>
      </c>
      <c r="AA2163" s="21">
        <v>0</v>
      </c>
      <c r="AB2163" s="21">
        <v>0</v>
      </c>
      <c r="AC2163" s="21">
        <v>0</v>
      </c>
      <c r="AD2163" s="21">
        <v>0</v>
      </c>
      <c r="AE2163" s="21">
        <v>0</v>
      </c>
      <c r="AF2163" s="21">
        <v>3</v>
      </c>
      <c r="AG2163" s="21">
        <v>2</v>
      </c>
      <c r="AH2163" s="21" t="s">
        <v>219</v>
      </c>
      <c r="AI2163" s="19">
        <v>0</v>
      </c>
      <c r="AJ2163" s="19">
        <v>0</v>
      </c>
      <c r="AK2163" s="19">
        <v>0</v>
      </c>
      <c r="AL2163" s="19">
        <v>1.5</v>
      </c>
      <c r="AM2163" s="21">
        <v>0</v>
      </c>
      <c r="AN2163" s="21">
        <v>0</v>
      </c>
      <c r="AO2163" s="21">
        <v>0</v>
      </c>
      <c r="AP2163" s="21">
        <v>0</v>
      </c>
      <c r="AQ2163" s="21">
        <v>3000</v>
      </c>
      <c r="AR2163" s="21">
        <v>0.5</v>
      </c>
      <c r="AS2163" s="21">
        <v>0</v>
      </c>
      <c r="AT2163" s="19">
        <v>0</v>
      </c>
      <c r="AU2163" s="21">
        <v>0</v>
      </c>
      <c r="AV2163" s="21"/>
      <c r="AW2163" s="30" t="s">
        <v>205</v>
      </c>
      <c r="AX2163" s="21">
        <v>0</v>
      </c>
      <c r="AY2163" s="32">
        <v>10000007</v>
      </c>
      <c r="AZ2163" s="32">
        <v>23000040</v>
      </c>
      <c r="BA2163" s="30" t="s">
        <v>206</v>
      </c>
      <c r="BB2163" s="21">
        <v>0</v>
      </c>
      <c r="BC2163" s="31">
        <v>0</v>
      </c>
      <c r="BD2163" s="31">
        <v>1</v>
      </c>
      <c r="BE2163" s="33" t="s">
        <v>2078</v>
      </c>
      <c r="BF2163" s="33" t="s">
        <v>2079</v>
      </c>
      <c r="BG2163" s="21">
        <v>0</v>
      </c>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80003001</v>
      </c>
      <c r="D2164" s="71" t="s">
        <v>4980</v>
      </c>
      <c r="E2164" s="71" t="s">
        <v>4981</v>
      </c>
      <c r="F2164" s="72">
        <v>1</v>
      </c>
      <c r="G2164" s="32">
        <v>80003001</v>
      </c>
      <c r="H2164" s="72">
        <v>0</v>
      </c>
      <c r="I2164" s="75">
        <v>0</v>
      </c>
      <c r="J2164" s="74">
        <v>1</v>
      </c>
      <c r="K2164" s="74">
        <v>0</v>
      </c>
      <c r="L2164" s="74">
        <v>0</v>
      </c>
      <c r="M2164" s="72">
        <v>0</v>
      </c>
      <c r="N2164" s="72">
        <v>0</v>
      </c>
      <c r="O2164" s="72">
        <v>2</v>
      </c>
      <c r="P2164" s="72">
        <v>3</v>
      </c>
      <c r="Q2164" s="72">
        <v>0.2</v>
      </c>
      <c r="R2164" s="72">
        <v>0</v>
      </c>
      <c r="S2164" s="73">
        <v>0</v>
      </c>
      <c r="T2164" s="72">
        <v>0</v>
      </c>
      <c r="U2164" s="72">
        <v>1</v>
      </c>
      <c r="V2164" s="72">
        <v>1</v>
      </c>
      <c r="W2164" s="72">
        <v>0</v>
      </c>
      <c r="X2164" s="72">
        <v>0.3</v>
      </c>
      <c r="Y2164" s="19">
        <v>0</v>
      </c>
      <c r="Z2164" s="72">
        <v>0</v>
      </c>
      <c r="AA2164" s="72">
        <v>0</v>
      </c>
      <c r="AB2164" s="72">
        <v>0</v>
      </c>
      <c r="AC2164" s="72">
        <v>0</v>
      </c>
      <c r="AD2164" s="72">
        <v>0</v>
      </c>
      <c r="AE2164" s="72">
        <v>1</v>
      </c>
      <c r="AF2164" s="72">
        <v>3</v>
      </c>
      <c r="AG2164" s="72">
        <v>1</v>
      </c>
      <c r="AH2164" s="72">
        <v>2</v>
      </c>
      <c r="AI2164" s="73">
        <v>0</v>
      </c>
      <c r="AJ2164" s="73">
        <v>2</v>
      </c>
      <c r="AK2164" s="73">
        <v>0</v>
      </c>
      <c r="AL2164" s="73">
        <v>1.5</v>
      </c>
      <c r="AM2164" s="72">
        <v>0</v>
      </c>
      <c r="AN2164" s="72">
        <v>0</v>
      </c>
      <c r="AO2164" s="72">
        <v>0</v>
      </c>
      <c r="AP2164" s="72">
        <v>0.5</v>
      </c>
      <c r="AQ2164" s="72">
        <v>2000</v>
      </c>
      <c r="AR2164" s="72">
        <v>0.1</v>
      </c>
      <c r="AS2164" s="72">
        <v>8</v>
      </c>
      <c r="AT2164" s="73">
        <v>0</v>
      </c>
      <c r="AU2164" s="72">
        <v>0</v>
      </c>
      <c r="AV2164" s="72"/>
      <c r="AW2164" s="71" t="s">
        <v>204</v>
      </c>
      <c r="AX2164" s="72">
        <v>0</v>
      </c>
      <c r="AY2164" s="74">
        <v>0</v>
      </c>
      <c r="AZ2164" s="74">
        <v>23000101</v>
      </c>
      <c r="BA2164" s="71" t="s">
        <v>592</v>
      </c>
      <c r="BB2164" s="72">
        <v>0</v>
      </c>
      <c r="BC2164" s="75">
        <v>0</v>
      </c>
      <c r="BD2164" s="75">
        <v>1</v>
      </c>
      <c r="BE2164" s="76" t="s">
        <v>4982</v>
      </c>
      <c r="BF2164" s="76" t="s">
        <v>4983</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20.100000000000001" customHeight="1">
      <c r="C2165" s="32">
        <v>80003002</v>
      </c>
      <c r="D2165" s="71" t="s">
        <v>4984</v>
      </c>
      <c r="E2165" s="71" t="s">
        <v>4985</v>
      </c>
      <c r="F2165" s="72">
        <v>1</v>
      </c>
      <c r="G2165" s="32">
        <v>80003002</v>
      </c>
      <c r="H2165" s="72">
        <v>0</v>
      </c>
      <c r="I2165" s="75">
        <v>0</v>
      </c>
      <c r="J2165" s="74">
        <v>1</v>
      </c>
      <c r="K2165" s="74">
        <v>0</v>
      </c>
      <c r="L2165" s="74">
        <v>0</v>
      </c>
      <c r="M2165" s="72">
        <v>0</v>
      </c>
      <c r="N2165" s="72">
        <v>0</v>
      </c>
      <c r="O2165" s="72">
        <v>2</v>
      </c>
      <c r="P2165" s="72">
        <v>1</v>
      </c>
      <c r="Q2165" s="72">
        <v>0.1</v>
      </c>
      <c r="R2165" s="72">
        <v>0</v>
      </c>
      <c r="S2165" s="73">
        <v>2</v>
      </c>
      <c r="T2165" s="72">
        <v>0</v>
      </c>
      <c r="U2165" s="72">
        <v>1</v>
      </c>
      <c r="V2165" s="72">
        <v>1</v>
      </c>
      <c r="W2165" s="72">
        <v>0</v>
      </c>
      <c r="X2165" s="72">
        <v>2</v>
      </c>
      <c r="Y2165" s="19">
        <v>0</v>
      </c>
      <c r="Z2165" s="72">
        <v>0</v>
      </c>
      <c r="AA2165" s="72">
        <v>0</v>
      </c>
      <c r="AB2165" s="72">
        <v>0</v>
      </c>
      <c r="AC2165" s="72">
        <v>0</v>
      </c>
      <c r="AD2165" s="72">
        <v>0</v>
      </c>
      <c r="AE2165" s="72">
        <v>1</v>
      </c>
      <c r="AF2165" s="72">
        <v>5</v>
      </c>
      <c r="AG2165" s="72">
        <v>1</v>
      </c>
      <c r="AH2165" s="72">
        <v>1</v>
      </c>
      <c r="AI2165" s="73">
        <v>7</v>
      </c>
      <c r="AJ2165" s="73">
        <v>1</v>
      </c>
      <c r="AK2165" s="73">
        <v>0</v>
      </c>
      <c r="AL2165" s="73">
        <v>1.5</v>
      </c>
      <c r="AM2165" s="72">
        <v>0</v>
      </c>
      <c r="AN2165" s="72">
        <v>0</v>
      </c>
      <c r="AO2165" s="72">
        <v>0</v>
      </c>
      <c r="AP2165" s="72">
        <v>0</v>
      </c>
      <c r="AQ2165" s="72">
        <v>500</v>
      </c>
      <c r="AR2165" s="72">
        <v>0.1</v>
      </c>
      <c r="AS2165" s="72">
        <v>0</v>
      </c>
      <c r="AT2165" s="73">
        <v>0</v>
      </c>
      <c r="AU2165" s="356" t="s">
        <v>4986</v>
      </c>
      <c r="AV2165" s="72"/>
      <c r="AW2165" s="71" t="s">
        <v>204</v>
      </c>
      <c r="AX2165" s="72">
        <v>0</v>
      </c>
      <c r="AY2165" s="74">
        <v>0</v>
      </c>
      <c r="AZ2165" s="74">
        <v>0</v>
      </c>
      <c r="BA2165" s="71" t="s">
        <v>206</v>
      </c>
      <c r="BB2165" s="72">
        <v>0</v>
      </c>
      <c r="BC2165" s="75">
        <v>0</v>
      </c>
      <c r="BD2165" s="75">
        <v>1</v>
      </c>
      <c r="BE2165" s="76" t="s">
        <v>4987</v>
      </c>
      <c r="BF2165" s="76" t="s">
        <v>4988</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32">
        <v>80003003</v>
      </c>
      <c r="D2166" s="71" t="s">
        <v>4989</v>
      </c>
      <c r="E2166" s="71" t="s">
        <v>4990</v>
      </c>
      <c r="F2166" s="74">
        <v>1</v>
      </c>
      <c r="G2166" s="32">
        <v>80003003</v>
      </c>
      <c r="H2166" s="74">
        <v>0</v>
      </c>
      <c r="I2166" s="75">
        <v>0</v>
      </c>
      <c r="J2166" s="74">
        <v>1</v>
      </c>
      <c r="K2166" s="74">
        <v>0</v>
      </c>
      <c r="L2166" s="74">
        <v>0</v>
      </c>
      <c r="M2166" s="72">
        <v>0</v>
      </c>
      <c r="N2166" s="72">
        <v>0</v>
      </c>
      <c r="O2166" s="72">
        <v>2</v>
      </c>
      <c r="P2166" s="72">
        <v>1</v>
      </c>
      <c r="Q2166" s="72">
        <v>0.1</v>
      </c>
      <c r="R2166" s="72">
        <v>0</v>
      </c>
      <c r="S2166" s="73">
        <v>1</v>
      </c>
      <c r="T2166" s="72">
        <v>0</v>
      </c>
      <c r="U2166" s="72">
        <v>1</v>
      </c>
      <c r="V2166" s="72">
        <v>2</v>
      </c>
      <c r="W2166" s="72">
        <v>0</v>
      </c>
      <c r="X2166" s="72">
        <v>2</v>
      </c>
      <c r="Y2166" s="19">
        <v>0</v>
      </c>
      <c r="Z2166" s="72">
        <v>0</v>
      </c>
      <c r="AA2166" s="72">
        <v>1</v>
      </c>
      <c r="AB2166" s="72">
        <v>0</v>
      </c>
      <c r="AC2166" s="72">
        <v>0</v>
      </c>
      <c r="AD2166" s="72">
        <v>0</v>
      </c>
      <c r="AE2166" s="72">
        <v>0</v>
      </c>
      <c r="AF2166" s="72">
        <v>0</v>
      </c>
      <c r="AG2166" s="72">
        <v>1</v>
      </c>
      <c r="AH2166" s="72">
        <v>3</v>
      </c>
      <c r="AI2166" s="73">
        <v>0</v>
      </c>
      <c r="AJ2166" s="73">
        <v>1</v>
      </c>
      <c r="AK2166" s="73">
        <v>0</v>
      </c>
      <c r="AL2166" s="73">
        <v>1.5</v>
      </c>
      <c r="AM2166" s="72">
        <v>0</v>
      </c>
      <c r="AN2166" s="72">
        <v>0</v>
      </c>
      <c r="AO2166" s="72">
        <v>0</v>
      </c>
      <c r="AP2166" s="72">
        <v>0</v>
      </c>
      <c r="AQ2166" s="72">
        <v>3000</v>
      </c>
      <c r="AR2166" s="72">
        <v>0.5</v>
      </c>
      <c r="AS2166" s="72">
        <v>0</v>
      </c>
      <c r="AT2166" s="73">
        <v>0</v>
      </c>
      <c r="AU2166" s="72">
        <v>80005021</v>
      </c>
      <c r="AV2166" s="72"/>
      <c r="AW2166" s="88" t="s">
        <v>204</v>
      </c>
      <c r="AX2166" s="72" t="s">
        <v>540</v>
      </c>
      <c r="AY2166" s="74">
        <v>0</v>
      </c>
      <c r="AZ2166" s="74">
        <v>23000102</v>
      </c>
      <c r="BA2166" s="71" t="s">
        <v>206</v>
      </c>
      <c r="BB2166" s="72">
        <v>0</v>
      </c>
      <c r="BC2166" s="75">
        <v>0</v>
      </c>
      <c r="BD2166" s="75">
        <v>0</v>
      </c>
      <c r="BE2166" s="76" t="s">
        <v>4991</v>
      </c>
      <c r="BF2166" s="76" t="s">
        <v>4992</v>
      </c>
      <c r="BG2166" s="72">
        <v>0</v>
      </c>
      <c r="BH2166" s="72">
        <v>0</v>
      </c>
      <c r="BI2166" s="72">
        <v>0</v>
      </c>
      <c r="BJ2166" s="72">
        <v>0</v>
      </c>
      <c r="BK2166" s="72">
        <v>0</v>
      </c>
      <c r="BL2166" s="72">
        <v>0</v>
      </c>
      <c r="BM2166" s="90">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74">
        <v>80003004</v>
      </c>
      <c r="D2167" s="88" t="s">
        <v>4993</v>
      </c>
      <c r="E2167" s="88" t="s">
        <v>4994</v>
      </c>
      <c r="F2167" s="74">
        <v>1</v>
      </c>
      <c r="G2167" s="74">
        <v>80003004</v>
      </c>
      <c r="H2167" s="74">
        <v>0</v>
      </c>
      <c r="I2167" s="74">
        <v>0</v>
      </c>
      <c r="J2167" s="74">
        <v>1</v>
      </c>
      <c r="K2167" s="74">
        <v>0</v>
      </c>
      <c r="L2167" s="74">
        <v>0</v>
      </c>
      <c r="M2167" s="74">
        <v>0</v>
      </c>
      <c r="N2167" s="74">
        <v>0</v>
      </c>
      <c r="O2167" s="74">
        <v>2</v>
      </c>
      <c r="P2167" s="74">
        <v>6</v>
      </c>
      <c r="Q2167" s="74">
        <v>1</v>
      </c>
      <c r="R2167" s="74">
        <v>1</v>
      </c>
      <c r="S2167" s="74">
        <v>1</v>
      </c>
      <c r="T2167" s="74">
        <v>0</v>
      </c>
      <c r="U2167" s="74">
        <v>1</v>
      </c>
      <c r="V2167" s="74">
        <v>2</v>
      </c>
      <c r="W2167" s="74">
        <v>0</v>
      </c>
      <c r="X2167" s="74">
        <v>3</v>
      </c>
      <c r="Y2167" s="19">
        <v>0</v>
      </c>
      <c r="Z2167" s="74">
        <v>0</v>
      </c>
      <c r="AA2167" s="74">
        <v>1</v>
      </c>
      <c r="AB2167" s="74">
        <v>0</v>
      </c>
      <c r="AC2167" s="74">
        <v>0</v>
      </c>
      <c r="AD2167" s="74">
        <v>0</v>
      </c>
      <c r="AE2167" s="74">
        <v>1</v>
      </c>
      <c r="AF2167" s="74">
        <v>15</v>
      </c>
      <c r="AG2167" s="74">
        <v>1</v>
      </c>
      <c r="AH2167" s="74">
        <v>4</v>
      </c>
      <c r="AI2167" s="74">
        <v>0</v>
      </c>
      <c r="AJ2167" s="74">
        <v>1</v>
      </c>
      <c r="AK2167" s="74">
        <v>0</v>
      </c>
      <c r="AL2167" s="74">
        <v>3</v>
      </c>
      <c r="AM2167" s="74">
        <v>0</v>
      </c>
      <c r="AN2167" s="74">
        <v>0</v>
      </c>
      <c r="AO2167" s="74">
        <v>0</v>
      </c>
      <c r="AP2167" s="74">
        <v>0</v>
      </c>
      <c r="AQ2167" s="74">
        <v>2000</v>
      </c>
      <c r="AR2167" s="74">
        <v>0</v>
      </c>
      <c r="AS2167" s="74">
        <v>0</v>
      </c>
      <c r="AT2167" s="74">
        <v>0</v>
      </c>
      <c r="AU2167" s="74">
        <v>80005031</v>
      </c>
      <c r="AV2167" s="74"/>
      <c r="AW2167" s="88" t="s">
        <v>204</v>
      </c>
      <c r="AX2167" s="74" t="s">
        <v>540</v>
      </c>
      <c r="AY2167" s="74">
        <v>0</v>
      </c>
      <c r="AZ2167" s="74">
        <v>23000103</v>
      </c>
      <c r="BA2167" s="88" t="s">
        <v>206</v>
      </c>
      <c r="BB2167" s="74">
        <v>0</v>
      </c>
      <c r="BC2167" s="74">
        <v>0</v>
      </c>
      <c r="BD2167" s="74">
        <v>0</v>
      </c>
      <c r="BE2167" s="89" t="s">
        <v>4995</v>
      </c>
      <c r="BF2167" s="89" t="s">
        <v>4996</v>
      </c>
      <c r="BG2167" s="74">
        <v>0</v>
      </c>
      <c r="BH2167" s="74">
        <v>0</v>
      </c>
      <c r="BI2167" s="74">
        <v>0</v>
      </c>
      <c r="BJ2167" s="74">
        <v>0</v>
      </c>
      <c r="BK2167" s="74">
        <v>0</v>
      </c>
      <c r="BL2167" s="74">
        <v>0</v>
      </c>
      <c r="BM2167" s="90">
        <v>0</v>
      </c>
      <c r="BN2167" s="74">
        <v>0</v>
      </c>
      <c r="BO2167" s="74">
        <v>0</v>
      </c>
      <c r="BP2167" s="74">
        <v>0</v>
      </c>
      <c r="BQ2167" s="74">
        <v>0</v>
      </c>
      <c r="BR2167" s="74">
        <v>0</v>
      </c>
      <c r="BS2167" s="74">
        <v>1</v>
      </c>
      <c r="BT2167" s="19">
        <v>0</v>
      </c>
      <c r="BU2167" s="23">
        <v>0</v>
      </c>
      <c r="BV2167" s="23"/>
      <c r="BW2167" s="23"/>
      <c r="BX2167" s="23"/>
      <c r="BY2167" s="23"/>
      <c r="BZ2167" s="23"/>
    </row>
    <row r="2168" spans="3:78" ht="18.75" customHeight="1">
      <c r="C2168" s="32">
        <v>80003005</v>
      </c>
      <c r="D2168" s="88" t="s">
        <v>1759</v>
      </c>
      <c r="E2168" s="88" t="s">
        <v>1760</v>
      </c>
      <c r="F2168" s="74">
        <v>1</v>
      </c>
      <c r="G2168" s="32">
        <v>80003005</v>
      </c>
      <c r="H2168" s="74">
        <v>0</v>
      </c>
      <c r="I2168" s="75">
        <v>0</v>
      </c>
      <c r="J2168" s="74">
        <v>1</v>
      </c>
      <c r="K2168" s="74">
        <v>0</v>
      </c>
      <c r="L2168" s="74">
        <v>0</v>
      </c>
      <c r="M2168" s="74">
        <v>0</v>
      </c>
      <c r="N2168" s="74">
        <v>0</v>
      </c>
      <c r="O2168" s="74">
        <v>2</v>
      </c>
      <c r="P2168" s="74">
        <v>10</v>
      </c>
      <c r="Q2168" s="74">
        <v>0.2</v>
      </c>
      <c r="R2168" s="74">
        <v>0</v>
      </c>
      <c r="S2168" s="73">
        <v>0</v>
      </c>
      <c r="T2168" s="75">
        <v>0</v>
      </c>
      <c r="U2168" s="72">
        <v>1</v>
      </c>
      <c r="V2168" s="74">
        <v>2</v>
      </c>
      <c r="W2168" s="74">
        <v>0</v>
      </c>
      <c r="X2168" s="74">
        <v>1.5</v>
      </c>
      <c r="Y2168" s="19">
        <v>0</v>
      </c>
      <c r="Z2168" s="74">
        <v>0</v>
      </c>
      <c r="AA2168" s="74">
        <v>0</v>
      </c>
      <c r="AB2168" s="74">
        <v>0</v>
      </c>
      <c r="AC2168" s="74">
        <v>0</v>
      </c>
      <c r="AD2168" s="74">
        <v>1</v>
      </c>
      <c r="AE2168" s="74">
        <v>1</v>
      </c>
      <c r="AF2168" s="74">
        <v>0</v>
      </c>
      <c r="AG2168" s="74">
        <v>1</v>
      </c>
      <c r="AH2168" s="74">
        <v>3</v>
      </c>
      <c r="AI2168" s="73">
        <v>2</v>
      </c>
      <c r="AJ2168" s="73">
        <v>1</v>
      </c>
      <c r="AK2168" s="73">
        <v>0</v>
      </c>
      <c r="AL2168" s="73">
        <v>6</v>
      </c>
      <c r="AM2168" s="74">
        <v>0</v>
      </c>
      <c r="AN2168" s="74">
        <v>0</v>
      </c>
      <c r="AO2168" s="74">
        <v>0</v>
      </c>
      <c r="AP2168" s="74">
        <v>0</v>
      </c>
      <c r="AQ2168" s="74">
        <v>5000</v>
      </c>
      <c r="AR2168" s="74">
        <v>0.2</v>
      </c>
      <c r="AS2168" s="74">
        <v>0</v>
      </c>
      <c r="AT2168" s="73">
        <v>0</v>
      </c>
      <c r="AU2168" s="74">
        <v>80005041</v>
      </c>
      <c r="AV2168" s="74"/>
      <c r="AW2168" s="88" t="s">
        <v>204</v>
      </c>
      <c r="AX2168" s="74" t="s">
        <v>1762</v>
      </c>
      <c r="AY2168" s="74">
        <v>10000006</v>
      </c>
      <c r="AZ2168" s="74">
        <v>23000106</v>
      </c>
      <c r="BA2168" s="88" t="s">
        <v>1763</v>
      </c>
      <c r="BB2168" s="88" t="s">
        <v>204</v>
      </c>
      <c r="BC2168" s="75">
        <v>0</v>
      </c>
      <c r="BD2168" s="75">
        <v>0</v>
      </c>
      <c r="BE2168" s="89" t="s">
        <v>4997</v>
      </c>
      <c r="BF2168" s="89" t="s">
        <v>4998</v>
      </c>
      <c r="BG2168" s="74">
        <v>0</v>
      </c>
      <c r="BH2168" s="72">
        <v>0</v>
      </c>
      <c r="BI2168" s="74">
        <v>0</v>
      </c>
      <c r="BJ2168" s="74">
        <v>0</v>
      </c>
      <c r="BK2168" s="74">
        <v>0</v>
      </c>
      <c r="BL2168" s="74">
        <v>0</v>
      </c>
      <c r="BM2168" s="90">
        <v>0</v>
      </c>
      <c r="BN2168" s="73">
        <v>1</v>
      </c>
      <c r="BO2168" s="73">
        <v>0</v>
      </c>
      <c r="BP2168" s="73">
        <v>0</v>
      </c>
      <c r="BQ2168" s="73">
        <v>0</v>
      </c>
      <c r="BR2168" s="73">
        <v>0</v>
      </c>
      <c r="BS2168" s="73">
        <v>1</v>
      </c>
      <c r="BT2168" s="19">
        <v>0</v>
      </c>
      <c r="BU2168" s="23">
        <v>0</v>
      </c>
      <c r="BV2168" s="23"/>
      <c r="BW2168" s="23"/>
      <c r="BX2168" s="23"/>
      <c r="BY2168" s="23"/>
      <c r="BZ2168" s="23"/>
    </row>
    <row r="2169" spans="3:78" ht="19.5" customHeight="1">
      <c r="C2169" s="32">
        <v>80003006</v>
      </c>
      <c r="D2169" s="71" t="s">
        <v>4999</v>
      </c>
      <c r="E2169" s="71" t="s">
        <v>5000</v>
      </c>
      <c r="F2169" s="74">
        <v>1</v>
      </c>
      <c r="G2169" s="32">
        <v>80003006</v>
      </c>
      <c r="H2169" s="74">
        <v>0</v>
      </c>
      <c r="I2169" s="75">
        <v>0</v>
      </c>
      <c r="J2169" s="74">
        <v>1</v>
      </c>
      <c r="K2169" s="74">
        <v>0</v>
      </c>
      <c r="L2169" s="74">
        <v>0</v>
      </c>
      <c r="M2169" s="72">
        <v>0</v>
      </c>
      <c r="N2169" s="72">
        <v>0</v>
      </c>
      <c r="O2169" s="72">
        <v>2</v>
      </c>
      <c r="P2169" s="72">
        <v>3</v>
      </c>
      <c r="Q2169" s="72">
        <v>0.15</v>
      </c>
      <c r="R2169" s="72">
        <v>0</v>
      </c>
      <c r="S2169" s="73">
        <v>0</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4</v>
      </c>
      <c r="AI2169" s="73">
        <v>0</v>
      </c>
      <c r="AJ2169" s="73">
        <v>1</v>
      </c>
      <c r="AK2169" s="73">
        <v>0</v>
      </c>
      <c r="AL2169" s="73">
        <v>3</v>
      </c>
      <c r="AM2169" s="72">
        <v>0</v>
      </c>
      <c r="AN2169" s="72">
        <v>0</v>
      </c>
      <c r="AO2169" s="72">
        <v>0</v>
      </c>
      <c r="AP2169" s="72">
        <v>0</v>
      </c>
      <c r="AQ2169" s="72">
        <v>3000</v>
      </c>
      <c r="AR2169" s="72">
        <v>0.2</v>
      </c>
      <c r="AS2169" s="72">
        <v>0</v>
      </c>
      <c r="AT2169" s="73">
        <v>80005052</v>
      </c>
      <c r="AU2169" s="72">
        <v>80005051</v>
      </c>
      <c r="AV2169" s="72"/>
      <c r="AW2169" s="88" t="s">
        <v>204</v>
      </c>
      <c r="AX2169" s="72" t="s">
        <v>540</v>
      </c>
      <c r="AY2169" s="74">
        <v>0</v>
      </c>
      <c r="AZ2169" s="74">
        <v>23000104</v>
      </c>
      <c r="BA2169" s="71" t="s">
        <v>206</v>
      </c>
      <c r="BB2169" s="72">
        <v>0</v>
      </c>
      <c r="BC2169" s="75">
        <v>0</v>
      </c>
      <c r="BD2169" s="75">
        <v>0</v>
      </c>
      <c r="BE2169" s="76" t="s">
        <v>5001</v>
      </c>
      <c r="BF2169" s="76" t="s">
        <v>5002</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20.100000000000001" customHeight="1">
      <c r="C2170" s="32">
        <v>80003007</v>
      </c>
      <c r="D2170" s="71" t="s">
        <v>5003</v>
      </c>
      <c r="E2170" s="71" t="s">
        <v>5004</v>
      </c>
      <c r="F2170" s="72">
        <v>1</v>
      </c>
      <c r="G2170" s="32">
        <v>80003007</v>
      </c>
      <c r="H2170" s="72">
        <v>0</v>
      </c>
      <c r="I2170" s="75">
        <v>0</v>
      </c>
      <c r="J2170" s="74">
        <v>1</v>
      </c>
      <c r="K2170" s="72">
        <v>0</v>
      </c>
      <c r="L2170" s="72">
        <v>0</v>
      </c>
      <c r="M2170" s="72">
        <v>0</v>
      </c>
      <c r="N2170" s="72">
        <v>0</v>
      </c>
      <c r="O2170" s="72">
        <v>2</v>
      </c>
      <c r="P2170" s="72">
        <v>3</v>
      </c>
      <c r="Q2170" s="72">
        <v>0.2</v>
      </c>
      <c r="R2170" s="72">
        <v>0</v>
      </c>
      <c r="S2170" s="73">
        <v>3</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3</v>
      </c>
      <c r="AI2170" s="73">
        <v>0</v>
      </c>
      <c r="AJ2170" s="73">
        <v>1</v>
      </c>
      <c r="AK2170" s="73">
        <v>0</v>
      </c>
      <c r="AL2170" s="73">
        <v>1.5</v>
      </c>
      <c r="AM2170" s="72">
        <v>0</v>
      </c>
      <c r="AN2170" s="72">
        <v>0</v>
      </c>
      <c r="AO2170" s="72">
        <v>0</v>
      </c>
      <c r="AP2170" s="72">
        <v>0.5</v>
      </c>
      <c r="AQ2170" s="72">
        <v>3000</v>
      </c>
      <c r="AR2170" s="72">
        <v>0.9</v>
      </c>
      <c r="AS2170" s="72">
        <v>0</v>
      </c>
      <c r="AT2170" s="73">
        <v>0</v>
      </c>
      <c r="AU2170" s="72">
        <v>80005061</v>
      </c>
      <c r="AV2170" s="72"/>
      <c r="AW2170" s="71" t="s">
        <v>204</v>
      </c>
      <c r="AX2170" s="72" t="s">
        <v>540</v>
      </c>
      <c r="AY2170" s="74">
        <v>10000001</v>
      </c>
      <c r="AZ2170" s="74">
        <v>23000105</v>
      </c>
      <c r="BA2170" s="71" t="s">
        <v>777</v>
      </c>
      <c r="BB2170" s="72">
        <v>0</v>
      </c>
      <c r="BC2170" s="75">
        <v>0</v>
      </c>
      <c r="BD2170" s="75">
        <v>0</v>
      </c>
      <c r="BE2170" s="114" t="s">
        <v>5005</v>
      </c>
      <c r="BF2170" s="114" t="s">
        <v>5006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19.5" customHeight="1">
      <c r="C2171" s="32">
        <v>80003008</v>
      </c>
      <c r="D2171" s="71" t="s">
        <v>5007</v>
      </c>
      <c r="E2171" s="71" t="s">
        <v>5008</v>
      </c>
      <c r="F2171" s="74">
        <v>1</v>
      </c>
      <c r="G2171" s="32">
        <v>80003008</v>
      </c>
      <c r="H2171" s="74">
        <v>0</v>
      </c>
      <c r="I2171" s="75">
        <v>0</v>
      </c>
      <c r="J2171" s="74">
        <v>1</v>
      </c>
      <c r="K2171" s="74">
        <v>0</v>
      </c>
      <c r="L2171" s="74">
        <v>0</v>
      </c>
      <c r="M2171" s="72">
        <v>0</v>
      </c>
      <c r="N2171" s="72">
        <v>0</v>
      </c>
      <c r="O2171" s="72">
        <v>2</v>
      </c>
      <c r="P2171" s="72" t="s">
        <v>5009</v>
      </c>
      <c r="Q2171" s="72" t="s">
        <v>5010</v>
      </c>
      <c r="R2171" s="72">
        <v>0</v>
      </c>
      <c r="S2171" s="73">
        <v>0</v>
      </c>
      <c r="T2171" s="72">
        <v>0</v>
      </c>
      <c r="U2171" s="72">
        <v>1</v>
      </c>
      <c r="V2171" s="72">
        <v>1</v>
      </c>
      <c r="W2171" s="72">
        <v>0</v>
      </c>
      <c r="X2171" s="72">
        <v>0</v>
      </c>
      <c r="Y2171" s="19">
        <v>0</v>
      </c>
      <c r="Z2171" s="72">
        <v>0</v>
      </c>
      <c r="AA2171" s="72">
        <v>1</v>
      </c>
      <c r="AB2171" s="72">
        <v>0</v>
      </c>
      <c r="AC2171" s="72">
        <v>0</v>
      </c>
      <c r="AD2171" s="72">
        <v>0</v>
      </c>
      <c r="AE2171" s="72">
        <v>1</v>
      </c>
      <c r="AF2171" s="72">
        <v>0</v>
      </c>
      <c r="AG2171" s="72">
        <v>1</v>
      </c>
      <c r="AH2171" s="72">
        <v>6</v>
      </c>
      <c r="AI2171" s="73">
        <v>0</v>
      </c>
      <c r="AJ2171" s="73">
        <v>1</v>
      </c>
      <c r="AK2171" s="73">
        <v>0</v>
      </c>
      <c r="AL2171" s="73">
        <v>3</v>
      </c>
      <c r="AM2171" s="72">
        <v>0</v>
      </c>
      <c r="AN2171" s="72">
        <v>0</v>
      </c>
      <c r="AO2171" s="72">
        <v>0</v>
      </c>
      <c r="AP2171" s="72">
        <v>0</v>
      </c>
      <c r="AQ2171" s="72">
        <v>2000</v>
      </c>
      <c r="AR2171" s="72">
        <v>0</v>
      </c>
      <c r="AS2171" s="72">
        <v>0</v>
      </c>
      <c r="AT2171" s="342" t="s">
        <v>5011</v>
      </c>
      <c r="AU2171" s="72">
        <v>80005072</v>
      </c>
      <c r="AV2171" s="72"/>
      <c r="AW2171" s="88" t="s">
        <v>204</v>
      </c>
      <c r="AX2171" s="72" t="s">
        <v>540</v>
      </c>
      <c r="AY2171" s="74">
        <v>0</v>
      </c>
      <c r="AZ2171" s="74">
        <v>0</v>
      </c>
      <c r="BA2171" s="71" t="s">
        <v>206</v>
      </c>
      <c r="BB2171" s="72">
        <v>0</v>
      </c>
      <c r="BC2171" s="75">
        <v>0</v>
      </c>
      <c r="BD2171" s="75">
        <v>0</v>
      </c>
      <c r="BE2171" s="76" t="s">
        <v>5012</v>
      </c>
      <c r="BF2171" s="76" t="s">
        <v>5013</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20.100000000000001" customHeight="1">
      <c r="C2172" s="32">
        <v>80003101</v>
      </c>
      <c r="D2172" s="30" t="s">
        <v>5014</v>
      </c>
      <c r="E2172" s="30" t="s">
        <v>5015</v>
      </c>
      <c r="F2172" s="21">
        <v>1</v>
      </c>
      <c r="G2172" s="21">
        <v>80003001</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5016</v>
      </c>
      <c r="BF2172" s="33" t="s">
        <v>5017</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80003102</v>
      </c>
      <c r="D2173" s="30" t="s">
        <v>5018</v>
      </c>
      <c r="E2173" s="30" t="s">
        <v>5019</v>
      </c>
      <c r="F2173" s="21">
        <v>1</v>
      </c>
      <c r="G2173" s="21">
        <v>80003002</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5016</v>
      </c>
      <c r="BF2173" s="33" t="s">
        <v>5017</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80003103</v>
      </c>
      <c r="D2174" s="30" t="s">
        <v>5020</v>
      </c>
      <c r="E2174" s="30" t="s">
        <v>5021</v>
      </c>
      <c r="F2174" s="21">
        <v>1</v>
      </c>
      <c r="G2174" s="21">
        <v>80003003</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5016</v>
      </c>
      <c r="BF2174" s="33" t="s">
        <v>5017</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80003104</v>
      </c>
      <c r="D2175" s="30" t="s">
        <v>5022</v>
      </c>
      <c r="E2175" s="30" t="s">
        <v>5023</v>
      </c>
      <c r="F2175" s="21">
        <v>1</v>
      </c>
      <c r="G2175" s="21">
        <v>80003004</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5016</v>
      </c>
      <c r="BF2175" s="33" t="s">
        <v>5017</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80003105</v>
      </c>
      <c r="D2176" s="30" t="s">
        <v>5024</v>
      </c>
      <c r="E2176" s="30" t="s">
        <v>5025</v>
      </c>
      <c r="F2176" s="21">
        <v>1</v>
      </c>
      <c r="G2176" s="21">
        <v>80003005</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5016</v>
      </c>
      <c r="BF2176" s="33" t="s">
        <v>5017</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80003106</v>
      </c>
      <c r="D2177" s="30" t="s">
        <v>5026</v>
      </c>
      <c r="E2177" s="30" t="s">
        <v>5027</v>
      </c>
      <c r="F2177" s="21">
        <v>1</v>
      </c>
      <c r="G2177" s="21">
        <v>80003101</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5028</v>
      </c>
      <c r="BF2177" s="33" t="s">
        <v>5029</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80003107</v>
      </c>
      <c r="D2178" s="30" t="s">
        <v>5030</v>
      </c>
      <c r="E2178" s="30" t="s">
        <v>5031</v>
      </c>
      <c r="F2178" s="21">
        <v>1</v>
      </c>
      <c r="G2178" s="21">
        <v>80003102</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5032</v>
      </c>
      <c r="BF2178" s="33" t="s">
        <v>5033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80003108</v>
      </c>
      <c r="D2179" s="30" t="s">
        <v>5034</v>
      </c>
      <c r="E2179" s="30" t="s">
        <v>5035</v>
      </c>
      <c r="F2179" s="21">
        <v>1</v>
      </c>
      <c r="G2179" s="21">
        <v>80003103</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5036</v>
      </c>
      <c r="BF2179" s="33" t="s">
        <v>5037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80003109</v>
      </c>
      <c r="D2180" s="30" t="s">
        <v>5038</v>
      </c>
      <c r="E2180" s="30" t="s">
        <v>5039</v>
      </c>
      <c r="F2180" s="21">
        <v>1</v>
      </c>
      <c r="G2180" s="21">
        <v>80003104</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5040</v>
      </c>
      <c r="BF2180" s="33" t="s">
        <v>5041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80003110</v>
      </c>
      <c r="D2181" s="30" t="s">
        <v>5042</v>
      </c>
      <c r="E2181" s="30" t="s">
        <v>5043</v>
      </c>
      <c r="F2181" s="21">
        <v>1</v>
      </c>
      <c r="G2181" s="21">
        <v>80003105</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5044</v>
      </c>
      <c r="BF2181" s="33" t="s">
        <v>5045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80004001</v>
      </c>
      <c r="D2182" s="71" t="s">
        <v>5046</v>
      </c>
      <c r="E2182" s="71" t="s">
        <v>5047</v>
      </c>
      <c r="F2182" s="21">
        <v>1</v>
      </c>
      <c r="G2182" s="32">
        <v>80004001</v>
      </c>
      <c r="H2182" s="72">
        <v>0</v>
      </c>
      <c r="I2182" s="31">
        <v>0</v>
      </c>
      <c r="J2182" s="32">
        <v>1</v>
      </c>
      <c r="K2182" s="32">
        <v>0</v>
      </c>
      <c r="L2182" s="32">
        <v>0</v>
      </c>
      <c r="M2182" s="72">
        <v>0</v>
      </c>
      <c r="N2182" s="72">
        <v>0</v>
      </c>
      <c r="O2182" s="72">
        <v>2</v>
      </c>
      <c r="P2182" s="72">
        <v>1</v>
      </c>
      <c r="Q2182" s="72">
        <v>0.2</v>
      </c>
      <c r="R2182" s="72">
        <v>0</v>
      </c>
      <c r="S2182" s="19">
        <v>0</v>
      </c>
      <c r="T2182" s="72">
        <v>0</v>
      </c>
      <c r="U2182" s="21">
        <v>1</v>
      </c>
      <c r="V2182" s="72">
        <v>2</v>
      </c>
      <c r="W2182" s="72">
        <v>0</v>
      </c>
      <c r="X2182" s="72">
        <v>0</v>
      </c>
      <c r="Y2182" s="19">
        <v>0</v>
      </c>
      <c r="Z2182" s="72">
        <v>0</v>
      </c>
      <c r="AA2182" s="72">
        <v>0</v>
      </c>
      <c r="AB2182" s="72">
        <v>0</v>
      </c>
      <c r="AC2182" s="72">
        <v>0</v>
      </c>
      <c r="AD2182" s="72">
        <v>0</v>
      </c>
      <c r="AE2182" s="72">
        <v>0</v>
      </c>
      <c r="AF2182" s="72">
        <v>15</v>
      </c>
      <c r="AG2182" s="72">
        <v>1</v>
      </c>
      <c r="AH2182" s="72">
        <v>3</v>
      </c>
      <c r="AI2182" s="19">
        <v>0</v>
      </c>
      <c r="AJ2182" s="19">
        <v>0</v>
      </c>
      <c r="AK2182" s="19">
        <v>0</v>
      </c>
      <c r="AL2182" s="73">
        <v>6</v>
      </c>
      <c r="AM2182" s="72">
        <v>0</v>
      </c>
      <c r="AN2182" s="72">
        <v>0</v>
      </c>
      <c r="AO2182" s="72">
        <v>0</v>
      </c>
      <c r="AP2182" s="72">
        <v>0.5</v>
      </c>
      <c r="AQ2182" s="72">
        <v>3000</v>
      </c>
      <c r="AR2182" s="72">
        <v>0.5</v>
      </c>
      <c r="AS2182" s="72">
        <v>0</v>
      </c>
      <c r="AT2182" s="19">
        <v>0</v>
      </c>
      <c r="AU2182" s="72">
        <v>93000201</v>
      </c>
      <c r="AV2182" s="72"/>
      <c r="AW2182" s="71" t="s">
        <v>293</v>
      </c>
      <c r="AX2182" s="21">
        <v>0</v>
      </c>
      <c r="AY2182" s="74">
        <v>10000007</v>
      </c>
      <c r="AZ2182" s="32">
        <v>23000050</v>
      </c>
      <c r="BA2182" s="71" t="s">
        <v>206</v>
      </c>
      <c r="BB2182" s="72">
        <v>0</v>
      </c>
      <c r="BC2182" s="75">
        <v>0</v>
      </c>
      <c r="BD2182" s="31">
        <v>0</v>
      </c>
      <c r="BE2182" s="33" t="s">
        <v>5048</v>
      </c>
      <c r="BF2182" s="33" t="s">
        <v>5049</v>
      </c>
      <c r="BG2182" s="72">
        <v>0</v>
      </c>
      <c r="BH2182" s="21">
        <v>0</v>
      </c>
      <c r="BI2182" s="72">
        <v>0</v>
      </c>
      <c r="BJ2182" s="72">
        <v>0</v>
      </c>
      <c r="BK2182" s="72">
        <v>0</v>
      </c>
      <c r="BL2182" s="72">
        <v>0</v>
      </c>
      <c r="BM2182" s="21">
        <v>0</v>
      </c>
      <c r="BN2182" s="19">
        <v>0</v>
      </c>
      <c r="BO2182" s="19">
        <v>0</v>
      </c>
      <c r="BP2182" s="19">
        <v>0</v>
      </c>
      <c r="BQ2182" s="19">
        <v>0</v>
      </c>
      <c r="BR2182" s="19">
        <v>0</v>
      </c>
      <c r="BS2182" s="19">
        <v>0</v>
      </c>
      <c r="BT2182" s="19">
        <v>0</v>
      </c>
      <c r="BU2182" s="23">
        <v>0</v>
      </c>
      <c r="BV2182" s="23"/>
      <c r="BW2182" s="23"/>
      <c r="BX2182" s="23"/>
      <c r="BY2182" s="23"/>
      <c r="BZ2182" s="23"/>
    </row>
    <row r="2183" spans="3:78" ht="19.5" customHeight="1">
      <c r="C2183" s="32">
        <v>80004002</v>
      </c>
      <c r="D2183" s="30" t="s">
        <v>5050</v>
      </c>
      <c r="E2183" s="30" t="s">
        <v>5051</v>
      </c>
      <c r="F2183" s="32">
        <v>1</v>
      </c>
      <c r="G2183" s="32">
        <v>80004002</v>
      </c>
      <c r="H2183" s="32">
        <v>0</v>
      </c>
      <c r="I2183" s="31">
        <v>0</v>
      </c>
      <c r="J2183" s="32">
        <v>1</v>
      </c>
      <c r="K2183" s="32">
        <v>0</v>
      </c>
      <c r="L2183" s="32">
        <v>0</v>
      </c>
      <c r="M2183" s="21">
        <v>0</v>
      </c>
      <c r="N2183" s="21">
        <v>0</v>
      </c>
      <c r="O2183" s="21">
        <v>2</v>
      </c>
      <c r="P2183" s="21">
        <v>1</v>
      </c>
      <c r="Q2183" s="21">
        <v>1</v>
      </c>
      <c r="R2183" s="21">
        <v>0</v>
      </c>
      <c r="S2183" s="19">
        <v>0</v>
      </c>
      <c r="T2183" s="21">
        <v>0</v>
      </c>
      <c r="U2183" s="21">
        <v>1</v>
      </c>
      <c r="V2183" s="21">
        <v>2</v>
      </c>
      <c r="W2183" s="21">
        <v>0</v>
      </c>
      <c r="X2183" s="21">
        <v>1.2</v>
      </c>
      <c r="Y2183" s="19">
        <v>0</v>
      </c>
      <c r="Z2183" s="21">
        <v>0</v>
      </c>
      <c r="AA2183" s="21">
        <v>1</v>
      </c>
      <c r="AB2183" s="21">
        <v>0</v>
      </c>
      <c r="AC2183" s="21">
        <v>0</v>
      </c>
      <c r="AD2183" s="21">
        <v>0</v>
      </c>
      <c r="AE2183" s="21">
        <v>0</v>
      </c>
      <c r="AF2183" s="21">
        <v>3</v>
      </c>
      <c r="AG2183" s="21">
        <v>1</v>
      </c>
      <c r="AH2183" s="21" t="s">
        <v>613</v>
      </c>
      <c r="AI2183" s="19">
        <v>0</v>
      </c>
      <c r="AJ2183" s="19">
        <v>1</v>
      </c>
      <c r="AK2183" s="19">
        <v>0</v>
      </c>
      <c r="AL2183" s="19">
        <v>3</v>
      </c>
      <c r="AM2183" s="21">
        <v>0</v>
      </c>
      <c r="AN2183" s="21">
        <v>0</v>
      </c>
      <c r="AO2183" s="21">
        <v>0</v>
      </c>
      <c r="AP2183" s="21">
        <v>0.5</v>
      </c>
      <c r="AQ2183" s="21">
        <v>5000</v>
      </c>
      <c r="AR2183" s="21">
        <v>0.5</v>
      </c>
      <c r="AS2183" s="21">
        <v>0</v>
      </c>
      <c r="AT2183" s="19">
        <v>0</v>
      </c>
      <c r="AU2183" s="21" t="s">
        <v>665</v>
      </c>
      <c r="AV2183" s="21"/>
      <c r="AW2183" s="35" t="s">
        <v>262</v>
      </c>
      <c r="AX2183" s="21">
        <v>0</v>
      </c>
      <c r="AY2183" s="32">
        <v>10000007</v>
      </c>
      <c r="AZ2183" s="32">
        <v>70403003</v>
      </c>
      <c r="BA2183" s="30" t="s">
        <v>206</v>
      </c>
      <c r="BB2183" s="21">
        <v>0</v>
      </c>
      <c r="BC2183" s="31">
        <v>0</v>
      </c>
      <c r="BD2183" s="31">
        <v>0</v>
      </c>
      <c r="BE2183" s="33" t="s">
        <v>5052</v>
      </c>
      <c r="BF2183" s="33" t="s">
        <v>5053</v>
      </c>
      <c r="BG2183" s="21">
        <v>0</v>
      </c>
      <c r="BH2183" s="21">
        <v>0</v>
      </c>
      <c r="BI2183" s="21">
        <v>0</v>
      </c>
      <c r="BJ2183" s="21">
        <v>0</v>
      </c>
      <c r="BK2183" s="21">
        <v>0</v>
      </c>
      <c r="BL2183" s="21">
        <v>0</v>
      </c>
      <c r="BM2183" s="25">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80004003</v>
      </c>
      <c r="D2184" s="30" t="s">
        <v>5054</v>
      </c>
      <c r="E2184" s="30" t="s">
        <v>5055</v>
      </c>
      <c r="F2184" s="21">
        <v>1</v>
      </c>
      <c r="G2184" s="32">
        <v>80004003</v>
      </c>
      <c r="H2184" s="21">
        <v>0</v>
      </c>
      <c r="I2184" s="31">
        <v>0</v>
      </c>
      <c r="J2184" s="32">
        <v>1</v>
      </c>
      <c r="K2184" s="32">
        <v>0</v>
      </c>
      <c r="L2184" s="32">
        <v>0</v>
      </c>
      <c r="M2184" s="21">
        <v>0</v>
      </c>
      <c r="N2184" s="21">
        <v>0</v>
      </c>
      <c r="O2184" s="21">
        <v>2</v>
      </c>
      <c r="P2184" s="21">
        <v>1</v>
      </c>
      <c r="Q2184" s="21">
        <v>0.3</v>
      </c>
      <c r="R2184" s="21">
        <v>0</v>
      </c>
      <c r="S2184" s="19">
        <v>0</v>
      </c>
      <c r="T2184" s="21">
        <v>0</v>
      </c>
      <c r="U2184" s="21">
        <v>1</v>
      </c>
      <c r="V2184" s="21">
        <v>2</v>
      </c>
      <c r="W2184" s="21">
        <v>0</v>
      </c>
      <c r="X2184" s="21">
        <v>3</v>
      </c>
      <c r="Y2184" s="19">
        <v>0</v>
      </c>
      <c r="Z2184" s="21">
        <v>0</v>
      </c>
      <c r="AA2184" s="21">
        <v>0</v>
      </c>
      <c r="AB2184" s="21">
        <v>0</v>
      </c>
      <c r="AC2184" s="21">
        <v>0</v>
      </c>
      <c r="AD2184" s="21">
        <v>0</v>
      </c>
      <c r="AE2184" s="21">
        <v>0</v>
      </c>
      <c r="AF2184" s="21">
        <v>6</v>
      </c>
      <c r="AG2184" s="21">
        <v>2</v>
      </c>
      <c r="AH2184" s="21" t="s">
        <v>219</v>
      </c>
      <c r="AI2184" s="19">
        <v>0</v>
      </c>
      <c r="AJ2184" s="19">
        <v>0</v>
      </c>
      <c r="AK2184" s="19">
        <v>0</v>
      </c>
      <c r="AL2184" s="19">
        <v>1.5</v>
      </c>
      <c r="AM2184" s="21">
        <v>0</v>
      </c>
      <c r="AN2184" s="21">
        <v>0</v>
      </c>
      <c r="AO2184" s="21">
        <v>0</v>
      </c>
      <c r="AP2184" s="21">
        <v>0.5</v>
      </c>
      <c r="AQ2184" s="21">
        <v>3000</v>
      </c>
      <c r="AR2184" s="21">
        <v>0.5</v>
      </c>
      <c r="AS2184" s="21">
        <v>0</v>
      </c>
      <c r="AT2184" s="19">
        <v>0</v>
      </c>
      <c r="AU2184" s="21">
        <v>90001021</v>
      </c>
      <c r="AV2184" s="21"/>
      <c r="AW2184" s="30" t="s">
        <v>293</v>
      </c>
      <c r="AX2184" s="21">
        <v>0</v>
      </c>
      <c r="AY2184" s="32">
        <v>10000007</v>
      </c>
      <c r="AZ2184" s="32">
        <v>23000070</v>
      </c>
      <c r="BA2184" s="30" t="s">
        <v>206</v>
      </c>
      <c r="BB2184" s="21">
        <v>0</v>
      </c>
      <c r="BC2184" s="31">
        <v>0</v>
      </c>
      <c r="BD2184" s="31">
        <v>0</v>
      </c>
      <c r="BE2184" s="33" t="s">
        <v>5056</v>
      </c>
      <c r="BF2184" s="33" t="s">
        <v>5057</v>
      </c>
      <c r="BG2184" s="21">
        <v>0</v>
      </c>
      <c r="BH2184" s="21">
        <v>0</v>
      </c>
      <c r="BI2184" s="21">
        <v>0</v>
      </c>
      <c r="BJ2184" s="21">
        <v>0</v>
      </c>
      <c r="BK2184" s="21">
        <v>0</v>
      </c>
      <c r="BL2184" s="21">
        <v>0</v>
      </c>
      <c r="BM2184" s="21">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80004004</v>
      </c>
      <c r="D2185" s="30" t="s">
        <v>5058</v>
      </c>
      <c r="E2185" s="30" t="s">
        <v>5059</v>
      </c>
      <c r="F2185" s="21">
        <v>1</v>
      </c>
      <c r="G2185" s="21">
        <v>80004004</v>
      </c>
      <c r="H2185" s="32">
        <v>0</v>
      </c>
      <c r="I2185" s="31">
        <v>0</v>
      </c>
      <c r="J2185" s="32">
        <v>1</v>
      </c>
      <c r="K2185" s="32">
        <v>0</v>
      </c>
      <c r="L2185" s="32">
        <v>0</v>
      </c>
      <c r="M2185" s="21">
        <v>0</v>
      </c>
      <c r="N2185" s="21">
        <v>0</v>
      </c>
      <c r="O2185" s="21">
        <v>5</v>
      </c>
      <c r="P2185" s="21">
        <v>0</v>
      </c>
      <c r="Q2185" s="21">
        <v>0</v>
      </c>
      <c r="R2185" s="21">
        <v>0</v>
      </c>
      <c r="S2185" s="19">
        <v>0</v>
      </c>
      <c r="T2185" s="21">
        <v>0</v>
      </c>
      <c r="U2185" s="21">
        <v>1</v>
      </c>
      <c r="V2185" s="21">
        <v>2</v>
      </c>
      <c r="W2185" s="21">
        <v>0</v>
      </c>
      <c r="X2185" s="21">
        <v>0</v>
      </c>
      <c r="Y2185" s="19">
        <v>0</v>
      </c>
      <c r="Z2185" s="21">
        <v>0</v>
      </c>
      <c r="AA2185" s="21">
        <v>0</v>
      </c>
      <c r="AB2185" s="21">
        <v>0</v>
      </c>
      <c r="AC2185" s="21">
        <v>0</v>
      </c>
      <c r="AD2185" s="21">
        <v>0</v>
      </c>
      <c r="AE2185" s="21">
        <v>0</v>
      </c>
      <c r="AF2185" s="21">
        <v>9</v>
      </c>
      <c r="AG2185" s="21">
        <v>2</v>
      </c>
      <c r="AH2185" s="21" t="s">
        <v>219</v>
      </c>
      <c r="AI2185" s="19">
        <v>2</v>
      </c>
      <c r="AJ2185" s="19">
        <v>2</v>
      </c>
      <c r="AK2185" s="19">
        <v>0</v>
      </c>
      <c r="AL2185" s="19">
        <v>1.5</v>
      </c>
      <c r="AM2185" s="21">
        <v>0</v>
      </c>
      <c r="AN2185" s="21">
        <v>0</v>
      </c>
      <c r="AO2185" s="21">
        <v>0</v>
      </c>
      <c r="AP2185" s="21">
        <v>1</v>
      </c>
      <c r="AQ2185" s="21">
        <v>3000</v>
      </c>
      <c r="AR2185" s="21">
        <v>0.5</v>
      </c>
      <c r="AS2185" s="21">
        <v>0</v>
      </c>
      <c r="AT2185" s="19">
        <v>0</v>
      </c>
      <c r="AU2185" s="21" t="s">
        <v>204</v>
      </c>
      <c r="AV2185" s="21"/>
      <c r="AW2185" s="30" t="s">
        <v>205</v>
      </c>
      <c r="AX2185" s="21">
        <v>0</v>
      </c>
      <c r="AY2185" s="32">
        <v>0</v>
      </c>
      <c r="AZ2185" s="32">
        <v>0</v>
      </c>
      <c r="BA2185" s="30" t="s">
        <v>206</v>
      </c>
      <c r="BB2185" s="21" t="s">
        <v>5060</v>
      </c>
      <c r="BC2185" s="31">
        <v>0</v>
      </c>
      <c r="BD2185" s="31">
        <v>0</v>
      </c>
      <c r="BE2185" s="33" t="s">
        <v>5061</v>
      </c>
      <c r="BF2185" s="33" t="s">
        <v>5062</v>
      </c>
      <c r="BG2185" s="21"/>
      <c r="BH2185" s="21">
        <v>0</v>
      </c>
      <c r="BI2185" s="21"/>
      <c r="BJ2185" s="21"/>
      <c r="BK2185" s="21"/>
      <c r="BL2185" s="32"/>
      <c r="BM2185" s="21">
        <v>0</v>
      </c>
      <c r="BN2185" s="19">
        <v>0</v>
      </c>
      <c r="BO2185" s="19">
        <v>0</v>
      </c>
      <c r="BP2185" s="19">
        <v>0</v>
      </c>
      <c r="BQ2185" s="19">
        <v>0</v>
      </c>
      <c r="BR2185" s="19">
        <v>0</v>
      </c>
      <c r="BS2185" s="19">
        <v>0</v>
      </c>
      <c r="BT2185" s="19">
        <v>0</v>
      </c>
      <c r="BU2185" s="23">
        <v>0</v>
      </c>
      <c r="BV2185" s="23"/>
      <c r="BW2185" s="23"/>
      <c r="BX2185" s="23"/>
      <c r="BY2185" s="23"/>
      <c r="BZ2185" s="23"/>
    </row>
    <row r="2186" spans="3:78" ht="19.5" customHeight="1">
      <c r="C2186" s="74">
        <v>80004005</v>
      </c>
      <c r="D2186" s="71" t="s">
        <v>5046</v>
      </c>
      <c r="E2186" s="71" t="s">
        <v>5047</v>
      </c>
      <c r="F2186" s="74">
        <v>1</v>
      </c>
      <c r="G2186" s="74">
        <v>80004005</v>
      </c>
      <c r="H2186" s="74">
        <v>0</v>
      </c>
      <c r="I2186" s="75">
        <v>0</v>
      </c>
      <c r="J2186" s="74">
        <v>1</v>
      </c>
      <c r="K2186" s="74">
        <v>0</v>
      </c>
      <c r="L2186" s="74">
        <v>0</v>
      </c>
      <c r="M2186" s="72">
        <v>0</v>
      </c>
      <c r="N2186" s="72">
        <v>0</v>
      </c>
      <c r="O2186" s="72">
        <v>2</v>
      </c>
      <c r="P2186" s="72">
        <v>3</v>
      </c>
      <c r="Q2186" s="72">
        <v>0.15</v>
      </c>
      <c r="R2186" s="72">
        <v>0</v>
      </c>
      <c r="S2186" s="73">
        <v>0</v>
      </c>
      <c r="T2186" s="72">
        <v>0</v>
      </c>
      <c r="U2186" s="72">
        <v>1</v>
      </c>
      <c r="V2186" s="72">
        <v>2</v>
      </c>
      <c r="W2186" s="72">
        <v>0</v>
      </c>
      <c r="X2186" s="72">
        <v>0</v>
      </c>
      <c r="Y2186" s="19">
        <v>0</v>
      </c>
      <c r="Z2186" s="72">
        <v>0</v>
      </c>
      <c r="AA2186" s="72">
        <v>0</v>
      </c>
      <c r="AB2186" s="72">
        <v>0</v>
      </c>
      <c r="AC2186" s="72">
        <v>0</v>
      </c>
      <c r="AD2186" s="72">
        <v>0</v>
      </c>
      <c r="AE2186" s="72">
        <v>1</v>
      </c>
      <c r="AF2186" s="72">
        <v>16</v>
      </c>
      <c r="AG2186" s="72">
        <v>1</v>
      </c>
      <c r="AH2186" s="72">
        <v>5</v>
      </c>
      <c r="AI2186" s="73">
        <v>0</v>
      </c>
      <c r="AJ2186" s="73">
        <v>1</v>
      </c>
      <c r="AK2186" s="73">
        <v>0</v>
      </c>
      <c r="AL2186" s="73">
        <v>3</v>
      </c>
      <c r="AM2186" s="72">
        <v>0</v>
      </c>
      <c r="AN2186" s="72">
        <v>0</v>
      </c>
      <c r="AO2186" s="72">
        <v>0</v>
      </c>
      <c r="AP2186" s="72">
        <v>0</v>
      </c>
      <c r="AQ2186" s="72">
        <v>5000</v>
      </c>
      <c r="AR2186" s="72">
        <v>0.1</v>
      </c>
      <c r="AS2186" s="72">
        <v>0</v>
      </c>
      <c r="AT2186" s="342" t="s">
        <v>5063</v>
      </c>
      <c r="AU2186" s="93">
        <v>0</v>
      </c>
      <c r="AV2186" s="93"/>
      <c r="AW2186" s="71" t="s">
        <v>204</v>
      </c>
      <c r="AX2186" s="72">
        <v>0</v>
      </c>
      <c r="AY2186" s="74">
        <v>0</v>
      </c>
      <c r="AZ2186" s="74">
        <v>0</v>
      </c>
      <c r="BA2186" s="71" t="s">
        <v>206</v>
      </c>
      <c r="BB2186" s="72">
        <v>0</v>
      </c>
      <c r="BC2186" s="75">
        <v>0</v>
      </c>
      <c r="BD2186" s="75">
        <v>0</v>
      </c>
      <c r="BE2186" s="76" t="s">
        <v>5064</v>
      </c>
      <c r="BF2186" s="76" t="s">
        <v>5065</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80004006</v>
      </c>
      <c r="D2187" s="71" t="s">
        <v>5066</v>
      </c>
      <c r="E2187" s="71" t="s">
        <v>5067</v>
      </c>
      <c r="F2187" s="74">
        <v>1</v>
      </c>
      <c r="G2187" s="74">
        <v>80004006</v>
      </c>
      <c r="H2187" s="74">
        <v>0</v>
      </c>
      <c r="I2187" s="75">
        <v>0</v>
      </c>
      <c r="J2187" s="74">
        <v>1</v>
      </c>
      <c r="K2187" s="74">
        <v>0</v>
      </c>
      <c r="L2187" s="74">
        <v>0</v>
      </c>
      <c r="M2187" s="72">
        <v>0</v>
      </c>
      <c r="N2187" s="72">
        <v>0</v>
      </c>
      <c r="O2187" s="72">
        <v>2</v>
      </c>
      <c r="P2187" s="72">
        <v>1</v>
      </c>
      <c r="Q2187" s="72">
        <v>0.15</v>
      </c>
      <c r="R2187" s="72">
        <v>0</v>
      </c>
      <c r="S2187" s="73">
        <v>0</v>
      </c>
      <c r="T2187" s="72">
        <v>0</v>
      </c>
      <c r="U2187" s="72">
        <v>1</v>
      </c>
      <c r="V2187" s="72">
        <v>2</v>
      </c>
      <c r="W2187" s="72">
        <v>0</v>
      </c>
      <c r="X2187" s="72">
        <v>1.5</v>
      </c>
      <c r="Y2187" s="19">
        <v>0</v>
      </c>
      <c r="Z2187" s="72">
        <v>0</v>
      </c>
      <c r="AA2187" s="72">
        <v>1</v>
      </c>
      <c r="AB2187" s="72">
        <v>0</v>
      </c>
      <c r="AC2187" s="72">
        <v>0</v>
      </c>
      <c r="AD2187" s="72">
        <v>0</v>
      </c>
      <c r="AE2187" s="72">
        <v>1</v>
      </c>
      <c r="AF2187" s="72">
        <v>0</v>
      </c>
      <c r="AG2187" s="72">
        <v>1</v>
      </c>
      <c r="AH2187" s="72">
        <v>6</v>
      </c>
      <c r="AI2187" s="73">
        <v>0</v>
      </c>
      <c r="AJ2187" s="73">
        <v>1</v>
      </c>
      <c r="AK2187" s="73">
        <v>0</v>
      </c>
      <c r="AL2187" s="73">
        <v>3</v>
      </c>
      <c r="AM2187" s="72">
        <v>0</v>
      </c>
      <c r="AN2187" s="72">
        <v>0</v>
      </c>
      <c r="AO2187" s="72">
        <v>0</v>
      </c>
      <c r="AP2187" s="72">
        <v>0</v>
      </c>
      <c r="AQ2187" s="72">
        <v>3000</v>
      </c>
      <c r="AR2187" s="72">
        <v>0.2</v>
      </c>
      <c r="AS2187" s="72">
        <v>0</v>
      </c>
      <c r="AT2187" s="73">
        <v>0</v>
      </c>
      <c r="AU2187" s="72">
        <v>80005106</v>
      </c>
      <c r="AV2187" s="72"/>
      <c r="AW2187" s="71" t="s">
        <v>205</v>
      </c>
      <c r="AX2187" s="72">
        <v>0</v>
      </c>
      <c r="AY2187" s="74">
        <v>0</v>
      </c>
      <c r="AZ2187" s="74">
        <v>23000201</v>
      </c>
      <c r="BA2187" s="71" t="s">
        <v>206</v>
      </c>
      <c r="BB2187" s="72">
        <v>0</v>
      </c>
      <c r="BC2187" s="75">
        <v>0</v>
      </c>
      <c r="BD2187" s="75">
        <v>0</v>
      </c>
      <c r="BE2187" s="76" t="s">
        <v>5068</v>
      </c>
      <c r="BF2187" s="76" t="s">
        <v>5069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80004007</v>
      </c>
      <c r="D2188" s="71" t="s">
        <v>5070</v>
      </c>
      <c r="E2188" s="71" t="s">
        <v>5071</v>
      </c>
      <c r="F2188" s="74">
        <v>1</v>
      </c>
      <c r="G2188" s="72">
        <v>60010100</v>
      </c>
      <c r="H2188" s="74">
        <v>0</v>
      </c>
      <c r="I2188" s="75">
        <v>0</v>
      </c>
      <c r="J2188" s="74">
        <v>1</v>
      </c>
      <c r="K2188" s="74">
        <v>0</v>
      </c>
      <c r="L2188" s="74">
        <v>0</v>
      </c>
      <c r="M2188" s="72">
        <v>0</v>
      </c>
      <c r="N2188" s="72">
        <v>0</v>
      </c>
      <c r="O2188" s="72">
        <v>2</v>
      </c>
      <c r="P2188" s="72">
        <v>3</v>
      </c>
      <c r="Q2188" s="72">
        <v>0.15</v>
      </c>
      <c r="R2188" s="72">
        <v>0</v>
      </c>
      <c r="S2188" s="73">
        <v>0</v>
      </c>
      <c r="T2188" s="72">
        <v>0</v>
      </c>
      <c r="U2188" s="72">
        <v>1</v>
      </c>
      <c r="V2188" s="72">
        <v>2</v>
      </c>
      <c r="W2188" s="72">
        <v>0</v>
      </c>
      <c r="X2188" s="72">
        <v>0</v>
      </c>
      <c r="Y2188" s="19">
        <v>0</v>
      </c>
      <c r="Z2188" s="72">
        <v>0</v>
      </c>
      <c r="AA2188" s="72">
        <v>0</v>
      </c>
      <c r="AB2188" s="72">
        <v>0</v>
      </c>
      <c r="AC2188" s="72">
        <v>0</v>
      </c>
      <c r="AD2188" s="72">
        <v>0</v>
      </c>
      <c r="AE2188" s="72">
        <v>1</v>
      </c>
      <c r="AF2188" s="72">
        <v>0</v>
      </c>
      <c r="AG2188" s="72">
        <v>1</v>
      </c>
      <c r="AH2188" s="72">
        <v>5</v>
      </c>
      <c r="AI2188" s="73">
        <v>0</v>
      </c>
      <c r="AJ2188" s="73">
        <v>1</v>
      </c>
      <c r="AK2188" s="73">
        <v>0</v>
      </c>
      <c r="AL2188" s="73">
        <v>3</v>
      </c>
      <c r="AM2188" s="72">
        <v>0</v>
      </c>
      <c r="AN2188" s="72">
        <v>0</v>
      </c>
      <c r="AO2188" s="72">
        <v>0</v>
      </c>
      <c r="AP2188" s="72">
        <v>1</v>
      </c>
      <c r="AQ2188" s="72">
        <v>1000</v>
      </c>
      <c r="AR2188" s="72">
        <v>0</v>
      </c>
      <c r="AS2188" s="72">
        <v>0</v>
      </c>
      <c r="AT2188" s="92">
        <v>0</v>
      </c>
      <c r="AU2188" s="334" t="s">
        <v>5072</v>
      </c>
      <c r="AV2188" s="93"/>
      <c r="AW2188" s="71" t="s">
        <v>293</v>
      </c>
      <c r="AX2188" s="72">
        <v>0</v>
      </c>
      <c r="AY2188" s="74">
        <v>0</v>
      </c>
      <c r="AZ2188" s="74">
        <v>23000202</v>
      </c>
      <c r="BA2188" s="71" t="s">
        <v>206</v>
      </c>
      <c r="BB2188" s="72">
        <v>0</v>
      </c>
      <c r="BC2188" s="75">
        <v>0</v>
      </c>
      <c r="BD2188" s="75">
        <v>0</v>
      </c>
      <c r="BE2188" s="76" t="s">
        <v>5073</v>
      </c>
      <c r="BF2188" s="76" t="s">
        <v>5074</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80004008</v>
      </c>
      <c r="D2189" s="71" t="s">
        <v>5075</v>
      </c>
      <c r="E2189" s="71" t="s">
        <v>5076</v>
      </c>
      <c r="F2189" s="74">
        <v>1</v>
      </c>
      <c r="G2189" s="74">
        <v>80004008</v>
      </c>
      <c r="H2189" s="74">
        <v>0</v>
      </c>
      <c r="I2189" s="75">
        <v>0</v>
      </c>
      <c r="J2189" s="74">
        <v>1</v>
      </c>
      <c r="K2189" s="74">
        <v>0</v>
      </c>
      <c r="L2189" s="74">
        <v>0</v>
      </c>
      <c r="M2189" s="72">
        <v>0</v>
      </c>
      <c r="N2189" s="72">
        <v>0</v>
      </c>
      <c r="O2189" s="72">
        <v>2</v>
      </c>
      <c r="P2189" s="72" t="s">
        <v>5077</v>
      </c>
      <c r="Q2189" s="72" t="s">
        <v>5078</v>
      </c>
      <c r="R2189" s="72">
        <v>0</v>
      </c>
      <c r="S2189" s="73">
        <v>0</v>
      </c>
      <c r="T2189" s="72">
        <v>0</v>
      </c>
      <c r="U2189" s="72">
        <v>1</v>
      </c>
      <c r="V2189" s="72">
        <v>2</v>
      </c>
      <c r="W2189" s="72">
        <v>0</v>
      </c>
      <c r="X2189" s="72">
        <v>0</v>
      </c>
      <c r="Y2189" s="19">
        <v>0</v>
      </c>
      <c r="Z2189" s="72">
        <v>0</v>
      </c>
      <c r="AA2189" s="72">
        <v>1</v>
      </c>
      <c r="AB2189" s="72">
        <v>0</v>
      </c>
      <c r="AC2189" s="72">
        <v>0</v>
      </c>
      <c r="AD2189" s="72">
        <v>0</v>
      </c>
      <c r="AE2189" s="72">
        <v>1</v>
      </c>
      <c r="AF2189" s="72">
        <v>8</v>
      </c>
      <c r="AG2189" s="72">
        <v>1</v>
      </c>
      <c r="AH2189" s="72">
        <v>6</v>
      </c>
      <c r="AI2189" s="73">
        <v>0</v>
      </c>
      <c r="AJ2189" s="73">
        <v>1</v>
      </c>
      <c r="AK2189" s="73">
        <v>0</v>
      </c>
      <c r="AL2189" s="73">
        <v>3</v>
      </c>
      <c r="AM2189" s="72">
        <v>0</v>
      </c>
      <c r="AN2189" s="72">
        <v>0</v>
      </c>
      <c r="AO2189" s="72">
        <v>0</v>
      </c>
      <c r="AP2189" s="72">
        <v>0</v>
      </c>
      <c r="AQ2189" s="72">
        <v>1000</v>
      </c>
      <c r="AR2189" s="72">
        <v>0</v>
      </c>
      <c r="AS2189" s="72">
        <v>0</v>
      </c>
      <c r="AT2189" s="333" t="s">
        <v>5079</v>
      </c>
      <c r="AU2189" s="334" t="s">
        <v>5080</v>
      </c>
      <c r="AV2189" s="93"/>
      <c r="AW2189" s="71" t="s">
        <v>293</v>
      </c>
      <c r="AX2189" s="72">
        <v>0</v>
      </c>
      <c r="AY2189" s="74">
        <v>0</v>
      </c>
      <c r="AZ2189" s="74">
        <v>23000211</v>
      </c>
      <c r="BA2189" s="71" t="s">
        <v>206</v>
      </c>
      <c r="BB2189" s="72">
        <v>0</v>
      </c>
      <c r="BC2189" s="75">
        <v>0</v>
      </c>
      <c r="BD2189" s="75">
        <v>0</v>
      </c>
      <c r="BE2189" s="76" t="s">
        <v>5081</v>
      </c>
      <c r="BF2189" s="76" t="s">
        <v>5082</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80004009</v>
      </c>
      <c r="D2190" s="71" t="s">
        <v>5083</v>
      </c>
      <c r="E2190" s="71" t="s">
        <v>5084</v>
      </c>
      <c r="F2190" s="74">
        <v>1</v>
      </c>
      <c r="G2190" s="74">
        <v>80004009</v>
      </c>
      <c r="H2190" s="74">
        <v>0</v>
      </c>
      <c r="I2190" s="75">
        <v>0</v>
      </c>
      <c r="J2190" s="74">
        <v>1</v>
      </c>
      <c r="K2190" s="74">
        <v>0</v>
      </c>
      <c r="L2190" s="74">
        <v>0</v>
      </c>
      <c r="M2190" s="72">
        <v>0</v>
      </c>
      <c r="N2190" s="72">
        <v>0</v>
      </c>
      <c r="O2190" s="72">
        <v>2</v>
      </c>
      <c r="P2190" s="72">
        <v>16</v>
      </c>
      <c r="Q2190" s="72">
        <v>5</v>
      </c>
      <c r="R2190" s="72">
        <v>0</v>
      </c>
      <c r="S2190" s="73">
        <v>0</v>
      </c>
      <c r="T2190" s="72">
        <v>0</v>
      </c>
      <c r="U2190" s="72">
        <v>1</v>
      </c>
      <c r="V2190" s="72">
        <v>2</v>
      </c>
      <c r="W2190" s="72">
        <v>0</v>
      </c>
      <c r="X2190" s="72">
        <v>1.2</v>
      </c>
      <c r="Y2190" s="19">
        <v>0</v>
      </c>
      <c r="Z2190" s="72">
        <v>0</v>
      </c>
      <c r="AA2190" s="72">
        <v>1</v>
      </c>
      <c r="AB2190" s="72">
        <v>0</v>
      </c>
      <c r="AC2190" s="72">
        <v>0</v>
      </c>
      <c r="AD2190" s="72">
        <v>0</v>
      </c>
      <c r="AE2190" s="72">
        <v>1</v>
      </c>
      <c r="AF2190" s="72">
        <v>0</v>
      </c>
      <c r="AG2190" s="72">
        <v>1</v>
      </c>
      <c r="AH2190" s="72">
        <v>2</v>
      </c>
      <c r="AI2190" s="73">
        <v>0</v>
      </c>
      <c r="AJ2190" s="73">
        <v>2</v>
      </c>
      <c r="AK2190" s="73">
        <v>0</v>
      </c>
      <c r="AL2190" s="73">
        <v>2</v>
      </c>
      <c r="AM2190" s="72">
        <v>0</v>
      </c>
      <c r="AN2190" s="72">
        <v>0</v>
      </c>
      <c r="AO2190" s="72">
        <v>0</v>
      </c>
      <c r="AP2190" s="72">
        <v>2</v>
      </c>
      <c r="AQ2190" s="72">
        <v>8000</v>
      </c>
      <c r="AR2190" s="72">
        <v>0</v>
      </c>
      <c r="AS2190" s="72">
        <v>10</v>
      </c>
      <c r="AT2190" s="92">
        <v>0</v>
      </c>
      <c r="AU2190" s="334" t="s">
        <v>204</v>
      </c>
      <c r="AV2190" s="93"/>
      <c r="AW2190" s="71" t="s">
        <v>205</v>
      </c>
      <c r="AX2190" s="72" t="s">
        <v>540</v>
      </c>
      <c r="AY2190" s="74">
        <v>10000007</v>
      </c>
      <c r="AZ2190" s="74">
        <v>23000212</v>
      </c>
      <c r="BA2190" s="71" t="s">
        <v>592</v>
      </c>
      <c r="BB2190" s="72" t="s">
        <v>1324</v>
      </c>
      <c r="BC2190" s="75">
        <v>0</v>
      </c>
      <c r="BD2190" s="75">
        <v>1</v>
      </c>
      <c r="BE2190" s="76" t="s">
        <v>1312</v>
      </c>
      <c r="BF2190" s="76" t="s">
        <v>1313</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80004010</v>
      </c>
      <c r="D2191" s="71" t="s">
        <v>5085</v>
      </c>
      <c r="E2191" s="71" t="s">
        <v>958</v>
      </c>
      <c r="F2191" s="72">
        <v>1</v>
      </c>
      <c r="G2191" s="74">
        <v>80004010</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5086</v>
      </c>
      <c r="AU2191" s="334" t="s">
        <v>5087</v>
      </c>
      <c r="AV2191" s="93"/>
      <c r="AW2191" s="71" t="s">
        <v>205</v>
      </c>
      <c r="AX2191" s="72" t="s">
        <v>221</v>
      </c>
      <c r="AY2191" s="74">
        <v>10000011</v>
      </c>
      <c r="AZ2191" s="74">
        <v>23000221</v>
      </c>
      <c r="BA2191" s="71" t="s">
        <v>222</v>
      </c>
      <c r="BB2191" s="72">
        <v>0</v>
      </c>
      <c r="BC2191" s="75">
        <v>0</v>
      </c>
      <c r="BD2191" s="75">
        <v>0</v>
      </c>
      <c r="BE2191" s="76" t="s">
        <v>5088</v>
      </c>
      <c r="BF2191" s="76" t="s">
        <v>5089</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80004011</v>
      </c>
      <c r="D2192" s="71" t="s">
        <v>5085</v>
      </c>
      <c r="E2192" s="71" t="s">
        <v>958</v>
      </c>
      <c r="F2192" s="72">
        <v>1</v>
      </c>
      <c r="G2192" s="72">
        <v>61012301</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42" t="s">
        <v>5090</v>
      </c>
      <c r="AU2192" s="334" t="s">
        <v>5087</v>
      </c>
      <c r="AV2192" s="93"/>
      <c r="AW2192" s="71" t="s">
        <v>205</v>
      </c>
      <c r="AX2192" s="72" t="s">
        <v>221</v>
      </c>
      <c r="AY2192" s="74">
        <v>10000011</v>
      </c>
      <c r="AZ2192" s="74">
        <v>23000221</v>
      </c>
      <c r="BA2192" s="71" t="s">
        <v>222</v>
      </c>
      <c r="BB2192" s="72">
        <v>0</v>
      </c>
      <c r="BC2192" s="75">
        <v>0</v>
      </c>
      <c r="BD2192" s="75">
        <v>0</v>
      </c>
      <c r="BE2192" s="76" t="s">
        <v>5091</v>
      </c>
      <c r="BF2192" s="76" t="s">
        <v>5092</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19.5" customHeight="1">
      <c r="C2193" s="74">
        <v>80004012</v>
      </c>
      <c r="D2193" s="71" t="s">
        <v>2310</v>
      </c>
      <c r="E2193" s="71" t="s">
        <v>2311</v>
      </c>
      <c r="F2193" s="74">
        <v>1</v>
      </c>
      <c r="G2193" s="72">
        <v>60010100</v>
      </c>
      <c r="H2193" s="74">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0.3</v>
      </c>
      <c r="Y2193" s="19">
        <v>0</v>
      </c>
      <c r="Z2193" s="72">
        <v>0</v>
      </c>
      <c r="AA2193" s="72">
        <v>1</v>
      </c>
      <c r="AB2193" s="72">
        <v>0</v>
      </c>
      <c r="AC2193" s="72">
        <v>0</v>
      </c>
      <c r="AD2193" s="72">
        <v>0</v>
      </c>
      <c r="AE2193" s="72">
        <v>1</v>
      </c>
      <c r="AF2193" s="72">
        <v>0</v>
      </c>
      <c r="AG2193" s="72">
        <v>1</v>
      </c>
      <c r="AH2193" s="72" t="s">
        <v>867</v>
      </c>
      <c r="AI2193" s="73">
        <v>0</v>
      </c>
      <c r="AJ2193" s="73">
        <v>0</v>
      </c>
      <c r="AK2193" s="73">
        <v>0</v>
      </c>
      <c r="AL2193" s="73">
        <v>0</v>
      </c>
      <c r="AM2193" s="72">
        <v>0</v>
      </c>
      <c r="AN2193" s="72">
        <v>0</v>
      </c>
      <c r="AO2193" s="72">
        <v>0</v>
      </c>
      <c r="AP2193" s="72">
        <v>0</v>
      </c>
      <c r="AQ2193" s="72">
        <v>5000</v>
      </c>
      <c r="AR2193" s="72">
        <v>0</v>
      </c>
      <c r="AS2193" s="72">
        <v>0</v>
      </c>
      <c r="AT2193" s="73">
        <v>0</v>
      </c>
      <c r="AU2193" s="72">
        <v>80005302</v>
      </c>
      <c r="AV2193" s="72"/>
      <c r="AW2193" s="71" t="s">
        <v>293</v>
      </c>
      <c r="AX2193" s="72" t="s">
        <v>540</v>
      </c>
      <c r="AY2193" s="74">
        <v>10000007</v>
      </c>
      <c r="AZ2193" s="74">
        <v>23000222</v>
      </c>
      <c r="BA2193" s="88" t="s">
        <v>321</v>
      </c>
      <c r="BB2193" s="88" t="s">
        <v>377</v>
      </c>
      <c r="BC2193" s="75">
        <v>0</v>
      </c>
      <c r="BD2193" s="75">
        <v>0</v>
      </c>
      <c r="BE2193" s="76" t="s">
        <v>5093</v>
      </c>
      <c r="BF2193" s="76" t="s">
        <v>5094</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20.100000000000001" customHeight="1">
      <c r="C2194" s="74">
        <v>80004013</v>
      </c>
      <c r="D2194" s="71" t="s">
        <v>5054</v>
      </c>
      <c r="E2194" s="71" t="s">
        <v>5055</v>
      </c>
      <c r="F2194" s="72">
        <v>1</v>
      </c>
      <c r="G2194" s="74">
        <v>80004013</v>
      </c>
      <c r="H2194" s="72">
        <v>0</v>
      </c>
      <c r="I2194" s="75">
        <v>0</v>
      </c>
      <c r="J2194" s="74">
        <v>1</v>
      </c>
      <c r="K2194" s="74">
        <v>0</v>
      </c>
      <c r="L2194" s="74">
        <v>0</v>
      </c>
      <c r="M2194" s="72">
        <v>0</v>
      </c>
      <c r="N2194" s="72">
        <v>0</v>
      </c>
      <c r="O2194" s="72">
        <v>2</v>
      </c>
      <c r="P2194" s="72">
        <v>1</v>
      </c>
      <c r="Q2194" s="72">
        <v>0.3</v>
      </c>
      <c r="R2194" s="72">
        <v>0</v>
      </c>
      <c r="S2194" s="73">
        <v>0</v>
      </c>
      <c r="T2194" s="72">
        <v>0</v>
      </c>
      <c r="U2194" s="72">
        <v>1</v>
      </c>
      <c r="V2194" s="72">
        <v>1</v>
      </c>
      <c r="W2194" s="72">
        <v>0</v>
      </c>
      <c r="X2194" s="72">
        <v>2</v>
      </c>
      <c r="Y2194" s="19">
        <v>0</v>
      </c>
      <c r="Z2194" s="72">
        <v>0</v>
      </c>
      <c r="AA2194" s="72">
        <v>0</v>
      </c>
      <c r="AB2194" s="72">
        <v>0</v>
      </c>
      <c r="AC2194" s="72">
        <v>0</v>
      </c>
      <c r="AD2194" s="72">
        <v>0</v>
      </c>
      <c r="AE2194" s="72">
        <v>0</v>
      </c>
      <c r="AF2194" s="72">
        <v>6</v>
      </c>
      <c r="AG2194" s="72">
        <v>2</v>
      </c>
      <c r="AH2194" s="72" t="s">
        <v>219</v>
      </c>
      <c r="AI2194" s="73">
        <v>0</v>
      </c>
      <c r="AJ2194" s="73">
        <v>0</v>
      </c>
      <c r="AK2194" s="73">
        <v>0</v>
      </c>
      <c r="AL2194" s="73">
        <v>1.5</v>
      </c>
      <c r="AM2194" s="72">
        <v>0</v>
      </c>
      <c r="AN2194" s="72">
        <v>0</v>
      </c>
      <c r="AO2194" s="72">
        <v>0</v>
      </c>
      <c r="AP2194" s="72">
        <v>0.5</v>
      </c>
      <c r="AQ2194" s="72">
        <v>3000</v>
      </c>
      <c r="AR2194" s="72">
        <v>0.5</v>
      </c>
      <c r="AS2194" s="72">
        <v>0</v>
      </c>
      <c r="AT2194" s="73">
        <v>0</v>
      </c>
      <c r="AU2194" s="72">
        <v>80005305</v>
      </c>
      <c r="AV2194" s="72"/>
      <c r="AW2194" s="71" t="s">
        <v>293</v>
      </c>
      <c r="AX2194" s="72">
        <v>0</v>
      </c>
      <c r="AY2194" s="74">
        <v>10000007</v>
      </c>
      <c r="AZ2194" s="74">
        <v>23000223</v>
      </c>
      <c r="BA2194" s="71" t="s">
        <v>206</v>
      </c>
      <c r="BB2194" s="72">
        <v>0</v>
      </c>
      <c r="BC2194" s="75">
        <v>0</v>
      </c>
      <c r="BD2194" s="75">
        <v>0</v>
      </c>
      <c r="BE2194" s="76" t="s">
        <v>5095</v>
      </c>
      <c r="BF2194" s="76" t="s">
        <v>5096</v>
      </c>
      <c r="BG2194" s="72">
        <v>0</v>
      </c>
      <c r="BH2194" s="72">
        <v>0</v>
      </c>
      <c r="BI2194" s="72">
        <v>0</v>
      </c>
      <c r="BJ2194" s="72">
        <v>0</v>
      </c>
      <c r="BK2194" s="72">
        <v>0</v>
      </c>
      <c r="BL2194" s="72">
        <v>0</v>
      </c>
      <c r="BM2194" s="72">
        <v>0</v>
      </c>
      <c r="BN2194" s="73">
        <v>0</v>
      </c>
      <c r="BO2194" s="73">
        <v>0</v>
      </c>
      <c r="BP2194" s="73">
        <v>0</v>
      </c>
      <c r="BQ2194" s="73">
        <v>0</v>
      </c>
      <c r="BR2194" s="73">
        <v>0</v>
      </c>
      <c r="BS2194" s="73">
        <v>0</v>
      </c>
      <c r="BT2194" s="19">
        <v>0</v>
      </c>
      <c r="BU2194" s="23">
        <v>0</v>
      </c>
      <c r="BV2194" s="23"/>
      <c r="BW2194" s="23"/>
      <c r="BX2194" s="23"/>
      <c r="BY2194" s="23"/>
      <c r="BZ2194" s="23"/>
    </row>
    <row r="2195" spans="3:78" ht="20.100000000000001" customHeight="1">
      <c r="C2195" s="32">
        <v>81000110</v>
      </c>
      <c r="D2195" s="35" t="s">
        <v>1315</v>
      </c>
      <c r="E2195" s="35" t="s">
        <v>1316</v>
      </c>
      <c r="F2195" s="21">
        <v>1</v>
      </c>
      <c r="G2195" s="32">
        <v>61023101</v>
      </c>
      <c r="H2195" s="32">
        <v>0</v>
      </c>
      <c r="I2195" s="31">
        <v>0</v>
      </c>
      <c r="J2195" s="21">
        <v>1</v>
      </c>
      <c r="K2195" s="21">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1</v>
      </c>
      <c r="AH2195" s="32">
        <v>3.5</v>
      </c>
      <c r="AI2195" s="19">
        <v>0</v>
      </c>
      <c r="AJ2195" s="19">
        <v>0</v>
      </c>
      <c r="AK2195" s="19">
        <v>0</v>
      </c>
      <c r="AL2195" s="19">
        <v>3</v>
      </c>
      <c r="AM2195" s="32">
        <v>0</v>
      </c>
      <c r="AN2195" s="32">
        <v>0</v>
      </c>
      <c r="AO2195" s="32">
        <v>0</v>
      </c>
      <c r="AP2195" s="32">
        <v>0</v>
      </c>
      <c r="AQ2195" s="32">
        <v>2000</v>
      </c>
      <c r="AR2195" s="32">
        <v>0</v>
      </c>
      <c r="AS2195" s="32">
        <v>0</v>
      </c>
      <c r="AT2195" s="19">
        <v>0</v>
      </c>
      <c r="AU2195" s="350" t="s">
        <v>5097</v>
      </c>
      <c r="AV2195" s="32"/>
      <c r="AW2195" s="35" t="s">
        <v>205</v>
      </c>
      <c r="AX2195" s="32" t="s">
        <v>540</v>
      </c>
      <c r="AY2195" s="32">
        <v>10000007</v>
      </c>
      <c r="AZ2195" s="32">
        <v>70403003</v>
      </c>
      <c r="BA2195" s="30" t="s">
        <v>1703</v>
      </c>
      <c r="BB2195" s="35">
        <v>0</v>
      </c>
      <c r="BC2195" s="31">
        <v>0</v>
      </c>
      <c r="BD2195" s="31">
        <v>0</v>
      </c>
      <c r="BE2195" s="185" t="s">
        <v>5098</v>
      </c>
      <c r="BF2195" s="185" t="s">
        <v>5099</v>
      </c>
      <c r="BG2195" s="32">
        <v>0</v>
      </c>
      <c r="BH2195" s="21">
        <v>0</v>
      </c>
      <c r="BI2195" s="32">
        <v>0</v>
      </c>
      <c r="BJ2195" s="32">
        <v>0</v>
      </c>
      <c r="BK2195" s="32">
        <v>0</v>
      </c>
      <c r="BL2195" s="32">
        <v>0</v>
      </c>
      <c r="BM2195" s="25">
        <v>0</v>
      </c>
      <c r="BN2195" s="19">
        <v>1</v>
      </c>
      <c r="BO2195" s="19">
        <v>0</v>
      </c>
      <c r="BP2195" s="19">
        <v>0</v>
      </c>
      <c r="BQ2195" s="19">
        <v>0</v>
      </c>
      <c r="BR2195" s="19">
        <v>0</v>
      </c>
      <c r="BS2195" s="19">
        <v>0</v>
      </c>
      <c r="BT2195" s="19">
        <v>0</v>
      </c>
      <c r="BU2195" s="23">
        <v>0</v>
      </c>
      <c r="BV2195" s="23"/>
      <c r="BW2195" s="23"/>
      <c r="BX2195" s="23"/>
      <c r="BY2195" s="23"/>
      <c r="BZ2195" s="23"/>
    </row>
    <row r="2196" spans="3:78" ht="19.5" customHeight="1">
      <c r="C2196" s="32">
        <v>81000120</v>
      </c>
      <c r="D2196" s="35" t="s">
        <v>4690</v>
      </c>
      <c r="E2196" s="35" t="s">
        <v>4691</v>
      </c>
      <c r="F2196" s="21">
        <v>1</v>
      </c>
      <c r="G2196" s="32">
        <v>61021301</v>
      </c>
      <c r="H2196" s="32">
        <v>0</v>
      </c>
      <c r="I2196" s="31">
        <v>0</v>
      </c>
      <c r="J2196" s="21">
        <v>1</v>
      </c>
      <c r="K2196" s="32">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2</v>
      </c>
      <c r="AH2196" s="32" t="s">
        <v>1719</v>
      </c>
      <c r="AI2196" s="19">
        <v>2</v>
      </c>
      <c r="AJ2196" s="19">
        <v>3</v>
      </c>
      <c r="AK2196" s="19">
        <v>0</v>
      </c>
      <c r="AL2196" s="19">
        <v>3</v>
      </c>
      <c r="AM2196" s="32">
        <v>0</v>
      </c>
      <c r="AN2196" s="32">
        <v>0</v>
      </c>
      <c r="AO2196" s="32">
        <v>0</v>
      </c>
      <c r="AP2196" s="32">
        <v>0</v>
      </c>
      <c r="AQ2196" s="32">
        <v>3000</v>
      </c>
      <c r="AR2196" s="32">
        <v>0</v>
      </c>
      <c r="AS2196" s="32">
        <v>0</v>
      </c>
      <c r="AT2196" s="19">
        <v>0</v>
      </c>
      <c r="AU2196" s="32">
        <v>81000120</v>
      </c>
      <c r="AV2196" s="32"/>
      <c r="AW2196" s="35" t="s">
        <v>205</v>
      </c>
      <c r="AX2196" s="32" t="s">
        <v>551</v>
      </c>
      <c r="AY2196" s="32">
        <v>10001007</v>
      </c>
      <c r="AZ2196" s="32">
        <v>21010030</v>
      </c>
      <c r="BA2196" s="35" t="s">
        <v>206</v>
      </c>
      <c r="BB2196" s="35">
        <v>0</v>
      </c>
      <c r="BC2196" s="31">
        <v>0</v>
      </c>
      <c r="BD2196" s="31">
        <v>0</v>
      </c>
      <c r="BE2196" s="185" t="s">
        <v>5100</v>
      </c>
      <c r="BF2196" s="185" t="s">
        <v>5101</v>
      </c>
      <c r="BG2196" s="32">
        <v>0</v>
      </c>
      <c r="BH2196" s="21">
        <v>0</v>
      </c>
      <c r="BI2196" s="32">
        <v>0</v>
      </c>
      <c r="BJ2196" s="32">
        <v>0</v>
      </c>
      <c r="BK2196" s="32">
        <v>0</v>
      </c>
      <c r="BL2196" s="32">
        <v>0</v>
      </c>
      <c r="BM2196" s="25">
        <v>0</v>
      </c>
      <c r="BN2196" s="19">
        <v>0</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81000130</v>
      </c>
      <c r="D2197" s="35" t="s">
        <v>5102</v>
      </c>
      <c r="E2197" s="35" t="s">
        <v>5103</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81000130</v>
      </c>
      <c r="AV2197" s="32"/>
      <c r="AW2197" s="35" t="s">
        <v>205</v>
      </c>
      <c r="AX2197" s="32" t="s">
        <v>540</v>
      </c>
      <c r="AY2197" s="32">
        <v>10000009</v>
      </c>
      <c r="AZ2197" s="32">
        <v>21030010</v>
      </c>
      <c r="BA2197" s="30" t="s">
        <v>1703</v>
      </c>
      <c r="BB2197" s="35">
        <v>0</v>
      </c>
      <c r="BC2197" s="31">
        <v>0</v>
      </c>
      <c r="BD2197" s="31">
        <v>0</v>
      </c>
      <c r="BE2197" s="185" t="s">
        <v>5104</v>
      </c>
      <c r="BF2197" s="185" t="s">
        <v>5105</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81000140</v>
      </c>
      <c r="D2198" s="35" t="s">
        <v>5106</v>
      </c>
      <c r="E2198" s="35" t="s">
        <v>5107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81000140</v>
      </c>
      <c r="AV2198" s="32"/>
      <c r="AW2198" s="35" t="s">
        <v>205</v>
      </c>
      <c r="AX2198" s="32" t="s">
        <v>540</v>
      </c>
      <c r="AY2198" s="32">
        <v>10000015</v>
      </c>
      <c r="AZ2198" s="32">
        <v>21000030</v>
      </c>
      <c r="BA2198" s="30" t="s">
        <v>1703</v>
      </c>
      <c r="BB2198" s="35">
        <v>0</v>
      </c>
      <c r="BC2198" s="31">
        <v>0</v>
      </c>
      <c r="BD2198" s="31">
        <v>0</v>
      </c>
      <c r="BE2198" s="185" t="s">
        <v>5108</v>
      </c>
      <c r="BF2198" s="185" t="s">
        <v>5109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81000150</v>
      </c>
      <c r="D2199" s="88" t="s">
        <v>5110</v>
      </c>
      <c r="E2199" s="88" t="s">
        <v>5111</v>
      </c>
      <c r="F2199" s="74">
        <v>1</v>
      </c>
      <c r="G2199" s="74">
        <v>63021201</v>
      </c>
      <c r="H2199" s="74">
        <v>0</v>
      </c>
      <c r="I2199" s="75">
        <v>0</v>
      </c>
      <c r="J2199" s="72">
        <v>1</v>
      </c>
      <c r="K2199" s="72">
        <v>0</v>
      </c>
      <c r="L2199" s="74">
        <v>0</v>
      </c>
      <c r="M2199" s="74">
        <v>0</v>
      </c>
      <c r="N2199" s="74">
        <v>0</v>
      </c>
      <c r="O2199" s="74">
        <v>1</v>
      </c>
      <c r="P2199" s="74">
        <v>0</v>
      </c>
      <c r="Q2199" s="74">
        <v>0</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0</v>
      </c>
      <c r="AL2199" s="73">
        <v>8</v>
      </c>
      <c r="AM2199" s="74">
        <v>0</v>
      </c>
      <c r="AN2199" s="74">
        <v>0</v>
      </c>
      <c r="AO2199" s="74">
        <v>0</v>
      </c>
      <c r="AP2199" s="74">
        <v>0</v>
      </c>
      <c r="AQ2199" s="74">
        <v>360000</v>
      </c>
      <c r="AR2199" s="74">
        <v>0</v>
      </c>
      <c r="AS2199" s="74">
        <v>0</v>
      </c>
      <c r="AT2199" s="73">
        <v>0</v>
      </c>
      <c r="AU2199" s="74">
        <v>0</v>
      </c>
      <c r="AV2199" s="74"/>
      <c r="AW2199" s="35" t="s">
        <v>205</v>
      </c>
      <c r="AX2199" s="74" t="s">
        <v>1472</v>
      </c>
      <c r="AY2199" s="74">
        <v>10002001</v>
      </c>
      <c r="AZ2199" s="74">
        <v>21201020</v>
      </c>
      <c r="BA2199" s="88" t="s">
        <v>1180</v>
      </c>
      <c r="BB2199" s="88" t="s">
        <v>5112</v>
      </c>
      <c r="BC2199" s="75">
        <v>0</v>
      </c>
      <c r="BD2199" s="75">
        <v>0</v>
      </c>
      <c r="BE2199" s="89" t="s">
        <v>5113</v>
      </c>
      <c r="BF2199" s="89" t="s">
        <v>5114</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81000151</v>
      </c>
      <c r="D2200" s="88" t="s">
        <v>5115</v>
      </c>
      <c r="E2200" s="88" t="s">
        <v>5116</v>
      </c>
      <c r="F2200" s="72">
        <v>1</v>
      </c>
      <c r="G2200" s="74">
        <v>62011101</v>
      </c>
      <c r="H2200" s="72">
        <v>0</v>
      </c>
      <c r="I2200" s="75">
        <v>0</v>
      </c>
      <c r="J2200" s="72">
        <v>1</v>
      </c>
      <c r="K2200" s="72">
        <v>0</v>
      </c>
      <c r="L2200" s="72">
        <v>0</v>
      </c>
      <c r="M2200" s="74">
        <v>0</v>
      </c>
      <c r="N2200" s="74">
        <v>0</v>
      </c>
      <c r="O2200" s="74">
        <v>2</v>
      </c>
      <c r="P2200" s="74">
        <v>10</v>
      </c>
      <c r="Q2200" s="74">
        <v>0.8</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1</v>
      </c>
      <c r="AL2200" s="73">
        <v>2</v>
      </c>
      <c r="AM2200" s="74">
        <v>0</v>
      </c>
      <c r="AN2200" s="74">
        <v>0</v>
      </c>
      <c r="AO2200" s="74">
        <v>0</v>
      </c>
      <c r="AP2200" s="74">
        <v>0</v>
      </c>
      <c r="AQ2200" s="74">
        <v>3000</v>
      </c>
      <c r="AR2200" s="74">
        <v>0</v>
      </c>
      <c r="AS2200" s="74">
        <v>0</v>
      </c>
      <c r="AT2200" s="73">
        <v>0</v>
      </c>
      <c r="AU2200" s="74">
        <v>81000120</v>
      </c>
      <c r="AV2200" s="74"/>
      <c r="AW2200" s="35" t="s">
        <v>205</v>
      </c>
      <c r="AX2200" s="74" t="s">
        <v>1849</v>
      </c>
      <c r="AY2200" s="74">
        <v>10002001</v>
      </c>
      <c r="AZ2200" s="74">
        <v>21201020</v>
      </c>
      <c r="BA2200" s="88" t="s">
        <v>206</v>
      </c>
      <c r="BB2200" s="88">
        <v>0</v>
      </c>
      <c r="BC2200" s="75">
        <v>0</v>
      </c>
      <c r="BD2200" s="75">
        <v>0</v>
      </c>
      <c r="BE2200" s="208" t="s">
        <v>5117</v>
      </c>
      <c r="BF2200" s="208" t="s">
        <v>5118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81000160</v>
      </c>
      <c r="D2201" s="30" t="s">
        <v>5119</v>
      </c>
      <c r="E2201" s="30" t="s">
        <v>5120</v>
      </c>
      <c r="F2201" s="21">
        <v>1</v>
      </c>
      <c r="G2201" s="21">
        <v>62011201</v>
      </c>
      <c r="H2201" s="21">
        <v>0</v>
      </c>
      <c r="I2201" s="31">
        <v>0</v>
      </c>
      <c r="J2201" s="21">
        <v>1</v>
      </c>
      <c r="K2201" s="21">
        <v>0</v>
      </c>
      <c r="L2201" s="21">
        <v>0</v>
      </c>
      <c r="M2201" s="21">
        <v>0</v>
      </c>
      <c r="N2201" s="21">
        <v>0</v>
      </c>
      <c r="O2201" s="21">
        <v>1</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2</v>
      </c>
      <c r="AI2201" s="19">
        <v>7</v>
      </c>
      <c r="AJ2201" s="19">
        <v>0</v>
      </c>
      <c r="AK2201" s="19">
        <v>0</v>
      </c>
      <c r="AL2201" s="19">
        <v>15</v>
      </c>
      <c r="AM2201" s="21">
        <v>0</v>
      </c>
      <c r="AN2201" s="21">
        <v>0</v>
      </c>
      <c r="AO2201" s="21">
        <v>0</v>
      </c>
      <c r="AP2201" s="21">
        <v>0</v>
      </c>
      <c r="AQ2201" s="21">
        <v>3000</v>
      </c>
      <c r="AR2201" s="21">
        <v>0</v>
      </c>
      <c r="AS2201" s="21">
        <v>0</v>
      </c>
      <c r="AT2201" s="19">
        <v>0</v>
      </c>
      <c r="AU2201" s="350" t="s">
        <v>5097</v>
      </c>
      <c r="AV2201" s="32"/>
      <c r="AW2201" s="35" t="s">
        <v>205</v>
      </c>
      <c r="AX2201" s="21" t="s">
        <v>540</v>
      </c>
      <c r="AY2201" s="32">
        <v>10000007</v>
      </c>
      <c r="AZ2201" s="32">
        <v>21101050</v>
      </c>
      <c r="BA2201" s="30" t="s">
        <v>5121</v>
      </c>
      <c r="BB2201" s="21">
        <v>0</v>
      </c>
      <c r="BC2201" s="31">
        <v>0</v>
      </c>
      <c r="BD2201" s="31">
        <v>0</v>
      </c>
      <c r="BE2201" s="185" t="s">
        <v>5122</v>
      </c>
      <c r="BF2201" s="185" t="s">
        <v>5123</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81000170</v>
      </c>
      <c r="D2202" s="30" t="s">
        <v>5124</v>
      </c>
      <c r="E2202" s="30" t="s">
        <v>5125</v>
      </c>
      <c r="F2202" s="21">
        <v>1</v>
      </c>
      <c r="G2202" s="21">
        <v>61011301</v>
      </c>
      <c r="H2202" s="21">
        <v>0</v>
      </c>
      <c r="I2202" s="31">
        <v>0</v>
      </c>
      <c r="J2202" s="21">
        <v>1</v>
      </c>
      <c r="K2202" s="21">
        <v>0</v>
      </c>
      <c r="L2202" s="21">
        <v>0</v>
      </c>
      <c r="M2202" s="21">
        <v>0</v>
      </c>
      <c r="N2202" s="21">
        <v>0</v>
      </c>
      <c r="O2202" s="21">
        <v>6</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3</v>
      </c>
      <c r="AI2202" s="19">
        <v>2</v>
      </c>
      <c r="AJ2202" s="19">
        <v>1</v>
      </c>
      <c r="AK2202" s="19">
        <v>0</v>
      </c>
      <c r="AL2202" s="19">
        <v>6</v>
      </c>
      <c r="AM2202" s="21">
        <v>0</v>
      </c>
      <c r="AN2202" s="21">
        <v>0</v>
      </c>
      <c r="AO2202" s="21">
        <v>0</v>
      </c>
      <c r="AP2202" s="21">
        <v>0</v>
      </c>
      <c r="AQ2202" s="21">
        <v>3000</v>
      </c>
      <c r="AR2202" s="21">
        <v>0</v>
      </c>
      <c r="AS2202" s="21">
        <v>0</v>
      </c>
      <c r="AT2202" s="19">
        <v>0</v>
      </c>
      <c r="AU2202" s="21" t="s">
        <v>204</v>
      </c>
      <c r="AV2202" s="21"/>
      <c r="AW2202" s="35" t="s">
        <v>205</v>
      </c>
      <c r="AX2202" s="21" t="s">
        <v>221</v>
      </c>
      <c r="AY2202" s="32">
        <v>10000015</v>
      </c>
      <c r="AZ2202" s="32">
        <v>21000030</v>
      </c>
      <c r="BA2202" s="30" t="s">
        <v>1377</v>
      </c>
      <c r="BB2202" s="21">
        <v>0</v>
      </c>
      <c r="BC2202" s="31">
        <v>0</v>
      </c>
      <c r="BD2202" s="31">
        <v>0</v>
      </c>
      <c r="BE2202" s="171" t="s">
        <v>5126</v>
      </c>
      <c r="BF2202" s="171" t="s">
        <v>5127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81000310</v>
      </c>
      <c r="D2203" s="30" t="s">
        <v>5128</v>
      </c>
      <c r="E2203" s="30" t="s">
        <v>5129</v>
      </c>
      <c r="F2203" s="19">
        <v>1</v>
      </c>
      <c r="G2203" s="32">
        <v>81000310</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81000310</v>
      </c>
      <c r="AU2203" s="19" t="s">
        <v>204</v>
      </c>
      <c r="AV2203" s="19"/>
      <c r="AW2203" s="20" t="s">
        <v>205</v>
      </c>
      <c r="AX2203" s="19" t="s">
        <v>2254</v>
      </c>
      <c r="AY2203" s="19">
        <v>0</v>
      </c>
      <c r="AZ2203" s="19">
        <v>0</v>
      </c>
      <c r="BA2203" s="20" t="s">
        <v>206</v>
      </c>
      <c r="BB2203" s="20" t="s">
        <v>204</v>
      </c>
      <c r="BC2203" s="19">
        <v>0</v>
      </c>
      <c r="BD2203" s="19">
        <v>0</v>
      </c>
      <c r="BE2203" s="22" t="s">
        <v>5130</v>
      </c>
      <c r="BF2203" s="22" t="s">
        <v>5131</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81000320</v>
      </c>
      <c r="D2204" s="30" t="s">
        <v>5132</v>
      </c>
      <c r="E2204" s="30" t="s">
        <v>5133</v>
      </c>
      <c r="F2204" s="19">
        <v>1</v>
      </c>
      <c r="G2204" s="19">
        <v>68000011</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81000320</v>
      </c>
      <c r="AU2204" s="19" t="s">
        <v>204</v>
      </c>
      <c r="AV2204" s="19"/>
      <c r="AW2204" s="20" t="s">
        <v>205</v>
      </c>
      <c r="AX2204" s="19" t="s">
        <v>2254</v>
      </c>
      <c r="AY2204" s="19">
        <v>0</v>
      </c>
      <c r="AZ2204" s="19">
        <v>0</v>
      </c>
      <c r="BA2204" s="20" t="s">
        <v>206</v>
      </c>
      <c r="BB2204" s="20" t="s">
        <v>204</v>
      </c>
      <c r="BC2204" s="19">
        <v>0</v>
      </c>
      <c r="BD2204" s="19">
        <v>0</v>
      </c>
      <c r="BE2204" s="22" t="s">
        <v>5134</v>
      </c>
      <c r="BF2204" s="22" t="s">
        <v>5135</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19.5" customHeight="1">
      <c r="C2205" s="32">
        <v>81000330</v>
      </c>
      <c r="D2205" s="30" t="s">
        <v>2494</v>
      </c>
      <c r="E2205" s="30" t="s">
        <v>2495</v>
      </c>
      <c r="F2205" s="21">
        <v>1</v>
      </c>
      <c r="G2205" s="21">
        <v>66001008</v>
      </c>
      <c r="H2205" s="19">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v>
      </c>
      <c r="AI2205" s="19">
        <v>2</v>
      </c>
      <c r="AJ2205" s="19">
        <v>2</v>
      </c>
      <c r="AK2205" s="19">
        <v>0</v>
      </c>
      <c r="AL2205" s="19">
        <v>4</v>
      </c>
      <c r="AM2205" s="32">
        <v>0</v>
      </c>
      <c r="AN2205" s="32">
        <v>0</v>
      </c>
      <c r="AO2205" s="32">
        <v>0</v>
      </c>
      <c r="AP2205" s="32">
        <v>0</v>
      </c>
      <c r="AQ2205" s="32">
        <v>2000</v>
      </c>
      <c r="AR2205" s="32">
        <v>0</v>
      </c>
      <c r="AS2205" s="32">
        <v>10</v>
      </c>
      <c r="AT2205" s="19">
        <v>0</v>
      </c>
      <c r="AU2205" s="32">
        <v>92002001</v>
      </c>
      <c r="AV2205" s="32"/>
      <c r="AW2205" s="35" t="s">
        <v>205</v>
      </c>
      <c r="AX2205" s="32" t="s">
        <v>1857</v>
      </c>
      <c r="AY2205" s="32">
        <v>10003002</v>
      </c>
      <c r="AZ2205" s="32">
        <v>21100020</v>
      </c>
      <c r="BA2205" s="30" t="s">
        <v>1703</v>
      </c>
      <c r="BB2205" s="35">
        <v>0</v>
      </c>
      <c r="BC2205" s="31">
        <v>0</v>
      </c>
      <c r="BD2205" s="31">
        <v>0</v>
      </c>
      <c r="BE2205" s="185" t="s">
        <v>5136</v>
      </c>
      <c r="BF2205" s="185" t="s">
        <v>5137</v>
      </c>
      <c r="BG2205" s="32">
        <v>0</v>
      </c>
      <c r="BH2205" s="21">
        <v>0</v>
      </c>
      <c r="BI2205" s="32">
        <v>0</v>
      </c>
      <c r="BJ2205" s="32">
        <v>0</v>
      </c>
      <c r="BK2205" s="32">
        <v>0</v>
      </c>
      <c r="BL2205" s="32">
        <v>0</v>
      </c>
      <c r="BM2205" s="25">
        <v>0</v>
      </c>
      <c r="BN2205" s="19">
        <v>0</v>
      </c>
      <c r="BO2205" s="19">
        <v>0</v>
      </c>
      <c r="BP2205" s="19">
        <v>0</v>
      </c>
      <c r="BQ2205" s="19">
        <v>0</v>
      </c>
      <c r="BR2205" s="19">
        <v>0</v>
      </c>
      <c r="BS2205" s="19">
        <v>0</v>
      </c>
      <c r="BT2205" s="19">
        <v>0</v>
      </c>
      <c r="BU2205" s="23">
        <v>0</v>
      </c>
      <c r="BV2205" s="23"/>
      <c r="BW2205" s="23"/>
      <c r="BX2205" s="23"/>
      <c r="BY2205" s="23"/>
      <c r="BZ2205" s="23"/>
    </row>
    <row r="2206" spans="3:78" ht="20.100000000000001" customHeight="1">
      <c r="C2206" s="32">
        <v>81000340</v>
      </c>
      <c r="D2206" s="35" t="s">
        <v>1315</v>
      </c>
      <c r="E2206" s="35" t="s">
        <v>1316</v>
      </c>
      <c r="F2206" s="21">
        <v>1</v>
      </c>
      <c r="G2206" s="32">
        <v>61023101</v>
      </c>
      <c r="H2206" s="32">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3.5</v>
      </c>
      <c r="AI2206" s="19">
        <v>0</v>
      </c>
      <c r="AJ2206" s="19">
        <v>0</v>
      </c>
      <c r="AK2206" s="19">
        <v>0</v>
      </c>
      <c r="AL2206" s="19">
        <v>3</v>
      </c>
      <c r="AM2206" s="32">
        <v>0</v>
      </c>
      <c r="AN2206" s="32">
        <v>0</v>
      </c>
      <c r="AO2206" s="32">
        <v>0</v>
      </c>
      <c r="AP2206" s="32">
        <v>0</v>
      </c>
      <c r="AQ2206" s="32">
        <v>2000</v>
      </c>
      <c r="AR2206" s="32">
        <v>0</v>
      </c>
      <c r="AS2206" s="32">
        <v>0</v>
      </c>
      <c r="AT2206" s="19">
        <v>0</v>
      </c>
      <c r="AU2206" s="32">
        <v>81000130</v>
      </c>
      <c r="AV2206" s="32"/>
      <c r="AW2206" s="35" t="s">
        <v>205</v>
      </c>
      <c r="AX2206" s="32" t="s">
        <v>540</v>
      </c>
      <c r="AY2206" s="32">
        <v>10000007</v>
      </c>
      <c r="AZ2206" s="32">
        <v>70204001</v>
      </c>
      <c r="BA2206" s="88" t="s">
        <v>206</v>
      </c>
      <c r="BB2206" s="35">
        <v>0</v>
      </c>
      <c r="BC2206" s="31">
        <v>0</v>
      </c>
      <c r="BD2206" s="31">
        <v>0</v>
      </c>
      <c r="BE2206" s="185" t="s">
        <v>5138</v>
      </c>
      <c r="BF2206" s="185" t="s">
        <v>5139</v>
      </c>
      <c r="BG2206" s="32">
        <v>0</v>
      </c>
      <c r="BH2206" s="21">
        <v>0</v>
      </c>
      <c r="BI2206" s="32">
        <v>0</v>
      </c>
      <c r="BJ2206" s="32">
        <v>0</v>
      </c>
      <c r="BK2206" s="32">
        <v>0</v>
      </c>
      <c r="BL2206" s="32">
        <v>0</v>
      </c>
      <c r="BM2206" s="25">
        <v>0</v>
      </c>
      <c r="BN2206" s="19">
        <v>1</v>
      </c>
      <c r="BO2206" s="19">
        <v>0</v>
      </c>
      <c r="BP2206" s="19">
        <v>0</v>
      </c>
      <c r="BQ2206" s="19">
        <v>0</v>
      </c>
      <c r="BR2206" s="19">
        <v>0</v>
      </c>
      <c r="BS2206" s="19">
        <v>0</v>
      </c>
      <c r="BT2206" s="19">
        <v>0</v>
      </c>
      <c r="BU2206" s="23">
        <v>0</v>
      </c>
      <c r="BV2206" s="23"/>
      <c r="BW2206" s="23"/>
      <c r="BX2206" s="23"/>
      <c r="BY2206" s="23"/>
      <c r="BZ2206" s="23"/>
    </row>
    <row r="2207" spans="3:78" ht="19.5" customHeight="1">
      <c r="C2207" s="32">
        <v>81000350</v>
      </c>
      <c r="D2207" s="30" t="s">
        <v>5140</v>
      </c>
      <c r="E2207" s="30" t="s">
        <v>5141</v>
      </c>
      <c r="F2207" s="21">
        <v>1</v>
      </c>
      <c r="G2207" s="21">
        <v>68000014</v>
      </c>
      <c r="H2207" s="21">
        <v>0</v>
      </c>
      <c r="I2207" s="31">
        <v>0</v>
      </c>
      <c r="J2207" s="21">
        <v>1</v>
      </c>
      <c r="K2207" s="21">
        <v>0</v>
      </c>
      <c r="L2207" s="21">
        <v>0</v>
      </c>
      <c r="M2207" s="21">
        <v>0</v>
      </c>
      <c r="N2207" s="21">
        <v>0</v>
      </c>
      <c r="O2207" s="21">
        <v>1</v>
      </c>
      <c r="P2207" s="21">
        <v>0</v>
      </c>
      <c r="Q2207" s="21">
        <v>0</v>
      </c>
      <c r="R2207" s="21">
        <v>0</v>
      </c>
      <c r="S2207" s="19">
        <v>0</v>
      </c>
      <c r="T2207" s="21">
        <v>0</v>
      </c>
      <c r="U2207" s="21">
        <v>1</v>
      </c>
      <c r="V2207" s="21">
        <v>2</v>
      </c>
      <c r="W2207" s="21">
        <v>0</v>
      </c>
      <c r="X2207" s="32">
        <v>0</v>
      </c>
      <c r="Y2207" s="19">
        <v>0</v>
      </c>
      <c r="Z2207" s="32">
        <v>0</v>
      </c>
      <c r="AA2207" s="21">
        <v>1</v>
      </c>
      <c r="AB2207" s="21">
        <v>0</v>
      </c>
      <c r="AC2207" s="21">
        <v>0</v>
      </c>
      <c r="AD2207" s="21">
        <v>0</v>
      </c>
      <c r="AE2207" s="21">
        <v>0</v>
      </c>
      <c r="AF2207" s="21">
        <v>1</v>
      </c>
      <c r="AG2207" s="21">
        <v>1</v>
      </c>
      <c r="AH2207" s="21">
        <v>0</v>
      </c>
      <c r="AI2207" s="19">
        <v>7</v>
      </c>
      <c r="AJ2207" s="19">
        <v>0</v>
      </c>
      <c r="AK2207" s="19">
        <v>0</v>
      </c>
      <c r="AL2207" s="19">
        <v>15</v>
      </c>
      <c r="AM2207" s="21">
        <v>0</v>
      </c>
      <c r="AN2207" s="21">
        <v>0</v>
      </c>
      <c r="AO2207" s="21">
        <v>0</v>
      </c>
      <c r="AP2207" s="21">
        <v>0</v>
      </c>
      <c r="AQ2207" s="21">
        <v>3000</v>
      </c>
      <c r="AR2207" s="21">
        <v>0</v>
      </c>
      <c r="AS2207" s="21">
        <v>0</v>
      </c>
      <c r="AT2207" s="19">
        <v>0</v>
      </c>
      <c r="AU2207" s="32">
        <v>81000130</v>
      </c>
      <c r="AV2207" s="32"/>
      <c r="AW2207" s="35" t="s">
        <v>205</v>
      </c>
      <c r="AX2207" s="21" t="s">
        <v>540</v>
      </c>
      <c r="AY2207" s="32">
        <v>10000007</v>
      </c>
      <c r="AZ2207" s="32">
        <v>21101050</v>
      </c>
      <c r="BA2207" s="30" t="s">
        <v>5121</v>
      </c>
      <c r="BB2207" s="21">
        <v>0</v>
      </c>
      <c r="BC2207" s="31">
        <v>0</v>
      </c>
      <c r="BD2207" s="31">
        <v>0</v>
      </c>
      <c r="BE2207" s="185" t="s">
        <v>5142</v>
      </c>
      <c r="BF2207" s="185" t="s">
        <v>5143</v>
      </c>
      <c r="BG2207" s="21">
        <v>0</v>
      </c>
      <c r="BH2207" s="21">
        <v>0</v>
      </c>
      <c r="BI2207" s="21">
        <v>0</v>
      </c>
      <c r="BJ2207" s="21">
        <v>0</v>
      </c>
      <c r="BK2207" s="21">
        <v>0</v>
      </c>
      <c r="BL2207" s="21">
        <v>0</v>
      </c>
      <c r="BM2207" s="25">
        <v>0</v>
      </c>
      <c r="BN2207" s="19">
        <v>0</v>
      </c>
      <c r="BO2207" s="19">
        <v>0</v>
      </c>
      <c r="BP2207" s="19">
        <v>0</v>
      </c>
      <c r="BQ2207" s="19">
        <v>0</v>
      </c>
      <c r="BR2207" s="19">
        <v>0</v>
      </c>
      <c r="BS2207" s="19">
        <v>0</v>
      </c>
      <c r="BT2207" s="19">
        <v>0</v>
      </c>
      <c r="BU2207" s="23">
        <v>0</v>
      </c>
      <c r="BV2207" s="23"/>
      <c r="BW2207" s="23"/>
      <c r="BX2207" s="23"/>
      <c r="BY2207" s="23"/>
      <c r="BZ2207" s="23"/>
    </row>
    <row r="2208" spans="3:78" ht="19.5" customHeight="1">
      <c r="C2208" s="32">
        <v>81000360</v>
      </c>
      <c r="D2208" s="190" t="s">
        <v>5144</v>
      </c>
      <c r="E2208" s="190" t="s">
        <v>5145</v>
      </c>
      <c r="F2208" s="191">
        <v>1</v>
      </c>
      <c r="G2208" s="19">
        <v>68000006</v>
      </c>
      <c r="H2208" s="21">
        <v>0</v>
      </c>
      <c r="I2208" s="193">
        <v>0</v>
      </c>
      <c r="J2208" s="191">
        <v>1</v>
      </c>
      <c r="K2208" s="191">
        <v>0</v>
      </c>
      <c r="L2208" s="191">
        <v>0</v>
      </c>
      <c r="M2208" s="194">
        <v>0</v>
      </c>
      <c r="N2208" s="194">
        <v>0</v>
      </c>
      <c r="O2208" s="194">
        <v>1</v>
      </c>
      <c r="P2208" s="194">
        <v>0</v>
      </c>
      <c r="Q2208" s="194">
        <v>0</v>
      </c>
      <c r="R2208" s="194">
        <v>0</v>
      </c>
      <c r="S2208" s="195">
        <v>0</v>
      </c>
      <c r="T2208" s="193">
        <v>0</v>
      </c>
      <c r="U2208" s="191">
        <v>1</v>
      </c>
      <c r="V2208" s="194">
        <v>2</v>
      </c>
      <c r="W2208" s="194">
        <v>0</v>
      </c>
      <c r="X2208" s="194">
        <v>0</v>
      </c>
      <c r="Y2208" s="19">
        <v>0</v>
      </c>
      <c r="Z2208" s="191">
        <v>0</v>
      </c>
      <c r="AA2208" s="194">
        <v>1</v>
      </c>
      <c r="AB2208" s="194">
        <v>0</v>
      </c>
      <c r="AC2208" s="194">
        <v>0</v>
      </c>
      <c r="AD2208" s="194">
        <v>0</v>
      </c>
      <c r="AE2208" s="194">
        <v>0</v>
      </c>
      <c r="AF2208" s="194">
        <v>1</v>
      </c>
      <c r="AG2208" s="194">
        <v>1</v>
      </c>
      <c r="AH2208" s="194">
        <v>4</v>
      </c>
      <c r="AI2208" s="195">
        <v>2</v>
      </c>
      <c r="AJ2208" s="195">
        <v>1</v>
      </c>
      <c r="AK2208" s="195">
        <v>0</v>
      </c>
      <c r="AL2208" s="195">
        <v>7</v>
      </c>
      <c r="AM2208" s="194">
        <v>0</v>
      </c>
      <c r="AN2208" s="194">
        <v>0</v>
      </c>
      <c r="AO2208" s="194">
        <v>0</v>
      </c>
      <c r="AP2208" s="194">
        <v>0</v>
      </c>
      <c r="AQ2208" s="194">
        <v>2000</v>
      </c>
      <c r="AR2208" s="194">
        <v>0</v>
      </c>
      <c r="AS2208" s="194">
        <v>0</v>
      </c>
      <c r="AT2208" s="195">
        <v>0</v>
      </c>
      <c r="AU2208" s="194"/>
      <c r="AV2208" s="194"/>
      <c r="AW2208" s="35" t="s">
        <v>205</v>
      </c>
      <c r="AX2208" s="194" t="s">
        <v>1702</v>
      </c>
      <c r="AY2208" s="194">
        <v>10000006</v>
      </c>
      <c r="AZ2208" s="194">
        <v>21101022</v>
      </c>
      <c r="BA2208" s="196" t="s">
        <v>1048</v>
      </c>
      <c r="BB2208" s="190">
        <v>0</v>
      </c>
      <c r="BC2208" s="193">
        <v>0</v>
      </c>
      <c r="BD2208" s="193">
        <v>0</v>
      </c>
      <c r="BE2208" s="197" t="str">
        <f>"立即将附近玩家全部拉到当前位置"</f>
        <v>立即将附近玩家全部拉到当前位置</v>
      </c>
      <c r="BF2208" s="197" t="s">
        <v>5146</v>
      </c>
      <c r="BG2208" s="194">
        <v>0</v>
      </c>
      <c r="BH2208" s="191">
        <v>0</v>
      </c>
      <c r="BI2208" s="194">
        <v>0</v>
      </c>
      <c r="BJ2208" s="194">
        <v>0</v>
      </c>
      <c r="BK2208" s="194">
        <v>0</v>
      </c>
      <c r="BL2208" s="194">
        <v>0</v>
      </c>
      <c r="BM2208" s="198">
        <v>0</v>
      </c>
      <c r="BN2208" s="195">
        <v>0</v>
      </c>
      <c r="BO2208" s="195">
        <v>0</v>
      </c>
      <c r="BP2208" s="195">
        <v>0</v>
      </c>
      <c r="BQ2208" s="195">
        <v>0</v>
      </c>
      <c r="BR2208" s="195">
        <v>0</v>
      </c>
      <c r="BS2208" s="195">
        <v>0</v>
      </c>
      <c r="BT2208" s="19">
        <v>0</v>
      </c>
      <c r="BU2208" s="23">
        <v>0</v>
      </c>
      <c r="BV2208" s="23"/>
      <c r="BW2208" s="23"/>
      <c r="BX2208" s="23"/>
      <c r="BY2208" s="23"/>
      <c r="BZ2208" s="23"/>
    </row>
    <row r="2209" spans="3:78" ht="19.5" customHeight="1">
      <c r="C2209" s="32">
        <v>81000370</v>
      </c>
      <c r="D2209" s="35" t="s">
        <v>5147</v>
      </c>
      <c r="E2209" s="35" t="s">
        <v>5148</v>
      </c>
      <c r="F2209" s="21">
        <v>1</v>
      </c>
      <c r="G2209" s="32">
        <v>68000007</v>
      </c>
      <c r="H2209" s="32">
        <v>0</v>
      </c>
      <c r="I2209" s="31">
        <v>0</v>
      </c>
      <c r="J2209" s="21">
        <v>1</v>
      </c>
      <c r="K2209" s="21">
        <v>0</v>
      </c>
      <c r="L2209" s="21">
        <v>0</v>
      </c>
      <c r="M2209" s="32">
        <v>0</v>
      </c>
      <c r="N2209" s="32">
        <v>0</v>
      </c>
      <c r="O2209" s="32">
        <v>1</v>
      </c>
      <c r="P2209" s="32">
        <v>0</v>
      </c>
      <c r="Q2209" s="32">
        <v>0</v>
      </c>
      <c r="R2209" s="32">
        <v>0</v>
      </c>
      <c r="S2209" s="19">
        <v>0</v>
      </c>
      <c r="T2209" s="31">
        <v>0</v>
      </c>
      <c r="U2209" s="21">
        <v>1</v>
      </c>
      <c r="V2209" s="32">
        <v>2</v>
      </c>
      <c r="W2209" s="32">
        <v>0</v>
      </c>
      <c r="X2209" s="32">
        <v>0</v>
      </c>
      <c r="Y2209" s="19">
        <v>0</v>
      </c>
      <c r="Z2209" s="32">
        <v>0</v>
      </c>
      <c r="AA2209" s="32">
        <v>1</v>
      </c>
      <c r="AB2209" s="32">
        <v>0</v>
      </c>
      <c r="AC2209" s="32">
        <v>0</v>
      </c>
      <c r="AD2209" s="32">
        <v>0</v>
      </c>
      <c r="AE2209" s="32">
        <v>0</v>
      </c>
      <c r="AF2209" s="32">
        <v>1</v>
      </c>
      <c r="AG2209" s="32">
        <v>1</v>
      </c>
      <c r="AH2209" s="32">
        <v>3</v>
      </c>
      <c r="AI2209" s="19">
        <v>2</v>
      </c>
      <c r="AJ2209" s="19">
        <v>1</v>
      </c>
      <c r="AK2209" s="19">
        <v>0</v>
      </c>
      <c r="AL2209" s="19">
        <v>4</v>
      </c>
      <c r="AM2209" s="32">
        <v>0</v>
      </c>
      <c r="AN2209" s="32">
        <v>0</v>
      </c>
      <c r="AO2209" s="32">
        <v>0</v>
      </c>
      <c r="AP2209" s="32">
        <v>0</v>
      </c>
      <c r="AQ2209" s="32">
        <v>30000</v>
      </c>
      <c r="AR2209" s="32">
        <v>0</v>
      </c>
      <c r="AS2209" s="32">
        <v>0</v>
      </c>
      <c r="AT2209" s="19">
        <v>0</v>
      </c>
      <c r="AU2209" s="281">
        <v>81000370</v>
      </c>
      <c r="AV2209" s="282"/>
      <c r="AW2209" s="35" t="s">
        <v>205</v>
      </c>
      <c r="AX2209" s="32" t="s">
        <v>540</v>
      </c>
      <c r="AY2209" s="32">
        <v>10003002</v>
      </c>
      <c r="AZ2209" s="32">
        <v>21100060</v>
      </c>
      <c r="BA2209" s="35" t="s">
        <v>206</v>
      </c>
      <c r="BB2209" s="35">
        <v>0</v>
      </c>
      <c r="BC2209" s="31">
        <v>0</v>
      </c>
      <c r="BD2209" s="31">
        <v>0</v>
      </c>
      <c r="BE2209" s="185" t="s">
        <v>5149</v>
      </c>
      <c r="BF2209" s="185" t="s">
        <v>5150</v>
      </c>
      <c r="BG2209" s="32">
        <v>0</v>
      </c>
      <c r="BH2209" s="21">
        <v>0</v>
      </c>
      <c r="BI2209" s="32">
        <v>0</v>
      </c>
      <c r="BJ2209" s="32">
        <v>0</v>
      </c>
      <c r="BK2209" s="32">
        <v>0</v>
      </c>
      <c r="BL2209" s="32">
        <v>0</v>
      </c>
      <c r="BM2209" s="25">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67000262</v>
      </c>
      <c r="D2210" s="30" t="s">
        <v>5151</v>
      </c>
      <c r="E2210" s="30" t="s">
        <v>5152</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0</v>
      </c>
      <c r="AJ2210" s="19">
        <v>0</v>
      </c>
      <c r="AK2210" s="19">
        <v>0</v>
      </c>
      <c r="AL2210" s="19">
        <v>1.5</v>
      </c>
      <c r="AM2210" s="21">
        <v>0</v>
      </c>
      <c r="AN2210" s="21">
        <v>0</v>
      </c>
      <c r="AO2210" s="21">
        <v>0</v>
      </c>
      <c r="AP2210" s="21">
        <v>1</v>
      </c>
      <c r="AQ2210" s="21">
        <v>3000</v>
      </c>
      <c r="AR2210" s="21">
        <v>0.5</v>
      </c>
      <c r="AS2210" s="21">
        <v>0</v>
      </c>
      <c r="AT2210" s="19">
        <v>93000201</v>
      </c>
      <c r="AU2210" s="21" t="s">
        <v>204</v>
      </c>
      <c r="AV2210" s="21"/>
      <c r="AW2210" s="30" t="s">
        <v>205</v>
      </c>
      <c r="AX2210" s="21">
        <v>0</v>
      </c>
      <c r="AY2210" s="32">
        <v>0</v>
      </c>
      <c r="AZ2210" s="32">
        <v>0</v>
      </c>
      <c r="BA2210" s="30" t="s">
        <v>5153</v>
      </c>
      <c r="BB2210" s="21">
        <v>0</v>
      </c>
      <c r="BC2210" s="31">
        <v>0</v>
      </c>
      <c r="BD2210" s="31">
        <v>1</v>
      </c>
      <c r="BE2210" s="33" t="s">
        <v>5154</v>
      </c>
      <c r="BF2210" s="33" t="s">
        <v>5155</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67000263</v>
      </c>
      <c r="D2211" s="30" t="s">
        <v>5156</v>
      </c>
      <c r="E2211" s="30" t="s">
        <v>5157</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1</v>
      </c>
      <c r="AJ2211" s="19">
        <v>0</v>
      </c>
      <c r="AK2211" s="19">
        <v>0</v>
      </c>
      <c r="AL2211" s="19">
        <v>1.5</v>
      </c>
      <c r="AM2211" s="21">
        <v>0</v>
      </c>
      <c r="AN2211" s="21">
        <v>0</v>
      </c>
      <c r="AO2211" s="21">
        <v>0</v>
      </c>
      <c r="AP2211" s="21">
        <v>1</v>
      </c>
      <c r="AQ2211" s="21">
        <v>3000</v>
      </c>
      <c r="AR2211" s="21">
        <v>0.5</v>
      </c>
      <c r="AS2211" s="21">
        <v>0</v>
      </c>
      <c r="AT2211" s="19">
        <v>0</v>
      </c>
      <c r="AU2211" s="21" t="s">
        <v>5158</v>
      </c>
      <c r="AV2211" s="21"/>
      <c r="AW2211" s="30" t="s">
        <v>293</v>
      </c>
      <c r="AX2211" s="21">
        <v>0</v>
      </c>
      <c r="AY2211" s="32">
        <v>0</v>
      </c>
      <c r="AZ2211" s="32">
        <v>0</v>
      </c>
      <c r="BA2211" s="30" t="s">
        <v>206</v>
      </c>
      <c r="BB2211" s="21">
        <v>0</v>
      </c>
      <c r="BC2211" s="31">
        <v>0</v>
      </c>
      <c r="BD2211" s="31">
        <v>1</v>
      </c>
      <c r="BE2211" s="33" t="s">
        <v>5159</v>
      </c>
      <c r="BF2211" s="33" t="s">
        <v>5160</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67000264</v>
      </c>
      <c r="D2212" s="71" t="s">
        <v>5161</v>
      </c>
      <c r="E2212" s="71" t="s">
        <v>5162</v>
      </c>
      <c r="F2212" s="21">
        <v>1</v>
      </c>
      <c r="G2212" s="21">
        <v>90002001</v>
      </c>
      <c r="H2212" s="72">
        <v>0</v>
      </c>
      <c r="I2212" s="31">
        <v>0</v>
      </c>
      <c r="J2212" s="32">
        <v>1</v>
      </c>
      <c r="K2212" s="32">
        <v>0</v>
      </c>
      <c r="L2212" s="32">
        <v>0</v>
      </c>
      <c r="M2212" s="72">
        <v>0</v>
      </c>
      <c r="N2212" s="72">
        <v>0</v>
      </c>
      <c r="O2212" s="72">
        <v>1</v>
      </c>
      <c r="P2212" s="21">
        <v>1</v>
      </c>
      <c r="Q2212" s="21">
        <v>0.1</v>
      </c>
      <c r="R2212" s="72">
        <v>0</v>
      </c>
      <c r="S2212" s="19">
        <v>0</v>
      </c>
      <c r="T2212" s="72">
        <v>0</v>
      </c>
      <c r="U2212" s="21">
        <v>1</v>
      </c>
      <c r="V2212" s="72">
        <v>2</v>
      </c>
      <c r="W2212" s="72">
        <v>0</v>
      </c>
      <c r="X2212" s="72">
        <v>1.5</v>
      </c>
      <c r="Y2212" s="19">
        <v>0</v>
      </c>
      <c r="Z2212" s="21">
        <v>0</v>
      </c>
      <c r="AA2212" s="72">
        <v>0</v>
      </c>
      <c r="AB2212" s="72">
        <v>0</v>
      </c>
      <c r="AC2212" s="72">
        <v>0</v>
      </c>
      <c r="AD2212" s="72">
        <v>0</v>
      </c>
      <c r="AE2212" s="72">
        <v>0</v>
      </c>
      <c r="AF2212" s="72">
        <v>10</v>
      </c>
      <c r="AG2212" s="72">
        <v>2</v>
      </c>
      <c r="AH2212" s="72" t="s">
        <v>2321</v>
      </c>
      <c r="AI2212" s="73">
        <v>0</v>
      </c>
      <c r="AJ2212" s="19">
        <v>0</v>
      </c>
      <c r="AK2212" s="19">
        <v>0</v>
      </c>
      <c r="AL2212" s="73">
        <v>1.5</v>
      </c>
      <c r="AM2212" s="72">
        <v>0</v>
      </c>
      <c r="AN2212" s="72">
        <v>0</v>
      </c>
      <c r="AO2212" s="72">
        <v>0</v>
      </c>
      <c r="AP2212" s="72">
        <v>2</v>
      </c>
      <c r="AQ2212" s="72">
        <v>3000</v>
      </c>
      <c r="AR2212" s="72">
        <v>0.5</v>
      </c>
      <c r="AS2212" s="72">
        <v>0</v>
      </c>
      <c r="AT2212" s="19">
        <v>0</v>
      </c>
      <c r="AU2212" s="72" t="s">
        <v>204</v>
      </c>
      <c r="AV2212" s="72"/>
      <c r="AW2212" s="71" t="s">
        <v>293</v>
      </c>
      <c r="AX2212" s="21">
        <v>0</v>
      </c>
      <c r="AY2212" s="74">
        <v>10000007</v>
      </c>
      <c r="AZ2212" s="32">
        <v>23000010</v>
      </c>
      <c r="BA2212" s="71" t="s">
        <v>206</v>
      </c>
      <c r="BB2212" s="72">
        <v>0</v>
      </c>
      <c r="BC2212" s="75">
        <v>0</v>
      </c>
      <c r="BD2212" s="31">
        <v>1</v>
      </c>
      <c r="BE2212" s="76" t="s">
        <v>5163</v>
      </c>
      <c r="BF2212" s="76" t="s">
        <v>5164</v>
      </c>
      <c r="BG2212" s="72">
        <v>0</v>
      </c>
      <c r="BH2212" s="21">
        <v>0</v>
      </c>
      <c r="BI2212" s="72">
        <v>0</v>
      </c>
      <c r="BJ2212" s="72">
        <v>0</v>
      </c>
      <c r="BK2212" s="72">
        <v>0</v>
      </c>
      <c r="BL2212" s="72">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67000265</v>
      </c>
      <c r="D2213" s="30" t="s">
        <v>5165</v>
      </c>
      <c r="E2213" s="30" t="s">
        <v>5166</v>
      </c>
      <c r="F2213" s="21">
        <v>1</v>
      </c>
      <c r="G2213" s="21">
        <v>90002001</v>
      </c>
      <c r="H2213" s="21">
        <v>0</v>
      </c>
      <c r="I2213" s="31">
        <v>0</v>
      </c>
      <c r="J2213" s="32">
        <v>1</v>
      </c>
      <c r="K2213" s="32">
        <v>0</v>
      </c>
      <c r="L2213" s="32">
        <v>0</v>
      </c>
      <c r="M2213" s="21">
        <v>0</v>
      </c>
      <c r="N2213" s="21">
        <v>0</v>
      </c>
      <c r="O2213" s="21">
        <v>1</v>
      </c>
      <c r="P2213" s="21">
        <v>2</v>
      </c>
      <c r="Q2213" s="21">
        <v>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30</v>
      </c>
      <c r="AG2213" s="21">
        <v>2</v>
      </c>
      <c r="AH2213" s="21" t="s">
        <v>219</v>
      </c>
      <c r="AI2213" s="19">
        <v>0</v>
      </c>
      <c r="AJ2213" s="19">
        <v>0</v>
      </c>
      <c r="AK2213" s="19">
        <v>0</v>
      </c>
      <c r="AL2213" s="19">
        <v>1.5</v>
      </c>
      <c r="AM2213" s="21">
        <v>0</v>
      </c>
      <c r="AN2213" s="21">
        <v>0</v>
      </c>
      <c r="AO2213" s="21">
        <v>0</v>
      </c>
      <c r="AP2213" s="21">
        <v>1</v>
      </c>
      <c r="AQ2213" s="21">
        <v>3000</v>
      </c>
      <c r="AR2213" s="21">
        <v>0.5</v>
      </c>
      <c r="AS2213" s="21">
        <v>0</v>
      </c>
      <c r="AT2213" s="19">
        <v>93000203</v>
      </c>
      <c r="AU2213" s="21" t="s">
        <v>204</v>
      </c>
      <c r="AV2213" s="21"/>
      <c r="AW2213" s="30" t="s">
        <v>205</v>
      </c>
      <c r="AX2213" s="21">
        <v>0</v>
      </c>
      <c r="AY2213" s="32">
        <v>0</v>
      </c>
      <c r="AZ2213" s="32">
        <v>0</v>
      </c>
      <c r="BA2213" s="30" t="s">
        <v>5153</v>
      </c>
      <c r="BB2213" s="21">
        <v>0</v>
      </c>
      <c r="BC2213" s="31">
        <v>0</v>
      </c>
      <c r="BD2213" s="31">
        <v>1</v>
      </c>
      <c r="BE2213" s="33" t="s">
        <v>5167</v>
      </c>
      <c r="BF2213" s="33" t="s">
        <v>5168</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67000266</v>
      </c>
      <c r="D2214" s="30" t="s">
        <v>5169</v>
      </c>
      <c r="E2214" s="30" t="s">
        <v>5170</v>
      </c>
      <c r="F2214" s="21">
        <v>1</v>
      </c>
      <c r="G2214" s="21">
        <v>90002001</v>
      </c>
      <c r="H2214" s="21">
        <v>0</v>
      </c>
      <c r="I2214" s="31">
        <v>0</v>
      </c>
      <c r="J2214" s="32">
        <v>1</v>
      </c>
      <c r="K2214" s="32">
        <v>0</v>
      </c>
      <c r="L2214" s="32">
        <v>0</v>
      </c>
      <c r="M2214" s="21">
        <v>0</v>
      </c>
      <c r="N2214" s="21">
        <v>0</v>
      </c>
      <c r="O2214" s="21">
        <v>1</v>
      </c>
      <c r="P2214" s="21">
        <v>1</v>
      </c>
      <c r="Q2214" s="21">
        <v>0.1</v>
      </c>
      <c r="R2214" s="21">
        <v>0</v>
      </c>
      <c r="S2214" s="19">
        <v>0</v>
      </c>
      <c r="T2214" s="21">
        <v>0</v>
      </c>
      <c r="U2214" s="21">
        <v>1</v>
      </c>
      <c r="V2214" s="21">
        <v>2</v>
      </c>
      <c r="W2214" s="21">
        <v>0</v>
      </c>
      <c r="X2214" s="21">
        <v>1.5</v>
      </c>
      <c r="Y2214" s="19">
        <v>0</v>
      </c>
      <c r="Z2214" s="21">
        <v>0</v>
      </c>
      <c r="AA2214" s="21">
        <v>0</v>
      </c>
      <c r="AB2214" s="21">
        <v>0</v>
      </c>
      <c r="AC2214" s="21">
        <v>0</v>
      </c>
      <c r="AD2214" s="21">
        <v>0</v>
      </c>
      <c r="AE2214" s="21">
        <v>0</v>
      </c>
      <c r="AF2214" s="21">
        <v>3</v>
      </c>
      <c r="AG2214" s="21">
        <v>2</v>
      </c>
      <c r="AH2214" s="21" t="s">
        <v>219</v>
      </c>
      <c r="AI2214" s="19">
        <v>7</v>
      </c>
      <c r="AJ2214" s="19">
        <v>0</v>
      </c>
      <c r="AK2214" s="19">
        <v>0</v>
      </c>
      <c r="AL2214" s="19">
        <v>1.5</v>
      </c>
      <c r="AM2214" s="21">
        <v>0</v>
      </c>
      <c r="AN2214" s="21">
        <v>0</v>
      </c>
      <c r="AO2214" s="21">
        <v>0</v>
      </c>
      <c r="AP2214" s="21">
        <v>1</v>
      </c>
      <c r="AQ2214" s="21">
        <v>3000</v>
      </c>
      <c r="AR2214" s="21">
        <v>0.5</v>
      </c>
      <c r="AS2214" s="21">
        <v>0</v>
      </c>
      <c r="AT2214" s="19">
        <v>0</v>
      </c>
      <c r="AU2214" s="21" t="s">
        <v>5171</v>
      </c>
      <c r="AV2214" s="21"/>
      <c r="AW2214" s="30" t="s">
        <v>293</v>
      </c>
      <c r="AX2214" s="21">
        <v>0</v>
      </c>
      <c r="AY2214" s="32">
        <v>0</v>
      </c>
      <c r="AZ2214" s="32">
        <v>0</v>
      </c>
      <c r="BA2214" s="30" t="s">
        <v>206</v>
      </c>
      <c r="BB2214" s="21">
        <v>0</v>
      </c>
      <c r="BC2214" s="31">
        <v>0</v>
      </c>
      <c r="BD2214" s="31">
        <v>1</v>
      </c>
      <c r="BE2214" s="33" t="s">
        <v>5172</v>
      </c>
      <c r="BF2214" s="33" t="s">
        <v>5173</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67000267</v>
      </c>
      <c r="D2215" s="71" t="s">
        <v>5174</v>
      </c>
      <c r="E2215" s="71" t="s">
        <v>5175</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1.5</v>
      </c>
      <c r="Y2215" s="19">
        <v>0</v>
      </c>
      <c r="Z2215" s="72">
        <v>0</v>
      </c>
      <c r="AA2215" s="72">
        <v>0</v>
      </c>
      <c r="AB2215" s="72">
        <v>0</v>
      </c>
      <c r="AC2215" s="72">
        <v>0</v>
      </c>
      <c r="AD2215" s="72">
        <v>0</v>
      </c>
      <c r="AE2215" s="72">
        <v>0</v>
      </c>
      <c r="AF2215" s="72">
        <v>3</v>
      </c>
      <c r="AG2215" s="72">
        <v>1</v>
      </c>
      <c r="AH2215" s="72" t="s">
        <v>867</v>
      </c>
      <c r="AI2215" s="73">
        <v>0</v>
      </c>
      <c r="AJ2215" s="73">
        <v>0</v>
      </c>
      <c r="AK2215" s="19">
        <v>0</v>
      </c>
      <c r="AL2215" s="73">
        <v>1.5</v>
      </c>
      <c r="AM2215" s="72">
        <v>0</v>
      </c>
      <c r="AN2215" s="72">
        <v>0</v>
      </c>
      <c r="AO2215" s="72">
        <v>0</v>
      </c>
      <c r="AP2215" s="72">
        <v>1</v>
      </c>
      <c r="AQ2215" s="72">
        <v>3000</v>
      </c>
      <c r="AR2215" s="72">
        <v>1</v>
      </c>
      <c r="AS2215" s="72">
        <v>0</v>
      </c>
      <c r="AT2215" s="19">
        <v>0</v>
      </c>
      <c r="AU2215" s="72" t="s">
        <v>204</v>
      </c>
      <c r="AV2215" s="72"/>
      <c r="AW2215" s="71" t="s">
        <v>205</v>
      </c>
      <c r="AX2215" s="21">
        <v>0</v>
      </c>
      <c r="AY2215" s="74">
        <v>10000007</v>
      </c>
      <c r="AZ2215" s="32">
        <v>23000020</v>
      </c>
      <c r="BA2215" s="71" t="s">
        <v>206</v>
      </c>
      <c r="BB2215" s="72">
        <v>0</v>
      </c>
      <c r="BC2215" s="75">
        <v>0</v>
      </c>
      <c r="BD2215" s="31">
        <v>1</v>
      </c>
      <c r="BE2215" s="76" t="s">
        <v>5176</v>
      </c>
      <c r="BF2215" s="76" t="s">
        <v>5177</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67000268</v>
      </c>
      <c r="D2216" s="71" t="s">
        <v>5178</v>
      </c>
      <c r="E2216" s="71" t="s">
        <v>5179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1</v>
      </c>
      <c r="AK2216" s="19">
        <v>0</v>
      </c>
      <c r="AL2216" s="73">
        <v>1.5</v>
      </c>
      <c r="AM2216" s="72">
        <v>0</v>
      </c>
      <c r="AN2216" s="72">
        <v>0</v>
      </c>
      <c r="AO2216" s="72">
        <v>0</v>
      </c>
      <c r="AP2216" s="72">
        <v>1</v>
      </c>
      <c r="AQ2216" s="72">
        <v>3000</v>
      </c>
      <c r="AR2216" s="72">
        <v>0.5</v>
      </c>
      <c r="AS2216" s="72">
        <v>0</v>
      </c>
      <c r="AT2216" s="19">
        <v>0</v>
      </c>
      <c r="AU2216" s="72" t="s">
        <v>5180</v>
      </c>
      <c r="AV2216" s="72"/>
      <c r="AW2216" s="71" t="s">
        <v>293</v>
      </c>
      <c r="AX2216" s="21">
        <v>0</v>
      </c>
      <c r="AY2216" s="74">
        <v>10000007</v>
      </c>
      <c r="AZ2216" s="32">
        <v>23000030</v>
      </c>
      <c r="BA2216" s="71" t="s">
        <v>206</v>
      </c>
      <c r="BB2216" s="72">
        <v>0</v>
      </c>
      <c r="BC2216" s="75">
        <v>0</v>
      </c>
      <c r="BD2216" s="31">
        <v>1</v>
      </c>
      <c r="BE2216" s="76" t="s">
        <v>5181</v>
      </c>
      <c r="BF2216" s="76" t="s">
        <v>5182</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67000269</v>
      </c>
      <c r="D2217" s="71" t="s">
        <v>5183</v>
      </c>
      <c r="E2217" s="71" t="s">
        <v>5184</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0</v>
      </c>
      <c r="AK2217" s="19">
        <v>0</v>
      </c>
      <c r="AL2217" s="73">
        <v>1.5</v>
      </c>
      <c r="AM2217" s="72">
        <v>0</v>
      </c>
      <c r="AN2217" s="72">
        <v>0</v>
      </c>
      <c r="AO2217" s="72">
        <v>0</v>
      </c>
      <c r="AP2217" s="72">
        <v>1</v>
      </c>
      <c r="AQ2217" s="72">
        <v>3000</v>
      </c>
      <c r="AR2217" s="72">
        <v>0.5</v>
      </c>
      <c r="AS2217" s="72">
        <v>0</v>
      </c>
      <c r="AT2217" s="19">
        <v>0</v>
      </c>
      <c r="AU2217" s="72" t="s">
        <v>1637</v>
      </c>
      <c r="AV2217" s="72"/>
      <c r="AW2217" s="71" t="s">
        <v>293</v>
      </c>
      <c r="AX2217" s="21">
        <v>0</v>
      </c>
      <c r="AY2217" s="74">
        <v>10000007</v>
      </c>
      <c r="AZ2217" s="32">
        <v>23000040</v>
      </c>
      <c r="BA2217" s="71" t="s">
        <v>206</v>
      </c>
      <c r="BB2217" s="72">
        <v>0</v>
      </c>
      <c r="BC2217" s="75">
        <v>0</v>
      </c>
      <c r="BD2217" s="31">
        <v>1</v>
      </c>
      <c r="BE2217" s="76" t="s">
        <v>5185</v>
      </c>
      <c r="BF2217" s="76" t="s">
        <v>5186</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67000270</v>
      </c>
      <c r="D2218" s="30" t="s">
        <v>5187</v>
      </c>
      <c r="E2218" s="30" t="s">
        <v>5188</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5189</v>
      </c>
      <c r="AV2218" s="21"/>
      <c r="AW2218" s="30" t="s">
        <v>293</v>
      </c>
      <c r="AX2218" s="21">
        <v>0</v>
      </c>
      <c r="AY2218" s="32">
        <v>0</v>
      </c>
      <c r="AZ2218" s="32">
        <v>0</v>
      </c>
      <c r="BA2218" s="30" t="s">
        <v>206</v>
      </c>
      <c r="BB2218" s="21">
        <v>0</v>
      </c>
      <c r="BC2218" s="31">
        <v>0</v>
      </c>
      <c r="BD2218" s="31">
        <v>1</v>
      </c>
      <c r="BE2218" s="33" t="s">
        <v>5190</v>
      </c>
      <c r="BF2218" s="33" t="s">
        <v>5191</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67000271</v>
      </c>
      <c r="D2219" s="30" t="s">
        <v>5192</v>
      </c>
      <c r="E2219" s="30" t="s">
        <v>5193</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5194</v>
      </c>
      <c r="AV2219" s="21"/>
      <c r="AW2219" s="30" t="s">
        <v>293</v>
      </c>
      <c r="AX2219" s="21">
        <v>0</v>
      </c>
      <c r="AY2219" s="32">
        <v>0</v>
      </c>
      <c r="AZ2219" s="32">
        <v>0</v>
      </c>
      <c r="BA2219" s="30" t="s">
        <v>206</v>
      </c>
      <c r="BB2219" s="21">
        <v>0</v>
      </c>
      <c r="BC2219" s="31">
        <v>0</v>
      </c>
      <c r="BD2219" s="31">
        <v>1</v>
      </c>
      <c r="BE2219" s="33" t="s">
        <v>5195</v>
      </c>
      <c r="BF2219" s="33" t="s">
        <v>5196</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67000272</v>
      </c>
      <c r="D2220" s="30" t="s">
        <v>5197</v>
      </c>
      <c r="E2220" s="30" t="s">
        <v>5198</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5199</v>
      </c>
      <c r="AV2220" s="21"/>
      <c r="AW2220" s="30" t="s">
        <v>293</v>
      </c>
      <c r="AX2220" s="21">
        <v>0</v>
      </c>
      <c r="AY2220" s="32">
        <v>0</v>
      </c>
      <c r="AZ2220" s="32">
        <v>0</v>
      </c>
      <c r="BA2220" s="30" t="s">
        <v>206</v>
      </c>
      <c r="BB2220" s="21">
        <v>0</v>
      </c>
      <c r="BC2220" s="31">
        <v>0</v>
      </c>
      <c r="BD2220" s="31">
        <v>1</v>
      </c>
      <c r="BE2220" s="33" t="s">
        <v>5200</v>
      </c>
      <c r="BF2220" s="33" t="s">
        <v>5201</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67000273</v>
      </c>
      <c r="D2221" s="30" t="s">
        <v>5202</v>
      </c>
      <c r="E2221" s="30" t="s">
        <v>5203</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2</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204</v>
      </c>
      <c r="AV2221" s="21"/>
      <c r="AW2221" s="30" t="s">
        <v>293</v>
      </c>
      <c r="AX2221" s="21">
        <v>0</v>
      </c>
      <c r="AY2221" s="32">
        <v>0</v>
      </c>
      <c r="AZ2221" s="32">
        <v>0</v>
      </c>
      <c r="BA2221" s="30" t="s">
        <v>206</v>
      </c>
      <c r="BB2221" s="21">
        <v>0</v>
      </c>
      <c r="BC2221" s="31">
        <v>0</v>
      </c>
      <c r="BD2221" s="31">
        <v>1</v>
      </c>
      <c r="BE2221" s="33" t="s">
        <v>5204</v>
      </c>
      <c r="BF2221" s="33" t="s">
        <v>5205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67000274</v>
      </c>
      <c r="D2222" s="30" t="s">
        <v>5206</v>
      </c>
      <c r="E2222" s="30" t="s">
        <v>5207</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v>
      </c>
      <c r="Y2222" s="19">
        <v>0</v>
      </c>
      <c r="Z2222" s="21">
        <v>0</v>
      </c>
      <c r="AA2222" s="21">
        <v>0</v>
      </c>
      <c r="AB2222" s="21">
        <v>0</v>
      </c>
      <c r="AC2222" s="21">
        <v>0</v>
      </c>
      <c r="AD2222" s="21">
        <v>0</v>
      </c>
      <c r="AE2222" s="21">
        <v>0</v>
      </c>
      <c r="AF2222" s="21">
        <v>10</v>
      </c>
      <c r="AG2222" s="21">
        <v>2</v>
      </c>
      <c r="AH2222" s="21" t="s">
        <v>219</v>
      </c>
      <c r="AI2222" s="19">
        <v>0</v>
      </c>
      <c r="AJ2222" s="19">
        <v>0</v>
      </c>
      <c r="AK2222" s="19">
        <v>0</v>
      </c>
      <c r="AL2222" s="19">
        <v>1.5</v>
      </c>
      <c r="AM2222" s="21">
        <v>0</v>
      </c>
      <c r="AN2222" s="21">
        <v>0</v>
      </c>
      <c r="AO2222" s="21">
        <v>0</v>
      </c>
      <c r="AP2222" s="21">
        <v>1</v>
      </c>
      <c r="AQ2222" s="21">
        <v>3000</v>
      </c>
      <c r="AR2222" s="21">
        <v>0.5</v>
      </c>
      <c r="AS2222" s="21">
        <v>0</v>
      </c>
      <c r="AT2222" s="19">
        <v>0</v>
      </c>
      <c r="AU2222" s="21" t="s">
        <v>1637</v>
      </c>
      <c r="AV2222" s="21"/>
      <c r="AW2222" s="30" t="s">
        <v>293</v>
      </c>
      <c r="AX2222" s="21">
        <v>0</v>
      </c>
      <c r="AY2222" s="32">
        <v>10000007</v>
      </c>
      <c r="AZ2222" s="32">
        <v>23000070</v>
      </c>
      <c r="BA2222" s="30" t="s">
        <v>206</v>
      </c>
      <c r="BB2222" s="21">
        <v>0</v>
      </c>
      <c r="BC2222" s="31">
        <v>0</v>
      </c>
      <c r="BD2222" s="31">
        <v>1</v>
      </c>
      <c r="BE2222" s="33" t="s">
        <v>5208</v>
      </c>
      <c r="BF2222" s="33" t="s">
        <v>5209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67000275</v>
      </c>
      <c r="D2223" s="71" t="s">
        <v>5210</v>
      </c>
      <c r="E2223" s="71" t="s">
        <v>5211</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20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5212</v>
      </c>
      <c r="AV2223" s="72"/>
      <c r="AW2223" s="71" t="s">
        <v>293</v>
      </c>
      <c r="AX2223" s="21">
        <v>0</v>
      </c>
      <c r="AY2223" s="74">
        <v>10000007</v>
      </c>
      <c r="AZ2223" s="32">
        <v>23000050</v>
      </c>
      <c r="BA2223" s="71" t="s">
        <v>206</v>
      </c>
      <c r="BB2223" s="72">
        <v>0</v>
      </c>
      <c r="BC2223" s="75">
        <v>0</v>
      </c>
      <c r="BD2223" s="31">
        <v>1</v>
      </c>
      <c r="BE2223" s="76" t="s">
        <v>5213</v>
      </c>
      <c r="BF2223" s="76" t="s">
        <v>5214</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67000276</v>
      </c>
      <c r="D2224" s="71" t="s">
        <v>5215</v>
      </c>
      <c r="E2224" s="71" t="s">
        <v>5216</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30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5217</v>
      </c>
      <c r="AV2224" s="72"/>
      <c r="AW2224" s="71" t="s">
        <v>293</v>
      </c>
      <c r="AX2224" s="21">
        <v>0</v>
      </c>
      <c r="AY2224" s="74">
        <v>10000007</v>
      </c>
      <c r="AZ2224" s="32">
        <v>23000060</v>
      </c>
      <c r="BA2224" s="71" t="s">
        <v>206</v>
      </c>
      <c r="BB2224" s="72">
        <v>0</v>
      </c>
      <c r="BC2224" s="75">
        <v>0</v>
      </c>
      <c r="BD2224" s="75">
        <v>0</v>
      </c>
      <c r="BE2224" s="76" t="s">
        <v>5218</v>
      </c>
      <c r="BF2224" s="76" t="s">
        <v>5219</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67000277</v>
      </c>
      <c r="D2225" s="71" t="s">
        <v>631</v>
      </c>
      <c r="E2225" s="71" t="s">
        <v>632</v>
      </c>
      <c r="F2225" s="21">
        <v>1</v>
      </c>
      <c r="G2225" s="21">
        <v>90002001</v>
      </c>
      <c r="H2225" s="72">
        <v>0</v>
      </c>
      <c r="I2225" s="31">
        <v>0</v>
      </c>
      <c r="J2225" s="32">
        <v>1</v>
      </c>
      <c r="K2225" s="32">
        <v>0</v>
      </c>
      <c r="L2225" s="32">
        <v>0</v>
      </c>
      <c r="M2225" s="72">
        <v>0</v>
      </c>
      <c r="N2225" s="72">
        <v>0</v>
      </c>
      <c r="O2225" s="72">
        <v>1</v>
      </c>
      <c r="P2225" s="72">
        <v>0</v>
      </c>
      <c r="Q2225" s="72">
        <v>0</v>
      </c>
      <c r="R2225" s="72">
        <v>0</v>
      </c>
      <c r="S2225" s="19">
        <v>0</v>
      </c>
      <c r="T2225" s="72">
        <v>0</v>
      </c>
      <c r="U2225" s="21">
        <v>1</v>
      </c>
      <c r="V2225" s="72">
        <v>2</v>
      </c>
      <c r="W2225" s="72">
        <v>0</v>
      </c>
      <c r="X2225" s="72">
        <v>1</v>
      </c>
      <c r="Y2225" s="19">
        <v>0</v>
      </c>
      <c r="Z2225" s="72">
        <v>0</v>
      </c>
      <c r="AA2225" s="72">
        <v>0</v>
      </c>
      <c r="AB2225" s="72">
        <v>0</v>
      </c>
      <c r="AC2225" s="72">
        <v>0</v>
      </c>
      <c r="AD2225" s="72">
        <v>0</v>
      </c>
      <c r="AE2225" s="72">
        <v>0</v>
      </c>
      <c r="AF2225" s="72">
        <v>30</v>
      </c>
      <c r="AG2225" s="72">
        <v>2</v>
      </c>
      <c r="AH2225" s="72" t="s">
        <v>633</v>
      </c>
      <c r="AI2225" s="19">
        <v>0</v>
      </c>
      <c r="AJ2225" s="19">
        <v>2</v>
      </c>
      <c r="AK2225" s="19">
        <v>0</v>
      </c>
      <c r="AL2225" s="73">
        <v>0</v>
      </c>
      <c r="AM2225" s="72">
        <v>0</v>
      </c>
      <c r="AN2225" s="72">
        <v>0</v>
      </c>
      <c r="AO2225" s="72">
        <v>0</v>
      </c>
      <c r="AP2225" s="72">
        <v>5</v>
      </c>
      <c r="AQ2225" s="72">
        <v>5000</v>
      </c>
      <c r="AR2225" s="72">
        <v>0</v>
      </c>
      <c r="AS2225" s="72">
        <v>0</v>
      </c>
      <c r="AT2225" s="19">
        <v>0</v>
      </c>
      <c r="AU2225" s="72">
        <v>0</v>
      </c>
      <c r="AV2225" s="72"/>
      <c r="AW2225" s="71" t="s">
        <v>293</v>
      </c>
      <c r="AX2225" s="21">
        <v>0</v>
      </c>
      <c r="AY2225" s="74">
        <v>0</v>
      </c>
      <c r="AZ2225" s="32">
        <v>21000010</v>
      </c>
      <c r="BA2225" s="71" t="s">
        <v>634</v>
      </c>
      <c r="BB2225" s="72" t="s">
        <v>5220</v>
      </c>
      <c r="BC2225" s="75">
        <v>0</v>
      </c>
      <c r="BD2225" s="75">
        <v>0</v>
      </c>
      <c r="BE2225" s="76" t="s">
        <v>5218</v>
      </c>
      <c r="BF2225" s="76" t="s">
        <v>5219</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67000278</v>
      </c>
      <c r="D2226" s="35" t="s">
        <v>5221</v>
      </c>
      <c r="E2226" s="35" t="s">
        <v>5222</v>
      </c>
      <c r="F2226" s="21">
        <v>1</v>
      </c>
      <c r="G2226" s="32">
        <v>63001001</v>
      </c>
      <c r="H2226" s="32">
        <v>0</v>
      </c>
      <c r="I2226" s="31">
        <v>0</v>
      </c>
      <c r="J2226" s="32">
        <v>1</v>
      </c>
      <c r="K2226" s="32">
        <v>0</v>
      </c>
      <c r="L2226" s="21">
        <v>0</v>
      </c>
      <c r="M2226" s="32">
        <v>0</v>
      </c>
      <c r="N2226" s="32">
        <v>0</v>
      </c>
      <c r="O2226" s="32">
        <v>1</v>
      </c>
      <c r="P2226" s="32">
        <v>0</v>
      </c>
      <c r="Q2226" s="32">
        <v>1</v>
      </c>
      <c r="R2226" s="32">
        <v>0</v>
      </c>
      <c r="S2226" s="19">
        <v>0</v>
      </c>
      <c r="T2226" s="31">
        <v>0</v>
      </c>
      <c r="U2226" s="21">
        <v>1</v>
      </c>
      <c r="V2226" s="32">
        <v>2</v>
      </c>
      <c r="W2226" s="32">
        <v>0</v>
      </c>
      <c r="X2226" s="32">
        <v>0</v>
      </c>
      <c r="Y2226" s="19">
        <v>0</v>
      </c>
      <c r="Z2226" s="32">
        <v>0</v>
      </c>
      <c r="AA2226" s="32">
        <v>0</v>
      </c>
      <c r="AB2226" s="32">
        <v>0</v>
      </c>
      <c r="AC2226" s="32">
        <v>0</v>
      </c>
      <c r="AD2226" s="32">
        <v>1</v>
      </c>
      <c r="AE2226" s="32">
        <v>0</v>
      </c>
      <c r="AF2226" s="32">
        <v>60</v>
      </c>
      <c r="AG2226" s="32">
        <v>2</v>
      </c>
      <c r="AH2226" s="32" t="s">
        <v>5223</v>
      </c>
      <c r="AI2226" s="19">
        <v>0</v>
      </c>
      <c r="AJ2226" s="19">
        <v>0</v>
      </c>
      <c r="AK2226" s="19">
        <v>0</v>
      </c>
      <c r="AL2226" s="19">
        <v>0</v>
      </c>
      <c r="AM2226" s="32">
        <v>0</v>
      </c>
      <c r="AN2226" s="32">
        <v>0</v>
      </c>
      <c r="AO2226" s="32">
        <v>0</v>
      </c>
      <c r="AP2226" s="32">
        <v>1</v>
      </c>
      <c r="AQ2226" s="32">
        <v>1800000</v>
      </c>
      <c r="AR2226" s="32">
        <v>0</v>
      </c>
      <c r="AS2226" s="32">
        <v>0</v>
      </c>
      <c r="AT2226" s="19">
        <v>0</v>
      </c>
      <c r="AU2226" s="32">
        <v>90106002</v>
      </c>
      <c r="AV2226" s="32"/>
      <c r="AW2226" s="35" t="s">
        <v>204</v>
      </c>
      <c r="AX2226" s="32">
        <v>0</v>
      </c>
      <c r="AY2226" s="32">
        <v>0</v>
      </c>
      <c r="AZ2226" s="32">
        <v>0</v>
      </c>
      <c r="BA2226" s="35" t="s">
        <v>3111</v>
      </c>
      <c r="BB2226" s="35">
        <v>0</v>
      </c>
      <c r="BC2226" s="31">
        <v>0</v>
      </c>
      <c r="BD2226" s="31">
        <v>0</v>
      </c>
      <c r="BE2226" s="185" t="s">
        <v>5224</v>
      </c>
      <c r="BF2226" s="185" t="s">
        <v>5225</v>
      </c>
      <c r="BG2226" s="32">
        <v>0</v>
      </c>
      <c r="BH2226" s="21">
        <v>0</v>
      </c>
      <c r="BI2226" s="32">
        <v>0</v>
      </c>
      <c r="BJ2226" s="32">
        <v>0</v>
      </c>
      <c r="BK2226" s="32">
        <v>0</v>
      </c>
      <c r="BL2226" s="32">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19.5" customHeight="1">
      <c r="C2227" s="32">
        <v>67000279</v>
      </c>
      <c r="D2227" s="30" t="s">
        <v>5226</v>
      </c>
      <c r="E2227" s="30" t="s">
        <v>5227</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21">
        <v>10</v>
      </c>
      <c r="AI2227" s="19">
        <v>0</v>
      </c>
      <c r="AJ2227" s="19">
        <v>0</v>
      </c>
      <c r="AK2227" s="19">
        <v>0</v>
      </c>
      <c r="AL2227" s="19">
        <v>0</v>
      </c>
      <c r="AM2227" s="21">
        <v>0</v>
      </c>
      <c r="AN2227" s="21">
        <v>0</v>
      </c>
      <c r="AO2227" s="21">
        <v>0</v>
      </c>
      <c r="AP2227" s="21">
        <v>0.5</v>
      </c>
      <c r="AQ2227" s="21">
        <v>3000</v>
      </c>
      <c r="AR2227" s="21">
        <v>0.2</v>
      </c>
      <c r="AS2227" s="21">
        <v>0</v>
      </c>
      <c r="AT2227" s="19">
        <v>0</v>
      </c>
      <c r="AU2227" s="21" t="s">
        <v>204</v>
      </c>
      <c r="AV2227" s="21"/>
      <c r="AW2227" s="30" t="s">
        <v>623</v>
      </c>
      <c r="AX2227" s="21" t="s">
        <v>540</v>
      </c>
      <c r="AY2227" s="32">
        <v>10000007</v>
      </c>
      <c r="AZ2227" s="32">
        <v>21000020</v>
      </c>
      <c r="BA2227" s="30" t="s">
        <v>1703</v>
      </c>
      <c r="BB2227" s="21">
        <v>0</v>
      </c>
      <c r="BC2227" s="31">
        <v>0</v>
      </c>
      <c r="BD2227" s="31">
        <v>0</v>
      </c>
      <c r="BE2227" s="185" t="s">
        <v>5228</v>
      </c>
      <c r="BF2227" s="185" t="s">
        <v>5229</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67000280</v>
      </c>
      <c r="D2228" s="30" t="s">
        <v>5230</v>
      </c>
      <c r="E2228" s="30" t="s">
        <v>5231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2</v>
      </c>
      <c r="AJ2228" s="19">
        <v>1</v>
      </c>
      <c r="AK2228" s="19">
        <v>0</v>
      </c>
      <c r="AL2228" s="19">
        <v>8</v>
      </c>
      <c r="AM2228" s="21">
        <v>0</v>
      </c>
      <c r="AN2228" s="21">
        <v>0</v>
      </c>
      <c r="AO2228" s="21">
        <v>0</v>
      </c>
      <c r="AP2228" s="21">
        <v>0.5</v>
      </c>
      <c r="AQ2228" s="21">
        <v>10000</v>
      </c>
      <c r="AR2228" s="21">
        <v>0.2</v>
      </c>
      <c r="AS2228" s="21">
        <v>0</v>
      </c>
      <c r="AT2228" s="19">
        <v>0</v>
      </c>
      <c r="AU2228" s="21" t="s">
        <v>204</v>
      </c>
      <c r="AV2228" s="21"/>
      <c r="AW2228" s="30" t="s">
        <v>623</v>
      </c>
      <c r="AX2228" s="21" t="s">
        <v>540</v>
      </c>
      <c r="AY2228" s="32">
        <v>10000007</v>
      </c>
      <c r="AZ2228" s="32">
        <v>21102020</v>
      </c>
      <c r="BA2228" s="30" t="s">
        <v>1703</v>
      </c>
      <c r="BB2228" s="21">
        <v>0</v>
      </c>
      <c r="BC2228" s="31">
        <v>0</v>
      </c>
      <c r="BD2228" s="31">
        <v>0</v>
      </c>
      <c r="BE2228" s="185" t="s">
        <v>5232</v>
      </c>
      <c r="BF2228" s="185" t="s">
        <v>5233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67000281</v>
      </c>
      <c r="D2229" s="30" t="s">
        <v>5234</v>
      </c>
      <c r="E2229" s="30" t="s">
        <v>5235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0</v>
      </c>
      <c r="AJ2229" s="19">
        <v>2</v>
      </c>
      <c r="AK2229" s="19">
        <v>0</v>
      </c>
      <c r="AL2229" s="19">
        <v>3</v>
      </c>
      <c r="AM2229" s="21">
        <v>0</v>
      </c>
      <c r="AN2229" s="21">
        <v>0</v>
      </c>
      <c r="AO2229" s="21">
        <v>0</v>
      </c>
      <c r="AP2229" s="21">
        <v>0.5</v>
      </c>
      <c r="AQ2229" s="21">
        <v>10000</v>
      </c>
      <c r="AR2229" s="21">
        <v>0.2</v>
      </c>
      <c r="AS2229" s="21">
        <v>3</v>
      </c>
      <c r="AT2229" s="19">
        <v>0</v>
      </c>
      <c r="AU2229" s="21" t="s">
        <v>204</v>
      </c>
      <c r="AV2229" s="21"/>
      <c r="AW2229" s="30" t="s">
        <v>623</v>
      </c>
      <c r="AX2229" s="21" t="s">
        <v>540</v>
      </c>
      <c r="AY2229" s="32">
        <v>10000007</v>
      </c>
      <c r="AZ2229" s="32">
        <v>21102020</v>
      </c>
      <c r="BA2229" s="30" t="s">
        <v>1728</v>
      </c>
      <c r="BB2229" s="21">
        <v>0</v>
      </c>
      <c r="BC2229" s="31">
        <v>0</v>
      </c>
      <c r="BD2229" s="31">
        <v>0</v>
      </c>
      <c r="BE2229" s="185" t="s">
        <v>5236</v>
      </c>
      <c r="BF2229" s="185" t="s">
        <v>5237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19.5" customHeight="1">
      <c r="C2230" s="32">
        <v>67000282</v>
      </c>
      <c r="D2230" s="30" t="s">
        <v>5238</v>
      </c>
      <c r="E2230" s="30" t="s">
        <v>5239</v>
      </c>
      <c r="F2230" s="21">
        <v>1</v>
      </c>
      <c r="G2230" s="32">
        <v>61021201</v>
      </c>
      <c r="H2230" s="32">
        <v>0</v>
      </c>
      <c r="I2230" s="31">
        <v>0</v>
      </c>
      <c r="J2230" s="21">
        <f>J2224+5</f>
        <v>6</v>
      </c>
      <c r="K2230" s="21">
        <v>5</v>
      </c>
      <c r="L2230" s="21">
        <v>0</v>
      </c>
      <c r="M2230" s="32">
        <v>0</v>
      </c>
      <c r="N2230" s="32">
        <v>0</v>
      </c>
      <c r="O2230" s="32">
        <v>1</v>
      </c>
      <c r="P2230" s="32">
        <v>0</v>
      </c>
      <c r="Q2230" s="32">
        <v>0</v>
      </c>
      <c r="R2230" s="32">
        <v>0</v>
      </c>
      <c r="S2230" s="19">
        <v>0</v>
      </c>
      <c r="T2230" s="31">
        <v>0</v>
      </c>
      <c r="U2230" s="21">
        <v>1</v>
      </c>
      <c r="V2230" s="32">
        <v>2</v>
      </c>
      <c r="W2230" s="32">
        <v>0</v>
      </c>
      <c r="X2230" s="21">
        <v>3.5</v>
      </c>
      <c r="Y2230" s="19">
        <v>0</v>
      </c>
      <c r="Z2230" s="21">
        <v>500</v>
      </c>
      <c r="AA2230" s="32">
        <v>1</v>
      </c>
      <c r="AB2230" s="32">
        <v>0</v>
      </c>
      <c r="AC2230" s="32">
        <v>0</v>
      </c>
      <c r="AD2230" s="32">
        <v>0</v>
      </c>
      <c r="AE2230" s="32">
        <v>0</v>
      </c>
      <c r="AF2230" s="32">
        <v>7</v>
      </c>
      <c r="AG2230" s="32">
        <v>1</v>
      </c>
      <c r="AH2230" s="32">
        <v>3</v>
      </c>
      <c r="AI2230" s="19">
        <v>2</v>
      </c>
      <c r="AJ2230" s="19">
        <v>1</v>
      </c>
      <c r="AK2230" s="19">
        <v>0</v>
      </c>
      <c r="AL2230" s="19">
        <v>8</v>
      </c>
      <c r="AM2230" s="32">
        <v>0</v>
      </c>
      <c r="AN2230" s="32">
        <v>0.5</v>
      </c>
      <c r="AO2230" s="32">
        <v>0</v>
      </c>
      <c r="AP2230" s="32">
        <v>0.25</v>
      </c>
      <c r="AQ2230" s="32">
        <v>9000</v>
      </c>
      <c r="AR2230" s="32">
        <v>0.5</v>
      </c>
      <c r="AS2230" s="32">
        <v>0</v>
      </c>
      <c r="AT2230" s="19">
        <v>0</v>
      </c>
      <c r="AU2230" s="32">
        <v>0</v>
      </c>
      <c r="AV2230" s="32"/>
      <c r="AW2230" s="35" t="s">
        <v>1711</v>
      </c>
      <c r="AX2230" s="32" t="s">
        <v>1047</v>
      </c>
      <c r="AY2230" s="32">
        <v>10003002</v>
      </c>
      <c r="AZ2230" s="32">
        <v>21010020</v>
      </c>
      <c r="BA2230" s="35" t="s">
        <v>1728</v>
      </c>
      <c r="BB2230" s="35">
        <v>0</v>
      </c>
      <c r="BC2230" s="31">
        <v>0</v>
      </c>
      <c r="BD2230" s="31">
        <v>0</v>
      </c>
      <c r="BE2230" s="185" t="s">
        <v>5240</v>
      </c>
      <c r="BF2230" s="185" t="s">
        <v>5241</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67000283</v>
      </c>
      <c r="D2231" s="35" t="s">
        <v>5242</v>
      </c>
      <c r="E2231" s="35" t="s">
        <v>5243</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5244</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3111</v>
      </c>
      <c r="BB2231" s="35">
        <v>0</v>
      </c>
      <c r="BC2231" s="31">
        <v>0</v>
      </c>
      <c r="BD2231" s="31">
        <v>0</v>
      </c>
      <c r="BE2231" s="185" t="s">
        <v>5224</v>
      </c>
      <c r="BF2231" s="185" t="s">
        <v>5225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67000284</v>
      </c>
      <c r="D2232" s="35" t="s">
        <v>5245</v>
      </c>
      <c r="E2232" s="35" t="s">
        <v>5246</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717</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3111</v>
      </c>
      <c r="BB2232" s="35">
        <v>0</v>
      </c>
      <c r="BC2232" s="31">
        <v>0</v>
      </c>
      <c r="BD2232" s="31">
        <v>0</v>
      </c>
      <c r="BE2232" s="185" t="s">
        <v>5224</v>
      </c>
      <c r="BF2232" s="185" t="s">
        <v>5225</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1.75" customHeight="1">
      <c r="C2233" s="32">
        <v>90010301</v>
      </c>
      <c r="D2233" s="30" t="s">
        <v>538</v>
      </c>
      <c r="E2233" s="30" t="s">
        <v>261</v>
      </c>
      <c r="F2233" s="32">
        <v>1</v>
      </c>
      <c r="G2233" s="21">
        <v>60010100</v>
      </c>
      <c r="H2233" s="32">
        <v>0</v>
      </c>
      <c r="I2233" s="31">
        <v>0</v>
      </c>
      <c r="J2233" s="32">
        <v>1</v>
      </c>
      <c r="K2233" s="32">
        <v>0</v>
      </c>
      <c r="L2233" s="32">
        <v>0</v>
      </c>
      <c r="M2233" s="21">
        <v>0</v>
      </c>
      <c r="N2233" s="21">
        <v>0</v>
      </c>
      <c r="O2233" s="21">
        <v>2</v>
      </c>
      <c r="P2233" s="21">
        <v>3</v>
      </c>
      <c r="Q2233" s="21">
        <v>1</v>
      </c>
      <c r="R2233" s="21">
        <v>0</v>
      </c>
      <c r="S2233" s="19">
        <v>0</v>
      </c>
      <c r="T2233" s="21">
        <v>0</v>
      </c>
      <c r="U2233" s="21">
        <v>1</v>
      </c>
      <c r="V2233" s="21">
        <v>2</v>
      </c>
      <c r="W2233" s="21">
        <v>0</v>
      </c>
      <c r="X2233" s="21">
        <v>3</v>
      </c>
      <c r="Y2233" s="19">
        <v>0</v>
      </c>
      <c r="Z2233" s="21">
        <v>0</v>
      </c>
      <c r="AA2233" s="21">
        <v>1</v>
      </c>
      <c r="AB2233" s="21">
        <v>0</v>
      </c>
      <c r="AC2233" s="21">
        <v>0</v>
      </c>
      <c r="AD2233" s="21">
        <v>0</v>
      </c>
      <c r="AE2233" s="21">
        <v>0</v>
      </c>
      <c r="AF2233" s="21">
        <v>9</v>
      </c>
      <c r="AG2233" s="21">
        <v>1</v>
      </c>
      <c r="AH2233" s="21">
        <v>4</v>
      </c>
      <c r="AI2233" s="19">
        <v>0</v>
      </c>
      <c r="AJ2233" s="19">
        <v>1</v>
      </c>
      <c r="AK2233" s="19">
        <v>0</v>
      </c>
      <c r="AL2233" s="19">
        <v>2</v>
      </c>
      <c r="AM2233" s="21">
        <v>0</v>
      </c>
      <c r="AN2233" s="21">
        <v>0</v>
      </c>
      <c r="AO2233" s="21">
        <v>0</v>
      </c>
      <c r="AP2233" s="21">
        <v>3</v>
      </c>
      <c r="AQ2233" s="21">
        <v>5000</v>
      </c>
      <c r="AR2233" s="21">
        <v>1.1000000000000001</v>
      </c>
      <c r="AS2233" s="21">
        <v>0</v>
      </c>
      <c r="AT2233" s="19">
        <v>0</v>
      </c>
      <c r="AU2233" s="21">
        <v>90000002</v>
      </c>
      <c r="AV2233" s="21"/>
      <c r="AW2233" s="30" t="s">
        <v>293</v>
      </c>
      <c r="AX2233" s="21" t="s">
        <v>540</v>
      </c>
      <c r="AY2233" s="32">
        <v>10000007</v>
      </c>
      <c r="AZ2233" s="32">
        <v>90010301</v>
      </c>
      <c r="BA2233" s="30" t="s">
        <v>206</v>
      </c>
      <c r="BB2233" s="21" t="s">
        <v>4513</v>
      </c>
      <c r="BC2233" s="31">
        <v>0</v>
      </c>
      <c r="BD2233" s="31">
        <v>0</v>
      </c>
      <c r="BE2233" s="33" t="s">
        <v>542</v>
      </c>
      <c r="BF2233" s="33" t="s">
        <v>543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90010302</v>
      </c>
      <c r="D2234" s="30" t="s">
        <v>549</v>
      </c>
      <c r="E2234" s="30" t="s">
        <v>550</v>
      </c>
      <c r="F2234" s="32">
        <v>1</v>
      </c>
      <c r="G2234" s="21">
        <v>60010300</v>
      </c>
      <c r="H2234" s="32">
        <v>0</v>
      </c>
      <c r="I2234" s="31">
        <v>0</v>
      </c>
      <c r="J2234" s="32">
        <v>1</v>
      </c>
      <c r="K2234" s="32">
        <v>0</v>
      </c>
      <c r="L2234" s="32">
        <v>0</v>
      </c>
      <c r="M2234" s="21">
        <v>0</v>
      </c>
      <c r="N2234" s="21">
        <v>0</v>
      </c>
      <c r="O2234" s="21">
        <v>2</v>
      </c>
      <c r="P2234" s="21">
        <v>1</v>
      </c>
      <c r="Q2234" s="21">
        <v>0.5</v>
      </c>
      <c r="R2234" s="21">
        <v>0</v>
      </c>
      <c r="S2234" s="19">
        <v>0</v>
      </c>
      <c r="T2234" s="21">
        <v>0</v>
      </c>
      <c r="U2234" s="21">
        <v>1</v>
      </c>
      <c r="V2234" s="21">
        <v>2</v>
      </c>
      <c r="W2234" s="21">
        <v>0</v>
      </c>
      <c r="X2234" s="21">
        <v>3</v>
      </c>
      <c r="Y2234" s="19">
        <v>0</v>
      </c>
      <c r="Z2234" s="21">
        <v>0</v>
      </c>
      <c r="AA2234" s="21">
        <v>0</v>
      </c>
      <c r="AB2234" s="21">
        <v>0</v>
      </c>
      <c r="AC2234" s="21">
        <v>0</v>
      </c>
      <c r="AD2234" s="21">
        <v>0</v>
      </c>
      <c r="AE2234" s="21">
        <v>0</v>
      </c>
      <c r="AF2234" s="21">
        <v>12</v>
      </c>
      <c r="AG2234" s="21">
        <v>2</v>
      </c>
      <c r="AH2234" s="21" t="s">
        <v>219</v>
      </c>
      <c r="AI2234" s="19">
        <v>0</v>
      </c>
      <c r="AJ2234" s="19">
        <v>2</v>
      </c>
      <c r="AK2234" s="19">
        <v>0</v>
      </c>
      <c r="AL2234" s="19">
        <v>1.5</v>
      </c>
      <c r="AM2234" s="21">
        <v>0</v>
      </c>
      <c r="AN2234" s="21">
        <v>0</v>
      </c>
      <c r="AO2234" s="21">
        <v>0</v>
      </c>
      <c r="AP2234" s="21">
        <v>1.1000000000000001</v>
      </c>
      <c r="AQ2234" s="21">
        <v>3000</v>
      </c>
      <c r="AR2234" s="21">
        <v>1.1000000000000001</v>
      </c>
      <c r="AS2234" s="21">
        <v>0</v>
      </c>
      <c r="AT2234" s="19">
        <v>0</v>
      </c>
      <c r="AU2234" s="21" t="s">
        <v>204</v>
      </c>
      <c r="AV2234" s="21"/>
      <c r="AW2234" s="35" t="s">
        <v>293</v>
      </c>
      <c r="AX2234" s="21" t="s">
        <v>551</v>
      </c>
      <c r="AY2234" s="32">
        <v>10001007</v>
      </c>
      <c r="AZ2234" s="32">
        <v>70103001</v>
      </c>
      <c r="BA2234" s="30" t="s">
        <v>206</v>
      </c>
      <c r="BB2234" s="21">
        <v>0</v>
      </c>
      <c r="BC2234" s="31">
        <v>0</v>
      </c>
      <c r="BD2234" s="31">
        <v>0</v>
      </c>
      <c r="BE2234" s="33" t="s">
        <v>552</v>
      </c>
      <c r="BF2234" s="33" t="s">
        <v>553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90010303</v>
      </c>
      <c r="D2235" s="35" t="s">
        <v>544</v>
      </c>
      <c r="E2235" s="35" t="s">
        <v>545</v>
      </c>
      <c r="F2235" s="32">
        <v>1</v>
      </c>
      <c r="G2235" s="32">
        <v>60010500</v>
      </c>
      <c r="H2235" s="32">
        <v>0</v>
      </c>
      <c r="I2235" s="31">
        <v>0</v>
      </c>
      <c r="J2235" s="32">
        <v>1</v>
      </c>
      <c r="K2235" s="32">
        <v>0</v>
      </c>
      <c r="L2235" s="32">
        <v>0</v>
      </c>
      <c r="M2235" s="32">
        <v>0</v>
      </c>
      <c r="N2235" s="32">
        <v>0</v>
      </c>
      <c r="O2235" s="21">
        <v>2</v>
      </c>
      <c r="P2235" s="32">
        <v>2</v>
      </c>
      <c r="Q2235" s="32">
        <v>0.6</v>
      </c>
      <c r="R2235" s="32">
        <v>0</v>
      </c>
      <c r="S2235" s="19">
        <v>0</v>
      </c>
      <c r="T2235" s="31">
        <v>0</v>
      </c>
      <c r="U2235" s="21">
        <v>1</v>
      </c>
      <c r="V2235" s="32">
        <v>2</v>
      </c>
      <c r="W2235" s="32">
        <v>0</v>
      </c>
      <c r="X2235" s="32">
        <v>0</v>
      </c>
      <c r="Y2235" s="19">
        <v>0</v>
      </c>
      <c r="Z2235" s="32">
        <v>0</v>
      </c>
      <c r="AA2235" s="32">
        <v>0</v>
      </c>
      <c r="AB2235" s="32">
        <v>0</v>
      </c>
      <c r="AC2235" s="32">
        <v>0</v>
      </c>
      <c r="AD2235" s="32">
        <v>0</v>
      </c>
      <c r="AE2235" s="32">
        <v>0</v>
      </c>
      <c r="AF2235" s="32">
        <v>20</v>
      </c>
      <c r="AG2235" s="32">
        <v>0</v>
      </c>
      <c r="AH2235" s="32">
        <v>0</v>
      </c>
      <c r="AI2235" s="19">
        <v>0</v>
      </c>
      <c r="AJ2235" s="19">
        <v>0</v>
      </c>
      <c r="AK2235" s="19">
        <v>0</v>
      </c>
      <c r="AL2235" s="19">
        <v>0</v>
      </c>
      <c r="AM2235" s="32">
        <v>0</v>
      </c>
      <c r="AN2235" s="32">
        <v>0</v>
      </c>
      <c r="AO2235" s="32">
        <v>0</v>
      </c>
      <c r="AP2235" s="32">
        <v>0</v>
      </c>
      <c r="AQ2235" s="32">
        <v>1000</v>
      </c>
      <c r="AR2235" s="32">
        <v>0</v>
      </c>
      <c r="AS2235" s="32">
        <v>0</v>
      </c>
      <c r="AT2235" s="19">
        <v>90103001</v>
      </c>
      <c r="AU2235" s="32" t="s">
        <v>204</v>
      </c>
      <c r="AV2235" s="32"/>
      <c r="AW2235" s="35" t="s">
        <v>204</v>
      </c>
      <c r="AX2235" s="32" t="s">
        <v>354</v>
      </c>
      <c r="AY2235" s="32">
        <v>0</v>
      </c>
      <c r="AZ2235" s="32">
        <v>40000003</v>
      </c>
      <c r="BA2235" s="35" t="s">
        <v>206</v>
      </c>
      <c r="BB2235" s="35" t="s">
        <v>204</v>
      </c>
      <c r="BC2235" s="31">
        <v>0</v>
      </c>
      <c r="BD2235" s="31">
        <v>0</v>
      </c>
      <c r="BE2235" s="60" t="s">
        <v>554</v>
      </c>
      <c r="BF2235" s="60" t="s">
        <v>555</v>
      </c>
      <c r="BG2235" s="32">
        <v>0</v>
      </c>
      <c r="BH2235" s="21">
        <v>0</v>
      </c>
      <c r="BI2235" s="32">
        <v>0</v>
      </c>
      <c r="BJ2235" s="32">
        <v>0</v>
      </c>
      <c r="BK2235" s="32">
        <v>0</v>
      </c>
      <c r="BL2235" s="32">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90010401</v>
      </c>
      <c r="D2236" s="25" t="s">
        <v>5247</v>
      </c>
      <c r="E2236" s="25" t="s">
        <v>5248</v>
      </c>
      <c r="F2236" s="25">
        <v>1</v>
      </c>
      <c r="G2236" s="25">
        <v>0</v>
      </c>
      <c r="H2236" s="25">
        <v>0</v>
      </c>
      <c r="I2236" s="26">
        <v>0</v>
      </c>
      <c r="J2236" s="25">
        <v>1</v>
      </c>
      <c r="K2236" s="25">
        <v>0</v>
      </c>
      <c r="L2236" s="26">
        <v>0</v>
      </c>
      <c r="M2236" s="26">
        <v>0</v>
      </c>
      <c r="N2236" s="25">
        <v>0</v>
      </c>
      <c r="O2236" s="25">
        <v>2</v>
      </c>
      <c r="P2236" s="25">
        <v>1</v>
      </c>
      <c r="Q2236" s="25">
        <v>0.1</v>
      </c>
      <c r="R2236" s="25">
        <v>0</v>
      </c>
      <c r="S2236" s="19">
        <v>0</v>
      </c>
      <c r="T2236" s="25">
        <v>0</v>
      </c>
      <c r="U2236" s="21">
        <v>1</v>
      </c>
      <c r="V2236" s="25">
        <v>1</v>
      </c>
      <c r="W2236" s="26">
        <v>0</v>
      </c>
      <c r="X2236" s="25">
        <v>2.5</v>
      </c>
      <c r="Y2236" s="19">
        <v>0</v>
      </c>
      <c r="Z2236" s="25">
        <v>0</v>
      </c>
      <c r="AA2236" s="25">
        <v>1</v>
      </c>
      <c r="AB2236" s="25">
        <v>0</v>
      </c>
      <c r="AC2236" s="26">
        <v>0</v>
      </c>
      <c r="AD2236" s="25">
        <v>0</v>
      </c>
      <c r="AE2236" s="25">
        <v>0</v>
      </c>
      <c r="AF2236" s="25">
        <v>1</v>
      </c>
      <c r="AG2236" s="25">
        <v>0</v>
      </c>
      <c r="AH2236" s="25">
        <v>0</v>
      </c>
      <c r="AI2236" s="19">
        <v>0</v>
      </c>
      <c r="AJ2236" s="19">
        <v>0</v>
      </c>
      <c r="AK2236" s="19">
        <v>0</v>
      </c>
      <c r="AL2236" s="25">
        <v>0</v>
      </c>
      <c r="AM2236" s="27">
        <v>0</v>
      </c>
      <c r="AN2236" s="25">
        <v>0</v>
      </c>
      <c r="AO2236" s="25">
        <v>0</v>
      </c>
      <c r="AP2236" s="25">
        <v>0</v>
      </c>
      <c r="AQ2236" s="25">
        <v>3000</v>
      </c>
      <c r="AR2236" s="25">
        <v>0</v>
      </c>
      <c r="AS2236" s="25">
        <v>0</v>
      </c>
      <c r="AT2236" s="19">
        <v>0</v>
      </c>
      <c r="AU2236" s="25">
        <v>0</v>
      </c>
      <c r="AV2236" s="25"/>
      <c r="AW2236" s="25">
        <v>0</v>
      </c>
      <c r="AX2236" s="26">
        <v>0</v>
      </c>
      <c r="AY2236" s="26">
        <v>0</v>
      </c>
      <c r="AZ2236" s="26">
        <v>0</v>
      </c>
      <c r="BA2236" s="35" t="s">
        <v>206</v>
      </c>
      <c r="BB2236" s="8">
        <v>0</v>
      </c>
      <c r="BC2236" s="57">
        <v>0</v>
      </c>
      <c r="BD2236" s="57">
        <v>0</v>
      </c>
      <c r="BE2236" s="29" t="s">
        <v>640</v>
      </c>
      <c r="BF2236" s="29" t="s">
        <v>641</v>
      </c>
      <c r="BG2236" s="25">
        <v>0</v>
      </c>
      <c r="BH2236" s="25">
        <v>0</v>
      </c>
      <c r="BI2236" s="32">
        <v>0</v>
      </c>
      <c r="BJ2236" s="25">
        <v>0</v>
      </c>
      <c r="BK2236" s="25">
        <v>0</v>
      </c>
      <c r="BL2236" s="27">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1.75" customHeight="1">
      <c r="C2237" s="32">
        <v>90010402</v>
      </c>
      <c r="D2237" s="30" t="s">
        <v>538</v>
      </c>
      <c r="E2237" s="30" t="s">
        <v>261</v>
      </c>
      <c r="F2237" s="32">
        <v>1</v>
      </c>
      <c r="G2237" s="21">
        <v>60010100</v>
      </c>
      <c r="H2237" s="32">
        <v>0</v>
      </c>
      <c r="I2237" s="31">
        <v>0</v>
      </c>
      <c r="J2237" s="32">
        <v>1</v>
      </c>
      <c r="K2237" s="32">
        <v>0</v>
      </c>
      <c r="L2237" s="32">
        <v>0</v>
      </c>
      <c r="M2237" s="21">
        <v>0</v>
      </c>
      <c r="N2237" s="21">
        <v>0</v>
      </c>
      <c r="O2237" s="21">
        <v>2</v>
      </c>
      <c r="P2237" s="21">
        <v>3</v>
      </c>
      <c r="Q2237" s="21">
        <v>1</v>
      </c>
      <c r="R2237" s="21">
        <v>0</v>
      </c>
      <c r="S2237" s="19">
        <v>0</v>
      </c>
      <c r="T2237" s="21">
        <v>0</v>
      </c>
      <c r="U2237" s="21">
        <v>1</v>
      </c>
      <c r="V2237" s="21">
        <v>2</v>
      </c>
      <c r="W2237" s="21">
        <v>0</v>
      </c>
      <c r="X2237" s="21">
        <v>3</v>
      </c>
      <c r="Y2237" s="19">
        <v>0</v>
      </c>
      <c r="Z2237" s="21">
        <v>0</v>
      </c>
      <c r="AA2237" s="21">
        <v>1</v>
      </c>
      <c r="AB2237" s="21">
        <v>0</v>
      </c>
      <c r="AC2237" s="21">
        <v>0</v>
      </c>
      <c r="AD2237" s="21">
        <v>0</v>
      </c>
      <c r="AE2237" s="21">
        <v>0</v>
      </c>
      <c r="AF2237" s="21">
        <v>9</v>
      </c>
      <c r="AG2237" s="21">
        <v>1</v>
      </c>
      <c r="AH2237" s="21">
        <v>5</v>
      </c>
      <c r="AI2237" s="19">
        <v>0</v>
      </c>
      <c r="AJ2237" s="19">
        <v>1</v>
      </c>
      <c r="AK2237" s="19">
        <v>0</v>
      </c>
      <c r="AL2237" s="19">
        <v>2.5</v>
      </c>
      <c r="AM2237" s="21">
        <v>0</v>
      </c>
      <c r="AN2237" s="21">
        <v>0</v>
      </c>
      <c r="AO2237" s="21">
        <v>0</v>
      </c>
      <c r="AP2237" s="21">
        <v>2.5</v>
      </c>
      <c r="AQ2237" s="21">
        <v>5000</v>
      </c>
      <c r="AR2237" s="21">
        <v>2</v>
      </c>
      <c r="AS2237" s="21">
        <v>0</v>
      </c>
      <c r="AT2237" s="19">
        <v>0</v>
      </c>
      <c r="AU2237" s="25">
        <v>91000005</v>
      </c>
      <c r="AV2237" s="25"/>
      <c r="AW2237" s="25" t="s">
        <v>262</v>
      </c>
      <c r="AX2237" s="21">
        <v>0</v>
      </c>
      <c r="AY2237" s="32">
        <v>10000007</v>
      </c>
      <c r="AZ2237" s="32">
        <v>90010402</v>
      </c>
      <c r="BA2237" s="30" t="s">
        <v>206</v>
      </c>
      <c r="BB2237" s="21" t="s">
        <v>5249</v>
      </c>
      <c r="BC2237" s="31">
        <v>0</v>
      </c>
      <c r="BD2237" s="31">
        <v>0</v>
      </c>
      <c r="BE2237" s="33" t="s">
        <v>542</v>
      </c>
      <c r="BF2237" s="33" t="s">
        <v>543</v>
      </c>
      <c r="BG2237" s="21">
        <v>0</v>
      </c>
      <c r="BH2237" s="21">
        <v>0</v>
      </c>
      <c r="BI2237" s="21">
        <v>0</v>
      </c>
      <c r="BJ2237" s="21">
        <v>0</v>
      </c>
      <c r="BK2237" s="21">
        <v>0</v>
      </c>
      <c r="BL2237" s="21">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90010403</v>
      </c>
      <c r="D2238" s="25" t="s">
        <v>5250</v>
      </c>
      <c r="E2238" s="25" t="s">
        <v>5251</v>
      </c>
      <c r="F2238" s="25">
        <v>1</v>
      </c>
      <c r="G2238" s="25">
        <v>0</v>
      </c>
      <c r="H2238" s="25">
        <v>0</v>
      </c>
      <c r="I2238" s="26">
        <v>0</v>
      </c>
      <c r="J2238" s="25">
        <v>1</v>
      </c>
      <c r="K2238" s="25">
        <v>0</v>
      </c>
      <c r="L2238" s="26">
        <v>0</v>
      </c>
      <c r="M2238" s="26">
        <v>0</v>
      </c>
      <c r="N2238" s="25">
        <v>0</v>
      </c>
      <c r="O2238" s="25">
        <v>2</v>
      </c>
      <c r="P2238" s="25">
        <v>2</v>
      </c>
      <c r="Q2238" s="25">
        <v>0.95</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6</v>
      </c>
      <c r="AG2238" s="25">
        <v>1</v>
      </c>
      <c r="AH2238" s="25">
        <v>3</v>
      </c>
      <c r="AI2238" s="19">
        <v>1</v>
      </c>
      <c r="AJ2238" s="19">
        <v>1</v>
      </c>
      <c r="AK2238" s="19">
        <v>0</v>
      </c>
      <c r="AL2238" s="25">
        <v>1.5</v>
      </c>
      <c r="AM2238" s="27">
        <v>0</v>
      </c>
      <c r="AN2238" s="25">
        <v>0</v>
      </c>
      <c r="AO2238" s="25">
        <v>0</v>
      </c>
      <c r="AP2238" s="25">
        <v>2</v>
      </c>
      <c r="AQ2238" s="25">
        <v>4000</v>
      </c>
      <c r="AR2238" s="25">
        <v>2</v>
      </c>
      <c r="AS2238" s="25">
        <v>0</v>
      </c>
      <c r="AT2238" s="19">
        <v>0</v>
      </c>
      <c r="AU2238" s="66" t="s">
        <v>565</v>
      </c>
      <c r="AV2238" s="66"/>
      <c r="AW2238" s="25" t="s">
        <v>205</v>
      </c>
      <c r="AX2238" s="26">
        <v>0</v>
      </c>
      <c r="AY2238" s="26">
        <v>0</v>
      </c>
      <c r="AZ2238" s="26">
        <v>90010403</v>
      </c>
      <c r="BA2238" s="35" t="s">
        <v>206</v>
      </c>
      <c r="BB2238" s="8">
        <v>0</v>
      </c>
      <c r="BC2238" s="57">
        <v>0</v>
      </c>
      <c r="BD2238" s="57">
        <v>0</v>
      </c>
      <c r="BE2238" s="29" t="s">
        <v>651</v>
      </c>
      <c r="BF2238" s="29" t="s">
        <v>652</v>
      </c>
      <c r="BG2238" s="25">
        <v>2</v>
      </c>
      <c r="BH2238" s="25">
        <v>0</v>
      </c>
      <c r="BI2238" s="32">
        <v>0</v>
      </c>
      <c r="BJ2238" s="25">
        <v>0</v>
      </c>
      <c r="BK2238" s="25">
        <v>3</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90010404</v>
      </c>
      <c r="D2239" s="25" t="s">
        <v>5252</v>
      </c>
      <c r="E2239" s="25" t="s">
        <v>5253</v>
      </c>
      <c r="F2239" s="25">
        <v>1</v>
      </c>
      <c r="G2239" s="25">
        <v>0</v>
      </c>
      <c r="H2239" s="25">
        <v>0</v>
      </c>
      <c r="I2239" s="26">
        <v>0</v>
      </c>
      <c r="J2239" s="25">
        <v>0</v>
      </c>
      <c r="K2239" s="25">
        <v>0</v>
      </c>
      <c r="L2239" s="26">
        <v>0</v>
      </c>
      <c r="M2239" s="26">
        <v>0</v>
      </c>
      <c r="N2239" s="25">
        <v>0</v>
      </c>
      <c r="O2239" s="25">
        <v>2</v>
      </c>
      <c r="P2239" s="25">
        <v>2</v>
      </c>
      <c r="Q2239" s="25">
        <v>0.9</v>
      </c>
      <c r="R2239" s="25">
        <v>0</v>
      </c>
      <c r="S2239" s="19">
        <v>0</v>
      </c>
      <c r="T2239" s="25">
        <v>0</v>
      </c>
      <c r="U2239" s="21">
        <v>1</v>
      </c>
      <c r="V2239" s="25">
        <v>1</v>
      </c>
      <c r="W2239" s="26">
        <v>0</v>
      </c>
      <c r="X2239" s="25">
        <v>1.5</v>
      </c>
      <c r="Y2239" s="19">
        <v>0</v>
      </c>
      <c r="Z2239" s="25">
        <v>0</v>
      </c>
      <c r="AA2239" s="25">
        <v>1</v>
      </c>
      <c r="AB2239" s="25">
        <v>0</v>
      </c>
      <c r="AC2239" s="26">
        <v>0</v>
      </c>
      <c r="AD2239" s="25">
        <v>0</v>
      </c>
      <c r="AE2239" s="25">
        <v>0</v>
      </c>
      <c r="AF2239" s="25">
        <v>8</v>
      </c>
      <c r="AG2239" s="25">
        <v>2</v>
      </c>
      <c r="AH2239" s="25" t="s">
        <v>570</v>
      </c>
      <c r="AI2239" s="19">
        <v>0</v>
      </c>
      <c r="AJ2239" s="19">
        <v>0</v>
      </c>
      <c r="AK2239" s="19">
        <v>0</v>
      </c>
      <c r="AL2239" s="25">
        <v>0</v>
      </c>
      <c r="AM2239" s="27">
        <v>0</v>
      </c>
      <c r="AN2239" s="25">
        <v>0</v>
      </c>
      <c r="AO2239" s="25">
        <v>0</v>
      </c>
      <c r="AP2239" s="25">
        <v>0.5</v>
      </c>
      <c r="AQ2239" s="25">
        <v>999000</v>
      </c>
      <c r="AR2239" s="25">
        <v>0</v>
      </c>
      <c r="AS2239" s="25">
        <v>0</v>
      </c>
      <c r="AT2239" s="19">
        <v>0</v>
      </c>
      <c r="AU2239" s="28" t="s">
        <v>204</v>
      </c>
      <c r="AV2239" s="28"/>
      <c r="AW2239" s="25" t="s">
        <v>293</v>
      </c>
      <c r="AX2239" s="26">
        <v>0</v>
      </c>
      <c r="AY2239" s="26">
        <v>0</v>
      </c>
      <c r="AZ2239" s="26">
        <v>20000021</v>
      </c>
      <c r="BA2239" s="35" t="s">
        <v>206</v>
      </c>
      <c r="BB2239" s="8">
        <v>0</v>
      </c>
      <c r="BC2239" s="57">
        <v>0</v>
      </c>
      <c r="BD2239" s="57">
        <v>0</v>
      </c>
      <c r="BE2239" s="29" t="s">
        <v>328</v>
      </c>
      <c r="BF2239" s="29" t="s">
        <v>329</v>
      </c>
      <c r="BG2239" s="25">
        <v>0</v>
      </c>
      <c r="BH2239" s="25">
        <v>0</v>
      </c>
      <c r="BI2239" s="32">
        <v>0</v>
      </c>
      <c r="BJ2239" s="25">
        <v>0</v>
      </c>
      <c r="BK2239" s="25">
        <v>0</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90010405</v>
      </c>
      <c r="D2240" s="35" t="s">
        <v>573</v>
      </c>
      <c r="E2240" s="35" t="s">
        <v>574</v>
      </c>
      <c r="F2240" s="32">
        <v>1</v>
      </c>
      <c r="G2240" s="32">
        <v>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21">
        <v>99999</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90104002</v>
      </c>
      <c r="AU2240" s="32" t="s">
        <v>204</v>
      </c>
      <c r="AV2240" s="69"/>
      <c r="AW2240" s="25" t="s">
        <v>293</v>
      </c>
      <c r="AX2240" s="32" t="s">
        <v>354</v>
      </c>
      <c r="AY2240" s="32">
        <v>0</v>
      </c>
      <c r="AZ2240" s="32">
        <v>0</v>
      </c>
      <c r="BA2240" s="35" t="s">
        <v>206</v>
      </c>
      <c r="BB2240" s="35" t="s">
        <v>204</v>
      </c>
      <c r="BC2240" s="31">
        <v>0</v>
      </c>
      <c r="BD2240" s="31">
        <v>0</v>
      </c>
      <c r="BE2240" s="60" t="s">
        <v>681</v>
      </c>
      <c r="BF2240" s="60" t="s">
        <v>682</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90010406</v>
      </c>
      <c r="D2241" s="35" t="s">
        <v>5254</v>
      </c>
      <c r="E2241" s="35" t="s">
        <v>5255</v>
      </c>
      <c r="F2241" s="32">
        <v>1</v>
      </c>
      <c r="G2241" s="32">
        <v>60010500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32">
        <v>20</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90103001</v>
      </c>
      <c r="AU2241" s="32" t="s">
        <v>204</v>
      </c>
      <c r="AV2241" s="69"/>
      <c r="AW2241" s="25" t="s">
        <v>293</v>
      </c>
      <c r="AX2241" s="32" t="s">
        <v>354</v>
      </c>
      <c r="AY2241" s="32">
        <v>0</v>
      </c>
      <c r="AZ2241" s="32">
        <v>40000003</v>
      </c>
      <c r="BA2241" s="35" t="s">
        <v>206</v>
      </c>
      <c r="BB2241" s="35" t="s">
        <v>204</v>
      </c>
      <c r="BC2241" s="31">
        <v>0</v>
      </c>
      <c r="BD2241" s="31">
        <v>0</v>
      </c>
      <c r="BE2241" s="60" t="s">
        <v>5256</v>
      </c>
      <c r="BF2241" s="60" t="s">
        <v>5257</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90010501</v>
      </c>
      <c r="D2242" s="35" t="s">
        <v>579</v>
      </c>
      <c r="E2242" s="35" t="s">
        <v>580</v>
      </c>
      <c r="F2242" s="32">
        <v>1</v>
      </c>
      <c r="G2242" s="32">
        <v>60010300</v>
      </c>
      <c r="H2242" s="32">
        <v>0</v>
      </c>
      <c r="I2242" s="31">
        <v>0</v>
      </c>
      <c r="J2242" s="32">
        <v>1</v>
      </c>
      <c r="K2242" s="32">
        <v>0</v>
      </c>
      <c r="L2242" s="32">
        <v>0</v>
      </c>
      <c r="M2242" s="32">
        <v>0</v>
      </c>
      <c r="N2242" s="32">
        <v>0</v>
      </c>
      <c r="O2242" s="21">
        <v>2</v>
      </c>
      <c r="P2242" s="32">
        <v>1</v>
      </c>
      <c r="Q2242" s="32">
        <v>0.5</v>
      </c>
      <c r="R2242" s="32">
        <v>0</v>
      </c>
      <c r="S2242" s="19">
        <v>0</v>
      </c>
      <c r="T2242" s="31">
        <v>0</v>
      </c>
      <c r="U2242" s="21">
        <v>1</v>
      </c>
      <c r="V2242" s="32">
        <v>2</v>
      </c>
      <c r="W2242" s="32">
        <v>0</v>
      </c>
      <c r="X2242" s="32">
        <v>0.5</v>
      </c>
      <c r="Y2242" s="19">
        <v>0</v>
      </c>
      <c r="Z2242" s="32">
        <v>0</v>
      </c>
      <c r="AA2242" s="32">
        <v>0</v>
      </c>
      <c r="AB2242" s="32">
        <v>0</v>
      </c>
      <c r="AC2242" s="32">
        <v>0</v>
      </c>
      <c r="AD2242" s="32">
        <v>0</v>
      </c>
      <c r="AE2242" s="32">
        <v>0</v>
      </c>
      <c r="AF2242" s="32">
        <v>15</v>
      </c>
      <c r="AG2242" s="32">
        <v>1</v>
      </c>
      <c r="AH2242" s="32">
        <v>3</v>
      </c>
      <c r="AI2242" s="19">
        <v>1</v>
      </c>
      <c r="AJ2242" s="19">
        <v>0</v>
      </c>
      <c r="AK2242" s="19">
        <v>0</v>
      </c>
      <c r="AL2242" s="19">
        <v>1.5</v>
      </c>
      <c r="AM2242" s="32">
        <v>0</v>
      </c>
      <c r="AN2242" s="32">
        <v>0</v>
      </c>
      <c r="AO2242" s="32">
        <v>0</v>
      </c>
      <c r="AP2242" s="32">
        <v>1</v>
      </c>
      <c r="AQ2242" s="32">
        <v>360000</v>
      </c>
      <c r="AR2242" s="32">
        <v>0.5</v>
      </c>
      <c r="AS2242" s="32">
        <v>0</v>
      </c>
      <c r="AT2242" s="19">
        <v>0</v>
      </c>
      <c r="AU2242" s="32" t="s">
        <v>581</v>
      </c>
      <c r="AV2242" s="32"/>
      <c r="AW2242" s="35" t="s">
        <v>205</v>
      </c>
      <c r="AX2242" s="32" t="s">
        <v>551</v>
      </c>
      <c r="AY2242" s="32">
        <v>10002001</v>
      </c>
      <c r="AZ2242" s="32">
        <v>70106001</v>
      </c>
      <c r="BA2242" s="35" t="s">
        <v>321</v>
      </c>
      <c r="BB2242" s="35" t="s">
        <v>582</v>
      </c>
      <c r="BC2242" s="31">
        <v>0</v>
      </c>
      <c r="BD2242" s="31">
        <v>0</v>
      </c>
      <c r="BE2242" s="60" t="s">
        <v>583</v>
      </c>
      <c r="BF2242" s="60" t="s">
        <v>584</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90010502</v>
      </c>
      <c r="D2243" s="30" t="s">
        <v>585</v>
      </c>
      <c r="E2243" s="30" t="s">
        <v>586</v>
      </c>
      <c r="F2243" s="32">
        <v>1</v>
      </c>
      <c r="G2243" s="21">
        <v>60010100</v>
      </c>
      <c r="H2243" s="32">
        <v>0</v>
      </c>
      <c r="I2243" s="31">
        <v>0</v>
      </c>
      <c r="J2243" s="32">
        <v>1</v>
      </c>
      <c r="K2243" s="32">
        <v>0</v>
      </c>
      <c r="L2243" s="32">
        <v>0</v>
      </c>
      <c r="M2243" s="21">
        <v>0</v>
      </c>
      <c r="N2243" s="21">
        <v>0</v>
      </c>
      <c r="O2243" s="21">
        <v>2</v>
      </c>
      <c r="P2243" s="21">
        <v>1</v>
      </c>
      <c r="Q2243" s="21">
        <v>0.3</v>
      </c>
      <c r="R2243" s="21">
        <v>0</v>
      </c>
      <c r="S2243" s="19">
        <v>0</v>
      </c>
      <c r="T2243" s="21">
        <v>0</v>
      </c>
      <c r="U2243" s="21">
        <v>1</v>
      </c>
      <c r="V2243" s="21">
        <v>2</v>
      </c>
      <c r="W2243" s="21">
        <v>0</v>
      </c>
      <c r="X2243" s="21">
        <v>3</v>
      </c>
      <c r="Y2243" s="19">
        <v>0</v>
      </c>
      <c r="Z2243" s="21">
        <v>0</v>
      </c>
      <c r="AA2243" s="21">
        <v>0</v>
      </c>
      <c r="AB2243" s="21">
        <v>0</v>
      </c>
      <c r="AC2243" s="21">
        <v>0</v>
      </c>
      <c r="AD2243" s="21">
        <v>0</v>
      </c>
      <c r="AE2243" s="21">
        <v>0</v>
      </c>
      <c r="AF2243" s="21">
        <v>12</v>
      </c>
      <c r="AG2243" s="21">
        <v>1</v>
      </c>
      <c r="AH2243" s="21">
        <v>3</v>
      </c>
      <c r="AI2243" s="19">
        <v>6</v>
      </c>
      <c r="AJ2243" s="19">
        <v>1</v>
      </c>
      <c r="AK2243" s="19">
        <v>0</v>
      </c>
      <c r="AL2243" s="19">
        <v>1.5</v>
      </c>
      <c r="AM2243" s="21">
        <v>0</v>
      </c>
      <c r="AN2243" s="21">
        <v>0</v>
      </c>
      <c r="AO2243" s="21">
        <v>0</v>
      </c>
      <c r="AP2243" s="21">
        <v>3</v>
      </c>
      <c r="AQ2243" s="21">
        <v>5000</v>
      </c>
      <c r="AR2243" s="21">
        <v>2</v>
      </c>
      <c r="AS2243" s="21">
        <v>0</v>
      </c>
      <c r="AT2243" s="19">
        <v>0</v>
      </c>
      <c r="AU2243" s="21" t="s">
        <v>204</v>
      </c>
      <c r="AV2243" s="21"/>
      <c r="AW2243" s="35" t="s">
        <v>205</v>
      </c>
      <c r="AX2243" s="21" t="s">
        <v>540</v>
      </c>
      <c r="AY2243" s="32">
        <v>10000007</v>
      </c>
      <c r="AZ2243" s="32">
        <v>90010502</v>
      </c>
      <c r="BA2243" s="30" t="s">
        <v>206</v>
      </c>
      <c r="BB2243" s="21" t="s">
        <v>5258</v>
      </c>
      <c r="BC2243" s="31">
        <v>0</v>
      </c>
      <c r="BD2243" s="31">
        <v>0</v>
      </c>
      <c r="BE2243" s="33" t="s">
        <v>588</v>
      </c>
      <c r="BF2243" s="33" t="s">
        <v>589</v>
      </c>
      <c r="BG2243" s="21">
        <v>0</v>
      </c>
      <c r="BH2243" s="21">
        <v>0</v>
      </c>
      <c r="BI2243" s="21">
        <v>0</v>
      </c>
      <c r="BJ2243" s="21">
        <v>0</v>
      </c>
      <c r="BK2243" s="21">
        <v>0</v>
      </c>
      <c r="BL2243" s="21">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19.5" customHeight="1">
      <c r="C2244" s="32">
        <v>90010503</v>
      </c>
      <c r="D2244" s="35" t="s">
        <v>590</v>
      </c>
      <c r="E2244" s="35" t="s">
        <v>591</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3</v>
      </c>
      <c r="Y2244" s="19">
        <v>0</v>
      </c>
      <c r="Z2244" s="32">
        <v>0</v>
      </c>
      <c r="AA2244" s="32">
        <v>0</v>
      </c>
      <c r="AB2244" s="32">
        <v>0</v>
      </c>
      <c r="AC2244" s="32">
        <v>0</v>
      </c>
      <c r="AD2244" s="32">
        <v>0</v>
      </c>
      <c r="AE2244" s="32">
        <v>0</v>
      </c>
      <c r="AF2244" s="32">
        <v>9</v>
      </c>
      <c r="AG2244" s="32">
        <v>1</v>
      </c>
      <c r="AH2244" s="32">
        <v>2</v>
      </c>
      <c r="AI2244" s="19">
        <v>2</v>
      </c>
      <c r="AJ2244" s="19">
        <v>2</v>
      </c>
      <c r="AK2244" s="19">
        <v>0</v>
      </c>
      <c r="AL2244" s="19">
        <v>3</v>
      </c>
      <c r="AM2244" s="32">
        <v>0</v>
      </c>
      <c r="AN2244" s="32">
        <v>0</v>
      </c>
      <c r="AO2244" s="32">
        <v>0</v>
      </c>
      <c r="AP2244" s="32">
        <v>2</v>
      </c>
      <c r="AQ2244" s="32">
        <v>30000</v>
      </c>
      <c r="AR2244" s="32">
        <v>2</v>
      </c>
      <c r="AS2244" s="32">
        <v>4</v>
      </c>
      <c r="AT2244" s="19">
        <v>0</v>
      </c>
      <c r="AU2244" s="32" t="s">
        <v>204</v>
      </c>
      <c r="AV2244" s="32"/>
      <c r="AW2244" s="35" t="s">
        <v>205</v>
      </c>
      <c r="AX2244" s="32" t="s">
        <v>551</v>
      </c>
      <c r="AY2244" s="32">
        <v>10003002</v>
      </c>
      <c r="AZ2244" s="32">
        <v>70106005</v>
      </c>
      <c r="BA2244" s="35" t="s">
        <v>592</v>
      </c>
      <c r="BB2244" s="35">
        <v>0</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90010504</v>
      </c>
      <c r="D2245" s="35" t="s">
        <v>573</v>
      </c>
      <c r="E2245" s="35" t="s">
        <v>574</v>
      </c>
      <c r="F2245" s="32">
        <v>1</v>
      </c>
      <c r="G2245" s="32">
        <v>60010500</v>
      </c>
      <c r="H2245" s="32">
        <v>0</v>
      </c>
      <c r="I2245" s="31">
        <v>0</v>
      </c>
      <c r="J2245" s="32">
        <v>1</v>
      </c>
      <c r="K2245" s="32">
        <v>0</v>
      </c>
      <c r="L2245" s="32">
        <v>0</v>
      </c>
      <c r="M2245" s="32">
        <v>0</v>
      </c>
      <c r="N2245" s="32">
        <v>0</v>
      </c>
      <c r="O2245" s="21">
        <v>2</v>
      </c>
      <c r="P2245" s="32">
        <v>2</v>
      </c>
      <c r="Q2245" s="32">
        <v>0.6</v>
      </c>
      <c r="R2245" s="32">
        <v>0</v>
      </c>
      <c r="S2245" s="19">
        <v>0</v>
      </c>
      <c r="T2245" s="31">
        <v>0</v>
      </c>
      <c r="U2245" s="21">
        <v>1</v>
      </c>
      <c r="V2245" s="32">
        <v>2</v>
      </c>
      <c r="W2245" s="32">
        <v>0</v>
      </c>
      <c r="X2245" s="32">
        <v>0</v>
      </c>
      <c r="Y2245" s="19">
        <v>0</v>
      </c>
      <c r="Z2245" s="32">
        <v>0</v>
      </c>
      <c r="AA2245" s="32">
        <v>0</v>
      </c>
      <c r="AB2245" s="32">
        <v>0</v>
      </c>
      <c r="AC2245" s="32">
        <v>0</v>
      </c>
      <c r="AD2245" s="32">
        <v>0</v>
      </c>
      <c r="AE2245" s="32">
        <v>0</v>
      </c>
      <c r="AF2245" s="21">
        <v>30</v>
      </c>
      <c r="AG2245" s="32">
        <v>0</v>
      </c>
      <c r="AH2245" s="32">
        <v>0</v>
      </c>
      <c r="AI2245" s="19">
        <v>2</v>
      </c>
      <c r="AJ2245" s="19">
        <v>0</v>
      </c>
      <c r="AK2245" s="19">
        <v>0</v>
      </c>
      <c r="AL2245" s="19">
        <v>0</v>
      </c>
      <c r="AM2245" s="32">
        <v>0</v>
      </c>
      <c r="AN2245" s="32">
        <v>0</v>
      </c>
      <c r="AO2245" s="32">
        <v>0</v>
      </c>
      <c r="AP2245" s="32">
        <v>0</v>
      </c>
      <c r="AQ2245" s="32">
        <v>1000</v>
      </c>
      <c r="AR2245" s="32">
        <v>0</v>
      </c>
      <c r="AS2245" s="32">
        <v>0</v>
      </c>
      <c r="AT2245" s="19">
        <v>90104002</v>
      </c>
      <c r="AU2245" s="32" t="s">
        <v>204</v>
      </c>
      <c r="AV2245" s="32"/>
      <c r="AW2245" s="35" t="s">
        <v>205</v>
      </c>
      <c r="AX2245" s="32" t="s">
        <v>354</v>
      </c>
      <c r="AY2245" s="32">
        <v>0</v>
      </c>
      <c r="AZ2245" s="32">
        <v>0</v>
      </c>
      <c r="BA2245" s="35" t="s">
        <v>206</v>
      </c>
      <c r="BB2245" s="35" t="s">
        <v>204</v>
      </c>
      <c r="BC2245" s="31">
        <v>0</v>
      </c>
      <c r="BD2245" s="31">
        <v>0</v>
      </c>
      <c r="BE2245" s="60" t="s">
        <v>593</v>
      </c>
      <c r="BF2245" s="60" t="s">
        <v>594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90010505</v>
      </c>
      <c r="D2246" s="30" t="s">
        <v>595</v>
      </c>
      <c r="E2246" s="30" t="s">
        <v>596</v>
      </c>
      <c r="F2246" s="32">
        <v>1</v>
      </c>
      <c r="G2246" s="21">
        <v>60010300</v>
      </c>
      <c r="H2246" s="32">
        <v>0</v>
      </c>
      <c r="I2246" s="31">
        <v>0</v>
      </c>
      <c r="J2246" s="32">
        <v>1</v>
      </c>
      <c r="K2246" s="32">
        <v>0</v>
      </c>
      <c r="L2246" s="32">
        <v>0</v>
      </c>
      <c r="M2246" s="21">
        <v>0</v>
      </c>
      <c r="N2246" s="21">
        <v>0</v>
      </c>
      <c r="O2246" s="21">
        <v>2</v>
      </c>
      <c r="P2246" s="21">
        <v>1</v>
      </c>
      <c r="Q2246" s="21">
        <v>0.6</v>
      </c>
      <c r="R2246" s="21">
        <v>0</v>
      </c>
      <c r="S2246" s="19">
        <v>0</v>
      </c>
      <c r="T2246" s="21">
        <v>0</v>
      </c>
      <c r="U2246" s="21">
        <v>1</v>
      </c>
      <c r="V2246" s="21">
        <v>2</v>
      </c>
      <c r="W2246" s="21">
        <v>0</v>
      </c>
      <c r="X2246" s="21">
        <v>0</v>
      </c>
      <c r="Y2246" s="19">
        <v>0</v>
      </c>
      <c r="Z2246" s="21">
        <v>0</v>
      </c>
      <c r="AA2246" s="21">
        <v>0</v>
      </c>
      <c r="AB2246" s="21">
        <v>0</v>
      </c>
      <c r="AC2246" s="21">
        <v>0</v>
      </c>
      <c r="AD2246" s="21">
        <v>0</v>
      </c>
      <c r="AE2246" s="21">
        <v>0</v>
      </c>
      <c r="AF2246" s="21">
        <v>20</v>
      </c>
      <c r="AG2246" s="21">
        <v>0</v>
      </c>
      <c r="AH2246" s="21">
        <v>0</v>
      </c>
      <c r="AI2246" s="19">
        <v>2</v>
      </c>
      <c r="AJ2246" s="19">
        <v>2</v>
      </c>
      <c r="AK2246" s="19">
        <v>0</v>
      </c>
      <c r="AL2246" s="19">
        <v>1.5</v>
      </c>
      <c r="AM2246" s="21">
        <v>0</v>
      </c>
      <c r="AN2246" s="21">
        <v>0</v>
      </c>
      <c r="AO2246" s="21">
        <v>0</v>
      </c>
      <c r="AP2246" s="21">
        <v>1</v>
      </c>
      <c r="AQ2246" s="21">
        <v>3000</v>
      </c>
      <c r="AR2246" s="21">
        <v>0.5</v>
      </c>
      <c r="AS2246" s="21">
        <v>0</v>
      </c>
      <c r="AT2246" s="19">
        <v>0</v>
      </c>
      <c r="AU2246" s="21" t="s">
        <v>204</v>
      </c>
      <c r="AV2246" s="21"/>
      <c r="AW2246" s="35" t="s">
        <v>205</v>
      </c>
      <c r="AX2246" s="21" t="s">
        <v>551</v>
      </c>
      <c r="AY2246" s="32">
        <v>0</v>
      </c>
      <c r="AZ2246" s="32">
        <v>0</v>
      </c>
      <c r="BA2246" s="30" t="s">
        <v>534</v>
      </c>
      <c r="BB2246" s="21" t="s">
        <v>597</v>
      </c>
      <c r="BC2246" s="31">
        <v>0</v>
      </c>
      <c r="BD2246" s="31">
        <v>0</v>
      </c>
      <c r="BE2246" s="33" t="s">
        <v>598</v>
      </c>
      <c r="BF2246" s="33" t="s">
        <v>599</v>
      </c>
      <c r="BG2246" s="21">
        <v>0</v>
      </c>
      <c r="BH2246" s="21">
        <v>0</v>
      </c>
      <c r="BI2246" s="21">
        <v>0</v>
      </c>
      <c r="BJ2246" s="21">
        <v>0</v>
      </c>
      <c r="BK2246" s="21">
        <v>0</v>
      </c>
      <c r="BL2246" s="21">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90010901</v>
      </c>
      <c r="D2247" s="270" t="s">
        <v>5259</v>
      </c>
      <c r="E2247" s="270" t="s">
        <v>5260</v>
      </c>
      <c r="F2247" s="21">
        <v>1</v>
      </c>
      <c r="G2247" s="21">
        <v>62021401</v>
      </c>
      <c r="H2247" s="32">
        <f>C2248</f>
        <v>90010902</v>
      </c>
      <c r="I2247" s="31">
        <v>0</v>
      </c>
      <c r="J2247" s="21">
        <v>27</v>
      </c>
      <c r="K2247" s="21">
        <v>2</v>
      </c>
      <c r="L2247" s="21">
        <v>0</v>
      </c>
      <c r="M2247" s="32">
        <v>0</v>
      </c>
      <c r="N2247" s="32">
        <v>0</v>
      </c>
      <c r="O2247" s="32">
        <v>2</v>
      </c>
      <c r="P2247" s="32">
        <v>2</v>
      </c>
      <c r="Q2247" s="32">
        <v>0.95</v>
      </c>
      <c r="R2247" s="32">
        <v>0</v>
      </c>
      <c r="S2247" s="19">
        <v>0</v>
      </c>
      <c r="T2247" s="31">
        <v>0</v>
      </c>
      <c r="U2247" s="21">
        <v>1</v>
      </c>
      <c r="V2247" s="32">
        <v>2</v>
      </c>
      <c r="W2247" s="32">
        <v>0</v>
      </c>
      <c r="X2247" s="32">
        <v>1.2</v>
      </c>
      <c r="Y2247" s="19">
        <v>0</v>
      </c>
      <c r="Z2247" s="32">
        <v>500</v>
      </c>
      <c r="AA2247" s="32">
        <v>0</v>
      </c>
      <c r="AB2247" s="32">
        <v>0</v>
      </c>
      <c r="AC2247" s="32">
        <v>0</v>
      </c>
      <c r="AD2247" s="32">
        <v>0</v>
      </c>
      <c r="AE2247" s="32">
        <v>0</v>
      </c>
      <c r="AF2247" s="32">
        <v>6</v>
      </c>
      <c r="AG2247" s="32">
        <v>1</v>
      </c>
      <c r="AH2247" s="32">
        <v>3</v>
      </c>
      <c r="AI2247" s="19">
        <v>2</v>
      </c>
      <c r="AJ2247" s="19">
        <v>1</v>
      </c>
      <c r="AK2247" s="19">
        <v>0</v>
      </c>
      <c r="AL2247" s="19">
        <v>7</v>
      </c>
      <c r="AM2247" s="32">
        <v>0</v>
      </c>
      <c r="AN2247" s="32">
        <v>0</v>
      </c>
      <c r="AO2247" s="32">
        <v>6</v>
      </c>
      <c r="AP2247" s="32">
        <v>0.25</v>
      </c>
      <c r="AQ2247" s="32">
        <v>6000</v>
      </c>
      <c r="AR2247" s="32">
        <v>0</v>
      </c>
      <c r="AS2247" s="32">
        <v>0</v>
      </c>
      <c r="AT2247" s="19">
        <v>0</v>
      </c>
      <c r="AU2247" s="32">
        <v>92014001</v>
      </c>
      <c r="AV2247" s="32"/>
      <c r="AW2247" s="35" t="s">
        <v>375</v>
      </c>
      <c r="AX2247" s="32" t="s">
        <v>376</v>
      </c>
      <c r="AY2247" s="32">
        <v>10002001</v>
      </c>
      <c r="AZ2247" s="32">
        <v>21101040</v>
      </c>
      <c r="BA2247" s="35" t="s">
        <v>321</v>
      </c>
      <c r="BB2247" s="35" t="s">
        <v>1910</v>
      </c>
      <c r="BC2247" s="31">
        <v>0</v>
      </c>
      <c r="BD2247" s="31">
        <v>0</v>
      </c>
      <c r="BE2247" s="185" t="str">
        <f t="shared" ref="BE2247" si="155">"对目标区域持续造成伤害,在此范围内的敌方目标每秒造成2次"&amp;X2247*100&amp;"%攻击伤害+"&amp;Z2247&amp;"点固定伤害,目标移动速度降低75%,持续6秒,当在施法过程中进行移动会中断此技能施放"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7" s="185" t="s">
        <v>5261</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21">
        <v>90010902</v>
      </c>
      <c r="D2248" s="270" t="s">
        <v>5262</v>
      </c>
      <c r="E2248" s="270" t="s">
        <v>5263</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6">"立即对指定前方区域释放冲击波,冲击波对触碰的怪物造成"&amp;X2248*100&amp;"%攻击伤害+"&amp;Z2248&amp;"点固定伤害"</f>
        <v>立即对指定前方区域释放冲击波,冲击波对触碰的怪物造成250%攻击伤害+1500点固定伤害</v>
      </c>
      <c r="BF2248" s="185" t="s">
        <v>1937</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32">
        <v>90010903</v>
      </c>
      <c r="D2249" s="270" t="s">
        <v>5264</v>
      </c>
      <c r="E2249" s="270" t="s">
        <v>5265</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5" t="str">
        <f t="shared" ref="BE2249" si="157">"立即对指定前方区域释放冲击波,冲击波对触碰的怪物造成"&amp;X2249*100&amp;"%攻击伤害+"&amp;Z2249&amp;"点固定伤害"</f>
        <v>立即对指定前方区域释放冲击波,冲击波对触碰的怪物造成250%攻击伤害+1500点固定伤害</v>
      </c>
      <c r="BF2249" s="185" t="s">
        <v>1937</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90010904</v>
      </c>
      <c r="D2250" s="35" t="s">
        <v>5266</v>
      </c>
      <c r="E2250" s="35" t="s">
        <v>5267</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2</v>
      </c>
      <c r="AK2250" s="19">
        <v>0</v>
      </c>
      <c r="AL2250" s="19">
        <v>3</v>
      </c>
      <c r="AM2250" s="32">
        <v>0</v>
      </c>
      <c r="AN2250" s="32">
        <v>0</v>
      </c>
      <c r="AO2250" s="32">
        <v>0</v>
      </c>
      <c r="AP2250" s="32">
        <v>0.5</v>
      </c>
      <c r="AQ2250" s="32">
        <v>2000</v>
      </c>
      <c r="AR2250" s="32">
        <v>0</v>
      </c>
      <c r="AS2250" s="32">
        <v>20</v>
      </c>
      <c r="AT2250" s="19">
        <v>0</v>
      </c>
      <c r="AU2250" s="32" t="s">
        <v>204</v>
      </c>
      <c r="AV2250" s="32"/>
      <c r="AW2250" s="35" t="s">
        <v>205</v>
      </c>
      <c r="AX2250" s="32" t="s">
        <v>551</v>
      </c>
      <c r="AY2250" s="32">
        <v>10003002</v>
      </c>
      <c r="AZ2250" s="32">
        <v>70106005</v>
      </c>
      <c r="BA2250" s="35" t="s">
        <v>2051</v>
      </c>
      <c r="BB2250" s="35">
        <v>0</v>
      </c>
      <c r="BC2250" s="31">
        <v>0</v>
      </c>
      <c r="BD2250" s="31">
        <v>0</v>
      </c>
      <c r="BE2250" s="60" t="s">
        <v>5268</v>
      </c>
      <c r="BF2250" s="60" t="s">
        <v>5269</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90010905</v>
      </c>
      <c r="D2251" s="35" t="s">
        <v>5270</v>
      </c>
      <c r="E2251" s="35" t="s">
        <v>5271</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1</v>
      </c>
      <c r="AK2251" s="19">
        <v>0</v>
      </c>
      <c r="AL2251" s="19">
        <v>5</v>
      </c>
      <c r="AM2251" s="32">
        <v>0</v>
      </c>
      <c r="AN2251" s="32">
        <v>0</v>
      </c>
      <c r="AO2251" s="32">
        <v>0</v>
      </c>
      <c r="AP2251" s="32">
        <v>0.5</v>
      </c>
      <c r="AQ2251" s="32">
        <v>2000</v>
      </c>
      <c r="AR2251" s="32">
        <v>0</v>
      </c>
      <c r="AS2251" s="32">
        <v>20</v>
      </c>
      <c r="AT2251" s="19">
        <v>0</v>
      </c>
      <c r="AU2251" s="32" t="s">
        <v>204</v>
      </c>
      <c r="AV2251" s="32"/>
      <c r="AW2251" s="35" t="s">
        <v>205</v>
      </c>
      <c r="AX2251" s="32" t="s">
        <v>551</v>
      </c>
      <c r="AY2251" s="32">
        <v>0</v>
      </c>
      <c r="AZ2251" s="32">
        <v>70106005</v>
      </c>
      <c r="BA2251" s="35" t="s">
        <v>2191</v>
      </c>
      <c r="BB2251" s="370" t="s">
        <v>5272</v>
      </c>
      <c r="BC2251" s="31">
        <v>0</v>
      </c>
      <c r="BD2251" s="31">
        <v>0</v>
      </c>
      <c r="BE2251" s="60" t="s">
        <v>5273</v>
      </c>
      <c r="BF2251" s="60" t="s">
        <v>5274</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90010906</v>
      </c>
      <c r="D2252" s="30" t="s">
        <v>5275</v>
      </c>
      <c r="E2252" s="30" t="s">
        <v>5276</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2</v>
      </c>
      <c r="AI2252" s="19">
        <v>7</v>
      </c>
      <c r="AJ2252" s="19">
        <v>0</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5121</v>
      </c>
      <c r="BB2252" s="21">
        <v>0</v>
      </c>
      <c r="BC2252" s="31">
        <v>0</v>
      </c>
      <c r="BD2252" s="31">
        <v>0</v>
      </c>
      <c r="BE2252" s="185" t="s">
        <v>5228</v>
      </c>
      <c r="BF2252" s="185" t="s">
        <v>5229</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90010907</v>
      </c>
      <c r="D2253" s="30" t="s">
        <v>5277</v>
      </c>
      <c r="E2253" s="30" t="s">
        <v>5278</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3</v>
      </c>
      <c r="AI2253" s="19">
        <v>2</v>
      </c>
      <c r="AJ2253" s="19">
        <v>1</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1048</v>
      </c>
      <c r="BB2253" s="21">
        <v>0</v>
      </c>
      <c r="BC2253" s="31">
        <v>0</v>
      </c>
      <c r="BD2253" s="31">
        <v>0</v>
      </c>
      <c r="BE2253" s="185" t="s">
        <v>5228</v>
      </c>
      <c r="BF2253" s="185" t="s">
        <v>5229</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20.100000000000001" customHeight="1">
      <c r="C2254" s="72">
        <v>90010908</v>
      </c>
      <c r="D2254" s="88" t="s">
        <v>5279</v>
      </c>
      <c r="E2254" s="88" t="s">
        <v>5280</v>
      </c>
      <c r="F2254" s="74">
        <v>1</v>
      </c>
      <c r="G2254" s="90">
        <v>0</v>
      </c>
      <c r="H2254" s="74">
        <v>0</v>
      </c>
      <c r="I2254" s="75">
        <v>0</v>
      </c>
      <c r="J2254" s="74">
        <v>1</v>
      </c>
      <c r="K2254" s="74">
        <v>0</v>
      </c>
      <c r="L2254" s="74">
        <v>0</v>
      </c>
      <c r="M2254" s="74">
        <v>0</v>
      </c>
      <c r="N2254" s="74">
        <v>0</v>
      </c>
      <c r="O2254" s="74">
        <v>1</v>
      </c>
      <c r="P2254" s="74">
        <v>0</v>
      </c>
      <c r="Q2254" s="74">
        <v>0</v>
      </c>
      <c r="R2254" s="74">
        <v>0</v>
      </c>
      <c r="S2254" s="73">
        <v>0</v>
      </c>
      <c r="T2254" s="75">
        <v>0</v>
      </c>
      <c r="U2254" s="72">
        <v>1</v>
      </c>
      <c r="V2254" s="74">
        <v>1</v>
      </c>
      <c r="W2254" s="74">
        <v>0</v>
      </c>
      <c r="X2254" s="74">
        <v>1.5</v>
      </c>
      <c r="Y2254" s="19">
        <v>0</v>
      </c>
      <c r="Z2254" s="74">
        <v>0</v>
      </c>
      <c r="AA2254" s="74">
        <v>0</v>
      </c>
      <c r="AB2254" s="74">
        <v>0</v>
      </c>
      <c r="AC2254" s="74">
        <v>0</v>
      </c>
      <c r="AD2254" s="74">
        <v>1</v>
      </c>
      <c r="AE2254" s="74">
        <v>0</v>
      </c>
      <c r="AF2254" s="74">
        <v>5</v>
      </c>
      <c r="AG2254" s="74">
        <v>1</v>
      </c>
      <c r="AH2254" s="74">
        <v>3</v>
      </c>
      <c r="AI2254" s="73">
        <v>2</v>
      </c>
      <c r="AJ2254" s="73">
        <v>1</v>
      </c>
      <c r="AK2254" s="73">
        <v>0</v>
      </c>
      <c r="AL2254" s="73">
        <v>6</v>
      </c>
      <c r="AM2254" s="74">
        <v>0</v>
      </c>
      <c r="AN2254" s="74">
        <v>0</v>
      </c>
      <c r="AO2254" s="74">
        <v>0</v>
      </c>
      <c r="AP2254" s="74">
        <v>0</v>
      </c>
      <c r="AQ2254" s="74">
        <v>5000</v>
      </c>
      <c r="AR2254" s="74">
        <v>0.2</v>
      </c>
      <c r="AS2254" s="74">
        <v>0</v>
      </c>
      <c r="AT2254" s="73">
        <v>0</v>
      </c>
      <c r="AU2254" s="74" t="s">
        <v>204</v>
      </c>
      <c r="AV2254" s="74"/>
      <c r="AW2254" s="88" t="s">
        <v>204</v>
      </c>
      <c r="AX2254" s="74" t="s">
        <v>1762</v>
      </c>
      <c r="AY2254" s="74">
        <v>10000006</v>
      </c>
      <c r="AZ2254" s="127">
        <v>60000004</v>
      </c>
      <c r="BA2254" s="88" t="s">
        <v>1763</v>
      </c>
      <c r="BB2254" s="88" t="s">
        <v>204</v>
      </c>
      <c r="BC2254" s="75">
        <v>0</v>
      </c>
      <c r="BD2254" s="75">
        <v>0</v>
      </c>
      <c r="BE2254" s="89"/>
      <c r="BF2254" s="89"/>
      <c r="BG2254" s="74">
        <v>0</v>
      </c>
      <c r="BH2254" s="72">
        <v>0</v>
      </c>
      <c r="BI2254" s="74">
        <v>0</v>
      </c>
      <c r="BJ2254" s="74">
        <v>0</v>
      </c>
      <c r="BK2254" s="74">
        <v>0</v>
      </c>
      <c r="BL2254" s="74">
        <v>0</v>
      </c>
      <c r="BM2254" s="90">
        <v>0</v>
      </c>
      <c r="BN2254" s="73">
        <v>1</v>
      </c>
      <c r="BO2254" s="73">
        <v>0</v>
      </c>
      <c r="BP2254" s="73">
        <v>0</v>
      </c>
      <c r="BQ2254" s="73">
        <v>0</v>
      </c>
      <c r="BR2254" s="73">
        <v>0</v>
      </c>
      <c r="BS2254" s="73">
        <v>0</v>
      </c>
      <c r="BT2254" s="19">
        <v>0</v>
      </c>
      <c r="BU2254" s="23">
        <v>0</v>
      </c>
      <c r="BV2254" s="23"/>
      <c r="BW2254" s="23"/>
      <c r="BX2254" s="23"/>
      <c r="BY2254" s="23"/>
      <c r="BZ2254" s="23"/>
    </row>
    <row r="2255" spans="3:78" ht="20.100000000000001" customHeight="1">
      <c r="C2255" s="21">
        <v>90010909</v>
      </c>
      <c r="D2255" s="30" t="s">
        <v>5281</v>
      </c>
      <c r="E2255" s="30" t="s">
        <v>5282</v>
      </c>
      <c r="F2255" s="21">
        <v>0</v>
      </c>
      <c r="G2255" s="21">
        <v>61011301</v>
      </c>
      <c r="H2255" s="21">
        <v>0</v>
      </c>
      <c r="I2255" s="31">
        <v>0</v>
      </c>
      <c r="J2255" s="21">
        <v>10</v>
      </c>
      <c r="K2255" s="21">
        <v>3</v>
      </c>
      <c r="L2255" s="21">
        <v>0</v>
      </c>
      <c r="M2255" s="21">
        <v>0</v>
      </c>
      <c r="N2255" s="21">
        <v>0</v>
      </c>
      <c r="O2255" s="21">
        <v>2</v>
      </c>
      <c r="P2255" s="21">
        <v>1</v>
      </c>
      <c r="Q2255" s="21">
        <v>0.1</v>
      </c>
      <c r="R2255" s="21">
        <v>0</v>
      </c>
      <c r="S2255" s="19">
        <v>3</v>
      </c>
      <c r="T2255" s="21">
        <v>0</v>
      </c>
      <c r="U2255" s="21">
        <v>1</v>
      </c>
      <c r="V2255" s="21">
        <v>2</v>
      </c>
      <c r="W2255" s="21">
        <v>0</v>
      </c>
      <c r="X2255" s="21">
        <v>3</v>
      </c>
      <c r="Y2255" s="19">
        <v>0</v>
      </c>
      <c r="Z2255" s="21">
        <v>350</v>
      </c>
      <c r="AA2255" s="21">
        <v>1</v>
      </c>
      <c r="AB2255" s="21">
        <v>0</v>
      </c>
      <c r="AC2255" s="21">
        <v>0</v>
      </c>
      <c r="AD2255" s="21">
        <v>0</v>
      </c>
      <c r="AE2255" s="21">
        <v>0</v>
      </c>
      <c r="AF2255" s="21">
        <v>9</v>
      </c>
      <c r="AG2255" s="21">
        <v>1</v>
      </c>
      <c r="AH2255" s="21">
        <v>3</v>
      </c>
      <c r="AI2255" s="19">
        <v>2</v>
      </c>
      <c r="AJ2255" s="19">
        <v>1</v>
      </c>
      <c r="AK2255" s="19">
        <v>0</v>
      </c>
      <c r="AL2255" s="19">
        <v>6</v>
      </c>
      <c r="AM2255" s="21">
        <v>0</v>
      </c>
      <c r="AN2255" s="21">
        <v>0</v>
      </c>
      <c r="AO2255" s="21">
        <v>0</v>
      </c>
      <c r="AP2255" s="21">
        <v>1</v>
      </c>
      <c r="AQ2255" s="21">
        <v>3000</v>
      </c>
      <c r="AR2255" s="21">
        <v>4</v>
      </c>
      <c r="AS2255" s="21">
        <v>0</v>
      </c>
      <c r="AT2255" s="19">
        <v>0</v>
      </c>
      <c r="AU2255" s="21" t="s">
        <v>204</v>
      </c>
      <c r="AV2255" s="21"/>
      <c r="AW2255" s="30" t="s">
        <v>768</v>
      </c>
      <c r="AX2255" s="21" t="s">
        <v>221</v>
      </c>
      <c r="AY2255" s="32">
        <v>10000015</v>
      </c>
      <c r="AZ2255" s="32">
        <v>21000030</v>
      </c>
      <c r="BA2255" s="30" t="s">
        <v>777</v>
      </c>
      <c r="BB2255" s="21">
        <v>0</v>
      </c>
      <c r="BC2255" s="31">
        <v>0</v>
      </c>
      <c r="BD2255" s="31">
        <v>0</v>
      </c>
      <c r="BE2255" s="171" t="str">
        <f>"&lt;color=#D3FD3A&gt;冲锋击(剑类武器技能):\n&lt;/color&gt;"&amp;BE2279&amp;"\n\n&lt;color=#D3FD3A&gt;跳跃击(刀类武器技能):\n&lt;/color&gt;"&amp;BE2261</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5" s="171" t="s">
        <v>5283</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19.5" customHeight="1">
      <c r="C2256" s="21">
        <v>90010910</v>
      </c>
      <c r="D2256" s="35" t="s">
        <v>5284</v>
      </c>
      <c r="E2256" s="35" t="s">
        <v>5285</v>
      </c>
      <c r="F2256" s="32">
        <v>1</v>
      </c>
      <c r="G2256" s="32">
        <v>60010300</v>
      </c>
      <c r="H2256" s="32">
        <v>0</v>
      </c>
      <c r="I2256" s="31">
        <v>0</v>
      </c>
      <c r="J2256" s="32">
        <v>1</v>
      </c>
      <c r="K2256" s="32">
        <v>0</v>
      </c>
      <c r="L2256" s="32">
        <v>0</v>
      </c>
      <c r="M2256" s="32">
        <v>0</v>
      </c>
      <c r="N2256" s="32">
        <v>0</v>
      </c>
      <c r="O2256" s="21">
        <v>1</v>
      </c>
      <c r="P2256" s="32">
        <v>0</v>
      </c>
      <c r="Q2256" s="32">
        <v>0</v>
      </c>
      <c r="R2256" s="32">
        <v>0</v>
      </c>
      <c r="S2256" s="19">
        <v>0</v>
      </c>
      <c r="T2256" s="31">
        <v>0</v>
      </c>
      <c r="U2256" s="21">
        <v>1</v>
      </c>
      <c r="V2256" s="32">
        <v>2</v>
      </c>
      <c r="W2256" s="32">
        <v>0</v>
      </c>
      <c r="X2256" s="32">
        <v>3</v>
      </c>
      <c r="Y2256" s="19">
        <v>0</v>
      </c>
      <c r="Z2256" s="32">
        <v>0</v>
      </c>
      <c r="AA2256" s="32">
        <v>0</v>
      </c>
      <c r="AB2256" s="32">
        <v>0</v>
      </c>
      <c r="AC2256" s="32">
        <v>0</v>
      </c>
      <c r="AD2256" s="32">
        <v>0</v>
      </c>
      <c r="AE2256" s="32">
        <v>0</v>
      </c>
      <c r="AF2256" s="32">
        <v>9</v>
      </c>
      <c r="AG2256" s="32">
        <v>1</v>
      </c>
      <c r="AH2256" s="32">
        <v>2</v>
      </c>
      <c r="AI2256" s="19">
        <v>2</v>
      </c>
      <c r="AJ2256" s="19">
        <v>1</v>
      </c>
      <c r="AK2256" s="19">
        <v>0</v>
      </c>
      <c r="AL2256" s="19">
        <v>5</v>
      </c>
      <c r="AM2256" s="32">
        <v>0</v>
      </c>
      <c r="AN2256" s="32">
        <v>0</v>
      </c>
      <c r="AO2256" s="32">
        <v>0</v>
      </c>
      <c r="AP2256" s="32">
        <v>0.5</v>
      </c>
      <c r="AQ2256" s="32">
        <v>2000</v>
      </c>
      <c r="AR2256" s="32">
        <v>0</v>
      </c>
      <c r="AS2256" s="32">
        <v>20</v>
      </c>
      <c r="AT2256" s="19">
        <v>0</v>
      </c>
      <c r="AU2256" s="32" t="s">
        <v>204</v>
      </c>
      <c r="AV2256" s="32"/>
      <c r="AW2256" s="35" t="s">
        <v>205</v>
      </c>
      <c r="AX2256" s="32" t="s">
        <v>551</v>
      </c>
      <c r="AY2256" s="32">
        <v>0</v>
      </c>
      <c r="AZ2256" s="32">
        <v>70106005</v>
      </c>
      <c r="BA2256" s="35" t="s">
        <v>2191</v>
      </c>
      <c r="BB2256" s="370" t="s">
        <v>2192</v>
      </c>
      <c r="BC2256" s="31">
        <v>0</v>
      </c>
      <c r="BD2256" s="31">
        <v>0</v>
      </c>
      <c r="BE2256" s="60" t="s">
        <v>5273</v>
      </c>
      <c r="BF2256" s="60" t="s">
        <v>5274</v>
      </c>
      <c r="BG2256" s="32">
        <v>0</v>
      </c>
      <c r="BH2256" s="348" t="s">
        <v>5286</v>
      </c>
      <c r="BI2256" s="32">
        <v>0</v>
      </c>
      <c r="BJ2256" s="32">
        <v>0</v>
      </c>
      <c r="BK2256" s="32">
        <v>0</v>
      </c>
      <c r="BL2256" s="32">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20.100000000000001" customHeight="1">
      <c r="C2257" s="107">
        <v>90010911</v>
      </c>
      <c r="D2257" s="110" t="s">
        <v>5287</v>
      </c>
      <c r="E2257" s="110" t="s">
        <v>5288</v>
      </c>
      <c r="F2257" s="107">
        <v>1</v>
      </c>
      <c r="G2257" s="100">
        <v>60010100</v>
      </c>
      <c r="H2257" s="107">
        <v>0</v>
      </c>
      <c r="I2257" s="105">
        <v>0</v>
      </c>
      <c r="J2257" s="107">
        <v>1</v>
      </c>
      <c r="K2257" s="107">
        <v>0</v>
      </c>
      <c r="L2257" s="107">
        <v>0</v>
      </c>
      <c r="M2257" s="100">
        <v>0</v>
      </c>
      <c r="N2257" s="100">
        <v>0</v>
      </c>
      <c r="O2257" s="100">
        <v>2</v>
      </c>
      <c r="P2257" s="100">
        <v>10</v>
      </c>
      <c r="Q2257" s="100">
        <v>0.5</v>
      </c>
      <c r="R2257" s="100">
        <v>0</v>
      </c>
      <c r="S2257" s="99">
        <v>1</v>
      </c>
      <c r="T2257" s="100">
        <v>0</v>
      </c>
      <c r="U2257" s="100">
        <v>1</v>
      </c>
      <c r="V2257" s="100">
        <v>1</v>
      </c>
      <c r="W2257" s="100">
        <v>0</v>
      </c>
      <c r="X2257" s="100">
        <v>0</v>
      </c>
      <c r="Y2257" s="19">
        <v>0</v>
      </c>
      <c r="Z2257" s="100">
        <v>0</v>
      </c>
      <c r="AA2257" s="100">
        <v>0</v>
      </c>
      <c r="AB2257" s="100">
        <v>0</v>
      </c>
      <c r="AC2257" s="100">
        <v>0</v>
      </c>
      <c r="AD2257" s="100">
        <v>0</v>
      </c>
      <c r="AE2257" s="100">
        <v>1</v>
      </c>
      <c r="AF2257" s="100">
        <v>15</v>
      </c>
      <c r="AG2257" s="100">
        <v>1</v>
      </c>
      <c r="AH2257" s="100">
        <v>2</v>
      </c>
      <c r="AI2257" s="99">
        <v>1</v>
      </c>
      <c r="AJ2257" s="99">
        <v>0</v>
      </c>
      <c r="AK2257" s="99">
        <v>0</v>
      </c>
      <c r="AL2257" s="99">
        <v>0</v>
      </c>
      <c r="AM2257" s="100">
        <v>0</v>
      </c>
      <c r="AN2257" s="100">
        <v>0</v>
      </c>
      <c r="AO2257" s="100">
        <v>0</v>
      </c>
      <c r="AP2257" s="100">
        <v>0</v>
      </c>
      <c r="AQ2257" s="100">
        <v>2000</v>
      </c>
      <c r="AR2257" s="100">
        <v>0</v>
      </c>
      <c r="AS2257" s="100">
        <v>0</v>
      </c>
      <c r="AT2257" s="99">
        <v>90104051</v>
      </c>
      <c r="AU2257" s="118">
        <v>0</v>
      </c>
      <c r="AV2257" s="118"/>
      <c r="AW2257" s="104" t="s">
        <v>293</v>
      </c>
      <c r="AX2257" s="100">
        <v>0</v>
      </c>
      <c r="AY2257" s="107">
        <v>0</v>
      </c>
      <c r="AZ2257" s="107">
        <v>0</v>
      </c>
      <c r="BA2257" s="110" t="s">
        <v>534</v>
      </c>
      <c r="BB2257" s="100" t="s">
        <v>5289</v>
      </c>
      <c r="BC2257" s="105">
        <v>0</v>
      </c>
      <c r="BD2257" s="105">
        <v>0</v>
      </c>
      <c r="BE2257" s="111" t="s">
        <v>922</v>
      </c>
      <c r="BF2257" s="111" t="s">
        <v>923</v>
      </c>
      <c r="BG2257" s="100">
        <v>0</v>
      </c>
      <c r="BH2257" s="100">
        <v>0</v>
      </c>
      <c r="BI2257" s="100">
        <v>0</v>
      </c>
      <c r="BJ2257" s="100">
        <v>0</v>
      </c>
      <c r="BK2257" s="100">
        <v>0</v>
      </c>
      <c r="BL2257" s="100">
        <v>0</v>
      </c>
      <c r="BM2257" s="97">
        <v>0</v>
      </c>
      <c r="BN2257" s="99">
        <v>0</v>
      </c>
      <c r="BO2257" s="99">
        <v>0</v>
      </c>
      <c r="BP2257" s="99">
        <v>0</v>
      </c>
      <c r="BQ2257" s="99">
        <v>0</v>
      </c>
      <c r="BR2257" s="99">
        <v>0</v>
      </c>
      <c r="BS2257" s="99">
        <v>0</v>
      </c>
      <c r="BT2257" s="19">
        <v>0</v>
      </c>
      <c r="BU2257" s="23">
        <v>0</v>
      </c>
      <c r="BV2257" s="23"/>
      <c r="BW2257" s="23"/>
      <c r="BX2257" s="23"/>
      <c r="BY2257" s="23"/>
      <c r="BZ2257" s="23"/>
    </row>
    <row r="2258" spans="3:78" ht="20.100000000000001" customHeight="1">
      <c r="C2258" s="107">
        <v>90010912</v>
      </c>
      <c r="D2258" s="110" t="s">
        <v>568</v>
      </c>
      <c r="E2258" s="110" t="s">
        <v>569</v>
      </c>
      <c r="F2258" s="100">
        <v>1</v>
      </c>
      <c r="G2258" s="100">
        <v>61012201</v>
      </c>
      <c r="H2258" s="100">
        <v>0</v>
      </c>
      <c r="I2258" s="105">
        <v>0</v>
      </c>
      <c r="J2258" s="100">
        <v>3</v>
      </c>
      <c r="K2258" s="100">
        <v>0</v>
      </c>
      <c r="L2258" s="100">
        <v>0</v>
      </c>
      <c r="M2258" s="100">
        <v>0</v>
      </c>
      <c r="N2258" s="100">
        <v>0</v>
      </c>
      <c r="O2258" s="100">
        <v>2</v>
      </c>
      <c r="P2258" s="100">
        <v>2</v>
      </c>
      <c r="Q2258" s="100">
        <v>1</v>
      </c>
      <c r="R2258" s="100">
        <v>0</v>
      </c>
      <c r="S2258" s="99">
        <v>0</v>
      </c>
      <c r="T2258" s="100">
        <v>0</v>
      </c>
      <c r="U2258" s="100">
        <v>1</v>
      </c>
      <c r="V2258" s="100">
        <v>2</v>
      </c>
      <c r="W2258" s="100">
        <v>0</v>
      </c>
      <c r="X2258" s="100">
        <v>1.5</v>
      </c>
      <c r="Y2258" s="19">
        <v>0</v>
      </c>
      <c r="Z2258" s="100">
        <v>300</v>
      </c>
      <c r="AA2258" s="100">
        <v>1</v>
      </c>
      <c r="AB2258" s="100">
        <v>0</v>
      </c>
      <c r="AC2258" s="100">
        <v>0</v>
      </c>
      <c r="AD2258" s="100">
        <v>0</v>
      </c>
      <c r="AE2258" s="100">
        <v>0</v>
      </c>
      <c r="AF2258" s="100">
        <v>15</v>
      </c>
      <c r="AG2258" s="100">
        <v>1</v>
      </c>
      <c r="AH2258" s="100">
        <v>4</v>
      </c>
      <c r="AI2258" s="99">
        <v>2</v>
      </c>
      <c r="AJ2258" s="99">
        <v>0</v>
      </c>
      <c r="AK2258" s="99">
        <v>0</v>
      </c>
      <c r="AL2258" s="99">
        <v>0</v>
      </c>
      <c r="AM2258" s="100">
        <v>0</v>
      </c>
      <c r="AN2258" s="100">
        <v>0</v>
      </c>
      <c r="AO2258" s="100">
        <v>0</v>
      </c>
      <c r="AP2258" s="100">
        <v>0</v>
      </c>
      <c r="AQ2258" s="100">
        <v>60000</v>
      </c>
      <c r="AR2258" s="100">
        <v>0.1</v>
      </c>
      <c r="AS2258" s="100">
        <v>0</v>
      </c>
      <c r="AT2258" s="99">
        <v>0</v>
      </c>
      <c r="AU2258" s="340" t="s">
        <v>5290</v>
      </c>
      <c r="AV2258" s="100"/>
      <c r="AW2258" s="110" t="s">
        <v>768</v>
      </c>
      <c r="AX2258" s="100" t="s">
        <v>540</v>
      </c>
      <c r="AY2258" s="107">
        <v>10000001</v>
      </c>
      <c r="AZ2258" s="107">
        <v>62001701</v>
      </c>
      <c r="BA2258" s="110" t="s">
        <v>1171</v>
      </c>
      <c r="BB2258" s="100">
        <v>0</v>
      </c>
      <c r="BC2258" s="105">
        <v>0</v>
      </c>
      <c r="BD2258" s="105">
        <v>0</v>
      </c>
      <c r="BE2258" s="136" t="str">
        <f t="shared" ref="BE2258" si="158">"每秒对周围的怪物造成"&amp;X2258*100&amp;"%攻击伤害+"&amp;Z2258&amp;"点固定伤害.持续4秒并使自身免疫怪物攻击"</f>
        <v>每秒对周围的怪物造成150%攻击伤害+300点固定伤害.持续4秒并使自身免疫怪物攻击</v>
      </c>
      <c r="BF2258" s="136" t="s">
        <v>5291</v>
      </c>
      <c r="BG2258" s="100">
        <v>0</v>
      </c>
      <c r="BH2258" s="100">
        <v>0</v>
      </c>
      <c r="BI2258" s="100">
        <v>0</v>
      </c>
      <c r="BJ2258" s="100">
        <v>0</v>
      </c>
      <c r="BK2258" s="100">
        <v>0</v>
      </c>
      <c r="BL2258" s="100">
        <v>0</v>
      </c>
      <c r="BM2258" s="97">
        <v>0</v>
      </c>
      <c r="BN2258" s="99">
        <v>0</v>
      </c>
      <c r="BO2258" s="99">
        <v>0</v>
      </c>
      <c r="BP2258" s="99">
        <v>0</v>
      </c>
      <c r="BQ2258" s="99">
        <v>0</v>
      </c>
      <c r="BR2258" s="99">
        <v>0</v>
      </c>
      <c r="BS2258" s="99">
        <v>1</v>
      </c>
      <c r="BT2258" s="19">
        <v>0</v>
      </c>
      <c r="BU2258" s="23">
        <v>0</v>
      </c>
      <c r="BV2258" s="23"/>
      <c r="BW2258" s="23"/>
      <c r="BX2258" s="23"/>
      <c r="BY2258" s="23"/>
      <c r="BZ2258" s="23"/>
    </row>
    <row r="2259" spans="3:78" ht="20.100000000000001" customHeight="1">
      <c r="C2259" s="283">
        <v>90020002</v>
      </c>
      <c r="D2259" s="284" t="s">
        <v>5292</v>
      </c>
      <c r="E2259" s="284" t="s">
        <v>5293</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3</v>
      </c>
      <c r="AI2259" s="286">
        <v>2</v>
      </c>
      <c r="AJ2259" s="286">
        <v>1</v>
      </c>
      <c r="AK2259" s="286">
        <v>0</v>
      </c>
      <c r="AL2259" s="286">
        <v>6</v>
      </c>
      <c r="AM2259" s="283">
        <v>0</v>
      </c>
      <c r="AN2259" s="283">
        <v>0</v>
      </c>
      <c r="AO2259" s="283">
        <v>0</v>
      </c>
      <c r="AP2259" s="283">
        <v>0</v>
      </c>
      <c r="AQ2259" s="283">
        <v>5000</v>
      </c>
      <c r="AR2259" s="283">
        <v>0.2</v>
      </c>
      <c r="AS2259" s="283">
        <v>0</v>
      </c>
      <c r="AT2259" s="286">
        <v>0</v>
      </c>
      <c r="AU2259" s="283">
        <v>0</v>
      </c>
      <c r="AV2259" s="283"/>
      <c r="AW2259" s="284" t="s">
        <v>204</v>
      </c>
      <c r="AX2259" s="283" t="s">
        <v>1762</v>
      </c>
      <c r="AY2259" s="283">
        <v>10000006</v>
      </c>
      <c r="AZ2259" s="288">
        <v>91000307</v>
      </c>
      <c r="BA2259" s="284" t="s">
        <v>5294</v>
      </c>
      <c r="BB2259" s="284" t="s">
        <v>5295</v>
      </c>
      <c r="BC2259" s="285">
        <v>0</v>
      </c>
      <c r="BD2259" s="285">
        <v>0</v>
      </c>
      <c r="BE2259" s="289" t="s">
        <v>5296</v>
      </c>
      <c r="BF2259" s="289" t="s">
        <v>5297</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90020003</v>
      </c>
      <c r="D2260" s="284" t="s">
        <v>5298</v>
      </c>
      <c r="E2260" s="284" t="s">
        <v>5299</v>
      </c>
      <c r="F2260" s="283">
        <v>1</v>
      </c>
      <c r="G2260" s="283">
        <v>80003005</v>
      </c>
      <c r="H2260" s="283">
        <v>0</v>
      </c>
      <c r="I2260" s="285">
        <v>0</v>
      </c>
      <c r="J2260" s="283">
        <v>1</v>
      </c>
      <c r="K2260" s="283">
        <v>0</v>
      </c>
      <c r="L2260" s="283">
        <v>0</v>
      </c>
      <c r="M2260" s="283">
        <v>0</v>
      </c>
      <c r="N2260" s="283">
        <v>0</v>
      </c>
      <c r="O2260" s="283">
        <v>1</v>
      </c>
      <c r="P2260" s="283">
        <v>0</v>
      </c>
      <c r="Q2260" s="283">
        <v>0</v>
      </c>
      <c r="R2260" s="283">
        <v>0</v>
      </c>
      <c r="S2260" s="286">
        <v>0</v>
      </c>
      <c r="T2260" s="285">
        <v>0</v>
      </c>
      <c r="U2260" s="287">
        <v>1</v>
      </c>
      <c r="V2260" s="283">
        <v>1</v>
      </c>
      <c r="W2260" s="283">
        <v>0</v>
      </c>
      <c r="X2260" s="283">
        <v>1.5</v>
      </c>
      <c r="Y2260" s="19">
        <v>0</v>
      </c>
      <c r="Z2260" s="283">
        <v>0</v>
      </c>
      <c r="AA2260" s="283">
        <v>0</v>
      </c>
      <c r="AB2260" s="283">
        <v>0</v>
      </c>
      <c r="AC2260" s="283">
        <v>0</v>
      </c>
      <c r="AD2260" s="283">
        <v>1</v>
      </c>
      <c r="AE2260" s="283">
        <v>1</v>
      </c>
      <c r="AF2260" s="283">
        <v>5</v>
      </c>
      <c r="AG2260" s="283">
        <v>1</v>
      </c>
      <c r="AH2260" s="283">
        <v>10</v>
      </c>
      <c r="AI2260" s="286">
        <v>2</v>
      </c>
      <c r="AJ2260" s="286">
        <v>1</v>
      </c>
      <c r="AK2260" s="286">
        <v>0</v>
      </c>
      <c r="AL2260" s="286">
        <v>6</v>
      </c>
      <c r="AM2260" s="283">
        <v>0</v>
      </c>
      <c r="AN2260" s="283">
        <v>0</v>
      </c>
      <c r="AO2260" s="283">
        <v>0</v>
      </c>
      <c r="AP2260" s="283">
        <v>0</v>
      </c>
      <c r="AQ2260" s="283">
        <v>5000</v>
      </c>
      <c r="AR2260" s="283">
        <v>1</v>
      </c>
      <c r="AS2260" s="283">
        <v>0</v>
      </c>
      <c r="AT2260" s="286">
        <v>0</v>
      </c>
      <c r="AU2260" s="283">
        <v>0</v>
      </c>
      <c r="AV2260" s="283"/>
      <c r="AW2260" s="284" t="s">
        <v>204</v>
      </c>
      <c r="AX2260" s="283" t="s">
        <v>1762</v>
      </c>
      <c r="AY2260" s="283">
        <v>10000006</v>
      </c>
      <c r="AZ2260" s="288">
        <v>91000315</v>
      </c>
      <c r="BA2260" s="284" t="s">
        <v>5300</v>
      </c>
      <c r="BB2260" s="284" t="s">
        <v>204</v>
      </c>
      <c r="BC2260" s="285">
        <v>0</v>
      </c>
      <c r="BD2260" s="285">
        <v>0</v>
      </c>
      <c r="BE2260" s="289" t="s">
        <v>5301</v>
      </c>
      <c r="BF2260" s="289" t="s">
        <v>5302</v>
      </c>
      <c r="BG2260" s="283">
        <v>0</v>
      </c>
      <c r="BH2260" s="287">
        <v>0</v>
      </c>
      <c r="BI2260" s="283">
        <v>0</v>
      </c>
      <c r="BJ2260" s="283">
        <v>0</v>
      </c>
      <c r="BK2260" s="283">
        <v>0</v>
      </c>
      <c r="BL2260" s="283">
        <v>0</v>
      </c>
      <c r="BM2260" s="290">
        <v>0</v>
      </c>
      <c r="BN2260" s="286">
        <v>1</v>
      </c>
      <c r="BO2260" s="286">
        <v>0</v>
      </c>
      <c r="BP2260" s="286">
        <v>0</v>
      </c>
      <c r="BQ2260" s="286">
        <v>0</v>
      </c>
      <c r="BR2260" s="286">
        <v>0</v>
      </c>
      <c r="BS2260" s="286">
        <v>1</v>
      </c>
      <c r="BT2260" s="19">
        <v>0</v>
      </c>
      <c r="BU2260" s="23">
        <v>0</v>
      </c>
      <c r="BV2260" s="23"/>
      <c r="BW2260" s="23"/>
      <c r="BX2260" s="23"/>
      <c r="BY2260" s="23"/>
      <c r="BZ2260" s="23"/>
    </row>
    <row r="2261" spans="3:78" ht="20.100000000000001" customHeight="1">
      <c r="C2261" s="283">
        <v>90020004</v>
      </c>
      <c r="D2261" s="35" t="s">
        <v>5303</v>
      </c>
      <c r="E2261" s="35" t="s">
        <v>5304</v>
      </c>
      <c r="F2261" s="21">
        <v>1</v>
      </c>
      <c r="G2261" s="21">
        <v>60010300</v>
      </c>
      <c r="H2261" s="21">
        <v>0</v>
      </c>
      <c r="I2261" s="31">
        <v>0</v>
      </c>
      <c r="J2261" s="21">
        <v>1</v>
      </c>
      <c r="K2261" s="21">
        <v>0</v>
      </c>
      <c r="L2261" s="21">
        <v>0</v>
      </c>
      <c r="M2261" s="21">
        <v>0</v>
      </c>
      <c r="N2261" s="21">
        <v>0</v>
      </c>
      <c r="O2261" s="21">
        <v>2</v>
      </c>
      <c r="P2261" s="21">
        <v>1</v>
      </c>
      <c r="Q2261" s="21">
        <v>1</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0</v>
      </c>
      <c r="AU2261" s="21" t="s">
        <v>204</v>
      </c>
      <c r="AV2261" s="21"/>
      <c r="AW2261" s="30" t="s">
        <v>238</v>
      </c>
      <c r="AX2261" s="21" t="s">
        <v>239</v>
      </c>
      <c r="AY2261" s="32">
        <v>12000001</v>
      </c>
      <c r="AZ2261" s="26">
        <v>20100010</v>
      </c>
      <c r="BA2261" s="30" t="s">
        <v>5305</v>
      </c>
      <c r="BB2261" s="21" t="s">
        <v>5306</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83">
        <v>90020005</v>
      </c>
      <c r="D2262" s="35" t="s">
        <v>5307</v>
      </c>
      <c r="E2262" s="35" t="s">
        <v>5308</v>
      </c>
      <c r="F2262" s="21">
        <v>1</v>
      </c>
      <c r="G2262" s="21">
        <v>60010300</v>
      </c>
      <c r="H2262" s="21">
        <v>0</v>
      </c>
      <c r="I2262" s="31">
        <v>0</v>
      </c>
      <c r="J2262" s="21">
        <v>1</v>
      </c>
      <c r="K2262" s="21">
        <v>0</v>
      </c>
      <c r="L2262" s="21">
        <v>0</v>
      </c>
      <c r="M2262" s="21">
        <v>0</v>
      </c>
      <c r="N2262" s="21">
        <v>0</v>
      </c>
      <c r="O2262" s="21">
        <v>1</v>
      </c>
      <c r="P2262" s="21">
        <v>0</v>
      </c>
      <c r="Q2262" s="21">
        <v>0</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99004003</v>
      </c>
      <c r="AU2262" s="21" t="s">
        <v>204</v>
      </c>
      <c r="AV2262" s="21"/>
      <c r="AW2262" s="30" t="s">
        <v>238</v>
      </c>
      <c r="AX2262" s="21" t="s">
        <v>239</v>
      </c>
      <c r="AY2262" s="32">
        <v>0</v>
      </c>
      <c r="AZ2262" s="26">
        <v>0</v>
      </c>
      <c r="BA2262" s="30" t="s">
        <v>206</v>
      </c>
      <c r="BB2262" s="21">
        <v>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spans="3:78" ht="20.100000000000001" customHeight="1">
      <c r="C2263" s="291">
        <v>77001101</v>
      </c>
      <c r="D2263" s="292" t="s">
        <v>737</v>
      </c>
      <c r="E2263" s="292" t="s">
        <v>680</v>
      </c>
      <c r="F2263" s="90">
        <v>1</v>
      </c>
      <c r="G2263" s="72">
        <v>0</v>
      </c>
      <c r="H2263" s="90">
        <v>0</v>
      </c>
      <c r="I2263" s="90">
        <v>0</v>
      </c>
      <c r="J2263" s="90">
        <v>1</v>
      </c>
      <c r="K2263" s="90">
        <v>0</v>
      </c>
      <c r="L2263" s="127">
        <v>0</v>
      </c>
      <c r="M2263" s="127">
        <v>0</v>
      </c>
      <c r="N2263" s="90">
        <v>0</v>
      </c>
      <c r="O2263" s="90">
        <v>2</v>
      </c>
      <c r="P2263" s="90">
        <v>2</v>
      </c>
      <c r="Q2263" s="90">
        <v>0.6</v>
      </c>
      <c r="R2263" s="90">
        <v>0</v>
      </c>
      <c r="S2263" s="73">
        <v>0</v>
      </c>
      <c r="T2263" s="90">
        <v>0</v>
      </c>
      <c r="U2263" s="72">
        <v>1</v>
      </c>
      <c r="V2263" s="90">
        <v>1</v>
      </c>
      <c r="W2263" s="127">
        <v>0</v>
      </c>
      <c r="X2263" s="90">
        <v>3</v>
      </c>
      <c r="Y2263" s="19">
        <v>0</v>
      </c>
      <c r="Z2263" s="90">
        <v>0</v>
      </c>
      <c r="AA2263" s="90">
        <v>0</v>
      </c>
      <c r="AB2263" s="90">
        <v>0</v>
      </c>
      <c r="AC2263" s="127">
        <v>0</v>
      </c>
      <c r="AD2263" s="90">
        <v>0</v>
      </c>
      <c r="AE2263" s="90">
        <v>0</v>
      </c>
      <c r="AF2263" s="90">
        <v>20</v>
      </c>
      <c r="AG2263" s="90">
        <v>1</v>
      </c>
      <c r="AH2263" s="90">
        <v>5</v>
      </c>
      <c r="AI2263" s="128">
        <v>0</v>
      </c>
      <c r="AJ2263" s="128">
        <v>1</v>
      </c>
      <c r="AK2263" s="73">
        <v>0</v>
      </c>
      <c r="AL2263" s="90">
        <v>2.5</v>
      </c>
      <c r="AM2263" s="129">
        <v>0</v>
      </c>
      <c r="AN2263" s="90">
        <v>1</v>
      </c>
      <c r="AO2263" s="90">
        <v>0</v>
      </c>
      <c r="AP2263" s="90">
        <v>1</v>
      </c>
      <c r="AQ2263" s="90">
        <v>3000</v>
      </c>
      <c r="AR2263" s="90">
        <v>1</v>
      </c>
      <c r="AS2263" s="90">
        <v>0</v>
      </c>
      <c r="AT2263" s="342" t="s">
        <v>5309</v>
      </c>
      <c r="AU2263" s="334" t="s">
        <v>5310</v>
      </c>
      <c r="AV2263" s="93"/>
      <c r="AW2263" s="71" t="s">
        <v>293</v>
      </c>
      <c r="AX2263" s="127">
        <v>0</v>
      </c>
      <c r="AY2263" s="127">
        <v>0</v>
      </c>
      <c r="AZ2263" s="127">
        <v>77001101</v>
      </c>
      <c r="BA2263" s="88" t="s">
        <v>206</v>
      </c>
      <c r="BB2263" s="72">
        <v>0</v>
      </c>
      <c r="BC2263" s="75">
        <v>0</v>
      </c>
      <c r="BD2263" s="75">
        <v>0</v>
      </c>
      <c r="BE2263" s="293" t="s">
        <v>5311</v>
      </c>
      <c r="BF2263" s="293" t="s">
        <v>5312</v>
      </c>
      <c r="BG2263" s="90">
        <v>0</v>
      </c>
      <c r="BH2263" s="90">
        <v>0</v>
      </c>
      <c r="BI2263" s="74">
        <v>0</v>
      </c>
      <c r="BJ2263" s="90">
        <v>0</v>
      </c>
      <c r="BK2263" s="90">
        <v>0</v>
      </c>
      <c r="BL2263" s="129">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77001102</v>
      </c>
      <c r="D2264" s="71" t="s">
        <v>604</v>
      </c>
      <c r="E2264" s="160" t="s">
        <v>1168</v>
      </c>
      <c r="F2264" s="90">
        <v>1</v>
      </c>
      <c r="G2264" s="90">
        <v>0</v>
      </c>
      <c r="H2264" s="74">
        <v>0</v>
      </c>
      <c r="I2264" s="75">
        <v>0</v>
      </c>
      <c r="J2264" s="74">
        <v>1</v>
      </c>
      <c r="K2264" s="74">
        <v>0</v>
      </c>
      <c r="L2264" s="74">
        <v>0</v>
      </c>
      <c r="M2264" s="72">
        <v>0</v>
      </c>
      <c r="N2264" s="72">
        <v>0</v>
      </c>
      <c r="O2264" s="72">
        <v>2</v>
      </c>
      <c r="P2264" s="72">
        <v>16</v>
      </c>
      <c r="Q2264" s="72">
        <v>5</v>
      </c>
      <c r="R2264" s="72">
        <v>0</v>
      </c>
      <c r="S2264" s="73">
        <v>0</v>
      </c>
      <c r="T2264" s="72">
        <v>0</v>
      </c>
      <c r="U2264" s="72">
        <v>1</v>
      </c>
      <c r="V2264" s="72">
        <v>2</v>
      </c>
      <c r="W2264" s="72">
        <v>0</v>
      </c>
      <c r="X2264" s="72">
        <v>1.5</v>
      </c>
      <c r="Y2264" s="19">
        <v>0</v>
      </c>
      <c r="Z2264" s="72">
        <v>0</v>
      </c>
      <c r="AA2264" s="72">
        <v>0</v>
      </c>
      <c r="AB2264" s="72">
        <v>0</v>
      </c>
      <c r="AC2264" s="72">
        <v>0</v>
      </c>
      <c r="AD2264" s="72">
        <v>0</v>
      </c>
      <c r="AE2264" s="72">
        <v>0</v>
      </c>
      <c r="AF2264" s="72">
        <v>0</v>
      </c>
      <c r="AG2264" s="72">
        <v>2</v>
      </c>
      <c r="AH2264" s="72" t="s">
        <v>219</v>
      </c>
      <c r="AI2264" s="73">
        <v>0</v>
      </c>
      <c r="AJ2264" s="73">
        <v>2</v>
      </c>
      <c r="AK2264" s="73">
        <v>0</v>
      </c>
      <c r="AL2264" s="73">
        <v>1.5</v>
      </c>
      <c r="AM2264" s="72">
        <v>0</v>
      </c>
      <c r="AN2264" s="72">
        <v>0</v>
      </c>
      <c r="AO2264" s="72">
        <v>0</v>
      </c>
      <c r="AP2264" s="72">
        <v>1</v>
      </c>
      <c r="AQ2264" s="72">
        <v>2000</v>
      </c>
      <c r="AR2264" s="72">
        <v>1</v>
      </c>
      <c r="AS2264" s="72">
        <v>0</v>
      </c>
      <c r="AT2264" s="73">
        <v>0</v>
      </c>
      <c r="AU2264" s="334" t="s">
        <v>5310</v>
      </c>
      <c r="AV2264" s="93"/>
      <c r="AW2264" s="88" t="s">
        <v>205</v>
      </c>
      <c r="AX2264" s="72" t="s">
        <v>551</v>
      </c>
      <c r="AY2264" s="74">
        <v>10001007</v>
      </c>
      <c r="AZ2264" s="74">
        <v>77001104</v>
      </c>
      <c r="BA2264" s="71" t="s">
        <v>206</v>
      </c>
      <c r="BB2264" s="72">
        <v>0</v>
      </c>
      <c r="BC2264" s="75">
        <v>0</v>
      </c>
      <c r="BD2264" s="75">
        <v>0</v>
      </c>
      <c r="BE2264" s="76" t="s">
        <v>5313</v>
      </c>
      <c r="BF2264" s="76" t="s">
        <v>5314</v>
      </c>
      <c r="BG2264" s="72">
        <v>0</v>
      </c>
      <c r="BH2264" s="72">
        <v>0</v>
      </c>
      <c r="BI2264" s="72">
        <v>0</v>
      </c>
      <c r="BJ2264" s="72">
        <v>0</v>
      </c>
      <c r="BK2264" s="72">
        <v>0</v>
      </c>
      <c r="BL2264" s="72">
        <v>0</v>
      </c>
      <c r="BM2264" s="90">
        <v>0</v>
      </c>
      <c r="BN2264" s="73">
        <v>0</v>
      </c>
      <c r="BO2264" s="73">
        <v>0</v>
      </c>
      <c r="BP2264" s="73">
        <v>0</v>
      </c>
      <c r="BQ2264" s="73">
        <v>0</v>
      </c>
      <c r="BR2264" s="73">
        <v>0</v>
      </c>
      <c r="BS2264" s="73">
        <v>0</v>
      </c>
      <c r="BT2264" s="73">
        <v>0</v>
      </c>
      <c r="BU2264" s="23">
        <v>0</v>
      </c>
      <c r="BV2264" s="23"/>
      <c r="BW2264" s="23"/>
      <c r="BX2264" s="23"/>
      <c r="BY2264" s="23"/>
      <c r="BZ2264" s="23"/>
    </row>
    <row r="2265" spans="3:78" ht="20.100000000000001" customHeight="1">
      <c r="C2265" s="291">
        <v>77001103</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0.3</v>
      </c>
      <c r="AQ2265" s="72">
        <v>2000</v>
      </c>
      <c r="AR2265" s="72">
        <v>0.3</v>
      </c>
      <c r="AS2265" s="72">
        <v>0</v>
      </c>
      <c r="AT2265" s="73">
        <v>0</v>
      </c>
      <c r="AU2265" s="334" t="s">
        <v>5315</v>
      </c>
      <c r="AV2265" s="93"/>
      <c r="AW2265" s="88" t="s">
        <v>205</v>
      </c>
      <c r="AX2265" s="72" t="s">
        <v>551</v>
      </c>
      <c r="AY2265" s="74">
        <v>10001007</v>
      </c>
      <c r="AZ2265" s="74">
        <v>77001103</v>
      </c>
      <c r="BA2265" s="71" t="s">
        <v>206</v>
      </c>
      <c r="BB2265" s="72">
        <v>0</v>
      </c>
      <c r="BC2265" s="75">
        <v>0</v>
      </c>
      <c r="BD2265" s="75">
        <v>0</v>
      </c>
      <c r="BE2265" s="76" t="s">
        <v>5316</v>
      </c>
      <c r="BF2265" s="76" t="s">
        <v>5317</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77001104</v>
      </c>
      <c r="BU2265" s="23">
        <v>0</v>
      </c>
      <c r="BV2265" s="23"/>
      <c r="BW2265" s="23"/>
      <c r="BX2265" s="23"/>
      <c r="BY2265" s="23"/>
      <c r="BZ2265" s="23"/>
    </row>
    <row r="2266" spans="3:78" ht="20.100000000000001" customHeight="1">
      <c r="C2266" s="291">
        <v>77001104</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v>
      </c>
      <c r="AQ2266" s="72">
        <v>2000</v>
      </c>
      <c r="AR2266" s="72">
        <v>0.3</v>
      </c>
      <c r="AS2266" s="72">
        <v>0</v>
      </c>
      <c r="AT2266" s="73">
        <v>0</v>
      </c>
      <c r="AU2266" s="334" t="s">
        <v>5315</v>
      </c>
      <c r="AV2266" s="93"/>
      <c r="AW2266" s="88" t="s">
        <v>204</v>
      </c>
      <c r="AX2266" s="72" t="s">
        <v>551</v>
      </c>
      <c r="AY2266" s="74">
        <v>10001007</v>
      </c>
      <c r="AZ2266" s="74">
        <v>77001103</v>
      </c>
      <c r="BA2266" s="71" t="s">
        <v>206</v>
      </c>
      <c r="BB2266" s="72">
        <v>0</v>
      </c>
      <c r="BC2266" s="75">
        <v>0</v>
      </c>
      <c r="BD2266" s="75">
        <v>0</v>
      </c>
      <c r="BE2266" s="76" t="s">
        <v>5318</v>
      </c>
      <c r="BF2266" s="76" t="s">
        <v>5319</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77001105</v>
      </c>
      <c r="BU2266" s="23">
        <v>0</v>
      </c>
      <c r="BV2266" s="23"/>
      <c r="BW2266" s="23"/>
      <c r="BX2266" s="23"/>
      <c r="BY2266" s="23"/>
      <c r="BZ2266" s="23"/>
    </row>
    <row r="2267" spans="3:78" ht="20.100000000000001" customHeight="1">
      <c r="C2267" s="291">
        <v>77001105</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34" t="s">
        <v>5315</v>
      </c>
      <c r="AV2267" s="93"/>
      <c r="AW2267" s="88" t="s">
        <v>204</v>
      </c>
      <c r="AX2267" s="72" t="s">
        <v>551</v>
      </c>
      <c r="AY2267" s="74">
        <v>10001007</v>
      </c>
      <c r="AZ2267" s="74">
        <v>77001103</v>
      </c>
      <c r="BA2267" s="71" t="s">
        <v>206</v>
      </c>
      <c r="BB2267" s="72">
        <v>0</v>
      </c>
      <c r="BC2267" s="75">
        <v>0</v>
      </c>
      <c r="BD2267" s="75">
        <v>0</v>
      </c>
      <c r="BE2267" s="76" t="s">
        <v>5318</v>
      </c>
      <c r="BF2267" s="76" t="s">
        <v>5319</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77001106</v>
      </c>
      <c r="BU2267" s="23">
        <v>0</v>
      </c>
      <c r="BV2267" s="23"/>
      <c r="BW2267" s="23"/>
      <c r="BX2267" s="23"/>
      <c r="BY2267" s="23"/>
      <c r="BZ2267" s="23"/>
    </row>
    <row r="2268" spans="3:78" ht="19.5" customHeight="1">
      <c r="C2268" s="291">
        <v>77001106</v>
      </c>
      <c r="D2268" s="71" t="s">
        <v>604</v>
      </c>
      <c r="E2268" s="160" t="s">
        <v>1168</v>
      </c>
      <c r="F2268" s="90">
        <v>1</v>
      </c>
      <c r="G2268" s="90">
        <v>0</v>
      </c>
      <c r="H2268" s="74">
        <v>0</v>
      </c>
      <c r="I2268" s="75">
        <v>0</v>
      </c>
      <c r="J2268" s="74">
        <v>1</v>
      </c>
      <c r="K2268" s="74">
        <v>0</v>
      </c>
      <c r="L2268" s="74">
        <v>0</v>
      </c>
      <c r="M2268" s="72">
        <v>0</v>
      </c>
      <c r="N2268" s="72">
        <v>0</v>
      </c>
      <c r="O2268" s="72">
        <v>2</v>
      </c>
      <c r="P2268" s="72">
        <v>16</v>
      </c>
      <c r="Q2268" s="72">
        <v>5</v>
      </c>
      <c r="R2268" s="72">
        <v>0</v>
      </c>
      <c r="S2268" s="73">
        <v>0</v>
      </c>
      <c r="T2268" s="72">
        <v>0</v>
      </c>
      <c r="U2268" s="72">
        <v>1</v>
      </c>
      <c r="V2268" s="72">
        <v>2</v>
      </c>
      <c r="W2268" s="72">
        <v>0</v>
      </c>
      <c r="X2268" s="72">
        <v>2</v>
      </c>
      <c r="Y2268" s="19">
        <v>0</v>
      </c>
      <c r="Z2268" s="72">
        <v>0</v>
      </c>
      <c r="AA2268" s="72">
        <v>0</v>
      </c>
      <c r="AB2268" s="72">
        <v>0</v>
      </c>
      <c r="AC2268" s="72">
        <v>0</v>
      </c>
      <c r="AD2268" s="72">
        <v>0</v>
      </c>
      <c r="AE2268" s="72">
        <v>0</v>
      </c>
      <c r="AF2268" s="72">
        <v>0</v>
      </c>
      <c r="AG2268" s="72">
        <v>2</v>
      </c>
      <c r="AH2268" s="72" t="s">
        <v>219</v>
      </c>
      <c r="AI2268" s="73">
        <v>0</v>
      </c>
      <c r="AJ2268" s="73">
        <v>2</v>
      </c>
      <c r="AK2268" s="73">
        <v>0</v>
      </c>
      <c r="AL2268" s="73">
        <v>1.5</v>
      </c>
      <c r="AM2268" s="72">
        <v>0</v>
      </c>
      <c r="AN2268" s="72">
        <v>0</v>
      </c>
      <c r="AO2268" s="72">
        <v>0</v>
      </c>
      <c r="AP2268" s="72">
        <v>0.5</v>
      </c>
      <c r="AQ2268" s="72">
        <v>2000</v>
      </c>
      <c r="AR2268" s="72">
        <v>0.5</v>
      </c>
      <c r="AS2268" s="72">
        <v>0</v>
      </c>
      <c r="AT2268" s="73">
        <v>0</v>
      </c>
      <c r="AU2268" s="334" t="s">
        <v>5310</v>
      </c>
      <c r="AV2268" s="93"/>
      <c r="AW2268" s="88" t="s">
        <v>204</v>
      </c>
      <c r="AX2268" s="72" t="s">
        <v>551</v>
      </c>
      <c r="AY2268" s="74">
        <v>10001007</v>
      </c>
      <c r="AZ2268" s="74">
        <v>77001105</v>
      </c>
      <c r="BA2268" s="71" t="s">
        <v>206</v>
      </c>
      <c r="BB2268" s="72">
        <v>0</v>
      </c>
      <c r="BC2268" s="75">
        <v>0</v>
      </c>
      <c r="BD2268" s="75">
        <v>0</v>
      </c>
      <c r="BE2268" s="76" t="s">
        <v>5318</v>
      </c>
      <c r="BF2268" s="76" t="s">
        <v>5319</v>
      </c>
      <c r="BG2268" s="72">
        <v>0</v>
      </c>
      <c r="BH2268" s="72">
        <v>0</v>
      </c>
      <c r="BI2268" s="72">
        <v>0</v>
      </c>
      <c r="BJ2268" s="72">
        <v>0</v>
      </c>
      <c r="BK2268" s="72">
        <v>0</v>
      </c>
      <c r="BL2268" s="72">
        <v>0</v>
      </c>
      <c r="BM2268" s="90">
        <v>0</v>
      </c>
      <c r="BN2268" s="73">
        <v>0</v>
      </c>
      <c r="BO2268" s="73">
        <v>0</v>
      </c>
      <c r="BP2268" s="73">
        <v>0</v>
      </c>
      <c r="BQ2268" s="73">
        <v>0</v>
      </c>
      <c r="BR2268" s="73">
        <v>0</v>
      </c>
      <c r="BS2268" s="73">
        <v>0</v>
      </c>
      <c r="BT2268" s="73">
        <v>0</v>
      </c>
      <c r="BU2268" s="23">
        <v>0</v>
      </c>
      <c r="BV2268" s="23"/>
      <c r="BW2268" s="23"/>
      <c r="BX2268" s="23"/>
      <c r="BY2268" s="23"/>
      <c r="BZ2268" s="23"/>
    </row>
    <row r="2269" spans="3:78" ht="19.5" customHeight="1">
      <c r="C2269" s="294">
        <v>77001201</v>
      </c>
      <c r="D2269" s="295" t="s">
        <v>5320</v>
      </c>
      <c r="E2269" s="295" t="s">
        <v>5321</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2</v>
      </c>
      <c r="Y2269" s="19">
        <v>0</v>
      </c>
      <c r="Z2269" s="296">
        <v>0</v>
      </c>
      <c r="AA2269" s="296">
        <v>1</v>
      </c>
      <c r="AB2269" s="296">
        <v>0</v>
      </c>
      <c r="AC2269" s="296">
        <v>0</v>
      </c>
      <c r="AD2269" s="296">
        <v>0</v>
      </c>
      <c r="AE2269" s="296">
        <v>1</v>
      </c>
      <c r="AF2269" s="296">
        <v>15</v>
      </c>
      <c r="AG2269" s="296">
        <v>1</v>
      </c>
      <c r="AH2269" s="296">
        <v>4</v>
      </c>
      <c r="AI2269" s="298">
        <v>0</v>
      </c>
      <c r="AJ2269" s="298">
        <v>1</v>
      </c>
      <c r="AK2269" s="298">
        <v>0</v>
      </c>
      <c r="AL2269" s="298">
        <v>3</v>
      </c>
      <c r="AM2269" s="296">
        <v>0</v>
      </c>
      <c r="AN2269" s="296">
        <v>0</v>
      </c>
      <c r="AO2269" s="296">
        <v>0</v>
      </c>
      <c r="AP2269" s="296">
        <v>1.2</v>
      </c>
      <c r="AQ2269" s="296">
        <v>2000</v>
      </c>
      <c r="AR2269" s="296">
        <v>1.2</v>
      </c>
      <c r="AS2269" s="296">
        <v>0</v>
      </c>
      <c r="AT2269" s="298">
        <v>97002003</v>
      </c>
      <c r="AU2269" s="296">
        <v>0</v>
      </c>
      <c r="AV2269" s="296"/>
      <c r="AW2269" s="299" t="s">
        <v>205</v>
      </c>
      <c r="AX2269" s="296" t="s">
        <v>540</v>
      </c>
      <c r="AY2269" s="294">
        <v>0</v>
      </c>
      <c r="AZ2269" s="294">
        <v>77001201</v>
      </c>
      <c r="BA2269" s="295" t="s">
        <v>206</v>
      </c>
      <c r="BB2269" s="296">
        <v>0</v>
      </c>
      <c r="BC2269" s="297">
        <v>0</v>
      </c>
      <c r="BD2269" s="297">
        <v>0</v>
      </c>
      <c r="BE2269" s="300" t="s">
        <v>5322</v>
      </c>
      <c r="BF2269" s="300" t="s">
        <v>5323</v>
      </c>
      <c r="BG2269" s="296">
        <v>0</v>
      </c>
      <c r="BH2269" s="296">
        <v>0</v>
      </c>
      <c r="BI2269" s="296">
        <v>0</v>
      </c>
      <c r="BJ2269" s="296">
        <v>0</v>
      </c>
      <c r="BK2269" s="296">
        <v>0</v>
      </c>
      <c r="BL2269" s="296">
        <v>0</v>
      </c>
      <c r="BM2269" s="301">
        <v>0</v>
      </c>
      <c r="BN2269" s="298">
        <v>0</v>
      </c>
      <c r="BO2269" s="298">
        <v>0</v>
      </c>
      <c r="BP2269" s="298">
        <v>0</v>
      </c>
      <c r="BQ2269" s="298">
        <v>0</v>
      </c>
      <c r="BR2269" s="298">
        <v>0</v>
      </c>
      <c r="BS2269" s="298">
        <v>0</v>
      </c>
      <c r="BT2269" s="298">
        <v>0</v>
      </c>
      <c r="BU2269" s="23">
        <v>0</v>
      </c>
      <c r="BV2269" s="23"/>
      <c r="BW2269" s="23"/>
      <c r="BX2269" s="23"/>
      <c r="BY2269" s="23"/>
      <c r="BZ2269" s="23"/>
    </row>
    <row r="2270" spans="3:78" ht="19.5" customHeight="1">
      <c r="C2270" s="294">
        <v>77001202</v>
      </c>
      <c r="D2270" s="295" t="s">
        <v>5324</v>
      </c>
      <c r="E2270" s="295" t="s">
        <v>680</v>
      </c>
      <c r="F2270" s="294">
        <v>1</v>
      </c>
      <c r="G2270" s="296">
        <v>0</v>
      </c>
      <c r="H2270" s="294">
        <v>0</v>
      </c>
      <c r="I2270" s="297">
        <v>0</v>
      </c>
      <c r="J2270" s="294">
        <v>1</v>
      </c>
      <c r="K2270" s="294">
        <v>0</v>
      </c>
      <c r="L2270" s="294">
        <v>0</v>
      </c>
      <c r="M2270" s="296">
        <v>0</v>
      </c>
      <c r="N2270" s="296">
        <v>0</v>
      </c>
      <c r="O2270" s="296">
        <v>2</v>
      </c>
      <c r="P2270" s="296">
        <v>3</v>
      </c>
      <c r="Q2270" s="296">
        <v>0.15</v>
      </c>
      <c r="R2270" s="296">
        <v>0</v>
      </c>
      <c r="S2270" s="298">
        <v>0</v>
      </c>
      <c r="T2270" s="296">
        <v>0</v>
      </c>
      <c r="U2270" s="296">
        <v>1</v>
      </c>
      <c r="V2270" s="296">
        <v>1</v>
      </c>
      <c r="W2270" s="296">
        <v>0</v>
      </c>
      <c r="X2270" s="296">
        <v>0.5</v>
      </c>
      <c r="Y2270" s="19">
        <v>0</v>
      </c>
      <c r="Z2270" s="296">
        <v>0</v>
      </c>
      <c r="AA2270" s="296">
        <v>1</v>
      </c>
      <c r="AB2270" s="296">
        <v>0</v>
      </c>
      <c r="AC2270" s="296">
        <v>0</v>
      </c>
      <c r="AD2270" s="296">
        <v>0</v>
      </c>
      <c r="AE2270" s="296">
        <v>1</v>
      </c>
      <c r="AF2270" s="296">
        <v>0</v>
      </c>
      <c r="AG2270" s="296">
        <v>1</v>
      </c>
      <c r="AH2270" s="296">
        <v>5</v>
      </c>
      <c r="AI2270" s="298">
        <v>0</v>
      </c>
      <c r="AJ2270" s="298">
        <v>1</v>
      </c>
      <c r="AK2270" s="298">
        <v>0</v>
      </c>
      <c r="AL2270" s="298">
        <v>3</v>
      </c>
      <c r="AM2270" s="296">
        <v>0</v>
      </c>
      <c r="AN2270" s="296">
        <v>0</v>
      </c>
      <c r="AO2270" s="296">
        <v>0</v>
      </c>
      <c r="AP2270" s="296">
        <v>0</v>
      </c>
      <c r="AQ2270" s="296">
        <v>1000</v>
      </c>
      <c r="AR2270" s="296">
        <v>0.2</v>
      </c>
      <c r="AS2270" s="296">
        <v>0</v>
      </c>
      <c r="AT2270" s="298">
        <v>0</v>
      </c>
      <c r="AU2270" s="371" t="s">
        <v>5325</v>
      </c>
      <c r="AV2270" s="302"/>
      <c r="AW2270" s="299" t="s">
        <v>204</v>
      </c>
      <c r="AX2270" s="296" t="s">
        <v>540</v>
      </c>
      <c r="AY2270" s="294">
        <v>0</v>
      </c>
      <c r="AZ2270" s="294">
        <v>77001202</v>
      </c>
      <c r="BA2270" s="295" t="s">
        <v>206</v>
      </c>
      <c r="BB2270" s="296">
        <v>0</v>
      </c>
      <c r="BC2270" s="297">
        <v>0</v>
      </c>
      <c r="BD2270" s="297">
        <v>0</v>
      </c>
      <c r="BE2270" s="300" t="s">
        <v>5326</v>
      </c>
      <c r="BF2270" s="300" t="s">
        <v>5327</v>
      </c>
      <c r="BG2270" s="296">
        <v>0</v>
      </c>
      <c r="BH2270" s="296">
        <v>0</v>
      </c>
      <c r="BI2270" s="296">
        <v>0</v>
      </c>
      <c r="BJ2270" s="296">
        <v>0</v>
      </c>
      <c r="BK2270" s="296">
        <v>0</v>
      </c>
      <c r="BL2270" s="296">
        <v>0</v>
      </c>
      <c r="BM2270" s="301">
        <v>0</v>
      </c>
      <c r="BN2270" s="298">
        <v>0</v>
      </c>
      <c r="BO2270" s="298">
        <v>0</v>
      </c>
      <c r="BP2270" s="298">
        <v>0</v>
      </c>
      <c r="BQ2270" s="298">
        <v>0</v>
      </c>
      <c r="BR2270" s="298">
        <v>0</v>
      </c>
      <c r="BS2270" s="298">
        <v>1</v>
      </c>
      <c r="BT2270" s="298">
        <v>0</v>
      </c>
      <c r="BU2270" s="23">
        <v>0</v>
      </c>
      <c r="BV2270" s="23"/>
      <c r="BW2270" s="23"/>
      <c r="BX2270" s="23"/>
      <c r="BY2270" s="23"/>
      <c r="BZ2270" s="23"/>
    </row>
    <row r="2271" spans="3:78" ht="19.5" customHeight="1">
      <c r="C2271" s="294">
        <v>77001203</v>
      </c>
      <c r="D2271" s="295" t="s">
        <v>5328</v>
      </c>
      <c r="E2271" s="295" t="s">
        <v>5329</v>
      </c>
      <c r="F2271" s="294">
        <v>1</v>
      </c>
      <c r="G2271" s="296">
        <v>0</v>
      </c>
      <c r="H2271" s="294">
        <v>0</v>
      </c>
      <c r="I2271" s="297">
        <v>0</v>
      </c>
      <c r="J2271" s="294">
        <v>1</v>
      </c>
      <c r="K2271" s="294">
        <v>0</v>
      </c>
      <c r="L2271" s="294">
        <v>0</v>
      </c>
      <c r="M2271" s="296">
        <v>0</v>
      </c>
      <c r="N2271" s="296">
        <v>0</v>
      </c>
      <c r="O2271" s="296">
        <v>2</v>
      </c>
      <c r="P2271" s="296">
        <v>3</v>
      </c>
      <c r="Q2271" s="296">
        <v>0.1</v>
      </c>
      <c r="R2271" s="296">
        <v>0</v>
      </c>
      <c r="S2271" s="298">
        <v>0</v>
      </c>
      <c r="T2271" s="296">
        <v>0</v>
      </c>
      <c r="U2271" s="296">
        <v>1</v>
      </c>
      <c r="V2271" s="296">
        <v>1</v>
      </c>
      <c r="W2271" s="296">
        <v>0</v>
      </c>
      <c r="X2271" s="296">
        <v>3</v>
      </c>
      <c r="Y2271" s="19">
        <v>0</v>
      </c>
      <c r="Z2271" s="296">
        <v>0</v>
      </c>
      <c r="AA2271" s="296">
        <v>1</v>
      </c>
      <c r="AB2271" s="296">
        <v>0</v>
      </c>
      <c r="AC2271" s="296">
        <v>0</v>
      </c>
      <c r="AD2271" s="296">
        <v>0</v>
      </c>
      <c r="AE2271" s="296">
        <v>1</v>
      </c>
      <c r="AF2271" s="296">
        <v>5</v>
      </c>
      <c r="AG2271" s="296">
        <v>1</v>
      </c>
      <c r="AH2271" s="296">
        <v>6</v>
      </c>
      <c r="AI2271" s="298">
        <v>1</v>
      </c>
      <c r="AJ2271" s="298">
        <v>1</v>
      </c>
      <c r="AK2271" s="298">
        <v>0</v>
      </c>
      <c r="AL2271" s="298">
        <v>3</v>
      </c>
      <c r="AM2271" s="296">
        <v>0</v>
      </c>
      <c r="AN2271" s="296">
        <v>0</v>
      </c>
      <c r="AO2271" s="296">
        <v>0</v>
      </c>
      <c r="AP2271" s="296">
        <v>1.8</v>
      </c>
      <c r="AQ2271" s="296">
        <v>2000</v>
      </c>
      <c r="AR2271" s="296">
        <v>2</v>
      </c>
      <c r="AS2271" s="296">
        <v>0</v>
      </c>
      <c r="AT2271" s="298">
        <v>0</v>
      </c>
      <c r="AU2271" s="296">
        <v>97002001</v>
      </c>
      <c r="AV2271" s="296"/>
      <c r="AW2271" s="299" t="s">
        <v>205</v>
      </c>
      <c r="AX2271" s="296" t="s">
        <v>540</v>
      </c>
      <c r="AY2271" s="294">
        <v>0</v>
      </c>
      <c r="AZ2271" s="294">
        <v>77001203</v>
      </c>
      <c r="BA2271" s="295" t="s">
        <v>777</v>
      </c>
      <c r="BB2271" s="296">
        <v>0</v>
      </c>
      <c r="BC2271" s="297">
        <v>0</v>
      </c>
      <c r="BD2271" s="297">
        <v>0</v>
      </c>
      <c r="BE2271" s="300" t="s">
        <v>5330</v>
      </c>
      <c r="BF2271" s="300" t="s">
        <v>5331</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77001208</v>
      </c>
      <c r="BU2271" s="23">
        <v>0</v>
      </c>
      <c r="BV2271" s="23"/>
      <c r="BW2271" s="23"/>
      <c r="BX2271" s="23"/>
      <c r="BY2271" s="23"/>
      <c r="BZ2271" s="23"/>
    </row>
    <row r="2272" spans="3:78" ht="20.100000000000001" customHeight="1">
      <c r="C2272" s="294">
        <v>77001204</v>
      </c>
      <c r="D2272" s="295" t="s">
        <v>5332</v>
      </c>
      <c r="E2272" s="295" t="s">
        <v>5333</v>
      </c>
      <c r="F2272" s="296">
        <v>1</v>
      </c>
      <c r="G2272" s="296">
        <v>0</v>
      </c>
      <c r="H2272" s="294">
        <v>0</v>
      </c>
      <c r="I2272" s="297">
        <v>0</v>
      </c>
      <c r="J2272" s="294">
        <v>1</v>
      </c>
      <c r="K2272" s="294">
        <v>0</v>
      </c>
      <c r="L2272" s="294">
        <v>0</v>
      </c>
      <c r="M2272" s="296">
        <v>0</v>
      </c>
      <c r="N2272" s="296">
        <v>0</v>
      </c>
      <c r="O2272" s="296">
        <v>2</v>
      </c>
      <c r="P2272" s="296">
        <v>1</v>
      </c>
      <c r="Q2272" s="296">
        <v>0.3</v>
      </c>
      <c r="R2272" s="296">
        <v>0</v>
      </c>
      <c r="S2272" s="298">
        <v>3</v>
      </c>
      <c r="T2272" s="296">
        <v>0</v>
      </c>
      <c r="U2272" s="296">
        <v>1</v>
      </c>
      <c r="V2272" s="296">
        <v>2</v>
      </c>
      <c r="W2272" s="296">
        <v>0</v>
      </c>
      <c r="X2272" s="296">
        <v>1</v>
      </c>
      <c r="Y2272" s="19">
        <v>0</v>
      </c>
      <c r="Z2272" s="296">
        <v>0</v>
      </c>
      <c r="AA2272" s="296">
        <v>0</v>
      </c>
      <c r="AB2272" s="296">
        <v>0</v>
      </c>
      <c r="AC2272" s="296">
        <v>0</v>
      </c>
      <c r="AD2272" s="296">
        <v>0</v>
      </c>
      <c r="AE2272" s="296">
        <v>0</v>
      </c>
      <c r="AF2272" s="296">
        <v>12</v>
      </c>
      <c r="AG2272" s="296">
        <v>1</v>
      </c>
      <c r="AH2272" s="296">
        <v>3</v>
      </c>
      <c r="AI2272" s="298">
        <v>6</v>
      </c>
      <c r="AJ2272" s="298">
        <v>1</v>
      </c>
      <c r="AK2272" s="298">
        <v>0</v>
      </c>
      <c r="AL2272" s="298">
        <v>1.5</v>
      </c>
      <c r="AM2272" s="296">
        <v>0</v>
      </c>
      <c r="AN2272" s="296">
        <v>0</v>
      </c>
      <c r="AO2272" s="296">
        <v>0</v>
      </c>
      <c r="AP2272" s="296">
        <v>0.5</v>
      </c>
      <c r="AQ2272" s="296">
        <v>5000</v>
      </c>
      <c r="AR2272" s="296">
        <v>1</v>
      </c>
      <c r="AS2272" s="296">
        <v>0</v>
      </c>
      <c r="AT2272" s="298">
        <v>0</v>
      </c>
      <c r="AU2272" s="296">
        <v>97002002</v>
      </c>
      <c r="AV2272" s="296"/>
      <c r="AW2272" s="299" t="s">
        <v>205</v>
      </c>
      <c r="AX2272" s="296" t="s">
        <v>540</v>
      </c>
      <c r="AY2272" s="294">
        <v>10000007</v>
      </c>
      <c r="AZ2272" s="372" t="s">
        <v>5334</v>
      </c>
      <c r="BA2272" s="295" t="s">
        <v>206</v>
      </c>
      <c r="BB2272" s="296" t="s">
        <v>5335</v>
      </c>
      <c r="BC2272" s="297">
        <v>0</v>
      </c>
      <c r="BD2272" s="297">
        <v>0</v>
      </c>
      <c r="BE2272" s="300" t="s">
        <v>5336</v>
      </c>
      <c r="BF2272" s="300" t="s">
        <v>5337</v>
      </c>
      <c r="BG2272" s="296">
        <v>0</v>
      </c>
      <c r="BH2272" s="296">
        <v>0</v>
      </c>
      <c r="BI2272" s="296">
        <v>0</v>
      </c>
      <c r="BJ2272" s="296">
        <v>0</v>
      </c>
      <c r="BK2272" s="296">
        <v>0</v>
      </c>
      <c r="BL2272" s="296">
        <v>0</v>
      </c>
      <c r="BM2272" s="301">
        <v>0</v>
      </c>
      <c r="BN2272" s="298">
        <v>0</v>
      </c>
      <c r="BO2272" s="298">
        <v>0</v>
      </c>
      <c r="BP2272" s="298">
        <v>0</v>
      </c>
      <c r="BQ2272" s="298">
        <v>0</v>
      </c>
      <c r="BR2272" s="298">
        <v>0</v>
      </c>
      <c r="BS2272" s="298">
        <v>0</v>
      </c>
      <c r="BT2272" s="298">
        <v>0</v>
      </c>
      <c r="BU2272" s="23">
        <v>0</v>
      </c>
      <c r="BV2272" s="23"/>
      <c r="BW2272" s="23"/>
      <c r="BX2272" s="23"/>
      <c r="BY2272" s="23"/>
      <c r="BZ2272" s="23"/>
    </row>
    <row r="2273" spans="3:78" ht="19.5" customHeight="1">
      <c r="C2273" s="294">
        <v>77001205</v>
      </c>
      <c r="D2273" s="295" t="s">
        <v>2446</v>
      </c>
      <c r="E2273" s="295" t="s">
        <v>2447</v>
      </c>
      <c r="F2273" s="294">
        <v>1</v>
      </c>
      <c r="G2273" s="296">
        <v>0</v>
      </c>
      <c r="H2273" s="294">
        <v>0</v>
      </c>
      <c r="I2273" s="297">
        <v>0</v>
      </c>
      <c r="J2273" s="294">
        <v>1</v>
      </c>
      <c r="K2273" s="294">
        <v>0</v>
      </c>
      <c r="L2273" s="294">
        <v>0</v>
      </c>
      <c r="M2273" s="296">
        <v>0</v>
      </c>
      <c r="N2273" s="296">
        <v>0</v>
      </c>
      <c r="O2273" s="296">
        <v>2</v>
      </c>
      <c r="P2273" s="296">
        <v>3</v>
      </c>
      <c r="Q2273" s="296">
        <v>0.15</v>
      </c>
      <c r="R2273" s="296">
        <v>0</v>
      </c>
      <c r="S2273" s="298">
        <v>0</v>
      </c>
      <c r="T2273" s="296">
        <v>0</v>
      </c>
      <c r="U2273" s="296">
        <v>1</v>
      </c>
      <c r="V2273" s="296">
        <v>1</v>
      </c>
      <c r="W2273" s="296">
        <v>0</v>
      </c>
      <c r="X2273" s="296">
        <v>0</v>
      </c>
      <c r="Y2273" s="19">
        <v>0</v>
      </c>
      <c r="Z2273" s="296">
        <v>0</v>
      </c>
      <c r="AA2273" s="296">
        <v>1</v>
      </c>
      <c r="AB2273" s="296">
        <v>0</v>
      </c>
      <c r="AC2273" s="296">
        <v>0</v>
      </c>
      <c r="AD2273" s="296">
        <v>0</v>
      </c>
      <c r="AE2273" s="296">
        <v>1</v>
      </c>
      <c r="AF2273" s="296">
        <v>0</v>
      </c>
      <c r="AG2273" s="296">
        <v>1</v>
      </c>
      <c r="AH2273" s="296">
        <v>5</v>
      </c>
      <c r="AI2273" s="298">
        <v>0</v>
      </c>
      <c r="AJ2273" s="298">
        <v>1</v>
      </c>
      <c r="AK2273" s="298">
        <v>0</v>
      </c>
      <c r="AL2273" s="298">
        <v>3</v>
      </c>
      <c r="AM2273" s="296">
        <v>0</v>
      </c>
      <c r="AN2273" s="296">
        <v>0</v>
      </c>
      <c r="AO2273" s="296">
        <v>0</v>
      </c>
      <c r="AP2273" s="296">
        <v>0</v>
      </c>
      <c r="AQ2273" s="296">
        <v>1000</v>
      </c>
      <c r="AR2273" s="296">
        <v>0</v>
      </c>
      <c r="AS2273" s="296">
        <v>0</v>
      </c>
      <c r="AT2273" s="298">
        <v>97002005</v>
      </c>
      <c r="AU2273" s="302">
        <v>0</v>
      </c>
      <c r="AV2273" s="302"/>
      <c r="AW2273" s="299" t="s">
        <v>204</v>
      </c>
      <c r="AX2273" s="296" t="s">
        <v>540</v>
      </c>
      <c r="AY2273" s="294">
        <v>0</v>
      </c>
      <c r="AZ2273" s="294">
        <v>0</v>
      </c>
      <c r="BA2273" s="295" t="s">
        <v>206</v>
      </c>
      <c r="BB2273" s="296">
        <v>0</v>
      </c>
      <c r="BC2273" s="297">
        <v>0</v>
      </c>
      <c r="BD2273" s="297">
        <v>0</v>
      </c>
      <c r="BE2273" s="300" t="s">
        <v>5326</v>
      </c>
      <c r="BF2273" s="300" t="s">
        <v>5327</v>
      </c>
      <c r="BG2273" s="296">
        <v>0</v>
      </c>
      <c r="BH2273" s="296">
        <v>0</v>
      </c>
      <c r="BI2273" s="296">
        <v>0</v>
      </c>
      <c r="BJ2273" s="296">
        <v>0</v>
      </c>
      <c r="BK2273" s="296">
        <v>0</v>
      </c>
      <c r="BL2273" s="296">
        <v>0</v>
      </c>
      <c r="BM2273" s="301">
        <v>0</v>
      </c>
      <c r="BN2273" s="298">
        <v>0</v>
      </c>
      <c r="BO2273" s="298">
        <v>0</v>
      </c>
      <c r="BP2273" s="298">
        <v>0</v>
      </c>
      <c r="BQ2273" s="298">
        <v>0</v>
      </c>
      <c r="BR2273" s="298">
        <v>0</v>
      </c>
      <c r="BS2273" s="298">
        <v>1</v>
      </c>
      <c r="BT2273" s="298">
        <v>0</v>
      </c>
      <c r="BU2273" s="23">
        <v>0</v>
      </c>
      <c r="BV2273" s="23"/>
      <c r="BW2273" s="23"/>
      <c r="BX2273" s="23"/>
      <c r="BY2273" s="23"/>
      <c r="BZ2273" s="23"/>
    </row>
    <row r="2274" spans="3:78" ht="19.5" customHeight="1">
      <c r="C2274" s="294">
        <v>77001206</v>
      </c>
      <c r="D2274" s="295" t="s">
        <v>5338</v>
      </c>
      <c r="E2274" s="295" t="s">
        <v>3468</v>
      </c>
      <c r="F2274" s="294">
        <v>1</v>
      </c>
      <c r="G2274" s="296">
        <v>0</v>
      </c>
      <c r="H2274" s="294">
        <v>0</v>
      </c>
      <c r="I2274" s="297">
        <v>0</v>
      </c>
      <c r="J2274" s="294">
        <v>1</v>
      </c>
      <c r="K2274" s="294">
        <v>0</v>
      </c>
      <c r="L2274" s="294">
        <v>0</v>
      </c>
      <c r="M2274" s="296">
        <v>0</v>
      </c>
      <c r="N2274" s="296">
        <v>0</v>
      </c>
      <c r="O2274" s="296">
        <v>2</v>
      </c>
      <c r="P2274" s="296" t="s">
        <v>5339</v>
      </c>
      <c r="Q2274" s="296" t="s">
        <v>5340</v>
      </c>
      <c r="R2274" s="296">
        <v>0</v>
      </c>
      <c r="S2274" s="298">
        <v>0</v>
      </c>
      <c r="T2274" s="296">
        <v>0</v>
      </c>
      <c r="U2274" s="296">
        <v>1</v>
      </c>
      <c r="V2274" s="296">
        <v>2</v>
      </c>
      <c r="W2274" s="296">
        <v>0</v>
      </c>
      <c r="X2274" s="296">
        <v>1.5</v>
      </c>
      <c r="Y2274" s="19">
        <v>0</v>
      </c>
      <c r="Z2274" s="296">
        <v>0</v>
      </c>
      <c r="AA2274" s="296">
        <v>0</v>
      </c>
      <c r="AB2274" s="296">
        <v>0</v>
      </c>
      <c r="AC2274" s="296">
        <v>0</v>
      </c>
      <c r="AD2274" s="296">
        <v>0</v>
      </c>
      <c r="AE2274" s="296">
        <v>1</v>
      </c>
      <c r="AF2274" s="296">
        <v>18</v>
      </c>
      <c r="AG2274" s="296">
        <v>1</v>
      </c>
      <c r="AH2274" s="296">
        <v>2</v>
      </c>
      <c r="AI2274" s="298">
        <v>0</v>
      </c>
      <c r="AJ2274" s="298">
        <v>2</v>
      </c>
      <c r="AK2274" s="298">
        <v>0</v>
      </c>
      <c r="AL2274" s="298">
        <v>2</v>
      </c>
      <c r="AM2274" s="296">
        <v>0</v>
      </c>
      <c r="AN2274" s="296">
        <v>0</v>
      </c>
      <c r="AO2274" s="296">
        <v>0</v>
      </c>
      <c r="AP2274" s="296">
        <v>1</v>
      </c>
      <c r="AQ2274" s="296">
        <v>12000</v>
      </c>
      <c r="AR2274" s="296">
        <v>1</v>
      </c>
      <c r="AS2274" s="296">
        <v>10</v>
      </c>
      <c r="AT2274" s="303">
        <v>0</v>
      </c>
      <c r="AU2274" s="371" t="s">
        <v>5341</v>
      </c>
      <c r="AV2274" s="302"/>
      <c r="AW2274" s="295" t="s">
        <v>205</v>
      </c>
      <c r="AX2274" s="296" t="s">
        <v>540</v>
      </c>
      <c r="AY2274" s="294">
        <v>10000007</v>
      </c>
      <c r="AZ2274" s="372" t="s">
        <v>5342</v>
      </c>
      <c r="BA2274" s="295" t="s">
        <v>592</v>
      </c>
      <c r="BB2274" s="296" t="s">
        <v>5343</v>
      </c>
      <c r="BC2274" s="297">
        <v>0</v>
      </c>
      <c r="BD2274" s="297">
        <v>0</v>
      </c>
      <c r="BE2274" s="300" t="s">
        <v>5344</v>
      </c>
      <c r="BF2274" s="300" t="s">
        <v>5345</v>
      </c>
      <c r="BG2274" s="296">
        <v>0</v>
      </c>
      <c r="BH2274" s="296">
        <v>0</v>
      </c>
      <c r="BI2274" s="296">
        <v>0</v>
      </c>
      <c r="BJ2274" s="296">
        <v>0</v>
      </c>
      <c r="BK2274" s="296">
        <v>0</v>
      </c>
      <c r="BL2274" s="296">
        <v>0</v>
      </c>
      <c r="BM2274" s="301">
        <v>0</v>
      </c>
      <c r="BN2274" s="298">
        <v>0</v>
      </c>
      <c r="BO2274" s="298">
        <v>0</v>
      </c>
      <c r="BP2274" s="298">
        <v>0</v>
      </c>
      <c r="BQ2274" s="298">
        <v>0</v>
      </c>
      <c r="BR2274" s="298">
        <v>0</v>
      </c>
      <c r="BS2274" s="298">
        <v>0</v>
      </c>
      <c r="BT2274" s="298">
        <v>0</v>
      </c>
      <c r="BU2274" s="23">
        <v>0</v>
      </c>
      <c r="BV2274" s="23"/>
      <c r="BW2274" s="23"/>
      <c r="BX2274" s="23"/>
      <c r="BY2274" s="23"/>
      <c r="BZ2274" s="23"/>
    </row>
    <row r="2275" spans="3:78" ht="19.5" customHeight="1">
      <c r="C2275" s="107">
        <v>77001301</v>
      </c>
      <c r="D2275" s="108" t="s">
        <v>1201</v>
      </c>
      <c r="E2275" s="108" t="s">
        <v>1202</v>
      </c>
      <c r="F2275" s="97">
        <v>1</v>
      </c>
      <c r="G2275" s="97">
        <v>0</v>
      </c>
      <c r="H2275" s="97">
        <v>0</v>
      </c>
      <c r="I2275" s="98">
        <v>0</v>
      </c>
      <c r="J2275" s="97">
        <v>1</v>
      </c>
      <c r="K2275" s="97">
        <v>0</v>
      </c>
      <c r="L2275" s="98">
        <v>0</v>
      </c>
      <c r="M2275" s="98">
        <v>0</v>
      </c>
      <c r="N2275" s="97">
        <v>0</v>
      </c>
      <c r="O2275" s="97">
        <v>2</v>
      </c>
      <c r="P2275" s="97">
        <v>2</v>
      </c>
      <c r="Q2275" s="97">
        <v>0.5</v>
      </c>
      <c r="R2275" s="97">
        <v>1</v>
      </c>
      <c r="S2275" s="99">
        <v>0</v>
      </c>
      <c r="T2275" s="97">
        <v>0</v>
      </c>
      <c r="U2275" s="100">
        <v>1</v>
      </c>
      <c r="V2275" s="97">
        <v>1</v>
      </c>
      <c r="W2275" s="98">
        <v>0</v>
      </c>
      <c r="X2275" s="97">
        <v>5</v>
      </c>
      <c r="Y2275" s="19">
        <v>0</v>
      </c>
      <c r="Z2275" s="97">
        <v>0</v>
      </c>
      <c r="AA2275" s="97">
        <v>0</v>
      </c>
      <c r="AB2275" s="97">
        <v>0</v>
      </c>
      <c r="AC2275" s="98">
        <v>0</v>
      </c>
      <c r="AD2275" s="97">
        <v>0</v>
      </c>
      <c r="AE2275" s="97">
        <v>0</v>
      </c>
      <c r="AF2275" s="97">
        <v>99999</v>
      </c>
      <c r="AG2275" s="97">
        <v>1</v>
      </c>
      <c r="AH2275" s="97">
        <v>5</v>
      </c>
      <c r="AI2275" s="101">
        <v>0</v>
      </c>
      <c r="AJ2275" s="101">
        <v>0</v>
      </c>
      <c r="AK2275" s="99">
        <v>0</v>
      </c>
      <c r="AL2275" s="97">
        <v>0</v>
      </c>
      <c r="AM2275" s="102">
        <v>0</v>
      </c>
      <c r="AN2275" s="97">
        <v>1.5</v>
      </c>
      <c r="AO2275" s="97">
        <v>0</v>
      </c>
      <c r="AP2275" s="97">
        <v>1</v>
      </c>
      <c r="AQ2275" s="97">
        <v>2000</v>
      </c>
      <c r="AR2275" s="97">
        <v>1</v>
      </c>
      <c r="AS2275" s="97">
        <v>0</v>
      </c>
      <c r="AT2275" s="335" t="s">
        <v>5346</v>
      </c>
      <c r="AU2275" s="97">
        <v>0</v>
      </c>
      <c r="AV2275" s="115"/>
      <c r="AW2275" s="104" t="s">
        <v>205</v>
      </c>
      <c r="AX2275" s="98">
        <v>0</v>
      </c>
      <c r="AY2275" s="98">
        <v>0</v>
      </c>
      <c r="AZ2275" s="98">
        <v>77001305</v>
      </c>
      <c r="BA2275" s="110" t="s">
        <v>534</v>
      </c>
      <c r="BB2275" s="97" t="s">
        <v>5347</v>
      </c>
      <c r="BC2275" s="116">
        <v>0</v>
      </c>
      <c r="BD2275" s="105">
        <v>0</v>
      </c>
      <c r="BE2275" s="106" t="s">
        <v>5348</v>
      </c>
      <c r="BF2275" s="106" t="s">
        <v>5349</v>
      </c>
      <c r="BG2275" s="97">
        <v>0</v>
      </c>
      <c r="BH2275" s="97">
        <v>0</v>
      </c>
      <c r="BI2275" s="107">
        <v>0</v>
      </c>
      <c r="BJ2275" s="97">
        <v>0</v>
      </c>
      <c r="BK2275" s="97">
        <v>0</v>
      </c>
      <c r="BL2275" s="102">
        <v>0</v>
      </c>
      <c r="BM2275" s="97">
        <v>0</v>
      </c>
      <c r="BN2275" s="99">
        <v>0</v>
      </c>
      <c r="BO2275" s="99">
        <v>0</v>
      </c>
      <c r="BP2275" s="99">
        <v>0</v>
      </c>
      <c r="BQ2275" s="99">
        <v>0</v>
      </c>
      <c r="BR2275" s="99">
        <v>0</v>
      </c>
      <c r="BS2275" s="99">
        <v>0</v>
      </c>
      <c r="BT2275" s="99">
        <v>0</v>
      </c>
      <c r="BU2275" s="23">
        <v>0</v>
      </c>
      <c r="BV2275" s="23"/>
      <c r="BW2275" s="23"/>
      <c r="BX2275" s="23"/>
      <c r="BY2275" s="23"/>
      <c r="BZ2275" s="23"/>
    </row>
    <row r="2276" spans="3:78" ht="19.5" hidden="1" customHeight="1">
      <c r="C2276" s="107">
        <v>77001302</v>
      </c>
      <c r="D2276" s="110" t="s">
        <v>810</v>
      </c>
      <c r="E2276" s="304" t="s">
        <v>811</v>
      </c>
      <c r="F2276" s="97">
        <v>1</v>
      </c>
      <c r="G2276" s="97">
        <v>0</v>
      </c>
      <c r="H2276" s="100">
        <v>0</v>
      </c>
      <c r="I2276" s="105">
        <v>0</v>
      </c>
      <c r="J2276" s="107">
        <v>1</v>
      </c>
      <c r="K2276" s="107">
        <v>0</v>
      </c>
      <c r="L2276" s="107">
        <v>0</v>
      </c>
      <c r="M2276" s="100">
        <v>0</v>
      </c>
      <c r="N2276" s="100">
        <v>0</v>
      </c>
      <c r="O2276" s="100">
        <v>2</v>
      </c>
      <c r="P2276" s="100">
        <v>1</v>
      </c>
      <c r="Q2276" s="100">
        <v>0.2</v>
      </c>
      <c r="R2276" s="100">
        <v>0</v>
      </c>
      <c r="S2276" s="99">
        <v>0</v>
      </c>
      <c r="T2276" s="100">
        <v>0</v>
      </c>
      <c r="U2276" s="100">
        <v>1</v>
      </c>
      <c r="V2276" s="97">
        <v>1</v>
      </c>
      <c r="W2276" s="100">
        <v>0</v>
      </c>
      <c r="X2276" s="100">
        <v>1</v>
      </c>
      <c r="Y2276" s="19">
        <v>0</v>
      </c>
      <c r="Z2276" s="100">
        <v>150</v>
      </c>
      <c r="AA2276" s="100">
        <v>1</v>
      </c>
      <c r="AB2276" s="100">
        <v>0</v>
      </c>
      <c r="AC2276" s="100">
        <v>0</v>
      </c>
      <c r="AD2276" s="100">
        <v>0</v>
      </c>
      <c r="AE2276" s="100">
        <v>1</v>
      </c>
      <c r="AF2276" s="100">
        <v>8</v>
      </c>
      <c r="AG2276" s="100">
        <v>2</v>
      </c>
      <c r="AH2276" s="100" t="s">
        <v>219</v>
      </c>
      <c r="AI2276" s="99">
        <v>0</v>
      </c>
      <c r="AJ2276" s="99">
        <v>2</v>
      </c>
      <c r="AK2276" s="99">
        <v>0</v>
      </c>
      <c r="AL2276" s="99">
        <v>1.5</v>
      </c>
      <c r="AM2276" s="100">
        <v>0</v>
      </c>
      <c r="AN2276" s="100">
        <v>0</v>
      </c>
      <c r="AO2276" s="100">
        <v>0</v>
      </c>
      <c r="AP2276" s="100">
        <v>1.5</v>
      </c>
      <c r="AQ2276" s="100">
        <v>1600</v>
      </c>
      <c r="AR2276" s="100">
        <v>1</v>
      </c>
      <c r="AS2276" s="100">
        <v>15</v>
      </c>
      <c r="AT2276" s="338" t="s">
        <v>5350</v>
      </c>
      <c r="AU2276" s="339" t="s">
        <v>5351</v>
      </c>
      <c r="AV2276" s="118"/>
      <c r="AW2276" s="110" t="s">
        <v>262</v>
      </c>
      <c r="AX2276" s="100" t="s">
        <v>221</v>
      </c>
      <c r="AY2276" s="107">
        <v>10000011</v>
      </c>
      <c r="AZ2276" s="107">
        <v>77001301</v>
      </c>
      <c r="BA2276" s="110" t="s">
        <v>222</v>
      </c>
      <c r="BB2276" s="100">
        <v>0</v>
      </c>
      <c r="BC2276" s="105">
        <v>0</v>
      </c>
      <c r="BD2276" s="105">
        <v>0</v>
      </c>
      <c r="BE2276" s="111" t="s">
        <v>5352</v>
      </c>
      <c r="BF2276" s="111" t="s">
        <v>5353</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77001305</v>
      </c>
      <c r="BU2276" s="23">
        <v>0</v>
      </c>
      <c r="BV2276" s="23"/>
      <c r="BW2276" s="23"/>
      <c r="BX2276" s="23"/>
      <c r="BY2276" s="23"/>
      <c r="BZ2276" s="23"/>
    </row>
    <row r="2277" spans="3:78" ht="20.100000000000001" customHeight="1">
      <c r="C2277" s="107">
        <v>77001303</v>
      </c>
      <c r="D2277" s="110" t="s">
        <v>816</v>
      </c>
      <c r="E2277" s="304" t="s">
        <v>817</v>
      </c>
      <c r="F2277" s="97">
        <v>1</v>
      </c>
      <c r="G2277" s="97">
        <v>0</v>
      </c>
      <c r="H2277" s="100">
        <v>0</v>
      </c>
      <c r="I2277" s="105">
        <v>0</v>
      </c>
      <c r="J2277" s="107">
        <v>1</v>
      </c>
      <c r="K2277" s="107">
        <v>0</v>
      </c>
      <c r="L2277" s="107">
        <v>0</v>
      </c>
      <c r="M2277" s="100">
        <v>0</v>
      </c>
      <c r="N2277" s="100">
        <v>0</v>
      </c>
      <c r="O2277" s="100">
        <v>2</v>
      </c>
      <c r="P2277" s="100">
        <v>3</v>
      </c>
      <c r="Q2277" s="100">
        <v>0.2</v>
      </c>
      <c r="R2277" s="100">
        <v>0</v>
      </c>
      <c r="S2277" s="99">
        <v>0</v>
      </c>
      <c r="T2277" s="100">
        <v>0</v>
      </c>
      <c r="U2277" s="100">
        <v>1</v>
      </c>
      <c r="V2277" s="97">
        <v>1</v>
      </c>
      <c r="W2277" s="100">
        <v>0</v>
      </c>
      <c r="X2277" s="100">
        <v>3</v>
      </c>
      <c r="Y2277" s="19">
        <v>0</v>
      </c>
      <c r="Z2277" s="100">
        <v>0</v>
      </c>
      <c r="AA2277" s="100">
        <v>1</v>
      </c>
      <c r="AB2277" s="100">
        <v>0</v>
      </c>
      <c r="AC2277" s="100">
        <v>0</v>
      </c>
      <c r="AD2277" s="100">
        <v>0</v>
      </c>
      <c r="AE2277" s="100">
        <v>1</v>
      </c>
      <c r="AF2277" s="100">
        <v>5</v>
      </c>
      <c r="AG2277" s="100">
        <v>1</v>
      </c>
      <c r="AH2277" s="100">
        <v>6</v>
      </c>
      <c r="AI2277" s="99">
        <v>0</v>
      </c>
      <c r="AJ2277" s="99">
        <v>1</v>
      </c>
      <c r="AK2277" s="99">
        <v>0</v>
      </c>
      <c r="AL2277" s="99">
        <v>3</v>
      </c>
      <c r="AM2277" s="100">
        <v>0</v>
      </c>
      <c r="AN2277" s="100">
        <v>1</v>
      </c>
      <c r="AO2277" s="100">
        <v>0</v>
      </c>
      <c r="AP2277" s="100">
        <v>1</v>
      </c>
      <c r="AQ2277" s="100">
        <v>3000</v>
      </c>
      <c r="AR2277" s="100">
        <v>1</v>
      </c>
      <c r="AS2277" s="100">
        <v>0</v>
      </c>
      <c r="AT2277" s="99">
        <v>0</v>
      </c>
      <c r="AU2277" s="339" t="s">
        <v>5351</v>
      </c>
      <c r="AV2277" s="118"/>
      <c r="AW2277" s="110" t="s">
        <v>623</v>
      </c>
      <c r="AX2277" s="100" t="s">
        <v>221</v>
      </c>
      <c r="AY2277" s="107">
        <v>10000011</v>
      </c>
      <c r="AZ2277" s="107">
        <v>77001302</v>
      </c>
      <c r="BA2277" s="104" t="s">
        <v>206</v>
      </c>
      <c r="BB2277" s="100">
        <v>0</v>
      </c>
      <c r="BC2277" s="105">
        <v>0</v>
      </c>
      <c r="BD2277" s="105">
        <v>0</v>
      </c>
      <c r="BE2277" s="111" t="s">
        <v>818</v>
      </c>
      <c r="BF2277" s="111" t="s">
        <v>819</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77001304</v>
      </c>
      <c r="D2278" s="119" t="s">
        <v>820</v>
      </c>
      <c r="E2278" s="119" t="s">
        <v>821</v>
      </c>
      <c r="F2278" s="97">
        <v>1</v>
      </c>
      <c r="G2278" s="97">
        <v>0</v>
      </c>
      <c r="H2278" s="97">
        <v>0</v>
      </c>
      <c r="I2278" s="98">
        <v>0</v>
      </c>
      <c r="J2278" s="97">
        <v>0</v>
      </c>
      <c r="K2278" s="97">
        <v>0</v>
      </c>
      <c r="L2278" s="98">
        <v>0</v>
      </c>
      <c r="M2278" s="98">
        <v>0</v>
      </c>
      <c r="N2278" s="97">
        <v>0</v>
      </c>
      <c r="O2278" s="100">
        <v>2</v>
      </c>
      <c r="P2278" s="100">
        <v>2</v>
      </c>
      <c r="Q2278" s="97">
        <v>0.8</v>
      </c>
      <c r="R2278" s="97">
        <v>0</v>
      </c>
      <c r="S2278" s="99">
        <v>0</v>
      </c>
      <c r="T2278" s="97">
        <v>0</v>
      </c>
      <c r="U2278" s="100">
        <v>1</v>
      </c>
      <c r="V2278" s="97">
        <v>1</v>
      </c>
      <c r="W2278" s="98">
        <v>0</v>
      </c>
      <c r="X2278" s="97">
        <v>3</v>
      </c>
      <c r="Y2278" s="19">
        <v>0</v>
      </c>
      <c r="Z2278" s="97">
        <v>0</v>
      </c>
      <c r="AA2278" s="97">
        <v>0</v>
      </c>
      <c r="AB2278" s="97">
        <v>0</v>
      </c>
      <c r="AC2278" s="98">
        <v>0</v>
      </c>
      <c r="AD2278" s="97">
        <v>0</v>
      </c>
      <c r="AE2278" s="97">
        <v>0</v>
      </c>
      <c r="AF2278" s="97">
        <v>12</v>
      </c>
      <c r="AG2278" s="97">
        <v>1</v>
      </c>
      <c r="AH2278" s="100">
        <v>2</v>
      </c>
      <c r="AI2278" s="101">
        <v>0</v>
      </c>
      <c r="AJ2278" s="101">
        <v>2</v>
      </c>
      <c r="AK2278" s="99">
        <v>0</v>
      </c>
      <c r="AL2278" s="97">
        <v>1.5</v>
      </c>
      <c r="AM2278" s="102">
        <v>0</v>
      </c>
      <c r="AN2278" s="97">
        <v>0</v>
      </c>
      <c r="AO2278" s="97">
        <v>0</v>
      </c>
      <c r="AP2278" s="97">
        <v>2.5</v>
      </c>
      <c r="AQ2278" s="100">
        <v>8000</v>
      </c>
      <c r="AR2278" s="97">
        <v>1.5</v>
      </c>
      <c r="AS2278" s="97">
        <v>10</v>
      </c>
      <c r="AT2278" s="99">
        <v>0</v>
      </c>
      <c r="AU2278" s="339" t="s">
        <v>5354</v>
      </c>
      <c r="AV2278" s="118"/>
      <c r="AW2278" s="104" t="s">
        <v>293</v>
      </c>
      <c r="AX2278" s="98">
        <v>0</v>
      </c>
      <c r="AY2278" s="98">
        <v>0</v>
      </c>
      <c r="AZ2278" s="107">
        <v>77001303</v>
      </c>
      <c r="BA2278" s="104" t="s">
        <v>592</v>
      </c>
      <c r="BB2278" s="100" t="s">
        <v>822</v>
      </c>
      <c r="BC2278" s="105">
        <v>0</v>
      </c>
      <c r="BD2278" s="105">
        <v>0</v>
      </c>
      <c r="BE2278" s="111" t="s">
        <v>5355</v>
      </c>
      <c r="BF2278" s="120" t="s">
        <v>5356</v>
      </c>
      <c r="BG2278" s="97">
        <v>2</v>
      </c>
      <c r="BH2278" s="97">
        <v>0</v>
      </c>
      <c r="BI2278" s="107">
        <v>0</v>
      </c>
      <c r="BJ2278" s="97">
        <v>1</v>
      </c>
      <c r="BK2278" s="97">
        <v>2</v>
      </c>
      <c r="BL2278" s="102">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20.100000000000001" customHeight="1">
      <c r="C2279" s="107">
        <v>77001305</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5350</v>
      </c>
      <c r="AU2279" s="339" t="s">
        <v>5351</v>
      </c>
      <c r="AV2279" s="118"/>
      <c r="AW2279" s="110" t="s">
        <v>262</v>
      </c>
      <c r="AX2279" s="100" t="s">
        <v>221</v>
      </c>
      <c r="AY2279" s="107">
        <v>10000011</v>
      </c>
      <c r="AZ2279" s="107">
        <v>77001301</v>
      </c>
      <c r="BA2279" s="110" t="s">
        <v>222</v>
      </c>
      <c r="BB2279" s="100">
        <v>0</v>
      </c>
      <c r="BC2279" s="105">
        <v>0</v>
      </c>
      <c r="BD2279" s="105">
        <v>0</v>
      </c>
      <c r="BE2279" s="111" t="s">
        <v>5357</v>
      </c>
      <c r="BF2279" s="111" t="s">
        <v>5358</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77001306</v>
      </c>
      <c r="BU2279" s="23">
        <v>0</v>
      </c>
      <c r="BV2279" s="23"/>
      <c r="BW2279" s="23"/>
      <c r="BX2279" s="23"/>
      <c r="BY2279" s="23"/>
      <c r="BZ2279" s="23"/>
    </row>
    <row r="2280" spans="3:78" ht="20.100000000000001" customHeight="1">
      <c r="C2280" s="107">
        <v>77001306</v>
      </c>
      <c r="D2280" s="110" t="s">
        <v>766</v>
      </c>
      <c r="E2280" s="304"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35" t="s">
        <v>5350</v>
      </c>
      <c r="AU2280" s="339" t="s">
        <v>5351</v>
      </c>
      <c r="AV2280" s="118"/>
      <c r="AW2280" s="110" t="s">
        <v>262</v>
      </c>
      <c r="AX2280" s="100" t="s">
        <v>221</v>
      </c>
      <c r="AY2280" s="107">
        <v>10000011</v>
      </c>
      <c r="AZ2280" s="107">
        <v>77001301</v>
      </c>
      <c r="BA2280" s="110" t="s">
        <v>222</v>
      </c>
      <c r="BB2280" s="100">
        <v>0</v>
      </c>
      <c r="BC2280" s="105">
        <v>0</v>
      </c>
      <c r="BD2280" s="105">
        <v>0</v>
      </c>
      <c r="BE2280" s="111" t="s">
        <v>5357</v>
      </c>
      <c r="BF2280" s="111" t="s">
        <v>5358</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77001304</v>
      </c>
      <c r="BU2280" s="23">
        <v>0</v>
      </c>
      <c r="BV2280" s="23"/>
      <c r="BW2280" s="23"/>
      <c r="BX2280" s="23"/>
      <c r="BY2280" s="23"/>
      <c r="BZ2280" s="23"/>
    </row>
    <row r="2281" spans="3:78" ht="20.100000000000001" customHeight="1">
      <c r="C2281" s="107">
        <v>77001307</v>
      </c>
      <c r="D2281" s="110" t="s">
        <v>5359</v>
      </c>
      <c r="E2281" s="304" t="s">
        <v>5360</v>
      </c>
      <c r="F2281" s="97">
        <v>1</v>
      </c>
      <c r="G2281" s="97">
        <v>0</v>
      </c>
      <c r="H2281" s="107">
        <v>0</v>
      </c>
      <c r="I2281" s="105">
        <v>0</v>
      </c>
      <c r="J2281" s="107">
        <v>1</v>
      </c>
      <c r="K2281" s="107">
        <v>0</v>
      </c>
      <c r="L2281" s="107">
        <v>0</v>
      </c>
      <c r="M2281" s="100">
        <v>0</v>
      </c>
      <c r="N2281" s="100">
        <v>0</v>
      </c>
      <c r="O2281" s="100">
        <v>2</v>
      </c>
      <c r="P2281" s="100">
        <v>16</v>
      </c>
      <c r="Q2281" s="100">
        <v>5</v>
      </c>
      <c r="R2281" s="100">
        <v>0</v>
      </c>
      <c r="S2281" s="99">
        <v>0</v>
      </c>
      <c r="T2281" s="100">
        <v>0</v>
      </c>
      <c r="U2281" s="100">
        <v>1</v>
      </c>
      <c r="V2281" s="97">
        <v>1</v>
      </c>
      <c r="W2281" s="100">
        <v>0</v>
      </c>
      <c r="X2281" s="100">
        <v>2</v>
      </c>
      <c r="Y2281" s="19">
        <v>0</v>
      </c>
      <c r="Z2281" s="100">
        <v>0</v>
      </c>
      <c r="AA2281" s="100">
        <v>0</v>
      </c>
      <c r="AB2281" s="100">
        <v>0</v>
      </c>
      <c r="AC2281" s="100">
        <v>0</v>
      </c>
      <c r="AD2281" s="100">
        <v>0</v>
      </c>
      <c r="AE2281" s="100">
        <v>0</v>
      </c>
      <c r="AF2281" s="100">
        <v>0</v>
      </c>
      <c r="AG2281" s="100">
        <v>2</v>
      </c>
      <c r="AH2281" s="100" t="s">
        <v>219</v>
      </c>
      <c r="AI2281" s="99">
        <v>0</v>
      </c>
      <c r="AJ2281" s="99">
        <v>2</v>
      </c>
      <c r="AK2281" s="99">
        <v>0</v>
      </c>
      <c r="AL2281" s="99">
        <v>1.5</v>
      </c>
      <c r="AM2281" s="100">
        <v>0</v>
      </c>
      <c r="AN2281" s="100">
        <v>0</v>
      </c>
      <c r="AO2281" s="100">
        <v>0</v>
      </c>
      <c r="AP2281" s="100">
        <v>1</v>
      </c>
      <c r="AQ2281" s="100">
        <v>2000</v>
      </c>
      <c r="AR2281" s="100">
        <v>1</v>
      </c>
      <c r="AS2281" s="100">
        <v>0</v>
      </c>
      <c r="AT2281" s="99">
        <v>0</v>
      </c>
      <c r="AU2281" s="339" t="s">
        <v>5351</v>
      </c>
      <c r="AV2281" s="118"/>
      <c r="AW2281" s="104" t="s">
        <v>204</v>
      </c>
      <c r="AX2281" s="100" t="s">
        <v>551</v>
      </c>
      <c r="AY2281" s="107">
        <v>10001007</v>
      </c>
      <c r="AZ2281" s="107">
        <v>77001304</v>
      </c>
      <c r="BA2281" s="110" t="s">
        <v>206</v>
      </c>
      <c r="BB2281" s="100">
        <v>0</v>
      </c>
      <c r="BC2281" s="105">
        <v>0</v>
      </c>
      <c r="BD2281" s="105">
        <v>0</v>
      </c>
      <c r="BE2281" s="111" t="s">
        <v>5361</v>
      </c>
      <c r="BF2281" s="111" t="s">
        <v>5362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0</v>
      </c>
      <c r="BU2281" s="23">
        <v>0</v>
      </c>
      <c r="BV2281" s="23"/>
      <c r="BW2281" s="23"/>
      <c r="BX2281" s="23"/>
      <c r="BY2281" s="23"/>
      <c r="BZ2281" s="23"/>
    </row>
    <row r="2282" spans="3:78" ht="19.5" customHeight="1">
      <c r="C2282" s="74">
        <v>77001401</v>
      </c>
      <c r="D2282" s="71" t="s">
        <v>5363</v>
      </c>
      <c r="E2282" s="71" t="s">
        <v>5364</v>
      </c>
      <c r="F2282" s="74">
        <v>1</v>
      </c>
      <c r="G2282" s="74">
        <v>0</v>
      </c>
      <c r="H2282" s="74">
        <v>0</v>
      </c>
      <c r="I2282" s="75">
        <v>0</v>
      </c>
      <c r="J2282" s="74">
        <v>1</v>
      </c>
      <c r="K2282" s="74">
        <v>0</v>
      </c>
      <c r="L2282" s="74">
        <v>0</v>
      </c>
      <c r="M2282" s="72">
        <v>0</v>
      </c>
      <c r="N2282" s="72">
        <v>0</v>
      </c>
      <c r="O2282" s="72">
        <v>2</v>
      </c>
      <c r="P2282" s="72">
        <v>16</v>
      </c>
      <c r="Q2282" s="72">
        <v>5</v>
      </c>
      <c r="R2282" s="72">
        <v>0</v>
      </c>
      <c r="S2282" s="73">
        <v>0</v>
      </c>
      <c r="T2282" s="72">
        <v>0</v>
      </c>
      <c r="U2282" s="72">
        <v>1</v>
      </c>
      <c r="V2282" s="72">
        <v>2</v>
      </c>
      <c r="W2282" s="72">
        <v>0</v>
      </c>
      <c r="X2282" s="72">
        <v>1</v>
      </c>
      <c r="Y2282" s="19">
        <v>0</v>
      </c>
      <c r="Z2282" s="72">
        <v>0</v>
      </c>
      <c r="AA2282" s="72">
        <v>1</v>
      </c>
      <c r="AB2282" s="72">
        <v>0</v>
      </c>
      <c r="AC2282" s="72">
        <v>0</v>
      </c>
      <c r="AD2282" s="72">
        <v>0</v>
      </c>
      <c r="AE2282" s="72">
        <v>1</v>
      </c>
      <c r="AF2282" s="72">
        <v>0</v>
      </c>
      <c r="AG2282" s="72">
        <v>1</v>
      </c>
      <c r="AH2282" s="72">
        <v>2</v>
      </c>
      <c r="AI2282" s="73">
        <v>0</v>
      </c>
      <c r="AJ2282" s="73">
        <v>2</v>
      </c>
      <c r="AK2282" s="73">
        <v>0</v>
      </c>
      <c r="AL2282" s="73">
        <v>4</v>
      </c>
      <c r="AM2282" s="72">
        <v>0</v>
      </c>
      <c r="AN2282" s="72">
        <v>1</v>
      </c>
      <c r="AO2282" s="72">
        <v>0</v>
      </c>
      <c r="AP2282" s="72">
        <v>0</v>
      </c>
      <c r="AQ2282" s="72">
        <v>9000</v>
      </c>
      <c r="AR2282" s="72">
        <v>0</v>
      </c>
      <c r="AS2282" s="72">
        <v>10</v>
      </c>
      <c r="AT2282" s="92">
        <v>0</v>
      </c>
      <c r="AU2282" s="334" t="s">
        <v>5365</v>
      </c>
      <c r="AV2282" s="93"/>
      <c r="AW2282" s="71" t="s">
        <v>293</v>
      </c>
      <c r="AX2282" s="72" t="s">
        <v>540</v>
      </c>
      <c r="AY2282" s="74">
        <v>10000007</v>
      </c>
      <c r="AZ2282" s="74">
        <v>77001401</v>
      </c>
      <c r="BA2282" s="71" t="s">
        <v>592</v>
      </c>
      <c r="BB2282" s="72" t="s">
        <v>5366</v>
      </c>
      <c r="BC2282" s="75">
        <v>0</v>
      </c>
      <c r="BD2282" s="75">
        <v>1</v>
      </c>
      <c r="BE2282" s="76" t="s">
        <v>5367</v>
      </c>
      <c r="BF2282" s="76" t="s">
        <v>5368</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77001402</v>
      </c>
      <c r="D2283" s="71" t="s">
        <v>3002</v>
      </c>
      <c r="E2283" s="71" t="s">
        <v>5369</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342" t="s">
        <v>5370</v>
      </c>
      <c r="AU2283" s="334" t="s">
        <v>5371</v>
      </c>
      <c r="AV2283" s="93"/>
      <c r="AW2283" s="88" t="s">
        <v>204</v>
      </c>
      <c r="AX2283" s="72" t="s">
        <v>540</v>
      </c>
      <c r="AY2283" s="74">
        <v>0</v>
      </c>
      <c r="AZ2283" s="74">
        <v>77001403</v>
      </c>
      <c r="BA2283" s="71" t="s">
        <v>206</v>
      </c>
      <c r="BB2283" s="72">
        <v>0</v>
      </c>
      <c r="BC2283" s="75">
        <v>0</v>
      </c>
      <c r="BD2283" s="75">
        <v>0</v>
      </c>
      <c r="BE2283" s="76" t="s">
        <v>2399</v>
      </c>
      <c r="BF2283" s="76" t="s">
        <v>2400</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77001403</v>
      </c>
      <c r="D2284" s="71" t="s">
        <v>3002</v>
      </c>
      <c r="E2284" s="71" t="s">
        <v>5369</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73">
        <v>0</v>
      </c>
      <c r="AU2284" s="334" t="s">
        <v>5371</v>
      </c>
      <c r="AV2284" s="93"/>
      <c r="AW2284" s="88" t="s">
        <v>204</v>
      </c>
      <c r="AX2284" s="72" t="s">
        <v>540</v>
      </c>
      <c r="AY2284" s="74">
        <v>0</v>
      </c>
      <c r="AZ2284" s="74">
        <v>77001403</v>
      </c>
      <c r="BA2284" s="71" t="s">
        <v>206</v>
      </c>
      <c r="BB2284" s="72">
        <v>0</v>
      </c>
      <c r="BC2284" s="75">
        <v>0</v>
      </c>
      <c r="BD2284" s="75">
        <v>0</v>
      </c>
      <c r="BE2284" s="76" t="s">
        <v>2399</v>
      </c>
      <c r="BF2284" s="76" t="s">
        <v>2400</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77001404</v>
      </c>
      <c r="D2285" s="71" t="s">
        <v>5372</v>
      </c>
      <c r="E2285" s="71" t="s">
        <v>5373</v>
      </c>
      <c r="F2285" s="74">
        <v>1</v>
      </c>
      <c r="G2285" s="74">
        <v>0</v>
      </c>
      <c r="H2285" s="74">
        <v>0</v>
      </c>
      <c r="I2285" s="75">
        <v>0</v>
      </c>
      <c r="J2285" s="74">
        <v>1</v>
      </c>
      <c r="K2285" s="74">
        <v>0</v>
      </c>
      <c r="L2285" s="74">
        <v>0</v>
      </c>
      <c r="M2285" s="72">
        <v>0</v>
      </c>
      <c r="N2285" s="72">
        <v>0</v>
      </c>
      <c r="O2285" s="72">
        <v>2</v>
      </c>
      <c r="P2285" s="72">
        <v>10</v>
      </c>
      <c r="Q2285" s="72">
        <v>0.3</v>
      </c>
      <c r="R2285" s="72">
        <v>0</v>
      </c>
      <c r="S2285" s="73">
        <v>3</v>
      </c>
      <c r="T2285" s="72">
        <v>0</v>
      </c>
      <c r="U2285" s="72">
        <v>1</v>
      </c>
      <c r="V2285" s="72">
        <v>2</v>
      </c>
      <c r="W2285" s="72">
        <v>0</v>
      </c>
      <c r="X2285" s="72">
        <v>1</v>
      </c>
      <c r="Y2285" s="19">
        <v>0</v>
      </c>
      <c r="Z2285" s="72">
        <v>0</v>
      </c>
      <c r="AA2285" s="72">
        <v>1</v>
      </c>
      <c r="AB2285" s="72">
        <v>0</v>
      </c>
      <c r="AC2285" s="72">
        <v>0</v>
      </c>
      <c r="AD2285" s="72">
        <v>0</v>
      </c>
      <c r="AE2285" s="72">
        <v>1</v>
      </c>
      <c r="AF2285" s="72">
        <v>2</v>
      </c>
      <c r="AG2285" s="72">
        <v>1</v>
      </c>
      <c r="AH2285" s="72">
        <v>2</v>
      </c>
      <c r="AI2285" s="73">
        <v>0</v>
      </c>
      <c r="AJ2285" s="73">
        <v>2</v>
      </c>
      <c r="AK2285" s="73">
        <v>0</v>
      </c>
      <c r="AL2285" s="73">
        <v>1</v>
      </c>
      <c r="AM2285" s="72">
        <v>0</v>
      </c>
      <c r="AN2285" s="72">
        <v>1</v>
      </c>
      <c r="AO2285" s="72">
        <v>0</v>
      </c>
      <c r="AP2285" s="72">
        <v>0</v>
      </c>
      <c r="AQ2285" s="72">
        <v>5000</v>
      </c>
      <c r="AR2285" s="72">
        <v>0</v>
      </c>
      <c r="AS2285" s="72">
        <v>20</v>
      </c>
      <c r="AT2285" s="92">
        <v>0</v>
      </c>
      <c r="AU2285" s="334" t="s">
        <v>5374</v>
      </c>
      <c r="AV2285" s="93"/>
      <c r="AW2285" s="71" t="s">
        <v>262</v>
      </c>
      <c r="AX2285" s="72" t="s">
        <v>540</v>
      </c>
      <c r="AY2285" s="74">
        <v>10000007</v>
      </c>
      <c r="AZ2285" s="74">
        <v>77001402</v>
      </c>
      <c r="BA2285" s="71" t="s">
        <v>592</v>
      </c>
      <c r="BB2285" s="72" t="s">
        <v>5375</v>
      </c>
      <c r="BC2285" s="75">
        <v>0</v>
      </c>
      <c r="BD2285" s="75">
        <v>1</v>
      </c>
      <c r="BE2285" s="76" t="s">
        <v>5376</v>
      </c>
      <c r="BF2285" s="76" t="s">
        <v>5377</v>
      </c>
      <c r="BG2285" s="72">
        <v>0</v>
      </c>
      <c r="BH2285" s="72">
        <v>0</v>
      </c>
      <c r="BI2285" s="72">
        <v>0</v>
      </c>
      <c r="BJ2285" s="72">
        <v>0</v>
      </c>
      <c r="BK2285" s="72">
        <v>0</v>
      </c>
      <c r="BL2285" s="72">
        <v>0</v>
      </c>
      <c r="BM2285" s="90">
        <v>0</v>
      </c>
      <c r="BN2285" s="73">
        <v>0</v>
      </c>
      <c r="BO2285" s="73">
        <v>0</v>
      </c>
      <c r="BP2285" s="73">
        <v>0</v>
      </c>
      <c r="BQ2285" s="73">
        <v>0</v>
      </c>
      <c r="BR2285" s="73">
        <v>0</v>
      </c>
      <c r="BS2285" s="73">
        <v>1</v>
      </c>
      <c r="BT2285" s="73">
        <v>0</v>
      </c>
      <c r="BU2285" s="23">
        <v>0</v>
      </c>
      <c r="BV2285" s="23"/>
      <c r="BW2285" s="23"/>
      <c r="BX2285" s="23"/>
      <c r="BY2285" s="23"/>
      <c r="BZ2285" s="23"/>
    </row>
    <row r="2286" spans="3:78" ht="19.5" customHeight="1">
      <c r="C2286" s="74">
        <v>77001405</v>
      </c>
      <c r="D2286" s="71" t="s">
        <v>1051</v>
      </c>
      <c r="E2286" s="71" t="s">
        <v>1052</v>
      </c>
      <c r="F2286" s="74">
        <v>1</v>
      </c>
      <c r="G2286" s="74">
        <v>0</v>
      </c>
      <c r="H2286" s="74">
        <v>0</v>
      </c>
      <c r="I2286" s="75">
        <v>0</v>
      </c>
      <c r="J2286" s="74">
        <v>1</v>
      </c>
      <c r="K2286" s="74">
        <v>0</v>
      </c>
      <c r="L2286" s="74">
        <v>0</v>
      </c>
      <c r="M2286" s="72">
        <v>0</v>
      </c>
      <c r="N2286" s="72">
        <v>0</v>
      </c>
      <c r="O2286" s="72">
        <v>2</v>
      </c>
      <c r="P2286" s="72">
        <v>3</v>
      </c>
      <c r="Q2286" s="72">
        <v>0.1</v>
      </c>
      <c r="R2286" s="72">
        <v>0</v>
      </c>
      <c r="S2286" s="73">
        <v>0</v>
      </c>
      <c r="T2286" s="72">
        <v>0</v>
      </c>
      <c r="U2286" s="72">
        <v>1</v>
      </c>
      <c r="V2286" s="72">
        <v>2</v>
      </c>
      <c r="W2286" s="72">
        <v>0</v>
      </c>
      <c r="X2286" s="72">
        <v>1</v>
      </c>
      <c r="Y2286" s="19">
        <v>0</v>
      </c>
      <c r="Z2286" s="72">
        <v>0</v>
      </c>
      <c r="AA2286" s="72">
        <v>1</v>
      </c>
      <c r="AB2286" s="72">
        <v>0</v>
      </c>
      <c r="AC2286" s="72">
        <v>0</v>
      </c>
      <c r="AD2286" s="72">
        <v>1</v>
      </c>
      <c r="AE2286" s="72">
        <v>0</v>
      </c>
      <c r="AF2286" s="72">
        <v>0</v>
      </c>
      <c r="AG2286" s="72">
        <v>1</v>
      </c>
      <c r="AH2286" s="72">
        <v>3</v>
      </c>
      <c r="AI2286" s="73">
        <v>4</v>
      </c>
      <c r="AJ2286" s="73">
        <v>1</v>
      </c>
      <c r="AK2286" s="73">
        <v>0</v>
      </c>
      <c r="AL2286" s="73">
        <v>1.5</v>
      </c>
      <c r="AM2286" s="72">
        <v>0</v>
      </c>
      <c r="AN2286" s="72">
        <v>0</v>
      </c>
      <c r="AO2286" s="72">
        <v>0</v>
      </c>
      <c r="AP2286" s="72">
        <v>0</v>
      </c>
      <c r="AQ2286" s="72">
        <v>6000</v>
      </c>
      <c r="AR2286" s="72">
        <v>0.8</v>
      </c>
      <c r="AS2286" s="72">
        <v>0</v>
      </c>
      <c r="AT2286" s="73">
        <v>0</v>
      </c>
      <c r="AU2286" s="334" t="s">
        <v>5371</v>
      </c>
      <c r="AV2286" s="93"/>
      <c r="AW2286" s="88" t="s">
        <v>205</v>
      </c>
      <c r="AX2286" s="72" t="s">
        <v>540</v>
      </c>
      <c r="AY2286" s="74">
        <v>0</v>
      </c>
      <c r="AZ2286" s="74">
        <v>77001404</v>
      </c>
      <c r="BA2286" s="71" t="s">
        <v>206</v>
      </c>
      <c r="BB2286" s="72" t="s">
        <v>5378</v>
      </c>
      <c r="BC2286" s="75">
        <v>0</v>
      </c>
      <c r="BD2286" s="75">
        <v>0</v>
      </c>
      <c r="BE2286" s="76" t="s">
        <v>5379</v>
      </c>
      <c r="BF2286" s="76" t="s">
        <v>5380</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20.100000000000001" customHeight="1">
      <c r="C2287" s="74">
        <v>77001406</v>
      </c>
      <c r="D2287" s="131" t="s">
        <v>1045</v>
      </c>
      <c r="E2287" s="131" t="s">
        <v>1046</v>
      </c>
      <c r="F2287" s="73">
        <v>1</v>
      </c>
      <c r="G2287" s="74">
        <v>0</v>
      </c>
      <c r="H2287" s="73">
        <v>0</v>
      </c>
      <c r="I2287" s="73">
        <v>0</v>
      </c>
      <c r="J2287" s="73">
        <v>1</v>
      </c>
      <c r="K2287" s="73">
        <v>0</v>
      </c>
      <c r="L2287" s="73">
        <v>0</v>
      </c>
      <c r="M2287" s="73">
        <v>0</v>
      </c>
      <c r="N2287" s="73">
        <v>0</v>
      </c>
      <c r="O2287" s="73">
        <v>2</v>
      </c>
      <c r="P2287" s="73">
        <v>2</v>
      </c>
      <c r="Q2287" s="73">
        <v>0.8</v>
      </c>
      <c r="R2287" s="73">
        <v>0</v>
      </c>
      <c r="S2287" s="73">
        <v>0</v>
      </c>
      <c r="T2287" s="73">
        <v>0</v>
      </c>
      <c r="U2287" s="73">
        <v>1</v>
      </c>
      <c r="V2287" s="73">
        <v>2</v>
      </c>
      <c r="W2287" s="73">
        <v>0</v>
      </c>
      <c r="X2287" s="73">
        <v>0</v>
      </c>
      <c r="Y2287" s="19">
        <v>0</v>
      </c>
      <c r="Z2287" s="73">
        <v>0</v>
      </c>
      <c r="AA2287" s="73">
        <v>1</v>
      </c>
      <c r="AB2287" s="73">
        <v>0</v>
      </c>
      <c r="AC2287" s="73">
        <v>0</v>
      </c>
      <c r="AD2287" s="73">
        <v>0</v>
      </c>
      <c r="AE2287" s="73">
        <v>0</v>
      </c>
      <c r="AF2287" s="73">
        <v>12</v>
      </c>
      <c r="AG2287" s="73">
        <v>1</v>
      </c>
      <c r="AH2287" s="73">
        <v>8</v>
      </c>
      <c r="AI2287" s="73">
        <v>0</v>
      </c>
      <c r="AJ2287" s="73">
        <v>1</v>
      </c>
      <c r="AK2287" s="73">
        <v>0</v>
      </c>
      <c r="AL2287" s="73">
        <v>4</v>
      </c>
      <c r="AM2287" s="73">
        <v>0</v>
      </c>
      <c r="AN2287" s="73">
        <v>0</v>
      </c>
      <c r="AO2287" s="73">
        <v>0</v>
      </c>
      <c r="AP2287" s="73">
        <v>0</v>
      </c>
      <c r="AQ2287" s="73">
        <v>2000</v>
      </c>
      <c r="AR2287" s="73">
        <v>1.5</v>
      </c>
      <c r="AS2287" s="73">
        <v>0</v>
      </c>
      <c r="AT2287" s="73">
        <v>0</v>
      </c>
      <c r="AU2287" s="73">
        <v>0</v>
      </c>
      <c r="AV2287" s="73"/>
      <c r="AW2287" s="131" t="s">
        <v>623</v>
      </c>
      <c r="AX2287" s="73" t="s">
        <v>1047</v>
      </c>
      <c r="AY2287" s="73">
        <v>0</v>
      </c>
      <c r="AZ2287" s="73">
        <v>77001405</v>
      </c>
      <c r="BA2287" s="131" t="s">
        <v>1048</v>
      </c>
      <c r="BB2287" s="73">
        <v>0</v>
      </c>
      <c r="BC2287" s="73">
        <v>0</v>
      </c>
      <c r="BD2287" s="73">
        <v>0</v>
      </c>
      <c r="BE2287" s="132" t="s">
        <v>1049</v>
      </c>
      <c r="BF2287" s="132" t="s">
        <v>1050</v>
      </c>
      <c r="BG2287" s="73">
        <v>0</v>
      </c>
      <c r="BH2287" s="73">
        <v>0</v>
      </c>
      <c r="BI2287" s="73">
        <v>0</v>
      </c>
      <c r="BJ2287" s="73">
        <v>0</v>
      </c>
      <c r="BK2287" s="73">
        <v>0</v>
      </c>
      <c r="BL2287" s="73">
        <v>0</v>
      </c>
      <c r="BM2287" s="133">
        <v>0</v>
      </c>
      <c r="BN2287" s="73">
        <v>0</v>
      </c>
      <c r="BO2287" s="73">
        <v>0</v>
      </c>
      <c r="BP2287" s="73">
        <v>1000</v>
      </c>
      <c r="BQ2287" s="73">
        <v>0</v>
      </c>
      <c r="BR2287" s="73">
        <v>0</v>
      </c>
      <c r="BS2287" s="73">
        <v>0</v>
      </c>
      <c r="BT2287" s="73">
        <v>0</v>
      </c>
      <c r="BU2287" s="23">
        <v>0</v>
      </c>
      <c r="BV2287" s="23"/>
      <c r="BW2287" s="23"/>
      <c r="BX2287" s="23"/>
      <c r="BY2287" s="23"/>
      <c r="BZ2287" s="23"/>
    </row>
    <row r="2288" spans="3:78" ht="19.5" customHeight="1">
      <c r="C2288" s="74">
        <v>77001407</v>
      </c>
      <c r="D2288" s="71" t="s">
        <v>5381</v>
      </c>
      <c r="E2288" s="71" t="s">
        <v>5382</v>
      </c>
      <c r="F2288" s="74">
        <v>1</v>
      </c>
      <c r="G2288" s="74">
        <v>0</v>
      </c>
      <c r="H2288" s="74">
        <v>0</v>
      </c>
      <c r="I2288" s="75">
        <v>0</v>
      </c>
      <c r="J2288" s="74">
        <v>1</v>
      </c>
      <c r="K2288" s="74">
        <v>0</v>
      </c>
      <c r="L2288" s="74">
        <v>0</v>
      </c>
      <c r="M2288" s="72">
        <v>0</v>
      </c>
      <c r="N2288" s="72">
        <v>0</v>
      </c>
      <c r="O2288" s="72">
        <v>2</v>
      </c>
      <c r="P2288" s="72">
        <v>10</v>
      </c>
      <c r="Q2288" s="72">
        <v>0.15</v>
      </c>
      <c r="R2288" s="72">
        <v>0</v>
      </c>
      <c r="S2288" s="73">
        <v>0</v>
      </c>
      <c r="T2288" s="72">
        <v>0</v>
      </c>
      <c r="U2288" s="72">
        <v>1</v>
      </c>
      <c r="V2288" s="72">
        <v>2</v>
      </c>
      <c r="W2288" s="72">
        <v>0</v>
      </c>
      <c r="X2288" s="72">
        <v>2</v>
      </c>
      <c r="Y2288" s="19">
        <v>0</v>
      </c>
      <c r="Z2288" s="72">
        <v>0</v>
      </c>
      <c r="AA2288" s="72">
        <v>1</v>
      </c>
      <c r="AB2288" s="72">
        <v>0</v>
      </c>
      <c r="AC2288" s="72">
        <v>0</v>
      </c>
      <c r="AD2288" s="72">
        <v>0</v>
      </c>
      <c r="AE2288" s="72">
        <v>1</v>
      </c>
      <c r="AF2288" s="72">
        <v>3</v>
      </c>
      <c r="AG2288" s="72">
        <v>1</v>
      </c>
      <c r="AH2288" s="72">
        <v>4</v>
      </c>
      <c r="AI2288" s="73">
        <v>1</v>
      </c>
      <c r="AJ2288" s="73">
        <v>1</v>
      </c>
      <c r="AK2288" s="73">
        <v>0</v>
      </c>
      <c r="AL2288" s="73">
        <v>3</v>
      </c>
      <c r="AM2288" s="72">
        <v>0</v>
      </c>
      <c r="AN2288" s="72">
        <v>1</v>
      </c>
      <c r="AO2288" s="72">
        <v>0</v>
      </c>
      <c r="AP2288" s="72">
        <v>1</v>
      </c>
      <c r="AQ2288" s="72">
        <v>3000</v>
      </c>
      <c r="AR2288" s="72">
        <v>1</v>
      </c>
      <c r="AS2288" s="72">
        <v>0</v>
      </c>
      <c r="AT2288" s="73">
        <v>0</v>
      </c>
      <c r="AU2288" s="334" t="s">
        <v>5374</v>
      </c>
      <c r="AV2288" s="93"/>
      <c r="AW2288" s="88" t="s">
        <v>293</v>
      </c>
      <c r="AX2288" s="72" t="s">
        <v>540</v>
      </c>
      <c r="AY2288" s="74">
        <v>0</v>
      </c>
      <c r="AZ2288" s="74">
        <v>77001407</v>
      </c>
      <c r="BA2288" s="71" t="s">
        <v>206</v>
      </c>
      <c r="BB2288" s="72">
        <v>0</v>
      </c>
      <c r="BC2288" s="75">
        <v>0</v>
      </c>
      <c r="BD2288" s="75">
        <v>0</v>
      </c>
      <c r="BE2288" s="76" t="s">
        <v>5383</v>
      </c>
      <c r="BF2288" s="76" t="s">
        <v>5384</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19.5" customHeight="1">
      <c r="C2289" s="294">
        <v>77001501</v>
      </c>
      <c r="D2289" s="295" t="s">
        <v>5385</v>
      </c>
      <c r="E2289" s="295" t="s">
        <v>5386</v>
      </c>
      <c r="F2289" s="294">
        <v>1</v>
      </c>
      <c r="G2289" s="294">
        <v>0</v>
      </c>
      <c r="H2289" s="294">
        <v>0</v>
      </c>
      <c r="I2289" s="297">
        <v>0</v>
      </c>
      <c r="J2289" s="294">
        <v>1</v>
      </c>
      <c r="K2289" s="294">
        <v>0</v>
      </c>
      <c r="L2289" s="294">
        <v>0</v>
      </c>
      <c r="M2289" s="296">
        <v>0</v>
      </c>
      <c r="N2289" s="296">
        <v>0</v>
      </c>
      <c r="O2289" s="296">
        <v>2</v>
      </c>
      <c r="P2289" s="296">
        <v>2</v>
      </c>
      <c r="Q2289" s="296">
        <v>0.5</v>
      </c>
      <c r="R2289" s="296">
        <v>0</v>
      </c>
      <c r="S2289" s="298">
        <v>0</v>
      </c>
      <c r="T2289" s="296">
        <v>0</v>
      </c>
      <c r="U2289" s="296">
        <v>1</v>
      </c>
      <c r="V2289" s="296">
        <v>2</v>
      </c>
      <c r="W2289" s="296">
        <v>0</v>
      </c>
      <c r="X2289" s="296">
        <v>2</v>
      </c>
      <c r="Y2289" s="19">
        <v>0</v>
      </c>
      <c r="Z2289" s="296">
        <v>0</v>
      </c>
      <c r="AA2289" s="296">
        <v>1</v>
      </c>
      <c r="AB2289" s="296">
        <v>0</v>
      </c>
      <c r="AC2289" s="296">
        <v>0</v>
      </c>
      <c r="AD2289" s="296">
        <v>0</v>
      </c>
      <c r="AE2289" s="296">
        <v>1</v>
      </c>
      <c r="AF2289" s="296">
        <v>30</v>
      </c>
      <c r="AG2289" s="296">
        <v>1</v>
      </c>
      <c r="AH2289" s="296">
        <v>4</v>
      </c>
      <c r="AI2289" s="298">
        <v>0</v>
      </c>
      <c r="AJ2289" s="298">
        <v>1</v>
      </c>
      <c r="AK2289" s="298">
        <v>0</v>
      </c>
      <c r="AL2289" s="298">
        <v>3</v>
      </c>
      <c r="AM2289" s="296">
        <v>0</v>
      </c>
      <c r="AN2289" s="296">
        <v>1</v>
      </c>
      <c r="AO2289" s="296">
        <v>0</v>
      </c>
      <c r="AP2289" s="296">
        <v>1</v>
      </c>
      <c r="AQ2289" s="296">
        <v>3000</v>
      </c>
      <c r="AR2289" s="296">
        <v>1</v>
      </c>
      <c r="AS2289" s="296">
        <v>0</v>
      </c>
      <c r="AT2289" s="298">
        <v>97005001</v>
      </c>
      <c r="AU2289" s="371" t="s">
        <v>5387</v>
      </c>
      <c r="AV2289" s="302"/>
      <c r="AW2289" s="299" t="s">
        <v>293</v>
      </c>
      <c r="AX2289" s="296" t="s">
        <v>540</v>
      </c>
      <c r="AY2289" s="294">
        <v>0</v>
      </c>
      <c r="AZ2289" s="294">
        <v>77001501</v>
      </c>
      <c r="BA2289" s="295" t="s">
        <v>206</v>
      </c>
      <c r="BB2289" s="296">
        <v>0</v>
      </c>
      <c r="BC2289" s="297">
        <v>0</v>
      </c>
      <c r="BD2289" s="297">
        <v>0</v>
      </c>
      <c r="BE2289" s="300" t="s">
        <v>5388</v>
      </c>
      <c r="BF2289" s="300" t="s">
        <v>5389</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0</v>
      </c>
      <c r="BU2289" s="23">
        <v>0</v>
      </c>
      <c r="BV2289" s="23"/>
      <c r="BW2289" s="23"/>
      <c r="BX2289" s="23"/>
      <c r="BY2289" s="23"/>
      <c r="BZ2289" s="23"/>
    </row>
    <row r="2290" spans="3:78" ht="20.100000000000001" customHeight="1">
      <c r="C2290" s="294">
        <v>77001502</v>
      </c>
      <c r="D2290" s="295" t="s">
        <v>5390</v>
      </c>
      <c r="E2290" s="295" t="s">
        <v>5391</v>
      </c>
      <c r="F2290" s="296">
        <v>1</v>
      </c>
      <c r="G2290" s="296">
        <v>0</v>
      </c>
      <c r="H2290" s="296">
        <v>0</v>
      </c>
      <c r="I2290" s="297">
        <v>0</v>
      </c>
      <c r="J2290" s="294">
        <v>1</v>
      </c>
      <c r="K2290" s="296">
        <v>0</v>
      </c>
      <c r="L2290" s="296">
        <v>0</v>
      </c>
      <c r="M2290" s="296">
        <v>0</v>
      </c>
      <c r="N2290" s="296">
        <v>0</v>
      </c>
      <c r="O2290" s="296">
        <v>2</v>
      </c>
      <c r="P2290" s="296">
        <v>3</v>
      </c>
      <c r="Q2290" s="296">
        <v>0.2</v>
      </c>
      <c r="R2290" s="296">
        <v>0</v>
      </c>
      <c r="S2290" s="298">
        <v>0</v>
      </c>
      <c r="T2290" s="296">
        <v>0</v>
      </c>
      <c r="U2290" s="296">
        <v>1</v>
      </c>
      <c r="V2290" s="296">
        <v>1</v>
      </c>
      <c r="W2290" s="296">
        <v>0</v>
      </c>
      <c r="X2290" s="296">
        <v>1</v>
      </c>
      <c r="Y2290" s="19">
        <v>0</v>
      </c>
      <c r="Z2290" s="296">
        <v>0</v>
      </c>
      <c r="AA2290" s="296">
        <v>1</v>
      </c>
      <c r="AB2290" s="296">
        <v>0</v>
      </c>
      <c r="AC2290" s="296">
        <v>0</v>
      </c>
      <c r="AD2290" s="296">
        <v>0</v>
      </c>
      <c r="AE2290" s="296">
        <v>1</v>
      </c>
      <c r="AF2290" s="296">
        <v>6</v>
      </c>
      <c r="AG2290" s="296">
        <v>1</v>
      </c>
      <c r="AH2290" s="296">
        <v>3</v>
      </c>
      <c r="AI2290" s="298">
        <v>0</v>
      </c>
      <c r="AJ2290" s="298">
        <v>1</v>
      </c>
      <c r="AK2290" s="298">
        <v>0</v>
      </c>
      <c r="AL2290" s="298">
        <v>2</v>
      </c>
      <c r="AM2290" s="296">
        <v>0</v>
      </c>
      <c r="AN2290" s="296">
        <v>0</v>
      </c>
      <c r="AO2290" s="296">
        <v>0</v>
      </c>
      <c r="AP2290" s="296">
        <v>1</v>
      </c>
      <c r="AQ2290" s="296">
        <v>1100</v>
      </c>
      <c r="AR2290" s="296">
        <v>1</v>
      </c>
      <c r="AS2290" s="296">
        <v>0</v>
      </c>
      <c r="AT2290" s="298">
        <v>0</v>
      </c>
      <c r="AU2290" s="296">
        <v>97005003</v>
      </c>
      <c r="AV2290" s="296"/>
      <c r="AW2290" s="295" t="s">
        <v>204</v>
      </c>
      <c r="AX2290" s="296" t="s">
        <v>540</v>
      </c>
      <c r="AY2290" s="294">
        <v>10000001</v>
      </c>
      <c r="AZ2290" s="294">
        <v>77001505</v>
      </c>
      <c r="BA2290" s="295" t="s">
        <v>777</v>
      </c>
      <c r="BB2290" s="296">
        <v>0</v>
      </c>
      <c r="BC2290" s="297">
        <v>0</v>
      </c>
      <c r="BD2290" s="297">
        <v>0</v>
      </c>
      <c r="BE2290" s="305" t="s">
        <v>5392</v>
      </c>
      <c r="BF2290" s="305" t="s">
        <v>5393</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77001508</v>
      </c>
      <c r="BU2290" s="23">
        <v>0</v>
      </c>
      <c r="BV2290" s="23"/>
      <c r="BW2290" s="23"/>
      <c r="BX2290" s="23"/>
      <c r="BY2290" s="23"/>
      <c r="BZ2290" s="23"/>
    </row>
    <row r="2291" spans="3:78" ht="19.5" customHeight="1">
      <c r="C2291" s="294">
        <v>77001503</v>
      </c>
      <c r="D2291" s="295" t="s">
        <v>5394</v>
      </c>
      <c r="E2291" s="295" t="s">
        <v>5395</v>
      </c>
      <c r="F2291" s="294">
        <v>1</v>
      </c>
      <c r="G2291" s="296">
        <v>0</v>
      </c>
      <c r="H2291" s="294">
        <v>0</v>
      </c>
      <c r="I2291" s="297">
        <v>0</v>
      </c>
      <c r="J2291" s="294">
        <v>1</v>
      </c>
      <c r="K2291" s="294">
        <v>0</v>
      </c>
      <c r="L2291" s="294">
        <v>0</v>
      </c>
      <c r="M2291" s="296">
        <v>0</v>
      </c>
      <c r="N2291" s="296">
        <v>0</v>
      </c>
      <c r="O2291" s="296">
        <v>2</v>
      </c>
      <c r="P2291" s="296">
        <v>1</v>
      </c>
      <c r="Q2291" s="296">
        <v>0.2</v>
      </c>
      <c r="R2291" s="296">
        <v>0</v>
      </c>
      <c r="S2291" s="298">
        <v>0</v>
      </c>
      <c r="T2291" s="296">
        <v>0</v>
      </c>
      <c r="U2291" s="296">
        <v>1</v>
      </c>
      <c r="V2291" s="296">
        <v>2</v>
      </c>
      <c r="W2291" s="296">
        <v>0</v>
      </c>
      <c r="X2291" s="296">
        <v>0.8</v>
      </c>
      <c r="Y2291" s="19">
        <v>0</v>
      </c>
      <c r="Z2291" s="296">
        <v>0</v>
      </c>
      <c r="AA2291" s="296">
        <v>1</v>
      </c>
      <c r="AB2291" s="296">
        <v>0</v>
      </c>
      <c r="AC2291" s="296">
        <v>0</v>
      </c>
      <c r="AD2291" s="296">
        <v>0</v>
      </c>
      <c r="AE2291" s="296">
        <v>0</v>
      </c>
      <c r="AF2291" s="296">
        <v>14</v>
      </c>
      <c r="AG2291" s="296">
        <v>1</v>
      </c>
      <c r="AH2291" s="296">
        <v>3</v>
      </c>
      <c r="AI2291" s="298">
        <v>1</v>
      </c>
      <c r="AJ2291" s="298">
        <v>0</v>
      </c>
      <c r="AK2291" s="298">
        <v>0</v>
      </c>
      <c r="AL2291" s="298">
        <v>0</v>
      </c>
      <c r="AM2291" s="296">
        <v>0</v>
      </c>
      <c r="AN2291" s="296">
        <v>0</v>
      </c>
      <c r="AO2291" s="296">
        <v>0</v>
      </c>
      <c r="AP2291" s="296">
        <v>0</v>
      </c>
      <c r="AQ2291" s="296">
        <v>999999</v>
      </c>
      <c r="AR2291" s="296">
        <v>0</v>
      </c>
      <c r="AS2291" s="296">
        <v>0</v>
      </c>
      <c r="AT2291" s="298">
        <v>97005004</v>
      </c>
      <c r="AU2291" s="296">
        <v>97005002</v>
      </c>
      <c r="AV2291" s="296"/>
      <c r="AW2291" s="299" t="s">
        <v>293</v>
      </c>
      <c r="AX2291" s="296" t="s">
        <v>540</v>
      </c>
      <c r="AY2291" s="294">
        <v>10000007</v>
      </c>
      <c r="AZ2291" s="294">
        <v>77001503</v>
      </c>
      <c r="BA2291" s="299" t="s">
        <v>321</v>
      </c>
      <c r="BB2291" s="299" t="s">
        <v>377</v>
      </c>
      <c r="BC2291" s="297">
        <v>0</v>
      </c>
      <c r="BD2291" s="297">
        <v>0</v>
      </c>
      <c r="BE2291" s="300" t="s">
        <v>5396</v>
      </c>
      <c r="BF2291" s="300" t="s">
        <v>5397</v>
      </c>
      <c r="BG2291" s="296">
        <v>0</v>
      </c>
      <c r="BH2291" s="296">
        <v>0</v>
      </c>
      <c r="BI2291" s="296">
        <v>0</v>
      </c>
      <c r="BJ2291" s="296">
        <v>0</v>
      </c>
      <c r="BK2291" s="296">
        <v>0</v>
      </c>
      <c r="BL2291" s="296">
        <v>0</v>
      </c>
      <c r="BM2291" s="301">
        <v>0</v>
      </c>
      <c r="BN2291" s="298">
        <v>0</v>
      </c>
      <c r="BO2291" s="298">
        <v>0</v>
      </c>
      <c r="BP2291" s="298">
        <v>0</v>
      </c>
      <c r="BQ2291" s="298">
        <v>0</v>
      </c>
      <c r="BR2291" s="298">
        <v>0</v>
      </c>
      <c r="BS2291" s="298">
        <v>0</v>
      </c>
      <c r="BT2291" s="298">
        <v>0</v>
      </c>
      <c r="BU2291" s="23">
        <v>0</v>
      </c>
      <c r="BV2291" s="23"/>
      <c r="BW2291" s="23"/>
      <c r="BX2291" s="23"/>
      <c r="BY2291" s="23"/>
      <c r="BZ2291" s="23"/>
    </row>
    <row r="2292" spans="3:78" ht="20.100000000000001" customHeight="1">
      <c r="C2292" s="294">
        <v>77001504</v>
      </c>
      <c r="D2292" s="295" t="s">
        <v>5398</v>
      </c>
      <c r="E2292" s="306" t="s">
        <v>5399</v>
      </c>
      <c r="F2292" s="301">
        <v>1</v>
      </c>
      <c r="G2292" s="296">
        <v>0</v>
      </c>
      <c r="H2292" s="296">
        <v>0</v>
      </c>
      <c r="I2292" s="297">
        <v>0</v>
      </c>
      <c r="J2292" s="294">
        <v>1</v>
      </c>
      <c r="K2292" s="294">
        <v>0</v>
      </c>
      <c r="L2292" s="294">
        <v>0</v>
      </c>
      <c r="M2292" s="296">
        <v>0</v>
      </c>
      <c r="N2292" s="296">
        <v>0</v>
      </c>
      <c r="O2292" s="296">
        <v>2</v>
      </c>
      <c r="P2292" s="296">
        <v>1</v>
      </c>
      <c r="Q2292" s="296">
        <v>0.2</v>
      </c>
      <c r="R2292" s="296">
        <v>0</v>
      </c>
      <c r="S2292" s="298">
        <v>0</v>
      </c>
      <c r="T2292" s="296">
        <v>0</v>
      </c>
      <c r="U2292" s="296">
        <v>1</v>
      </c>
      <c r="V2292" s="301">
        <v>1</v>
      </c>
      <c r="W2292" s="296">
        <v>0</v>
      </c>
      <c r="X2292" s="296">
        <v>0</v>
      </c>
      <c r="Y2292" s="19">
        <v>0</v>
      </c>
      <c r="Z2292" s="296">
        <v>0</v>
      </c>
      <c r="AA2292" s="296">
        <v>1</v>
      </c>
      <c r="AB2292" s="296">
        <v>0</v>
      </c>
      <c r="AC2292" s="296">
        <v>0</v>
      </c>
      <c r="AD2292" s="296">
        <v>0</v>
      </c>
      <c r="AE2292" s="296">
        <v>1</v>
      </c>
      <c r="AF2292" s="296">
        <v>12</v>
      </c>
      <c r="AG2292" s="296">
        <v>2</v>
      </c>
      <c r="AH2292" s="296" t="s">
        <v>219</v>
      </c>
      <c r="AI2292" s="298">
        <v>0</v>
      </c>
      <c r="AJ2292" s="298">
        <v>2</v>
      </c>
      <c r="AK2292" s="298">
        <v>0</v>
      </c>
      <c r="AL2292" s="298">
        <v>1.5</v>
      </c>
      <c r="AM2292" s="296">
        <v>0</v>
      </c>
      <c r="AN2292" s="296">
        <v>0</v>
      </c>
      <c r="AO2292" s="296">
        <v>0</v>
      </c>
      <c r="AP2292" s="296">
        <v>0.5</v>
      </c>
      <c r="AQ2292" s="296">
        <v>500</v>
      </c>
      <c r="AR2292" s="296">
        <v>0</v>
      </c>
      <c r="AS2292" s="296">
        <v>18</v>
      </c>
      <c r="AT2292" s="298">
        <v>0</v>
      </c>
      <c r="AU2292" s="302">
        <v>0</v>
      </c>
      <c r="AV2292" s="302"/>
      <c r="AW2292" s="295" t="s">
        <v>293</v>
      </c>
      <c r="AX2292" s="296" t="s">
        <v>221</v>
      </c>
      <c r="AY2292" s="294">
        <v>0</v>
      </c>
      <c r="AZ2292" s="294">
        <v>0</v>
      </c>
      <c r="BA2292" s="295" t="s">
        <v>222</v>
      </c>
      <c r="BB2292" s="296">
        <v>0</v>
      </c>
      <c r="BC2292" s="297">
        <v>0</v>
      </c>
      <c r="BD2292" s="297">
        <v>0</v>
      </c>
      <c r="BE2292" s="300" t="s">
        <v>5400</v>
      </c>
      <c r="BF2292" s="300" t="s">
        <v>5401</v>
      </c>
      <c r="BG2292" s="296">
        <v>0</v>
      </c>
      <c r="BH2292" s="296">
        <v>0</v>
      </c>
      <c r="BI2292" s="296">
        <v>0</v>
      </c>
      <c r="BJ2292" s="296">
        <v>0</v>
      </c>
      <c r="BK2292" s="296">
        <v>0</v>
      </c>
      <c r="BL2292" s="296">
        <v>0</v>
      </c>
      <c r="BM2292" s="301">
        <v>0</v>
      </c>
      <c r="BN2292" s="298">
        <v>0</v>
      </c>
      <c r="BO2292" s="298">
        <v>0</v>
      </c>
      <c r="BP2292" s="298">
        <v>0</v>
      </c>
      <c r="BQ2292" s="298">
        <v>0</v>
      </c>
      <c r="BR2292" s="298">
        <v>0</v>
      </c>
      <c r="BS2292" s="298">
        <v>1</v>
      </c>
      <c r="BT2292" s="298">
        <v>77001505</v>
      </c>
      <c r="BU2292" s="23">
        <v>0</v>
      </c>
      <c r="BV2292" s="23"/>
      <c r="BW2292" s="23"/>
      <c r="BX2292" s="23"/>
      <c r="BY2292" s="23"/>
      <c r="BZ2292" s="23"/>
    </row>
    <row r="2293" spans="3:78" ht="19.5" customHeight="1">
      <c r="C2293" s="294">
        <v>77001505</v>
      </c>
      <c r="D2293" s="295" t="s">
        <v>5402</v>
      </c>
      <c r="E2293" s="295" t="s">
        <v>1272</v>
      </c>
      <c r="F2293" s="294">
        <v>1</v>
      </c>
      <c r="G2293" s="296">
        <v>0</v>
      </c>
      <c r="H2293" s="294">
        <v>0</v>
      </c>
      <c r="I2293" s="297">
        <v>0</v>
      </c>
      <c r="J2293" s="294">
        <v>1</v>
      </c>
      <c r="K2293" s="294">
        <v>0</v>
      </c>
      <c r="L2293" s="294">
        <v>0</v>
      </c>
      <c r="M2293" s="296">
        <v>0</v>
      </c>
      <c r="N2293" s="296">
        <v>0</v>
      </c>
      <c r="O2293" s="296">
        <v>2</v>
      </c>
      <c r="P2293" s="296">
        <v>16</v>
      </c>
      <c r="Q2293" s="296">
        <v>5</v>
      </c>
      <c r="R2293" s="296">
        <v>0</v>
      </c>
      <c r="S2293" s="298">
        <v>0</v>
      </c>
      <c r="T2293" s="296">
        <v>0</v>
      </c>
      <c r="U2293" s="296">
        <v>1</v>
      </c>
      <c r="V2293" s="296">
        <v>2</v>
      </c>
      <c r="W2293" s="296">
        <v>0</v>
      </c>
      <c r="X2293" s="296">
        <v>2</v>
      </c>
      <c r="Y2293" s="19">
        <v>0</v>
      </c>
      <c r="Z2293" s="296">
        <v>0</v>
      </c>
      <c r="AA2293" s="296">
        <v>0</v>
      </c>
      <c r="AB2293" s="296">
        <v>0</v>
      </c>
      <c r="AC2293" s="296">
        <v>0</v>
      </c>
      <c r="AD2293" s="296">
        <v>0</v>
      </c>
      <c r="AE2293" s="296">
        <v>1</v>
      </c>
      <c r="AF2293" s="296">
        <v>0</v>
      </c>
      <c r="AG2293" s="296">
        <v>1</v>
      </c>
      <c r="AH2293" s="296" t="s">
        <v>5403</v>
      </c>
      <c r="AI2293" s="298">
        <v>0</v>
      </c>
      <c r="AJ2293" s="298">
        <v>2</v>
      </c>
      <c r="AK2293" s="298">
        <v>0</v>
      </c>
      <c r="AL2293" s="298">
        <v>2</v>
      </c>
      <c r="AM2293" s="296">
        <v>0</v>
      </c>
      <c r="AN2293" s="296">
        <v>0</v>
      </c>
      <c r="AO2293" s="296">
        <v>0</v>
      </c>
      <c r="AP2293" s="296">
        <v>0.5</v>
      </c>
      <c r="AQ2293" s="296">
        <v>1000</v>
      </c>
      <c r="AR2293" s="296">
        <v>0.5</v>
      </c>
      <c r="AS2293" s="296">
        <v>0</v>
      </c>
      <c r="AT2293" s="303">
        <v>0</v>
      </c>
      <c r="AU2293" s="371" t="s">
        <v>5404</v>
      </c>
      <c r="AV2293" s="302"/>
      <c r="AW2293" s="295" t="s">
        <v>205</v>
      </c>
      <c r="AX2293" s="296" t="s">
        <v>540</v>
      </c>
      <c r="AY2293" s="294">
        <v>10000007</v>
      </c>
      <c r="AZ2293" s="372" t="s">
        <v>5405</v>
      </c>
      <c r="BA2293" s="295" t="s">
        <v>206</v>
      </c>
      <c r="BB2293" s="296">
        <v>0</v>
      </c>
      <c r="BC2293" s="297">
        <v>0</v>
      </c>
      <c r="BD2293" s="297">
        <v>1</v>
      </c>
      <c r="BE2293" s="300" t="s">
        <v>1312</v>
      </c>
      <c r="BF2293" s="300" t="s">
        <v>1313</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77001508</v>
      </c>
      <c r="BU2293" s="23">
        <v>0</v>
      </c>
      <c r="BV2293" s="23"/>
      <c r="BW2293" s="23"/>
      <c r="BX2293" s="23"/>
      <c r="BY2293" s="23"/>
      <c r="BZ2293" s="23"/>
    </row>
    <row r="2294" spans="3:78" ht="19.5" customHeight="1">
      <c r="C2294" s="294">
        <v>77001506</v>
      </c>
      <c r="D2294" s="295" t="s">
        <v>5406</v>
      </c>
      <c r="E2294" s="295" t="s">
        <v>5407</v>
      </c>
      <c r="F2294" s="294">
        <v>1</v>
      </c>
      <c r="G2294" s="294">
        <v>0</v>
      </c>
      <c r="H2294" s="294">
        <v>0</v>
      </c>
      <c r="I2294" s="297">
        <v>0</v>
      </c>
      <c r="J2294" s="294">
        <v>1</v>
      </c>
      <c r="K2294" s="294">
        <v>0</v>
      </c>
      <c r="L2294" s="294">
        <v>0</v>
      </c>
      <c r="M2294" s="296">
        <v>0</v>
      </c>
      <c r="N2294" s="296">
        <v>0</v>
      </c>
      <c r="O2294" s="296">
        <v>2</v>
      </c>
      <c r="P2294" s="296">
        <v>2</v>
      </c>
      <c r="Q2294" s="296">
        <v>0.3</v>
      </c>
      <c r="R2294" s="296">
        <v>1</v>
      </c>
      <c r="S2294" s="298">
        <v>0</v>
      </c>
      <c r="T2294" s="296">
        <v>0</v>
      </c>
      <c r="U2294" s="296">
        <v>1</v>
      </c>
      <c r="V2294" s="296">
        <v>2</v>
      </c>
      <c r="W2294" s="296">
        <v>0</v>
      </c>
      <c r="X2294" s="296">
        <v>2.5</v>
      </c>
      <c r="Y2294" s="19">
        <v>0</v>
      </c>
      <c r="Z2294" s="296">
        <v>0</v>
      </c>
      <c r="AA2294" s="296">
        <v>1</v>
      </c>
      <c r="AB2294" s="296">
        <v>0</v>
      </c>
      <c r="AC2294" s="296">
        <v>0</v>
      </c>
      <c r="AD2294" s="296">
        <v>1</v>
      </c>
      <c r="AE2294" s="296">
        <v>0</v>
      </c>
      <c r="AF2294" s="296">
        <v>0</v>
      </c>
      <c r="AG2294" s="296">
        <v>1</v>
      </c>
      <c r="AH2294" s="296">
        <v>5</v>
      </c>
      <c r="AI2294" s="298">
        <v>0</v>
      </c>
      <c r="AJ2294" s="298">
        <v>1</v>
      </c>
      <c r="AK2294" s="298">
        <v>0</v>
      </c>
      <c r="AL2294" s="298">
        <v>1.5</v>
      </c>
      <c r="AM2294" s="296">
        <v>0</v>
      </c>
      <c r="AN2294" s="296">
        <v>0</v>
      </c>
      <c r="AO2294" s="296">
        <v>0</v>
      </c>
      <c r="AP2294" s="296">
        <v>1.5</v>
      </c>
      <c r="AQ2294" s="296">
        <v>2000</v>
      </c>
      <c r="AR2294" s="296">
        <v>1.5</v>
      </c>
      <c r="AS2294" s="296">
        <v>0</v>
      </c>
      <c r="AT2294" s="298">
        <v>97005007</v>
      </c>
      <c r="AU2294" s="371" t="s">
        <v>5404</v>
      </c>
      <c r="AV2294" s="302"/>
      <c r="AW2294" s="299" t="s">
        <v>623</v>
      </c>
      <c r="AX2294" s="296" t="s">
        <v>540</v>
      </c>
      <c r="AY2294" s="294">
        <v>0</v>
      </c>
      <c r="AZ2294" s="294">
        <v>77001506</v>
      </c>
      <c r="BA2294" s="295" t="s">
        <v>206</v>
      </c>
      <c r="BB2294" s="296">
        <v>0</v>
      </c>
      <c r="BC2294" s="297">
        <v>0</v>
      </c>
      <c r="BD2294" s="297">
        <v>0</v>
      </c>
      <c r="BE2294" s="300" t="s">
        <v>5408</v>
      </c>
      <c r="BF2294" s="300" t="s">
        <v>5409</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3:78" ht="19.5" customHeight="1">
      <c r="C2295" s="294">
        <v>77001507</v>
      </c>
      <c r="D2295" s="295" t="s">
        <v>5410</v>
      </c>
      <c r="E2295" s="295" t="s">
        <v>5411</v>
      </c>
      <c r="F2295" s="294">
        <v>1</v>
      </c>
      <c r="G2295" s="294">
        <v>0</v>
      </c>
      <c r="H2295" s="294">
        <v>0</v>
      </c>
      <c r="I2295" s="297">
        <v>0</v>
      </c>
      <c r="J2295" s="294">
        <v>1</v>
      </c>
      <c r="K2295" s="294">
        <v>0</v>
      </c>
      <c r="L2295" s="294">
        <v>0</v>
      </c>
      <c r="M2295" s="296">
        <v>0</v>
      </c>
      <c r="N2295" s="296">
        <v>0</v>
      </c>
      <c r="O2295" s="296">
        <v>2</v>
      </c>
      <c r="P2295" s="296">
        <v>3</v>
      </c>
      <c r="Q2295" s="296">
        <v>0.2</v>
      </c>
      <c r="R2295" s="296">
        <v>0</v>
      </c>
      <c r="S2295" s="298">
        <v>1</v>
      </c>
      <c r="T2295" s="296">
        <v>0</v>
      </c>
      <c r="U2295" s="296">
        <v>1</v>
      </c>
      <c r="V2295" s="296">
        <v>2</v>
      </c>
      <c r="W2295" s="296">
        <v>0</v>
      </c>
      <c r="X2295" s="296">
        <v>2</v>
      </c>
      <c r="Y2295" s="19">
        <v>0</v>
      </c>
      <c r="Z2295" s="296">
        <v>0</v>
      </c>
      <c r="AA2295" s="296">
        <v>1</v>
      </c>
      <c r="AB2295" s="296">
        <v>0</v>
      </c>
      <c r="AC2295" s="296">
        <v>0</v>
      </c>
      <c r="AD2295" s="296">
        <v>1</v>
      </c>
      <c r="AE2295" s="296">
        <v>1</v>
      </c>
      <c r="AF2295" s="296">
        <v>0</v>
      </c>
      <c r="AG2295" s="296">
        <v>1</v>
      </c>
      <c r="AH2295" s="296">
        <v>3</v>
      </c>
      <c r="AI2295" s="298">
        <v>0</v>
      </c>
      <c r="AJ2295" s="298">
        <v>1</v>
      </c>
      <c r="AK2295" s="298">
        <v>0</v>
      </c>
      <c r="AL2295" s="298">
        <v>3</v>
      </c>
      <c r="AM2295" s="296">
        <v>0</v>
      </c>
      <c r="AN2295" s="296">
        <v>0</v>
      </c>
      <c r="AO2295" s="296">
        <v>0</v>
      </c>
      <c r="AP2295" s="296">
        <v>0</v>
      </c>
      <c r="AQ2295" s="296">
        <v>500</v>
      </c>
      <c r="AR2295" s="296">
        <v>0.3</v>
      </c>
      <c r="AS2295" s="296">
        <v>0</v>
      </c>
      <c r="AT2295" s="298">
        <v>0</v>
      </c>
      <c r="AU2295" s="302">
        <v>0</v>
      </c>
      <c r="AV2295" s="302"/>
      <c r="AW2295" s="299" t="s">
        <v>204</v>
      </c>
      <c r="AX2295" s="296" t="s">
        <v>540</v>
      </c>
      <c r="AY2295" s="294">
        <v>0</v>
      </c>
      <c r="AZ2295" s="294">
        <v>77001507</v>
      </c>
      <c r="BA2295" s="295" t="s">
        <v>206</v>
      </c>
      <c r="BB2295" s="296">
        <v>0</v>
      </c>
      <c r="BC2295" s="297">
        <v>0</v>
      </c>
      <c r="BD2295" s="297">
        <v>0</v>
      </c>
      <c r="BE2295" s="300" t="s">
        <v>2399</v>
      </c>
      <c r="BF2295" s="300" t="s">
        <v>2400</v>
      </c>
      <c r="BG2295" s="296">
        <v>0</v>
      </c>
      <c r="BH2295" s="296">
        <v>0</v>
      </c>
      <c r="BI2295" s="296">
        <v>0</v>
      </c>
      <c r="BJ2295" s="296">
        <v>0</v>
      </c>
      <c r="BK2295" s="296">
        <v>0</v>
      </c>
      <c r="BL2295" s="296">
        <v>0</v>
      </c>
      <c r="BM2295" s="301">
        <v>0</v>
      </c>
      <c r="BN2295" s="298">
        <v>0</v>
      </c>
      <c r="BO2295" s="298">
        <v>0</v>
      </c>
      <c r="BP2295" s="298">
        <v>0</v>
      </c>
      <c r="BQ2295" s="298">
        <v>0</v>
      </c>
      <c r="BR2295" s="298">
        <v>0</v>
      </c>
      <c r="BS2295" s="298">
        <v>0</v>
      </c>
      <c r="BT2295" s="298">
        <v>0</v>
      </c>
      <c r="BU2295" s="23">
        <v>0</v>
      </c>
      <c r="BV2295" s="23"/>
      <c r="BW2295" s="23"/>
      <c r="BX2295" s="23"/>
      <c r="BY2295" s="23"/>
      <c r="BZ2295" s="23"/>
    </row>
    <row r="2296" spans="3:78" ht="19.5" customHeight="1">
      <c r="C2296" s="294">
        <v>77001508</v>
      </c>
      <c r="D2296" s="295" t="s">
        <v>568</v>
      </c>
      <c r="E2296" s="295" t="s">
        <v>569</v>
      </c>
      <c r="F2296" s="294">
        <v>1</v>
      </c>
      <c r="G2296" s="296">
        <v>0</v>
      </c>
      <c r="H2296" s="294">
        <v>0</v>
      </c>
      <c r="I2296" s="297">
        <v>0</v>
      </c>
      <c r="J2296" s="294">
        <v>1</v>
      </c>
      <c r="K2296" s="294">
        <v>0</v>
      </c>
      <c r="L2296" s="294">
        <v>0</v>
      </c>
      <c r="M2296" s="296">
        <v>0</v>
      </c>
      <c r="N2296" s="296">
        <v>0</v>
      </c>
      <c r="O2296" s="296">
        <v>2</v>
      </c>
      <c r="P2296" s="296">
        <v>1</v>
      </c>
      <c r="Q2296" s="296">
        <v>1</v>
      </c>
      <c r="R2296" s="296">
        <v>0</v>
      </c>
      <c r="S2296" s="298">
        <v>0</v>
      </c>
      <c r="T2296" s="296">
        <v>0</v>
      </c>
      <c r="U2296" s="296">
        <v>1</v>
      </c>
      <c r="V2296" s="296">
        <v>2</v>
      </c>
      <c r="W2296" s="296">
        <v>0</v>
      </c>
      <c r="X2296" s="296">
        <v>0.5</v>
      </c>
      <c r="Y2296" s="19">
        <v>0</v>
      </c>
      <c r="Z2296" s="296">
        <v>0</v>
      </c>
      <c r="AA2296" s="296">
        <v>1</v>
      </c>
      <c r="AB2296" s="296">
        <v>0</v>
      </c>
      <c r="AC2296" s="296">
        <v>0</v>
      </c>
      <c r="AD2296" s="296">
        <v>0</v>
      </c>
      <c r="AE2296" s="296">
        <v>0</v>
      </c>
      <c r="AF2296" s="296">
        <v>25</v>
      </c>
      <c r="AG2296" s="296">
        <v>1</v>
      </c>
      <c r="AH2296" s="296">
        <v>3</v>
      </c>
      <c r="AI2296" s="298">
        <v>0</v>
      </c>
      <c r="AJ2296" s="298">
        <v>0</v>
      </c>
      <c r="AK2296" s="298">
        <v>0</v>
      </c>
      <c r="AL2296" s="298">
        <v>0</v>
      </c>
      <c r="AM2296" s="296">
        <v>0</v>
      </c>
      <c r="AN2296" s="296">
        <v>0</v>
      </c>
      <c r="AO2296" s="296">
        <v>0</v>
      </c>
      <c r="AP2296" s="296">
        <v>0</v>
      </c>
      <c r="AQ2296" s="296">
        <v>300000</v>
      </c>
      <c r="AR2296" s="296">
        <v>0</v>
      </c>
      <c r="AS2296" s="296">
        <v>0</v>
      </c>
      <c r="AT2296" s="373" t="s">
        <v>5412</v>
      </c>
      <c r="AU2296" s="296">
        <v>97005002</v>
      </c>
      <c r="AV2296" s="296"/>
      <c r="AW2296" s="299" t="s">
        <v>204</v>
      </c>
      <c r="AX2296" s="296" t="s">
        <v>540</v>
      </c>
      <c r="AY2296" s="294">
        <v>10000007</v>
      </c>
      <c r="AZ2296" s="294">
        <v>77001503</v>
      </c>
      <c r="BA2296" s="299" t="s">
        <v>321</v>
      </c>
      <c r="BB2296" s="299" t="s">
        <v>377</v>
      </c>
      <c r="BC2296" s="297">
        <v>0</v>
      </c>
      <c r="BD2296" s="297">
        <v>0</v>
      </c>
      <c r="BE2296" s="300" t="s">
        <v>1232</v>
      </c>
      <c r="BF2296" s="300" t="s">
        <v>1233</v>
      </c>
      <c r="BG2296" s="296">
        <v>0</v>
      </c>
      <c r="BH2296" s="296">
        <v>0</v>
      </c>
      <c r="BI2296" s="296">
        <v>0</v>
      </c>
      <c r="BJ2296" s="296">
        <v>0</v>
      </c>
      <c r="BK2296" s="296">
        <v>0</v>
      </c>
      <c r="BL2296" s="296">
        <v>0</v>
      </c>
      <c r="BM2296" s="301">
        <v>0</v>
      </c>
      <c r="BN2296" s="298">
        <v>0</v>
      </c>
      <c r="BO2296" s="298">
        <v>0</v>
      </c>
      <c r="BP2296" s="298">
        <v>0</v>
      </c>
      <c r="BQ2296" s="298">
        <v>0</v>
      </c>
      <c r="BR2296" s="298">
        <v>0</v>
      </c>
      <c r="BS2296" s="298">
        <v>1</v>
      </c>
      <c r="BT2296" s="298">
        <v>0</v>
      </c>
      <c r="BU2296" s="23">
        <v>0</v>
      </c>
      <c r="BV2296" s="23"/>
      <c r="BW2296" s="23"/>
      <c r="BX2296" s="23"/>
      <c r="BY2296" s="23"/>
      <c r="BZ2296" s="23"/>
    </row>
    <row r="2297" spans="3:78" ht="20.100000000000001" customHeight="1">
      <c r="C2297" s="107">
        <v>77001601</v>
      </c>
      <c r="D2297" s="110" t="s">
        <v>5413</v>
      </c>
      <c r="E2297" s="110" t="s">
        <v>5414</v>
      </c>
      <c r="F2297" s="100">
        <v>1</v>
      </c>
      <c r="G2297" s="100">
        <v>0</v>
      </c>
      <c r="H2297" s="107">
        <v>0</v>
      </c>
      <c r="I2297" s="105">
        <v>0</v>
      </c>
      <c r="J2297" s="107">
        <v>1</v>
      </c>
      <c r="K2297" s="107">
        <v>0</v>
      </c>
      <c r="L2297" s="107">
        <v>0</v>
      </c>
      <c r="M2297" s="100">
        <v>0</v>
      </c>
      <c r="N2297" s="100">
        <v>0</v>
      </c>
      <c r="O2297" s="100">
        <v>2</v>
      </c>
      <c r="P2297" s="100">
        <v>16</v>
      </c>
      <c r="Q2297" s="100">
        <v>8</v>
      </c>
      <c r="R2297" s="100">
        <v>0</v>
      </c>
      <c r="S2297" s="99">
        <v>3</v>
      </c>
      <c r="T2297" s="100">
        <v>0</v>
      </c>
      <c r="U2297" s="100">
        <v>1</v>
      </c>
      <c r="V2297" s="100">
        <v>2</v>
      </c>
      <c r="W2297" s="100">
        <v>0</v>
      </c>
      <c r="X2297" s="100">
        <v>1.2</v>
      </c>
      <c r="Y2297" s="19">
        <v>0</v>
      </c>
      <c r="Z2297" s="100">
        <v>0</v>
      </c>
      <c r="AA2297" s="100">
        <v>0</v>
      </c>
      <c r="AB2297" s="100">
        <v>0</v>
      </c>
      <c r="AC2297" s="100">
        <v>0</v>
      </c>
      <c r="AD2297" s="100">
        <v>0</v>
      </c>
      <c r="AE2297" s="100">
        <v>0</v>
      </c>
      <c r="AF2297" s="100">
        <v>0</v>
      </c>
      <c r="AG2297" s="100">
        <v>1</v>
      </c>
      <c r="AH2297" s="100">
        <v>3</v>
      </c>
      <c r="AI2297" s="99">
        <v>6</v>
      </c>
      <c r="AJ2297" s="99">
        <v>1</v>
      </c>
      <c r="AK2297" s="99">
        <v>0</v>
      </c>
      <c r="AL2297" s="99">
        <v>1.5</v>
      </c>
      <c r="AM2297" s="100">
        <v>0</v>
      </c>
      <c r="AN2297" s="100">
        <v>0</v>
      </c>
      <c r="AO2297" s="100">
        <v>0</v>
      </c>
      <c r="AP2297" s="100">
        <v>1</v>
      </c>
      <c r="AQ2297" s="100">
        <v>5000</v>
      </c>
      <c r="AR2297" s="100">
        <v>1</v>
      </c>
      <c r="AS2297" s="100">
        <v>0</v>
      </c>
      <c r="AT2297" s="99">
        <v>0</v>
      </c>
      <c r="AU2297" s="339" t="s">
        <v>5415</v>
      </c>
      <c r="AV2297" s="118"/>
      <c r="AW2297" s="104" t="s">
        <v>262</v>
      </c>
      <c r="AX2297" s="100" t="s">
        <v>540</v>
      </c>
      <c r="AY2297" s="107">
        <v>10000007</v>
      </c>
      <c r="AZ2297" s="337" t="s">
        <v>5416</v>
      </c>
      <c r="BA2297" s="110" t="s">
        <v>206</v>
      </c>
      <c r="BB2297" s="100" t="s">
        <v>5417</v>
      </c>
      <c r="BC2297" s="105">
        <v>0</v>
      </c>
      <c r="BD2297" s="105">
        <v>0</v>
      </c>
      <c r="BE2297" s="111" t="s">
        <v>5418</v>
      </c>
      <c r="BF2297" s="111" t="s">
        <v>5419</v>
      </c>
      <c r="BG2297" s="100">
        <v>0</v>
      </c>
      <c r="BH2297" s="100">
        <v>0</v>
      </c>
      <c r="BI2297" s="100">
        <v>0</v>
      </c>
      <c r="BJ2297" s="100">
        <v>0</v>
      </c>
      <c r="BK2297" s="100">
        <v>0</v>
      </c>
      <c r="BL2297" s="100">
        <v>0</v>
      </c>
      <c r="BM2297" s="97">
        <v>0</v>
      </c>
      <c r="BN2297" s="99">
        <v>0</v>
      </c>
      <c r="BO2297" s="99">
        <v>0</v>
      </c>
      <c r="BP2297" s="99">
        <v>0</v>
      </c>
      <c r="BQ2297" s="99">
        <v>0</v>
      </c>
      <c r="BR2297" s="99">
        <v>0</v>
      </c>
      <c r="BS2297" s="99">
        <v>0</v>
      </c>
      <c r="BT2297" s="99">
        <v>0</v>
      </c>
      <c r="BU2297" s="23">
        <v>0</v>
      </c>
      <c r="BV2297" s="23"/>
      <c r="BW2297" s="23"/>
      <c r="BX2297" s="23"/>
      <c r="BY2297" s="23"/>
      <c r="BZ2297" s="23"/>
    </row>
    <row r="2298" spans="3:78" ht="20.100000000000001" customHeight="1">
      <c r="C2298" s="107">
        <v>77001602</v>
      </c>
      <c r="D2298" s="119" t="s">
        <v>820</v>
      </c>
      <c r="E2298" s="119" t="s">
        <v>821</v>
      </c>
      <c r="F2298" s="97">
        <v>1</v>
      </c>
      <c r="G2298" s="97">
        <v>0</v>
      </c>
      <c r="H2298" s="97">
        <v>0</v>
      </c>
      <c r="I2298" s="98">
        <v>0</v>
      </c>
      <c r="J2298" s="107">
        <v>1</v>
      </c>
      <c r="K2298" s="97">
        <v>0</v>
      </c>
      <c r="L2298" s="98">
        <v>0</v>
      </c>
      <c r="M2298" s="98">
        <v>0</v>
      </c>
      <c r="N2298" s="97">
        <v>0</v>
      </c>
      <c r="O2298" s="100">
        <v>2</v>
      </c>
      <c r="P2298" s="100">
        <v>2</v>
      </c>
      <c r="Q2298" s="97">
        <v>0.8</v>
      </c>
      <c r="R2298" s="97">
        <v>0</v>
      </c>
      <c r="S2298" s="99">
        <v>0</v>
      </c>
      <c r="T2298" s="97">
        <v>0</v>
      </c>
      <c r="U2298" s="100">
        <v>1</v>
      </c>
      <c r="V2298" s="97">
        <v>1</v>
      </c>
      <c r="W2298" s="98">
        <v>0</v>
      </c>
      <c r="X2298" s="97">
        <v>2</v>
      </c>
      <c r="Y2298" s="19">
        <v>0</v>
      </c>
      <c r="Z2298" s="97">
        <v>0</v>
      </c>
      <c r="AA2298" s="97">
        <v>0</v>
      </c>
      <c r="AB2298" s="97">
        <v>0</v>
      </c>
      <c r="AC2298" s="98">
        <v>0</v>
      </c>
      <c r="AD2298" s="97">
        <v>0</v>
      </c>
      <c r="AE2298" s="97">
        <v>0</v>
      </c>
      <c r="AF2298" s="97">
        <v>0</v>
      </c>
      <c r="AG2298" s="97">
        <v>1</v>
      </c>
      <c r="AH2298" s="100">
        <v>2</v>
      </c>
      <c r="AI2298" s="101">
        <v>0</v>
      </c>
      <c r="AJ2298" s="101">
        <v>2</v>
      </c>
      <c r="AK2298" s="99">
        <v>0</v>
      </c>
      <c r="AL2298" s="97">
        <v>1.5</v>
      </c>
      <c r="AM2298" s="102">
        <v>0</v>
      </c>
      <c r="AN2298" s="97">
        <v>0</v>
      </c>
      <c r="AO2298" s="97">
        <v>0</v>
      </c>
      <c r="AP2298" s="97">
        <v>0</v>
      </c>
      <c r="AQ2298" s="100">
        <v>7000</v>
      </c>
      <c r="AR2298" s="97">
        <v>0</v>
      </c>
      <c r="AS2298" s="97">
        <v>10</v>
      </c>
      <c r="AT2298" s="99">
        <v>0</v>
      </c>
      <c r="AU2298" s="100">
        <v>0</v>
      </c>
      <c r="AV2298" s="100"/>
      <c r="AW2298" s="104" t="s">
        <v>293</v>
      </c>
      <c r="AX2298" s="98">
        <v>0</v>
      </c>
      <c r="AY2298" s="98">
        <v>0</v>
      </c>
      <c r="AZ2298" s="107">
        <v>77001602</v>
      </c>
      <c r="BA2298" s="104" t="s">
        <v>592</v>
      </c>
      <c r="BB2298" s="100" t="s">
        <v>5420</v>
      </c>
      <c r="BC2298" s="105">
        <v>0</v>
      </c>
      <c r="BD2298" s="105">
        <v>0</v>
      </c>
      <c r="BE2298" s="111" t="s">
        <v>5421</v>
      </c>
      <c r="BF2298" s="120" t="s">
        <v>5422</v>
      </c>
      <c r="BG2298" s="97">
        <v>2</v>
      </c>
      <c r="BH2298" s="97">
        <v>0</v>
      </c>
      <c r="BI2298" s="107">
        <v>0</v>
      </c>
      <c r="BJ2298" s="97">
        <v>1</v>
      </c>
      <c r="BK2298" s="97">
        <v>2</v>
      </c>
      <c r="BL2298" s="102">
        <v>0</v>
      </c>
      <c r="BM2298" s="97">
        <v>0</v>
      </c>
      <c r="BN2298" s="99">
        <v>0</v>
      </c>
      <c r="BO2298" s="99">
        <v>0</v>
      </c>
      <c r="BP2298" s="99">
        <v>0</v>
      </c>
      <c r="BQ2298" s="99">
        <v>0</v>
      </c>
      <c r="BR2298" s="99">
        <v>0</v>
      </c>
      <c r="BS2298" s="99">
        <v>1</v>
      </c>
      <c r="BT2298" s="99">
        <v>0</v>
      </c>
      <c r="BU2298" s="23">
        <v>0</v>
      </c>
      <c r="BV2298" s="23"/>
      <c r="BW2298" s="23"/>
      <c r="BX2298" s="23"/>
      <c r="BY2298" s="23"/>
      <c r="BZ2298" s="23"/>
    </row>
    <row r="2299" spans="3:78" ht="19.5" customHeight="1">
      <c r="C2299" s="107">
        <v>77001603</v>
      </c>
      <c r="D2299" s="110" t="s">
        <v>5423</v>
      </c>
      <c r="E2299" s="110" t="s">
        <v>5424</v>
      </c>
      <c r="F2299" s="107">
        <v>1</v>
      </c>
      <c r="G2299" s="100">
        <v>0</v>
      </c>
      <c r="H2299" s="107">
        <v>0</v>
      </c>
      <c r="I2299" s="105">
        <v>0</v>
      </c>
      <c r="J2299" s="107">
        <v>1</v>
      </c>
      <c r="K2299" s="107">
        <v>0</v>
      </c>
      <c r="L2299" s="107">
        <v>0</v>
      </c>
      <c r="M2299" s="100">
        <v>0</v>
      </c>
      <c r="N2299" s="100">
        <v>0</v>
      </c>
      <c r="O2299" s="100">
        <v>2</v>
      </c>
      <c r="P2299" s="100">
        <v>2</v>
      </c>
      <c r="Q2299" s="100">
        <v>0.6</v>
      </c>
      <c r="R2299" s="100">
        <v>0</v>
      </c>
      <c r="S2299" s="99">
        <v>0</v>
      </c>
      <c r="T2299" s="100">
        <v>0</v>
      </c>
      <c r="U2299" s="100">
        <v>1</v>
      </c>
      <c r="V2299" s="100">
        <v>2</v>
      </c>
      <c r="W2299" s="100">
        <v>0</v>
      </c>
      <c r="X2299" s="100">
        <v>0.8</v>
      </c>
      <c r="Y2299" s="19">
        <v>0</v>
      </c>
      <c r="Z2299" s="100">
        <v>0</v>
      </c>
      <c r="AA2299" s="100">
        <v>1</v>
      </c>
      <c r="AB2299" s="100">
        <v>0</v>
      </c>
      <c r="AC2299" s="100">
        <v>0</v>
      </c>
      <c r="AD2299" s="100">
        <v>0</v>
      </c>
      <c r="AE2299" s="100">
        <v>0</v>
      </c>
      <c r="AF2299" s="100">
        <v>16</v>
      </c>
      <c r="AG2299" s="100">
        <v>1</v>
      </c>
      <c r="AH2299" s="100">
        <v>5</v>
      </c>
      <c r="AI2299" s="99">
        <v>0</v>
      </c>
      <c r="AJ2299" s="99">
        <v>0</v>
      </c>
      <c r="AK2299" s="99">
        <v>0</v>
      </c>
      <c r="AL2299" s="99">
        <v>0</v>
      </c>
      <c r="AM2299" s="100">
        <v>0</v>
      </c>
      <c r="AN2299" s="100">
        <v>0</v>
      </c>
      <c r="AO2299" s="100">
        <v>0</v>
      </c>
      <c r="AP2299" s="100">
        <v>0.8</v>
      </c>
      <c r="AQ2299" s="100">
        <v>15000</v>
      </c>
      <c r="AR2299" s="100">
        <v>0.8</v>
      </c>
      <c r="AS2299" s="100">
        <v>0</v>
      </c>
      <c r="AT2299" s="117">
        <v>0</v>
      </c>
      <c r="AU2299" s="339" t="s">
        <v>5425</v>
      </c>
      <c r="AV2299" s="118"/>
      <c r="AW2299" s="104" t="s">
        <v>205</v>
      </c>
      <c r="AX2299" s="100" t="s">
        <v>540</v>
      </c>
      <c r="AY2299" s="107">
        <v>10000007</v>
      </c>
      <c r="AZ2299" s="107">
        <v>77001603</v>
      </c>
      <c r="BA2299" s="104" t="s">
        <v>321</v>
      </c>
      <c r="BB2299" s="104" t="s">
        <v>377</v>
      </c>
      <c r="BC2299" s="105">
        <v>0</v>
      </c>
      <c r="BD2299" s="105">
        <v>0</v>
      </c>
      <c r="BE2299" s="111" t="s">
        <v>5426</v>
      </c>
      <c r="BF2299" s="111" t="s">
        <v>5427</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77001604</v>
      </c>
      <c r="D2300" s="110" t="s">
        <v>5428</v>
      </c>
      <c r="E2300" s="110" t="s">
        <v>5429</v>
      </c>
      <c r="F2300" s="100">
        <v>1</v>
      </c>
      <c r="G2300" s="100">
        <v>0</v>
      </c>
      <c r="H2300" s="100">
        <v>0</v>
      </c>
      <c r="I2300" s="105">
        <v>0</v>
      </c>
      <c r="J2300" s="107">
        <v>1</v>
      </c>
      <c r="K2300" s="100">
        <v>0</v>
      </c>
      <c r="L2300" s="100">
        <v>0</v>
      </c>
      <c r="M2300" s="100">
        <v>0</v>
      </c>
      <c r="N2300" s="100">
        <v>0</v>
      </c>
      <c r="O2300" s="100">
        <v>2</v>
      </c>
      <c r="P2300" s="100">
        <v>3</v>
      </c>
      <c r="Q2300" s="100">
        <v>0.2</v>
      </c>
      <c r="R2300" s="100">
        <v>0</v>
      </c>
      <c r="S2300" s="99">
        <v>0</v>
      </c>
      <c r="T2300" s="100">
        <v>0</v>
      </c>
      <c r="U2300" s="100">
        <v>1</v>
      </c>
      <c r="V2300" s="100">
        <v>1</v>
      </c>
      <c r="W2300" s="100">
        <v>0</v>
      </c>
      <c r="X2300" s="100">
        <v>1.5</v>
      </c>
      <c r="Y2300" s="19">
        <v>0</v>
      </c>
      <c r="Z2300" s="100">
        <v>0</v>
      </c>
      <c r="AA2300" s="100">
        <v>1</v>
      </c>
      <c r="AB2300" s="100">
        <v>0</v>
      </c>
      <c r="AC2300" s="100">
        <v>0</v>
      </c>
      <c r="AD2300" s="100">
        <v>0</v>
      </c>
      <c r="AE2300" s="100">
        <v>1</v>
      </c>
      <c r="AF2300" s="100">
        <v>8</v>
      </c>
      <c r="AG2300" s="100">
        <v>1</v>
      </c>
      <c r="AH2300" s="100">
        <v>4</v>
      </c>
      <c r="AI2300" s="99">
        <v>0</v>
      </c>
      <c r="AJ2300" s="99">
        <v>1</v>
      </c>
      <c r="AK2300" s="99">
        <v>0</v>
      </c>
      <c r="AL2300" s="99">
        <v>2</v>
      </c>
      <c r="AM2300" s="100">
        <v>0</v>
      </c>
      <c r="AN2300" s="100">
        <v>0</v>
      </c>
      <c r="AO2300" s="100">
        <v>0</v>
      </c>
      <c r="AP2300" s="100">
        <v>0.5</v>
      </c>
      <c r="AQ2300" s="100">
        <v>600</v>
      </c>
      <c r="AR2300" s="100">
        <v>0.5</v>
      </c>
      <c r="AS2300" s="100">
        <v>0</v>
      </c>
      <c r="AT2300" s="99">
        <v>0</v>
      </c>
      <c r="AU2300" s="100">
        <v>97006001</v>
      </c>
      <c r="AV2300" s="100"/>
      <c r="AW2300" s="110" t="s">
        <v>204</v>
      </c>
      <c r="AX2300" s="100" t="s">
        <v>540</v>
      </c>
      <c r="AY2300" s="107">
        <v>10000001</v>
      </c>
      <c r="AZ2300" s="107">
        <v>77001604</v>
      </c>
      <c r="BA2300" s="110" t="s">
        <v>777</v>
      </c>
      <c r="BB2300" s="100">
        <v>0</v>
      </c>
      <c r="BC2300" s="105">
        <v>0</v>
      </c>
      <c r="BD2300" s="105">
        <v>0</v>
      </c>
      <c r="BE2300" s="136" t="s">
        <v>5430</v>
      </c>
      <c r="BF2300" s="136" t="s">
        <v>5431</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77001603</v>
      </c>
      <c r="BU2300" s="23">
        <v>0</v>
      </c>
      <c r="BV2300" s="23"/>
      <c r="BW2300" s="23"/>
      <c r="BX2300" s="23"/>
      <c r="BY2300" s="23"/>
      <c r="BZ2300" s="23"/>
    </row>
    <row r="2301" spans="3:78" ht="20.100000000000001" customHeight="1">
      <c r="C2301" s="107">
        <v>77001605</v>
      </c>
      <c r="D2301" s="110" t="s">
        <v>5432</v>
      </c>
      <c r="E2301" s="304" t="s">
        <v>5433</v>
      </c>
      <c r="F2301" s="97">
        <v>1</v>
      </c>
      <c r="G2301" s="97">
        <v>0</v>
      </c>
      <c r="H2301" s="100">
        <v>0</v>
      </c>
      <c r="I2301" s="105">
        <v>0</v>
      </c>
      <c r="J2301" s="107">
        <v>1</v>
      </c>
      <c r="K2301" s="107">
        <v>0</v>
      </c>
      <c r="L2301" s="107">
        <v>0</v>
      </c>
      <c r="M2301" s="100">
        <v>0</v>
      </c>
      <c r="N2301" s="100">
        <v>0</v>
      </c>
      <c r="O2301" s="100">
        <v>2</v>
      </c>
      <c r="P2301" s="100">
        <v>16</v>
      </c>
      <c r="Q2301" s="100">
        <v>30</v>
      </c>
      <c r="R2301" s="100">
        <v>0</v>
      </c>
      <c r="S2301" s="99">
        <v>0</v>
      </c>
      <c r="T2301" s="100">
        <v>0</v>
      </c>
      <c r="U2301" s="100">
        <v>1</v>
      </c>
      <c r="V2301" s="97">
        <v>1</v>
      </c>
      <c r="W2301" s="100">
        <v>0</v>
      </c>
      <c r="X2301" s="100">
        <v>0</v>
      </c>
      <c r="Y2301" s="19">
        <v>0</v>
      </c>
      <c r="Z2301" s="100">
        <v>0</v>
      </c>
      <c r="AA2301" s="100">
        <v>1</v>
      </c>
      <c r="AB2301" s="100">
        <v>0</v>
      </c>
      <c r="AC2301" s="100">
        <v>0</v>
      </c>
      <c r="AD2301" s="100">
        <v>0</v>
      </c>
      <c r="AE2301" s="100">
        <v>1</v>
      </c>
      <c r="AF2301" s="100">
        <v>0</v>
      </c>
      <c r="AG2301" s="100">
        <v>1</v>
      </c>
      <c r="AH2301" s="100">
        <v>15</v>
      </c>
      <c r="AI2301" s="99">
        <v>0</v>
      </c>
      <c r="AJ2301" s="99">
        <v>1</v>
      </c>
      <c r="AK2301" s="99">
        <v>0</v>
      </c>
      <c r="AL2301" s="99">
        <v>1.5</v>
      </c>
      <c r="AM2301" s="100">
        <v>0</v>
      </c>
      <c r="AN2301" s="100">
        <v>0</v>
      </c>
      <c r="AO2301" s="100">
        <v>0</v>
      </c>
      <c r="AP2301" s="100">
        <v>1</v>
      </c>
      <c r="AQ2301" s="100">
        <v>3000</v>
      </c>
      <c r="AR2301" s="100">
        <v>0.5</v>
      </c>
      <c r="AS2301" s="100">
        <v>0</v>
      </c>
      <c r="AT2301" s="335" t="s">
        <v>5434</v>
      </c>
      <c r="AU2301" s="118">
        <v>0</v>
      </c>
      <c r="AV2301" s="118"/>
      <c r="AW2301" s="110" t="s">
        <v>293</v>
      </c>
      <c r="AX2301" s="100" t="s">
        <v>221</v>
      </c>
      <c r="AY2301" s="107">
        <v>0</v>
      </c>
      <c r="AZ2301" s="107">
        <v>0</v>
      </c>
      <c r="BA2301" s="110" t="s">
        <v>206</v>
      </c>
      <c r="BB2301" s="100">
        <v>0</v>
      </c>
      <c r="BC2301" s="105">
        <v>0</v>
      </c>
      <c r="BD2301" s="105">
        <v>0</v>
      </c>
      <c r="BE2301" s="111" t="s">
        <v>5435</v>
      </c>
      <c r="BF2301" s="111" t="s">
        <v>5436</v>
      </c>
      <c r="BG2301" s="100">
        <v>0</v>
      </c>
      <c r="BH2301" s="100">
        <v>0</v>
      </c>
      <c r="BI2301" s="100">
        <v>0</v>
      </c>
      <c r="BJ2301" s="100">
        <v>0</v>
      </c>
      <c r="BK2301" s="100">
        <v>0</v>
      </c>
      <c r="BL2301" s="100">
        <v>0</v>
      </c>
      <c r="BM2301" s="97">
        <v>0</v>
      </c>
      <c r="BN2301" s="99">
        <v>0</v>
      </c>
      <c r="BO2301" s="99">
        <v>0</v>
      </c>
      <c r="BP2301" s="99">
        <v>0</v>
      </c>
      <c r="BQ2301" s="99">
        <v>0</v>
      </c>
      <c r="BR2301" s="99">
        <v>0</v>
      </c>
      <c r="BS2301" s="99">
        <v>1</v>
      </c>
      <c r="BT2301" s="99">
        <v>0</v>
      </c>
      <c r="BU2301" s="23">
        <v>0</v>
      </c>
      <c r="BV2301" s="23"/>
      <c r="BW2301" s="23"/>
      <c r="BX2301" s="23"/>
      <c r="BY2301" s="23"/>
      <c r="BZ2301" s="23"/>
    </row>
    <row r="2302" spans="3:78" ht="20.100000000000001" customHeight="1">
      <c r="C2302" s="107">
        <v>77001606</v>
      </c>
      <c r="D2302" s="110" t="s">
        <v>5437</v>
      </c>
      <c r="E2302" s="110" t="s">
        <v>5438</v>
      </c>
      <c r="F2302" s="100">
        <v>1</v>
      </c>
      <c r="G2302" s="100">
        <v>0</v>
      </c>
      <c r="H2302" s="107">
        <v>0</v>
      </c>
      <c r="I2302" s="105">
        <v>0</v>
      </c>
      <c r="J2302" s="107">
        <v>1</v>
      </c>
      <c r="K2302" s="107">
        <v>0</v>
      </c>
      <c r="L2302" s="107">
        <v>0</v>
      </c>
      <c r="M2302" s="100">
        <v>0</v>
      </c>
      <c r="N2302" s="100">
        <v>0</v>
      </c>
      <c r="O2302" s="100">
        <v>2</v>
      </c>
      <c r="P2302" s="100">
        <v>1</v>
      </c>
      <c r="Q2302" s="100">
        <v>0.2</v>
      </c>
      <c r="R2302" s="100">
        <v>0</v>
      </c>
      <c r="S2302" s="99">
        <v>3</v>
      </c>
      <c r="T2302" s="100">
        <v>0</v>
      </c>
      <c r="U2302" s="100">
        <v>1</v>
      </c>
      <c r="V2302" s="100">
        <v>2</v>
      </c>
      <c r="W2302" s="100">
        <v>0</v>
      </c>
      <c r="X2302" s="100">
        <v>1</v>
      </c>
      <c r="Y2302" s="19">
        <v>0</v>
      </c>
      <c r="Z2302" s="100">
        <v>0</v>
      </c>
      <c r="AA2302" s="100">
        <v>0</v>
      </c>
      <c r="AB2302" s="100">
        <v>0</v>
      </c>
      <c r="AC2302" s="100">
        <v>0</v>
      </c>
      <c r="AD2302" s="100">
        <v>0</v>
      </c>
      <c r="AE2302" s="100">
        <v>0</v>
      </c>
      <c r="AF2302" s="100">
        <v>18</v>
      </c>
      <c r="AG2302" s="100">
        <v>1</v>
      </c>
      <c r="AH2302" s="100">
        <v>3</v>
      </c>
      <c r="AI2302" s="99">
        <v>6</v>
      </c>
      <c r="AJ2302" s="99">
        <v>1</v>
      </c>
      <c r="AK2302" s="99">
        <v>0</v>
      </c>
      <c r="AL2302" s="99">
        <v>1.5</v>
      </c>
      <c r="AM2302" s="100">
        <v>0</v>
      </c>
      <c r="AN2302" s="100">
        <v>0</v>
      </c>
      <c r="AO2302" s="100">
        <v>0</v>
      </c>
      <c r="AP2302" s="100">
        <v>1</v>
      </c>
      <c r="AQ2302" s="100">
        <v>5000</v>
      </c>
      <c r="AR2302" s="100">
        <v>1</v>
      </c>
      <c r="AS2302" s="100">
        <v>0</v>
      </c>
      <c r="AT2302" s="99">
        <v>0</v>
      </c>
      <c r="AU2302" s="339" t="s">
        <v>5439</v>
      </c>
      <c r="AV2302" s="118"/>
      <c r="AW2302" s="104" t="s">
        <v>205</v>
      </c>
      <c r="AX2302" s="100" t="s">
        <v>540</v>
      </c>
      <c r="AY2302" s="107">
        <v>10000007</v>
      </c>
      <c r="AZ2302" s="337" t="s">
        <v>5416</v>
      </c>
      <c r="BA2302" s="110" t="s">
        <v>206</v>
      </c>
      <c r="BB2302" s="100" t="s">
        <v>5440</v>
      </c>
      <c r="BC2302" s="105">
        <v>0</v>
      </c>
      <c r="BD2302" s="105">
        <v>0</v>
      </c>
      <c r="BE2302" s="111" t="s">
        <v>5441</v>
      </c>
      <c r="BF2302" s="111" t="s">
        <v>5442</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3:78" ht="20.100000000000001" customHeight="1">
      <c r="C2303" s="107">
        <v>77001607</v>
      </c>
      <c r="D2303" s="110" t="s">
        <v>5443</v>
      </c>
      <c r="E2303" s="110" t="s">
        <v>5444</v>
      </c>
      <c r="F2303" s="100">
        <v>1</v>
      </c>
      <c r="G2303" s="100">
        <v>0</v>
      </c>
      <c r="H2303" s="100">
        <v>0</v>
      </c>
      <c r="I2303" s="105">
        <v>0</v>
      </c>
      <c r="J2303" s="107">
        <v>1</v>
      </c>
      <c r="K2303" s="100">
        <v>0</v>
      </c>
      <c r="L2303" s="100">
        <v>0</v>
      </c>
      <c r="M2303" s="100">
        <v>0</v>
      </c>
      <c r="N2303" s="100">
        <v>0</v>
      </c>
      <c r="O2303" s="100">
        <v>2</v>
      </c>
      <c r="P2303" s="100">
        <v>3</v>
      </c>
      <c r="Q2303" s="100">
        <v>0.2</v>
      </c>
      <c r="R2303" s="100">
        <v>0</v>
      </c>
      <c r="S2303" s="99">
        <v>0</v>
      </c>
      <c r="T2303" s="100">
        <v>0</v>
      </c>
      <c r="U2303" s="100">
        <v>1</v>
      </c>
      <c r="V2303" s="100">
        <v>1</v>
      </c>
      <c r="W2303" s="100">
        <v>0</v>
      </c>
      <c r="X2303" s="100">
        <v>2</v>
      </c>
      <c r="Y2303" s="19">
        <v>0</v>
      </c>
      <c r="Z2303" s="100">
        <v>0</v>
      </c>
      <c r="AA2303" s="100">
        <v>1</v>
      </c>
      <c r="AB2303" s="100">
        <v>0</v>
      </c>
      <c r="AC2303" s="100">
        <v>0</v>
      </c>
      <c r="AD2303" s="100">
        <v>0</v>
      </c>
      <c r="AE2303" s="100">
        <v>1</v>
      </c>
      <c r="AF2303" s="100">
        <v>9</v>
      </c>
      <c r="AG2303" s="100">
        <v>1</v>
      </c>
      <c r="AH2303" s="100">
        <v>4</v>
      </c>
      <c r="AI2303" s="99">
        <v>0</v>
      </c>
      <c r="AJ2303" s="99">
        <v>1</v>
      </c>
      <c r="AK2303" s="99">
        <v>0</v>
      </c>
      <c r="AL2303" s="99">
        <v>2</v>
      </c>
      <c r="AM2303" s="100">
        <v>0</v>
      </c>
      <c r="AN2303" s="100">
        <v>0</v>
      </c>
      <c r="AO2303" s="100">
        <v>0</v>
      </c>
      <c r="AP2303" s="100">
        <v>0.5</v>
      </c>
      <c r="AQ2303" s="100">
        <v>600</v>
      </c>
      <c r="AR2303" s="100">
        <v>0.5</v>
      </c>
      <c r="AS2303" s="100">
        <v>0</v>
      </c>
      <c r="AT2303" s="99">
        <v>0</v>
      </c>
      <c r="AU2303" s="100">
        <v>97006001</v>
      </c>
      <c r="AV2303" s="100"/>
      <c r="AW2303" s="110" t="s">
        <v>204</v>
      </c>
      <c r="AX2303" s="100" t="s">
        <v>540</v>
      </c>
      <c r="AY2303" s="107">
        <v>10000001</v>
      </c>
      <c r="AZ2303" s="107">
        <v>77001604</v>
      </c>
      <c r="BA2303" s="110" t="s">
        <v>777</v>
      </c>
      <c r="BB2303" s="100">
        <v>0</v>
      </c>
      <c r="BC2303" s="105">
        <v>0</v>
      </c>
      <c r="BD2303" s="105">
        <v>0</v>
      </c>
      <c r="BE2303" s="136" t="s">
        <v>5445</v>
      </c>
      <c r="BF2303" s="136" t="s">
        <v>5446</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spans="3:78" ht="19.5" customHeight="1">
      <c r="C2304" s="107">
        <v>77001608</v>
      </c>
      <c r="D2304" s="110" t="s">
        <v>5447</v>
      </c>
      <c r="E2304" s="110" t="s">
        <v>5448</v>
      </c>
      <c r="F2304" s="107">
        <v>1</v>
      </c>
      <c r="G2304" s="100">
        <v>0</v>
      </c>
      <c r="H2304" s="107">
        <v>0</v>
      </c>
      <c r="I2304" s="105">
        <v>0</v>
      </c>
      <c r="J2304" s="107">
        <v>1</v>
      </c>
      <c r="K2304" s="107">
        <v>0</v>
      </c>
      <c r="L2304" s="107">
        <v>0</v>
      </c>
      <c r="M2304" s="100">
        <v>0</v>
      </c>
      <c r="N2304" s="100">
        <v>0</v>
      </c>
      <c r="O2304" s="100">
        <v>2</v>
      </c>
      <c r="P2304" s="100">
        <v>2</v>
      </c>
      <c r="Q2304" s="100">
        <v>0.5</v>
      </c>
      <c r="R2304" s="100">
        <v>0</v>
      </c>
      <c r="S2304" s="99">
        <v>0</v>
      </c>
      <c r="T2304" s="100">
        <v>0</v>
      </c>
      <c r="U2304" s="100">
        <v>1</v>
      </c>
      <c r="V2304" s="100">
        <v>1</v>
      </c>
      <c r="W2304" s="100">
        <v>0</v>
      </c>
      <c r="X2304" s="100">
        <v>0</v>
      </c>
      <c r="Y2304" s="19">
        <v>0</v>
      </c>
      <c r="Z2304" s="100">
        <v>0</v>
      </c>
      <c r="AA2304" s="100">
        <v>0</v>
      </c>
      <c r="AB2304" s="100">
        <v>0</v>
      </c>
      <c r="AC2304" s="100">
        <v>0</v>
      </c>
      <c r="AD2304" s="100">
        <v>0</v>
      </c>
      <c r="AE2304" s="100">
        <v>1</v>
      </c>
      <c r="AF2304" s="100">
        <v>12</v>
      </c>
      <c r="AG2304" s="100">
        <v>1</v>
      </c>
      <c r="AH2304" s="100">
        <v>2</v>
      </c>
      <c r="AI2304" s="99">
        <v>0</v>
      </c>
      <c r="AJ2304" s="99">
        <v>1</v>
      </c>
      <c r="AK2304" s="99">
        <v>0</v>
      </c>
      <c r="AL2304" s="99">
        <v>3</v>
      </c>
      <c r="AM2304" s="100">
        <v>0</v>
      </c>
      <c r="AN2304" s="100">
        <v>0</v>
      </c>
      <c r="AO2304" s="100">
        <v>0</v>
      </c>
      <c r="AP2304" s="100">
        <v>0.3</v>
      </c>
      <c r="AQ2304" s="100">
        <v>300</v>
      </c>
      <c r="AR2304" s="100">
        <v>0</v>
      </c>
      <c r="AS2304" s="100">
        <v>0</v>
      </c>
      <c r="AT2304" s="99">
        <v>0</v>
      </c>
      <c r="AU2304" s="118">
        <v>0</v>
      </c>
      <c r="AV2304" s="118"/>
      <c r="AW2304" s="110" t="s">
        <v>204</v>
      </c>
      <c r="AX2304" s="100">
        <v>0</v>
      </c>
      <c r="AY2304" s="107">
        <v>0</v>
      </c>
      <c r="AZ2304" s="107">
        <v>0</v>
      </c>
      <c r="BA2304" s="110" t="s">
        <v>534</v>
      </c>
      <c r="BB2304" s="340" t="s">
        <v>5449</v>
      </c>
      <c r="BC2304" s="105">
        <v>0</v>
      </c>
      <c r="BD2304" s="105">
        <v>0</v>
      </c>
      <c r="BE2304" s="111" t="s">
        <v>5450</v>
      </c>
      <c r="BF2304" s="111" t="s">
        <v>5451</v>
      </c>
      <c r="BG2304" s="100">
        <v>0</v>
      </c>
      <c r="BH2304" s="100">
        <v>0</v>
      </c>
      <c r="BI2304" s="100">
        <v>0</v>
      </c>
      <c r="BJ2304" s="100">
        <v>0</v>
      </c>
      <c r="BK2304" s="100">
        <v>0</v>
      </c>
      <c r="BL2304" s="100">
        <v>0</v>
      </c>
      <c r="BM2304" s="97">
        <v>0</v>
      </c>
      <c r="BN2304" s="99">
        <v>0</v>
      </c>
      <c r="BO2304" s="99">
        <v>0</v>
      </c>
      <c r="BP2304" s="99">
        <v>0</v>
      </c>
      <c r="BQ2304" s="99">
        <v>0</v>
      </c>
      <c r="BR2304" s="99">
        <v>0</v>
      </c>
      <c r="BS2304" s="99">
        <v>1</v>
      </c>
      <c r="BT2304" s="99">
        <v>0</v>
      </c>
      <c r="BU2304" s="23">
        <v>0</v>
      </c>
      <c r="BV2304" s="23"/>
      <c r="BW2304" s="23"/>
      <c r="BX2304" s="23"/>
      <c r="BY2304" s="23"/>
      <c r="BZ2304" s="23"/>
    </row>
    <row r="2305" spans="1:78" s="2" customFormat="1" ht="19.5" customHeight="1">
      <c r="A2305" s="6"/>
      <c r="B2305" s="6"/>
      <c r="C2305" s="107">
        <v>77001609</v>
      </c>
      <c r="D2305" s="110" t="s">
        <v>5452</v>
      </c>
      <c r="E2305" s="110" t="s">
        <v>5453</v>
      </c>
      <c r="F2305" s="107">
        <v>1</v>
      </c>
      <c r="G2305" s="100">
        <v>0</v>
      </c>
      <c r="H2305" s="107">
        <v>0</v>
      </c>
      <c r="I2305" s="105">
        <v>0</v>
      </c>
      <c r="J2305" s="107">
        <v>1</v>
      </c>
      <c r="K2305" s="107">
        <v>0</v>
      </c>
      <c r="L2305" s="107">
        <v>0</v>
      </c>
      <c r="M2305" s="100">
        <v>0</v>
      </c>
      <c r="N2305" s="100">
        <v>0</v>
      </c>
      <c r="O2305" s="100">
        <v>2</v>
      </c>
      <c r="P2305" s="100">
        <v>2</v>
      </c>
      <c r="Q2305" s="100">
        <v>1</v>
      </c>
      <c r="R2305" s="100">
        <v>1</v>
      </c>
      <c r="S2305" s="99">
        <v>0</v>
      </c>
      <c r="T2305" s="100">
        <v>0</v>
      </c>
      <c r="U2305" s="100">
        <v>1</v>
      </c>
      <c r="V2305" s="100">
        <v>2</v>
      </c>
      <c r="W2305" s="100">
        <v>0</v>
      </c>
      <c r="X2305" s="100">
        <v>1</v>
      </c>
      <c r="Y2305" s="19">
        <v>0</v>
      </c>
      <c r="Z2305" s="100">
        <v>0</v>
      </c>
      <c r="AA2305" s="100">
        <v>0</v>
      </c>
      <c r="AB2305" s="100">
        <v>0</v>
      </c>
      <c r="AC2305" s="100">
        <v>0</v>
      </c>
      <c r="AD2305" s="100">
        <v>0</v>
      </c>
      <c r="AE2305" s="100">
        <v>1</v>
      </c>
      <c r="AF2305" s="100">
        <v>18</v>
      </c>
      <c r="AG2305" s="100">
        <v>1</v>
      </c>
      <c r="AH2305" s="100">
        <v>2</v>
      </c>
      <c r="AI2305" s="99">
        <v>0</v>
      </c>
      <c r="AJ2305" s="99">
        <v>2</v>
      </c>
      <c r="AK2305" s="99">
        <v>0</v>
      </c>
      <c r="AL2305" s="99">
        <v>2</v>
      </c>
      <c r="AM2305" s="100">
        <v>0</v>
      </c>
      <c r="AN2305" s="100">
        <v>0</v>
      </c>
      <c r="AO2305" s="100">
        <v>0</v>
      </c>
      <c r="AP2305" s="100">
        <v>0</v>
      </c>
      <c r="AQ2305" s="100">
        <v>5000</v>
      </c>
      <c r="AR2305" s="100">
        <v>0.5</v>
      </c>
      <c r="AS2305" s="100">
        <v>15</v>
      </c>
      <c r="AT2305" s="117">
        <v>0</v>
      </c>
      <c r="AU2305" s="339" t="s">
        <v>5439</v>
      </c>
      <c r="AV2305" s="118"/>
      <c r="AW2305" s="110" t="s">
        <v>204</v>
      </c>
      <c r="AX2305" s="100" t="s">
        <v>540</v>
      </c>
      <c r="AY2305" s="107">
        <v>10000007</v>
      </c>
      <c r="AZ2305" s="337" t="s">
        <v>5454</v>
      </c>
      <c r="BA2305" s="110" t="s">
        <v>592</v>
      </c>
      <c r="BB2305" s="100" t="s">
        <v>5343</v>
      </c>
      <c r="BC2305" s="105">
        <v>0</v>
      </c>
      <c r="BD2305" s="105">
        <v>0</v>
      </c>
      <c r="BE2305" s="111" t="s">
        <v>5455</v>
      </c>
      <c r="BF2305" s="111" t="s">
        <v>5456</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99">
        <v>0</v>
      </c>
      <c r="BV2305" s="23"/>
      <c r="BW2305" s="23"/>
      <c r="BX2305" s="23"/>
      <c r="BY2305" s="23"/>
      <c r="BZ2305" s="23"/>
    </row>
    <row r="2306" spans="1:78" ht="20.100000000000001" customHeight="1">
      <c r="C2306" s="74">
        <v>77001701</v>
      </c>
      <c r="D2306" s="71" t="s">
        <v>5457</v>
      </c>
      <c r="E2306" s="160" t="s">
        <v>5458</v>
      </c>
      <c r="F2306" s="90">
        <v>1</v>
      </c>
      <c r="G2306" s="90">
        <v>0</v>
      </c>
      <c r="H2306" s="72">
        <v>0</v>
      </c>
      <c r="I2306" s="75">
        <v>0</v>
      </c>
      <c r="J2306" s="74">
        <v>1</v>
      </c>
      <c r="K2306" s="74">
        <v>0</v>
      </c>
      <c r="L2306" s="74">
        <v>0</v>
      </c>
      <c r="M2306" s="72">
        <v>0</v>
      </c>
      <c r="N2306" s="72">
        <v>0</v>
      </c>
      <c r="O2306" s="72">
        <v>2</v>
      </c>
      <c r="P2306" s="72">
        <v>1</v>
      </c>
      <c r="Q2306" s="72">
        <v>0.2</v>
      </c>
      <c r="R2306" s="72">
        <v>0</v>
      </c>
      <c r="S2306" s="73">
        <v>0</v>
      </c>
      <c r="T2306" s="72">
        <v>0</v>
      </c>
      <c r="U2306" s="72">
        <v>1</v>
      </c>
      <c r="V2306" s="90">
        <v>1</v>
      </c>
      <c r="W2306" s="72">
        <v>0</v>
      </c>
      <c r="X2306" s="72">
        <v>0</v>
      </c>
      <c r="Y2306" s="19">
        <v>0</v>
      </c>
      <c r="Z2306" s="72">
        <v>0</v>
      </c>
      <c r="AA2306" s="72">
        <v>1</v>
      </c>
      <c r="AB2306" s="72">
        <v>0</v>
      </c>
      <c r="AC2306" s="72">
        <v>0</v>
      </c>
      <c r="AD2306" s="72">
        <v>0</v>
      </c>
      <c r="AE2306" s="72">
        <v>1</v>
      </c>
      <c r="AF2306" s="72">
        <v>8</v>
      </c>
      <c r="AG2306" s="72">
        <v>2</v>
      </c>
      <c r="AH2306" s="72" t="s">
        <v>1042</v>
      </c>
      <c r="AI2306" s="73">
        <v>0</v>
      </c>
      <c r="AJ2306" s="73">
        <v>2</v>
      </c>
      <c r="AK2306" s="73">
        <v>0</v>
      </c>
      <c r="AL2306" s="73">
        <v>1.5</v>
      </c>
      <c r="AM2306" s="72">
        <v>0</v>
      </c>
      <c r="AN2306" s="72">
        <v>0</v>
      </c>
      <c r="AO2306" s="72">
        <v>0</v>
      </c>
      <c r="AP2306" s="72">
        <v>1.2</v>
      </c>
      <c r="AQ2306" s="72">
        <v>1200</v>
      </c>
      <c r="AR2306" s="72">
        <v>1</v>
      </c>
      <c r="AS2306" s="72">
        <v>15</v>
      </c>
      <c r="AT2306" s="342" t="s">
        <v>204</v>
      </c>
      <c r="AU2306" s="356" t="s">
        <v>5459</v>
      </c>
      <c r="AV2306" s="72"/>
      <c r="AW2306" s="71" t="s">
        <v>262</v>
      </c>
      <c r="AX2306" s="72" t="s">
        <v>221</v>
      </c>
      <c r="AY2306" s="74">
        <v>10000011</v>
      </c>
      <c r="AZ2306" s="74">
        <v>77001706</v>
      </c>
      <c r="BA2306" s="71" t="s">
        <v>222</v>
      </c>
      <c r="BB2306" s="72">
        <v>0</v>
      </c>
      <c r="BC2306" s="75">
        <v>0</v>
      </c>
      <c r="BD2306" s="75">
        <v>0</v>
      </c>
      <c r="BE2306" s="76" t="s">
        <v>5460</v>
      </c>
      <c r="BF2306" s="76" t="s">
        <v>5461</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77001702</v>
      </c>
      <c r="BU2306" s="23">
        <v>0</v>
      </c>
      <c r="BV2306" s="23"/>
      <c r="BW2306" s="23"/>
      <c r="BX2306" s="23"/>
      <c r="BY2306" s="23"/>
      <c r="BZ2306" s="23"/>
    </row>
    <row r="2307" spans="1:78" ht="20.100000000000001" customHeight="1">
      <c r="C2307" s="74">
        <v>77001702</v>
      </c>
      <c r="D2307" s="71" t="s">
        <v>1271</v>
      </c>
      <c r="E2307" s="71" t="s">
        <v>1272</v>
      </c>
      <c r="F2307" s="72">
        <v>1</v>
      </c>
      <c r="G2307" s="72">
        <v>0</v>
      </c>
      <c r="H2307" s="72">
        <v>0</v>
      </c>
      <c r="I2307" s="75">
        <v>0</v>
      </c>
      <c r="J2307" s="74">
        <v>1</v>
      </c>
      <c r="K2307" s="72">
        <v>0</v>
      </c>
      <c r="L2307" s="72">
        <v>0</v>
      </c>
      <c r="M2307" s="72">
        <v>0</v>
      </c>
      <c r="N2307" s="72">
        <v>0</v>
      </c>
      <c r="O2307" s="72">
        <v>2</v>
      </c>
      <c r="P2307" s="72">
        <v>3</v>
      </c>
      <c r="Q2307" s="72">
        <v>0.2</v>
      </c>
      <c r="R2307" s="72">
        <v>0</v>
      </c>
      <c r="S2307" s="73">
        <v>0</v>
      </c>
      <c r="T2307" s="72">
        <v>0</v>
      </c>
      <c r="U2307" s="72">
        <v>1</v>
      </c>
      <c r="V2307" s="72">
        <v>1</v>
      </c>
      <c r="W2307" s="72">
        <v>0</v>
      </c>
      <c r="X2307" s="72">
        <v>1.5</v>
      </c>
      <c r="Y2307" s="19">
        <v>0</v>
      </c>
      <c r="Z2307" s="72">
        <v>0</v>
      </c>
      <c r="AA2307" s="72">
        <v>1</v>
      </c>
      <c r="AB2307" s="72">
        <v>0</v>
      </c>
      <c r="AC2307" s="72">
        <v>0</v>
      </c>
      <c r="AD2307" s="72">
        <v>0</v>
      </c>
      <c r="AE2307" s="72">
        <v>1</v>
      </c>
      <c r="AF2307" s="72">
        <v>6</v>
      </c>
      <c r="AG2307" s="72">
        <v>1</v>
      </c>
      <c r="AH2307" s="72">
        <v>4</v>
      </c>
      <c r="AI2307" s="73">
        <v>0</v>
      </c>
      <c r="AJ2307" s="73">
        <v>1</v>
      </c>
      <c r="AK2307" s="73">
        <v>0</v>
      </c>
      <c r="AL2307" s="73">
        <v>2</v>
      </c>
      <c r="AM2307" s="72">
        <v>0</v>
      </c>
      <c r="AN2307" s="72">
        <v>0</v>
      </c>
      <c r="AO2307" s="72">
        <v>0</v>
      </c>
      <c r="AP2307" s="72">
        <v>0.6</v>
      </c>
      <c r="AQ2307" s="72">
        <v>700</v>
      </c>
      <c r="AR2307" s="72">
        <v>0.6</v>
      </c>
      <c r="AS2307" s="72">
        <v>0</v>
      </c>
      <c r="AT2307" s="73">
        <v>0</v>
      </c>
      <c r="AU2307" s="356" t="s">
        <v>5459</v>
      </c>
      <c r="AV2307" s="72"/>
      <c r="AW2307" s="71" t="s">
        <v>204</v>
      </c>
      <c r="AX2307" s="72" t="s">
        <v>540</v>
      </c>
      <c r="AY2307" s="74">
        <v>10000001</v>
      </c>
      <c r="AZ2307" s="74">
        <v>77001701</v>
      </c>
      <c r="BA2307" s="71" t="s">
        <v>777</v>
      </c>
      <c r="BB2307" s="72">
        <v>0</v>
      </c>
      <c r="BC2307" s="75">
        <v>0</v>
      </c>
      <c r="BD2307" s="75">
        <v>0</v>
      </c>
      <c r="BE2307" s="114" t="s">
        <v>5462</v>
      </c>
      <c r="BF2307" s="114" t="s">
        <v>5463</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77001706</v>
      </c>
      <c r="BU2307" s="23">
        <v>0</v>
      </c>
      <c r="BV2307" s="23"/>
      <c r="BW2307" s="23"/>
      <c r="BX2307" s="23"/>
      <c r="BY2307" s="23"/>
      <c r="BZ2307" s="23"/>
    </row>
    <row r="2308" spans="1:78" ht="20.100000000000001" customHeight="1">
      <c r="C2308" s="74">
        <v>77001703</v>
      </c>
      <c r="D2308" s="71" t="s">
        <v>5457</v>
      </c>
      <c r="E2308" s="71" t="s">
        <v>5458</v>
      </c>
      <c r="F2308" s="72">
        <v>1</v>
      </c>
      <c r="G2308" s="72">
        <v>0</v>
      </c>
      <c r="H2308" s="72">
        <v>0</v>
      </c>
      <c r="I2308" s="75">
        <v>0</v>
      </c>
      <c r="J2308" s="74">
        <v>1</v>
      </c>
      <c r="K2308" s="72">
        <v>0</v>
      </c>
      <c r="L2308" s="72">
        <v>0</v>
      </c>
      <c r="M2308" s="72">
        <v>0</v>
      </c>
      <c r="N2308" s="72">
        <v>0</v>
      </c>
      <c r="O2308" s="72">
        <v>2</v>
      </c>
      <c r="P2308" s="72">
        <v>3</v>
      </c>
      <c r="Q2308" s="72">
        <v>0.3</v>
      </c>
      <c r="R2308" s="72">
        <v>0</v>
      </c>
      <c r="S2308" s="73">
        <v>0</v>
      </c>
      <c r="T2308" s="72">
        <v>0</v>
      </c>
      <c r="U2308" s="72">
        <v>1</v>
      </c>
      <c r="V2308" s="72">
        <v>2</v>
      </c>
      <c r="W2308" s="72">
        <v>0</v>
      </c>
      <c r="X2308" s="72">
        <v>0</v>
      </c>
      <c r="Y2308" s="19">
        <v>0</v>
      </c>
      <c r="Z2308" s="72">
        <v>0</v>
      </c>
      <c r="AA2308" s="72">
        <v>1</v>
      </c>
      <c r="AB2308" s="72">
        <v>0</v>
      </c>
      <c r="AC2308" s="72">
        <v>0</v>
      </c>
      <c r="AD2308" s="72">
        <v>0</v>
      </c>
      <c r="AE2308" s="72">
        <v>0</v>
      </c>
      <c r="AF2308" s="72">
        <v>21</v>
      </c>
      <c r="AG2308" s="72">
        <v>1</v>
      </c>
      <c r="AH2308" s="72">
        <v>1</v>
      </c>
      <c r="AI2308" s="73">
        <v>0</v>
      </c>
      <c r="AJ2308" s="73">
        <v>1</v>
      </c>
      <c r="AK2308" s="73">
        <v>0</v>
      </c>
      <c r="AL2308" s="73">
        <v>1.5</v>
      </c>
      <c r="AM2308" s="72">
        <v>0</v>
      </c>
      <c r="AN2308" s="72">
        <v>0</v>
      </c>
      <c r="AO2308" s="72">
        <v>0</v>
      </c>
      <c r="AP2308" s="72">
        <v>0</v>
      </c>
      <c r="AQ2308" s="72">
        <v>300</v>
      </c>
      <c r="AR2308" s="72">
        <v>0</v>
      </c>
      <c r="AS2308" s="72">
        <v>0</v>
      </c>
      <c r="AT2308" s="342" t="s">
        <v>5464</v>
      </c>
      <c r="AU2308" s="72">
        <v>0</v>
      </c>
      <c r="AV2308" s="72"/>
      <c r="AW2308" s="71" t="s">
        <v>205</v>
      </c>
      <c r="AX2308" s="72" t="s">
        <v>540</v>
      </c>
      <c r="AY2308" s="74">
        <v>0</v>
      </c>
      <c r="AZ2308" s="74">
        <v>0</v>
      </c>
      <c r="BA2308" s="71" t="s">
        <v>777</v>
      </c>
      <c r="BB2308" s="72">
        <v>0</v>
      </c>
      <c r="BC2308" s="75">
        <v>0</v>
      </c>
      <c r="BD2308" s="75">
        <v>0</v>
      </c>
      <c r="BE2308" s="114" t="s">
        <v>5465</v>
      </c>
      <c r="BF2308" s="114" t="s">
        <v>5466</v>
      </c>
      <c r="BG2308" s="72">
        <v>0</v>
      </c>
      <c r="BH2308" s="72">
        <v>0</v>
      </c>
      <c r="BI2308" s="72">
        <v>0</v>
      </c>
      <c r="BJ2308" s="72">
        <v>0</v>
      </c>
      <c r="BK2308" s="72">
        <v>0</v>
      </c>
      <c r="BL2308" s="72">
        <v>0</v>
      </c>
      <c r="BM2308" s="90">
        <v>0</v>
      </c>
      <c r="BN2308" s="73">
        <v>0</v>
      </c>
      <c r="BO2308" s="73">
        <v>0</v>
      </c>
      <c r="BP2308" s="73">
        <v>0</v>
      </c>
      <c r="BQ2308" s="73">
        <v>0</v>
      </c>
      <c r="BR2308" s="73">
        <v>0</v>
      </c>
      <c r="BS2308" s="73">
        <v>1</v>
      </c>
      <c r="BT2308" s="73">
        <v>0</v>
      </c>
      <c r="BU2308" s="23">
        <v>0</v>
      </c>
      <c r="BV2308" s="23"/>
      <c r="BW2308" s="23"/>
      <c r="BX2308" s="23"/>
      <c r="BY2308" s="23"/>
      <c r="BZ2308" s="23"/>
    </row>
    <row r="2309" spans="1:78" ht="19.5" customHeight="1">
      <c r="C2309" s="74">
        <v>77001704</v>
      </c>
      <c r="D2309" s="71" t="s">
        <v>1271</v>
      </c>
      <c r="E2309" s="71" t="s">
        <v>1272</v>
      </c>
      <c r="F2309" s="72">
        <v>1</v>
      </c>
      <c r="G2309" s="72">
        <v>0</v>
      </c>
      <c r="H2309" s="72">
        <v>0</v>
      </c>
      <c r="I2309" s="75">
        <v>0</v>
      </c>
      <c r="J2309" s="74">
        <v>1</v>
      </c>
      <c r="K2309" s="74">
        <v>0</v>
      </c>
      <c r="L2309" s="74">
        <v>0</v>
      </c>
      <c r="M2309" s="72">
        <v>0</v>
      </c>
      <c r="N2309" s="72">
        <v>0</v>
      </c>
      <c r="O2309" s="72">
        <v>2</v>
      </c>
      <c r="P2309" s="72">
        <v>3</v>
      </c>
      <c r="Q2309" s="72">
        <v>0.2</v>
      </c>
      <c r="R2309" s="72">
        <v>0</v>
      </c>
      <c r="S2309" s="73">
        <v>0</v>
      </c>
      <c r="T2309" s="72">
        <v>0</v>
      </c>
      <c r="U2309" s="72">
        <v>1</v>
      </c>
      <c r="V2309" s="72">
        <v>1</v>
      </c>
      <c r="W2309" s="72">
        <v>0</v>
      </c>
      <c r="X2309" s="72">
        <v>0</v>
      </c>
      <c r="Y2309" s="19">
        <v>0</v>
      </c>
      <c r="Z2309" s="72">
        <v>0</v>
      </c>
      <c r="AA2309" s="72">
        <v>1</v>
      </c>
      <c r="AB2309" s="72">
        <v>0</v>
      </c>
      <c r="AC2309" s="72">
        <v>0</v>
      </c>
      <c r="AD2309" s="72">
        <v>0</v>
      </c>
      <c r="AE2309" s="72">
        <v>1</v>
      </c>
      <c r="AF2309" s="72">
        <v>8</v>
      </c>
      <c r="AG2309" s="72">
        <v>2</v>
      </c>
      <c r="AH2309" s="72" t="s">
        <v>219</v>
      </c>
      <c r="AI2309" s="73">
        <v>0</v>
      </c>
      <c r="AJ2309" s="73">
        <v>2</v>
      </c>
      <c r="AK2309" s="73">
        <v>0</v>
      </c>
      <c r="AL2309" s="73">
        <v>1.5</v>
      </c>
      <c r="AM2309" s="72">
        <v>0</v>
      </c>
      <c r="AN2309" s="72">
        <v>0</v>
      </c>
      <c r="AO2309" s="72">
        <v>0</v>
      </c>
      <c r="AP2309" s="72">
        <v>0.3</v>
      </c>
      <c r="AQ2309" s="72">
        <v>300</v>
      </c>
      <c r="AR2309" s="72">
        <v>0</v>
      </c>
      <c r="AS2309" s="72">
        <v>15</v>
      </c>
      <c r="AT2309" s="73">
        <v>0</v>
      </c>
      <c r="AU2309" s="93">
        <v>0</v>
      </c>
      <c r="AV2309" s="93"/>
      <c r="AW2309" s="71" t="s">
        <v>204</v>
      </c>
      <c r="AX2309" s="72" t="s">
        <v>221</v>
      </c>
      <c r="AY2309" s="74">
        <v>0</v>
      </c>
      <c r="AZ2309" s="74">
        <v>0</v>
      </c>
      <c r="BA2309" s="307" t="s">
        <v>222</v>
      </c>
      <c r="BB2309" s="72">
        <v>1</v>
      </c>
      <c r="BC2309" s="75">
        <v>0</v>
      </c>
      <c r="BD2309" s="75">
        <v>0</v>
      </c>
      <c r="BE2309" s="76" t="s">
        <v>5467</v>
      </c>
      <c r="BF2309" s="76" t="s">
        <v>5468</v>
      </c>
      <c r="BG2309" s="72">
        <v>0</v>
      </c>
      <c r="BH2309" s="72">
        <v>0</v>
      </c>
      <c r="BI2309" s="72">
        <v>0</v>
      </c>
      <c r="BJ2309" s="72">
        <v>0</v>
      </c>
      <c r="BK2309" s="72">
        <v>0</v>
      </c>
      <c r="BL2309" s="72">
        <v>0</v>
      </c>
      <c r="BM2309" s="90">
        <v>0</v>
      </c>
      <c r="BN2309" s="73">
        <v>0</v>
      </c>
      <c r="BO2309" s="73">
        <v>0</v>
      </c>
      <c r="BP2309" s="73">
        <v>0</v>
      </c>
      <c r="BQ2309" s="73">
        <v>0</v>
      </c>
      <c r="BR2309" s="73">
        <v>0</v>
      </c>
      <c r="BS2309" s="73">
        <v>1</v>
      </c>
      <c r="BT2309" s="73">
        <v>77001705</v>
      </c>
      <c r="BU2309" s="23">
        <v>0</v>
      </c>
      <c r="BV2309" s="23"/>
      <c r="BW2309" s="23"/>
      <c r="BX2309" s="23"/>
      <c r="BY2309" s="23"/>
      <c r="BZ2309" s="23"/>
    </row>
    <row r="2310" spans="1:78" ht="19.5" customHeight="1">
      <c r="C2310" s="74">
        <v>77001705</v>
      </c>
      <c r="D2310" s="88" t="s">
        <v>1271</v>
      </c>
      <c r="E2310" s="88" t="s">
        <v>1272</v>
      </c>
      <c r="F2310" s="72">
        <v>1</v>
      </c>
      <c r="G2310" s="72">
        <v>0</v>
      </c>
      <c r="H2310" s="74">
        <v>0</v>
      </c>
      <c r="I2310" s="75">
        <v>0</v>
      </c>
      <c r="J2310" s="72">
        <v>1</v>
      </c>
      <c r="K2310" s="72">
        <v>0</v>
      </c>
      <c r="L2310" s="72">
        <v>0</v>
      </c>
      <c r="M2310" s="74">
        <v>0</v>
      </c>
      <c r="N2310" s="74">
        <v>0</v>
      </c>
      <c r="O2310" s="74">
        <v>2</v>
      </c>
      <c r="P2310" s="74">
        <v>1</v>
      </c>
      <c r="Q2310" s="74">
        <v>1</v>
      </c>
      <c r="R2310" s="74">
        <v>0</v>
      </c>
      <c r="S2310" s="73">
        <v>0</v>
      </c>
      <c r="T2310" s="75">
        <v>0</v>
      </c>
      <c r="U2310" s="72">
        <v>1</v>
      </c>
      <c r="V2310" s="74">
        <v>1</v>
      </c>
      <c r="W2310" s="74">
        <v>0</v>
      </c>
      <c r="X2310" s="74">
        <v>1.5</v>
      </c>
      <c r="Y2310" s="19">
        <v>0</v>
      </c>
      <c r="Z2310" s="74">
        <v>0</v>
      </c>
      <c r="AA2310" s="74">
        <v>1</v>
      </c>
      <c r="AB2310" s="74">
        <v>0</v>
      </c>
      <c r="AC2310" s="74">
        <v>0</v>
      </c>
      <c r="AD2310" s="74">
        <v>0</v>
      </c>
      <c r="AE2310" s="74">
        <v>0</v>
      </c>
      <c r="AF2310" s="74">
        <v>0</v>
      </c>
      <c r="AG2310" s="74">
        <v>1</v>
      </c>
      <c r="AH2310" s="91">
        <v>4</v>
      </c>
      <c r="AI2310" s="73">
        <v>0</v>
      </c>
      <c r="AJ2310" s="73">
        <v>1</v>
      </c>
      <c r="AK2310" s="73">
        <v>0</v>
      </c>
      <c r="AL2310" s="73">
        <v>5</v>
      </c>
      <c r="AM2310" s="74">
        <v>0</v>
      </c>
      <c r="AN2310" s="74">
        <v>1</v>
      </c>
      <c r="AO2310" s="74">
        <v>0</v>
      </c>
      <c r="AP2310" s="74">
        <v>0.6</v>
      </c>
      <c r="AQ2310" s="74">
        <v>2000</v>
      </c>
      <c r="AR2310" s="74">
        <v>0.6</v>
      </c>
      <c r="AS2310" s="74">
        <v>0</v>
      </c>
      <c r="AT2310" s="73">
        <v>0</v>
      </c>
      <c r="AU2310" s="332" t="s">
        <v>5459</v>
      </c>
      <c r="AV2310" s="74"/>
      <c r="AW2310" s="88" t="s">
        <v>293</v>
      </c>
      <c r="AX2310" s="74" t="s">
        <v>551</v>
      </c>
      <c r="AY2310" s="74">
        <v>10001005</v>
      </c>
      <c r="AZ2310" s="74">
        <v>77001701</v>
      </c>
      <c r="BA2310" s="88" t="s">
        <v>206</v>
      </c>
      <c r="BB2310" s="88">
        <v>0</v>
      </c>
      <c r="BC2310" s="75">
        <v>0</v>
      </c>
      <c r="BD2310" s="75">
        <v>0</v>
      </c>
      <c r="BE2310" s="208" t="s">
        <v>1275</v>
      </c>
      <c r="BF2310" s="208" t="s">
        <v>1276</v>
      </c>
      <c r="BG2310" s="74">
        <v>0</v>
      </c>
      <c r="BH2310" s="72">
        <v>0</v>
      </c>
      <c r="BI2310" s="74">
        <v>0</v>
      </c>
      <c r="BJ2310" s="74">
        <v>0</v>
      </c>
      <c r="BK2310" s="74">
        <v>0</v>
      </c>
      <c r="BL2310" s="74">
        <v>0</v>
      </c>
      <c r="BM2310" s="90">
        <v>0</v>
      </c>
      <c r="BN2310" s="73">
        <v>0</v>
      </c>
      <c r="BO2310" s="73">
        <v>0</v>
      </c>
      <c r="BP2310" s="73">
        <v>0</v>
      </c>
      <c r="BQ2310" s="73">
        <v>0</v>
      </c>
      <c r="BR2310" s="73">
        <v>0</v>
      </c>
      <c r="BS2310" s="73">
        <v>0</v>
      </c>
      <c r="BT2310" s="73">
        <v>0</v>
      </c>
      <c r="BU2310" s="23">
        <v>0</v>
      </c>
      <c r="BV2310" s="23"/>
      <c r="BW2310" s="23"/>
      <c r="BX2310" s="23"/>
      <c r="BY2310" s="23"/>
      <c r="BZ2310" s="23"/>
    </row>
    <row r="2311" spans="1:78" ht="20.100000000000001" customHeight="1">
      <c r="C2311" s="74">
        <v>77001706</v>
      </c>
      <c r="D2311" s="88" t="s">
        <v>1271</v>
      </c>
      <c r="E2311" s="88" t="s">
        <v>1272</v>
      </c>
      <c r="F2311" s="72">
        <v>1</v>
      </c>
      <c r="G2311" s="72">
        <v>0</v>
      </c>
      <c r="H2311" s="74">
        <v>0</v>
      </c>
      <c r="I2311" s="75">
        <v>0</v>
      </c>
      <c r="J2311" s="72">
        <v>1</v>
      </c>
      <c r="K2311" s="72">
        <v>0</v>
      </c>
      <c r="L2311" s="72">
        <v>0</v>
      </c>
      <c r="M2311" s="74">
        <v>0</v>
      </c>
      <c r="N2311" s="74">
        <v>0</v>
      </c>
      <c r="O2311" s="74">
        <v>2</v>
      </c>
      <c r="P2311" s="74">
        <v>16</v>
      </c>
      <c r="Q2311" s="74">
        <v>10</v>
      </c>
      <c r="R2311" s="74">
        <v>0</v>
      </c>
      <c r="S2311" s="73">
        <v>0</v>
      </c>
      <c r="T2311" s="75">
        <v>0</v>
      </c>
      <c r="U2311" s="72">
        <v>1</v>
      </c>
      <c r="V2311" s="74">
        <v>2</v>
      </c>
      <c r="W2311" s="74">
        <v>0</v>
      </c>
      <c r="X2311" s="74">
        <v>2.6</v>
      </c>
      <c r="Y2311" s="19">
        <v>0</v>
      </c>
      <c r="Z2311" s="74">
        <v>0</v>
      </c>
      <c r="AA2311" s="74">
        <v>1</v>
      </c>
      <c r="AB2311" s="74">
        <v>0</v>
      </c>
      <c r="AC2311" s="74">
        <v>0</v>
      </c>
      <c r="AD2311" s="74">
        <v>0</v>
      </c>
      <c r="AE2311" s="74">
        <v>0</v>
      </c>
      <c r="AF2311" s="74">
        <v>0</v>
      </c>
      <c r="AG2311" s="74">
        <v>2</v>
      </c>
      <c r="AH2311" s="74" t="s">
        <v>219</v>
      </c>
      <c r="AI2311" s="73">
        <v>0</v>
      </c>
      <c r="AJ2311" s="73">
        <v>2</v>
      </c>
      <c r="AK2311" s="73">
        <v>0</v>
      </c>
      <c r="AL2311" s="73">
        <v>3</v>
      </c>
      <c r="AM2311" s="74">
        <v>0</v>
      </c>
      <c r="AN2311" s="74">
        <v>0</v>
      </c>
      <c r="AO2311" s="74">
        <v>0</v>
      </c>
      <c r="AP2311" s="74">
        <v>1</v>
      </c>
      <c r="AQ2311" s="74">
        <v>2000</v>
      </c>
      <c r="AR2311" s="74">
        <v>1</v>
      </c>
      <c r="AS2311" s="74">
        <v>0</v>
      </c>
      <c r="AT2311" s="73">
        <v>0</v>
      </c>
      <c r="AU2311" s="74">
        <v>97007001</v>
      </c>
      <c r="AV2311" s="74"/>
      <c r="AW2311" s="88" t="s">
        <v>293</v>
      </c>
      <c r="AX2311" s="74" t="s">
        <v>540</v>
      </c>
      <c r="AY2311" s="74">
        <v>10000015</v>
      </c>
      <c r="AZ2311" s="74">
        <v>77001702</v>
      </c>
      <c r="BA2311" s="71" t="s">
        <v>206</v>
      </c>
      <c r="BB2311" s="88">
        <v>0</v>
      </c>
      <c r="BC2311" s="75">
        <v>0</v>
      </c>
      <c r="BD2311" s="75">
        <v>0</v>
      </c>
      <c r="BE2311" s="208" t="s">
        <v>2544</v>
      </c>
      <c r="BF2311" s="208" t="s">
        <v>2545</v>
      </c>
      <c r="BG2311" s="74">
        <v>0</v>
      </c>
      <c r="BH2311" s="72">
        <v>0</v>
      </c>
      <c r="BI2311" s="74">
        <v>0</v>
      </c>
      <c r="BJ2311" s="74">
        <v>0</v>
      </c>
      <c r="BK2311" s="74">
        <v>0</v>
      </c>
      <c r="BL2311" s="74">
        <v>0</v>
      </c>
      <c r="BM2311" s="90">
        <v>0</v>
      </c>
      <c r="BN2311" s="73">
        <v>1</v>
      </c>
      <c r="BO2311" s="73">
        <v>0</v>
      </c>
      <c r="BP2311" s="73">
        <v>0</v>
      </c>
      <c r="BQ2311" s="73">
        <v>0</v>
      </c>
      <c r="BR2311" s="73">
        <v>0</v>
      </c>
      <c r="BS2311" s="73">
        <v>0</v>
      </c>
      <c r="BT2311" s="73">
        <v>0</v>
      </c>
      <c r="BU2311" s="23">
        <v>0</v>
      </c>
      <c r="BV2311" s="23"/>
      <c r="BW2311" s="23"/>
      <c r="BX2311" s="23"/>
      <c r="BY2311" s="23"/>
      <c r="BZ2311" s="23"/>
    </row>
    <row r="2312" spans="1:78" ht="20.100000000000001" customHeight="1">
      <c r="C2312" s="74">
        <v>77001707</v>
      </c>
      <c r="D2312" s="71" t="s">
        <v>5469</v>
      </c>
      <c r="E2312" s="160" t="s">
        <v>5470</v>
      </c>
      <c r="F2312" s="90">
        <v>1</v>
      </c>
      <c r="G2312" s="72">
        <v>0</v>
      </c>
      <c r="H2312" s="72">
        <v>0</v>
      </c>
      <c r="I2312" s="75">
        <v>0</v>
      </c>
      <c r="J2312" s="74">
        <v>1</v>
      </c>
      <c r="K2312" s="74">
        <v>0</v>
      </c>
      <c r="L2312" s="74">
        <v>0</v>
      </c>
      <c r="M2312" s="72">
        <v>0</v>
      </c>
      <c r="N2312" s="72">
        <v>0</v>
      </c>
      <c r="O2312" s="72">
        <v>2</v>
      </c>
      <c r="P2312" s="72">
        <v>2</v>
      </c>
      <c r="Q2312" s="72">
        <v>0.5</v>
      </c>
      <c r="R2312" s="72">
        <v>0</v>
      </c>
      <c r="S2312" s="73">
        <v>0</v>
      </c>
      <c r="T2312" s="72">
        <v>0</v>
      </c>
      <c r="U2312" s="72">
        <v>1</v>
      </c>
      <c r="V2312" s="90">
        <v>1</v>
      </c>
      <c r="W2312" s="72">
        <v>0</v>
      </c>
      <c r="X2312" s="72">
        <v>3</v>
      </c>
      <c r="Y2312" s="19">
        <v>0</v>
      </c>
      <c r="Z2312" s="72">
        <v>0</v>
      </c>
      <c r="AA2312" s="72">
        <v>1</v>
      </c>
      <c r="AB2312" s="72">
        <v>0</v>
      </c>
      <c r="AC2312" s="72">
        <v>0</v>
      </c>
      <c r="AD2312" s="72">
        <v>0</v>
      </c>
      <c r="AE2312" s="72">
        <v>1</v>
      </c>
      <c r="AF2312" s="72">
        <v>30</v>
      </c>
      <c r="AG2312" s="72">
        <v>1</v>
      </c>
      <c r="AH2312" s="72">
        <v>6</v>
      </c>
      <c r="AI2312" s="73">
        <v>0</v>
      </c>
      <c r="AJ2312" s="73">
        <v>1</v>
      </c>
      <c r="AK2312" s="73">
        <v>0</v>
      </c>
      <c r="AL2312" s="73">
        <v>3</v>
      </c>
      <c r="AM2312" s="72">
        <v>0</v>
      </c>
      <c r="AN2312" s="72">
        <v>1</v>
      </c>
      <c r="AO2312" s="72">
        <v>0</v>
      </c>
      <c r="AP2312" s="72">
        <v>1</v>
      </c>
      <c r="AQ2312" s="72">
        <v>3000</v>
      </c>
      <c r="AR2312" s="72">
        <v>1</v>
      </c>
      <c r="AS2312" s="72">
        <v>0</v>
      </c>
      <c r="AT2312" s="342" t="s">
        <v>5471</v>
      </c>
      <c r="AU2312" s="334" t="s">
        <v>5459</v>
      </c>
      <c r="AV2312" s="93"/>
      <c r="AW2312" s="71" t="s">
        <v>623</v>
      </c>
      <c r="AX2312" s="72" t="s">
        <v>221</v>
      </c>
      <c r="AY2312" s="74">
        <v>10000011</v>
      </c>
      <c r="AZ2312" s="74">
        <v>77001703</v>
      </c>
      <c r="BA2312" s="88" t="s">
        <v>206</v>
      </c>
      <c r="BB2312" s="72">
        <v>0</v>
      </c>
      <c r="BC2312" s="75">
        <v>0</v>
      </c>
      <c r="BD2312" s="75">
        <v>0</v>
      </c>
      <c r="BE2312" s="76" t="s">
        <v>5472</v>
      </c>
      <c r="BF2312" s="76" t="s">
        <v>5473</v>
      </c>
      <c r="BG2312" s="72">
        <v>0</v>
      </c>
      <c r="BH2312" s="72">
        <v>0</v>
      </c>
      <c r="BI2312" s="72">
        <v>0</v>
      </c>
      <c r="BJ2312" s="72">
        <v>0</v>
      </c>
      <c r="BK2312" s="72">
        <v>0</v>
      </c>
      <c r="BL2312" s="72">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19.5" customHeight="1">
      <c r="C2313" s="74">
        <v>77001708</v>
      </c>
      <c r="D2313" s="71" t="s">
        <v>5474</v>
      </c>
      <c r="E2313" s="71" t="s">
        <v>5475</v>
      </c>
      <c r="F2313" s="74">
        <v>1</v>
      </c>
      <c r="G2313" s="72">
        <v>0</v>
      </c>
      <c r="H2313" s="74">
        <v>0</v>
      </c>
      <c r="I2313" s="75">
        <v>0</v>
      </c>
      <c r="J2313" s="74">
        <v>1</v>
      </c>
      <c r="K2313" s="74">
        <v>0</v>
      </c>
      <c r="L2313" s="74">
        <v>0</v>
      </c>
      <c r="M2313" s="72">
        <v>0</v>
      </c>
      <c r="N2313" s="72">
        <v>0</v>
      </c>
      <c r="O2313" s="72">
        <v>2</v>
      </c>
      <c r="P2313" s="72">
        <v>3</v>
      </c>
      <c r="Q2313" s="72">
        <v>0.4</v>
      </c>
      <c r="R2313" s="72">
        <v>0</v>
      </c>
      <c r="S2313" s="73">
        <v>0</v>
      </c>
      <c r="T2313" s="72">
        <v>0</v>
      </c>
      <c r="U2313" s="72">
        <v>1</v>
      </c>
      <c r="V2313" s="72">
        <v>1</v>
      </c>
      <c r="W2313" s="72">
        <v>0</v>
      </c>
      <c r="X2313" s="72">
        <v>0</v>
      </c>
      <c r="Y2313" s="19">
        <v>0</v>
      </c>
      <c r="Z2313" s="72">
        <v>0</v>
      </c>
      <c r="AA2313" s="72">
        <v>0</v>
      </c>
      <c r="AB2313" s="72">
        <v>0</v>
      </c>
      <c r="AC2313" s="72">
        <v>0</v>
      </c>
      <c r="AD2313" s="72">
        <v>0</v>
      </c>
      <c r="AE2313" s="72">
        <v>1</v>
      </c>
      <c r="AF2313" s="72">
        <v>0</v>
      </c>
      <c r="AG2313" s="72">
        <v>1</v>
      </c>
      <c r="AH2313" s="72">
        <v>2</v>
      </c>
      <c r="AI2313" s="73">
        <v>0</v>
      </c>
      <c r="AJ2313" s="73">
        <v>1</v>
      </c>
      <c r="AK2313" s="73">
        <v>0</v>
      </c>
      <c r="AL2313" s="73">
        <v>3</v>
      </c>
      <c r="AM2313" s="72">
        <v>0</v>
      </c>
      <c r="AN2313" s="72">
        <v>0</v>
      </c>
      <c r="AO2313" s="72">
        <v>0</v>
      </c>
      <c r="AP2313" s="72">
        <v>0.3</v>
      </c>
      <c r="AQ2313" s="72">
        <v>300</v>
      </c>
      <c r="AR2313" s="72">
        <v>0</v>
      </c>
      <c r="AS2313" s="72">
        <v>0</v>
      </c>
      <c r="AT2313" s="73">
        <v>0</v>
      </c>
      <c r="AU2313" s="93">
        <v>0</v>
      </c>
      <c r="AV2313" s="93"/>
      <c r="AW2313" s="71" t="s">
        <v>204</v>
      </c>
      <c r="AX2313" s="72">
        <v>0</v>
      </c>
      <c r="AY2313" s="74">
        <v>0</v>
      </c>
      <c r="AZ2313" s="74">
        <v>0</v>
      </c>
      <c r="BA2313" s="71" t="s">
        <v>534</v>
      </c>
      <c r="BB2313" s="356" t="s">
        <v>5476</v>
      </c>
      <c r="BC2313" s="75">
        <v>0</v>
      </c>
      <c r="BD2313" s="75">
        <v>0</v>
      </c>
      <c r="BE2313" s="76" t="s">
        <v>5477</v>
      </c>
      <c r="BF2313" s="76" t="s">
        <v>5478</v>
      </c>
      <c r="BG2313" s="72">
        <v>0</v>
      </c>
      <c r="BH2313" s="72">
        <v>0</v>
      </c>
      <c r="BI2313" s="72">
        <v>0</v>
      </c>
      <c r="BJ2313" s="72">
        <v>0</v>
      </c>
      <c r="BK2313" s="72">
        <v>0</v>
      </c>
      <c r="BL2313" s="72">
        <v>0</v>
      </c>
      <c r="BM2313" s="90">
        <v>0</v>
      </c>
      <c r="BN2313" s="73">
        <v>0</v>
      </c>
      <c r="BO2313" s="73">
        <v>0</v>
      </c>
      <c r="BP2313" s="73">
        <v>0</v>
      </c>
      <c r="BQ2313" s="73">
        <v>0</v>
      </c>
      <c r="BR2313" s="73">
        <v>0</v>
      </c>
      <c r="BS2313" s="73">
        <v>1</v>
      </c>
      <c r="BT2313" s="73">
        <v>0</v>
      </c>
      <c r="BU2313" s="23">
        <v>0</v>
      </c>
      <c r="BV2313" s="23"/>
      <c r="BW2313" s="23"/>
      <c r="BX2313" s="23"/>
      <c r="BY2313" s="23"/>
      <c r="BZ2313" s="23"/>
    </row>
    <row r="2314" spans="1:78" ht="19.5" customHeight="1">
      <c r="C2314" s="74">
        <v>77001709</v>
      </c>
      <c r="D2314" s="71" t="s">
        <v>5479</v>
      </c>
      <c r="E2314" s="71" t="s">
        <v>5480</v>
      </c>
      <c r="F2314" s="74">
        <v>1</v>
      </c>
      <c r="G2314" s="74">
        <v>0</v>
      </c>
      <c r="H2314" s="74">
        <v>0</v>
      </c>
      <c r="I2314" s="75">
        <v>0</v>
      </c>
      <c r="J2314" s="74">
        <v>1</v>
      </c>
      <c r="K2314" s="74">
        <v>0</v>
      </c>
      <c r="L2314" s="74">
        <v>0</v>
      </c>
      <c r="M2314" s="72">
        <v>0</v>
      </c>
      <c r="N2314" s="72">
        <v>0</v>
      </c>
      <c r="O2314" s="72">
        <v>2</v>
      </c>
      <c r="P2314" s="72">
        <v>2</v>
      </c>
      <c r="Q2314" s="72">
        <v>0.7</v>
      </c>
      <c r="R2314" s="72">
        <v>0</v>
      </c>
      <c r="S2314" s="73">
        <v>0</v>
      </c>
      <c r="T2314" s="72">
        <v>0</v>
      </c>
      <c r="U2314" s="72">
        <v>1</v>
      </c>
      <c r="V2314" s="72">
        <v>2</v>
      </c>
      <c r="W2314" s="72">
        <v>0</v>
      </c>
      <c r="X2314" s="72">
        <v>1.5</v>
      </c>
      <c r="Y2314" s="19">
        <v>0</v>
      </c>
      <c r="Z2314" s="72">
        <v>0</v>
      </c>
      <c r="AA2314" s="72">
        <v>1</v>
      </c>
      <c r="AB2314" s="72">
        <v>0</v>
      </c>
      <c r="AC2314" s="72">
        <v>0</v>
      </c>
      <c r="AD2314" s="72">
        <v>1</v>
      </c>
      <c r="AE2314" s="72">
        <v>0</v>
      </c>
      <c r="AF2314" s="72">
        <v>9</v>
      </c>
      <c r="AG2314" s="72">
        <v>1</v>
      </c>
      <c r="AH2314" s="72">
        <v>3</v>
      </c>
      <c r="AI2314" s="73">
        <v>4</v>
      </c>
      <c r="AJ2314" s="73">
        <v>1</v>
      </c>
      <c r="AK2314" s="73">
        <v>0</v>
      </c>
      <c r="AL2314" s="73">
        <v>1.5</v>
      </c>
      <c r="AM2314" s="72">
        <v>0</v>
      </c>
      <c r="AN2314" s="72">
        <v>0</v>
      </c>
      <c r="AO2314" s="72">
        <v>0</v>
      </c>
      <c r="AP2314" s="72">
        <v>0</v>
      </c>
      <c r="AQ2314" s="72">
        <v>6000</v>
      </c>
      <c r="AR2314" s="72">
        <v>1</v>
      </c>
      <c r="AS2314" s="72">
        <v>0</v>
      </c>
      <c r="AT2314" s="73">
        <v>0</v>
      </c>
      <c r="AU2314" s="334" t="s">
        <v>5481</v>
      </c>
      <c r="AV2314" s="93"/>
      <c r="AW2314" s="88" t="s">
        <v>205</v>
      </c>
      <c r="AX2314" s="72" t="s">
        <v>540</v>
      </c>
      <c r="AY2314" s="74">
        <v>0</v>
      </c>
      <c r="AZ2314" s="332" t="s">
        <v>5482</v>
      </c>
      <c r="BA2314" s="71" t="s">
        <v>206</v>
      </c>
      <c r="BB2314" s="72" t="s">
        <v>5483</v>
      </c>
      <c r="BC2314" s="75">
        <v>0</v>
      </c>
      <c r="BD2314" s="75">
        <v>0</v>
      </c>
      <c r="BE2314" s="76" t="s">
        <v>5484</v>
      </c>
      <c r="BF2314" s="76" t="s">
        <v>5485</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20.100000000000001" customHeight="1">
      <c r="C2315" s="74">
        <v>77001710</v>
      </c>
      <c r="D2315" s="71" t="s">
        <v>1271</v>
      </c>
      <c r="E2315" s="71" t="s">
        <v>1272</v>
      </c>
      <c r="F2315" s="72">
        <v>1</v>
      </c>
      <c r="G2315" s="72">
        <v>0</v>
      </c>
      <c r="H2315" s="72">
        <v>0</v>
      </c>
      <c r="I2315" s="75">
        <v>0</v>
      </c>
      <c r="J2315" s="74">
        <v>1</v>
      </c>
      <c r="K2315" s="72">
        <v>0</v>
      </c>
      <c r="L2315" s="72">
        <v>0</v>
      </c>
      <c r="M2315" s="72">
        <v>0</v>
      </c>
      <c r="N2315" s="72">
        <v>0</v>
      </c>
      <c r="O2315" s="72">
        <v>2</v>
      </c>
      <c r="P2315" s="72">
        <v>3</v>
      </c>
      <c r="Q2315" s="72">
        <v>0.2</v>
      </c>
      <c r="R2315" s="72">
        <v>0</v>
      </c>
      <c r="S2315" s="73">
        <v>0</v>
      </c>
      <c r="T2315" s="72">
        <v>0</v>
      </c>
      <c r="U2315" s="72">
        <v>1</v>
      </c>
      <c r="V2315" s="72">
        <v>1</v>
      </c>
      <c r="W2315" s="72">
        <v>0</v>
      </c>
      <c r="X2315" s="72">
        <v>2</v>
      </c>
      <c r="Y2315" s="19">
        <v>0</v>
      </c>
      <c r="Z2315" s="72">
        <v>0</v>
      </c>
      <c r="AA2315" s="72">
        <v>1</v>
      </c>
      <c r="AB2315" s="72">
        <v>0</v>
      </c>
      <c r="AC2315" s="72">
        <v>0</v>
      </c>
      <c r="AD2315" s="72">
        <v>0</v>
      </c>
      <c r="AE2315" s="72">
        <v>1</v>
      </c>
      <c r="AF2315" s="72">
        <v>6</v>
      </c>
      <c r="AG2315" s="72">
        <v>1</v>
      </c>
      <c r="AH2315" s="72">
        <v>4</v>
      </c>
      <c r="AI2315" s="73">
        <v>0</v>
      </c>
      <c r="AJ2315" s="73">
        <v>1</v>
      </c>
      <c r="AK2315" s="73">
        <v>0</v>
      </c>
      <c r="AL2315" s="73">
        <v>2</v>
      </c>
      <c r="AM2315" s="72">
        <v>0</v>
      </c>
      <c r="AN2315" s="72">
        <v>0</v>
      </c>
      <c r="AO2315" s="72">
        <v>0</v>
      </c>
      <c r="AP2315" s="72">
        <v>0.6</v>
      </c>
      <c r="AQ2315" s="72">
        <v>600</v>
      </c>
      <c r="AR2315" s="72">
        <v>0.6</v>
      </c>
      <c r="AS2315" s="72">
        <v>0</v>
      </c>
      <c r="AT2315" s="73">
        <v>97007009</v>
      </c>
      <c r="AU2315" s="72">
        <v>97007001</v>
      </c>
      <c r="AV2315" s="72"/>
      <c r="AW2315" s="71" t="s">
        <v>204</v>
      </c>
      <c r="AX2315" s="72" t="s">
        <v>540</v>
      </c>
      <c r="AY2315" s="74">
        <v>10000001</v>
      </c>
      <c r="AZ2315" s="74">
        <v>77001701</v>
      </c>
      <c r="BA2315" s="71" t="s">
        <v>777</v>
      </c>
      <c r="BB2315" s="72">
        <v>0</v>
      </c>
      <c r="BC2315" s="75">
        <v>0</v>
      </c>
      <c r="BD2315" s="75">
        <v>0</v>
      </c>
      <c r="BE2315" s="114" t="s">
        <v>5486</v>
      </c>
      <c r="BF2315" s="114" t="s">
        <v>5487</v>
      </c>
      <c r="BG2315" s="72">
        <v>0</v>
      </c>
      <c r="BH2315" s="72">
        <v>0</v>
      </c>
      <c r="BI2315" s="72">
        <v>0</v>
      </c>
      <c r="BJ2315" s="72">
        <v>0</v>
      </c>
      <c r="BK2315" s="72">
        <v>0</v>
      </c>
      <c r="BL2315" s="72">
        <v>0</v>
      </c>
      <c r="BM2315" s="90">
        <v>0</v>
      </c>
      <c r="BN2315" s="73">
        <v>0</v>
      </c>
      <c r="BO2315" s="73">
        <v>0</v>
      </c>
      <c r="BP2315" s="73">
        <v>0</v>
      </c>
      <c r="BQ2315" s="73">
        <v>0</v>
      </c>
      <c r="BR2315" s="73">
        <v>0</v>
      </c>
      <c r="BS2315" s="73">
        <v>0</v>
      </c>
      <c r="BT2315" s="73">
        <v>77001709</v>
      </c>
      <c r="BU2315" s="23">
        <v>0</v>
      </c>
      <c r="BV2315" s="23"/>
      <c r="BW2315" s="23"/>
      <c r="BX2315" s="23"/>
      <c r="BY2315" s="23"/>
      <c r="BZ2315" s="23"/>
    </row>
    <row r="2316" spans="1:78" ht="19.5" customHeight="1">
      <c r="C2316" s="74">
        <v>77001711</v>
      </c>
      <c r="D2316" s="71" t="s">
        <v>5479</v>
      </c>
      <c r="E2316" s="71" t="s">
        <v>5480</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34" t="s">
        <v>5481</v>
      </c>
      <c r="AV2316" s="93"/>
      <c r="AW2316" s="88" t="s">
        <v>205</v>
      </c>
      <c r="AX2316" s="72" t="s">
        <v>540</v>
      </c>
      <c r="AY2316" s="74">
        <v>0</v>
      </c>
      <c r="AZ2316" s="332" t="s">
        <v>5482</v>
      </c>
      <c r="BA2316" s="71" t="s">
        <v>206</v>
      </c>
      <c r="BB2316" s="72" t="s">
        <v>5488</v>
      </c>
      <c r="BC2316" s="75">
        <v>0</v>
      </c>
      <c r="BD2316" s="75">
        <v>0</v>
      </c>
      <c r="BE2316" s="76" t="s">
        <v>5489</v>
      </c>
      <c r="BF2316" s="76" t="s">
        <v>5490</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18.75" customHeight="1">
      <c r="C2317" s="294">
        <v>77001801</v>
      </c>
      <c r="D2317" s="295" t="s">
        <v>5491</v>
      </c>
      <c r="E2317" s="295" t="s">
        <v>5492</v>
      </c>
      <c r="F2317" s="294">
        <v>1</v>
      </c>
      <c r="G2317" s="296">
        <v>0</v>
      </c>
      <c r="H2317" s="294">
        <v>0</v>
      </c>
      <c r="I2317" s="297">
        <v>0</v>
      </c>
      <c r="J2317" s="294">
        <v>1</v>
      </c>
      <c r="K2317" s="294">
        <v>0</v>
      </c>
      <c r="L2317" s="294">
        <v>0</v>
      </c>
      <c r="M2317" s="296">
        <v>0</v>
      </c>
      <c r="N2317" s="296">
        <v>0</v>
      </c>
      <c r="O2317" s="296">
        <v>2</v>
      </c>
      <c r="P2317" s="296">
        <v>2</v>
      </c>
      <c r="Q2317" s="296">
        <v>0.99</v>
      </c>
      <c r="R2317" s="296">
        <v>0</v>
      </c>
      <c r="S2317" s="298">
        <v>0</v>
      </c>
      <c r="T2317" s="296">
        <v>0</v>
      </c>
      <c r="U2317" s="296">
        <v>1</v>
      </c>
      <c r="V2317" s="296">
        <v>2</v>
      </c>
      <c r="W2317" s="296">
        <v>0</v>
      </c>
      <c r="X2317" s="296">
        <v>1.5</v>
      </c>
      <c r="Y2317" s="19">
        <v>0</v>
      </c>
      <c r="Z2317" s="296">
        <v>0</v>
      </c>
      <c r="AA2317" s="296">
        <v>1</v>
      </c>
      <c r="AB2317" s="296">
        <v>0</v>
      </c>
      <c r="AC2317" s="296">
        <v>0</v>
      </c>
      <c r="AD2317" s="296">
        <v>1</v>
      </c>
      <c r="AE2317" s="296">
        <v>0</v>
      </c>
      <c r="AF2317" s="296">
        <v>8</v>
      </c>
      <c r="AG2317" s="296">
        <v>1</v>
      </c>
      <c r="AH2317" s="296">
        <v>3</v>
      </c>
      <c r="AI2317" s="298">
        <v>3</v>
      </c>
      <c r="AJ2317" s="298">
        <v>1</v>
      </c>
      <c r="AK2317" s="298">
        <v>0</v>
      </c>
      <c r="AL2317" s="298">
        <v>1.5</v>
      </c>
      <c r="AM2317" s="296">
        <v>0</v>
      </c>
      <c r="AN2317" s="296">
        <v>0</v>
      </c>
      <c r="AO2317" s="296">
        <v>0</v>
      </c>
      <c r="AP2317" s="296">
        <v>0.8</v>
      </c>
      <c r="AQ2317" s="296">
        <v>6000</v>
      </c>
      <c r="AR2317" s="296">
        <v>0.8</v>
      </c>
      <c r="AS2317" s="296">
        <v>0</v>
      </c>
      <c r="AT2317" s="298">
        <v>0</v>
      </c>
      <c r="AU2317" s="371" t="s">
        <v>5493</v>
      </c>
      <c r="AV2317" s="302"/>
      <c r="AW2317" s="299" t="s">
        <v>205</v>
      </c>
      <c r="AX2317" s="296" t="s">
        <v>540</v>
      </c>
      <c r="AY2317" s="294">
        <v>0</v>
      </c>
      <c r="AZ2317" s="294">
        <v>77001801</v>
      </c>
      <c r="BA2317" s="295" t="s">
        <v>206</v>
      </c>
      <c r="BB2317" s="296" t="s">
        <v>5494</v>
      </c>
      <c r="BC2317" s="297">
        <v>0</v>
      </c>
      <c r="BD2317" s="297">
        <v>0</v>
      </c>
      <c r="BE2317" s="300" t="s">
        <v>5495</v>
      </c>
      <c r="BF2317" s="300" t="s">
        <v>5496</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1:78" ht="19.5" customHeight="1">
      <c r="C2318" s="294">
        <v>77001802</v>
      </c>
      <c r="D2318" s="295" t="s">
        <v>5497</v>
      </c>
      <c r="E2318" s="295" t="s">
        <v>5498</v>
      </c>
      <c r="F2318" s="294">
        <v>1</v>
      </c>
      <c r="G2318" s="296">
        <v>0</v>
      </c>
      <c r="H2318" s="294">
        <v>0</v>
      </c>
      <c r="I2318" s="297">
        <v>0</v>
      </c>
      <c r="J2318" s="294">
        <v>1</v>
      </c>
      <c r="K2318" s="294">
        <v>0</v>
      </c>
      <c r="L2318" s="294">
        <v>0</v>
      </c>
      <c r="M2318" s="296">
        <v>0</v>
      </c>
      <c r="N2318" s="296">
        <v>0</v>
      </c>
      <c r="O2318" s="301">
        <v>2</v>
      </c>
      <c r="P2318" s="296">
        <v>2</v>
      </c>
      <c r="Q2318" s="296">
        <v>0.7</v>
      </c>
      <c r="R2318" s="296">
        <v>0</v>
      </c>
      <c r="S2318" s="298">
        <v>0</v>
      </c>
      <c r="T2318" s="296">
        <v>0</v>
      </c>
      <c r="U2318" s="296">
        <v>1</v>
      </c>
      <c r="V2318" s="296">
        <v>1</v>
      </c>
      <c r="W2318" s="296">
        <v>0</v>
      </c>
      <c r="X2318" s="296">
        <v>0</v>
      </c>
      <c r="Y2318" s="19">
        <v>0</v>
      </c>
      <c r="Z2318" s="296">
        <v>0</v>
      </c>
      <c r="AA2318" s="296">
        <v>0</v>
      </c>
      <c r="AB2318" s="296">
        <v>0</v>
      </c>
      <c r="AC2318" s="296">
        <v>0</v>
      </c>
      <c r="AD2318" s="301">
        <v>0</v>
      </c>
      <c r="AE2318" s="296">
        <v>1</v>
      </c>
      <c r="AF2318" s="296">
        <v>20</v>
      </c>
      <c r="AG2318" s="296">
        <v>1</v>
      </c>
      <c r="AH2318" s="296">
        <v>2</v>
      </c>
      <c r="AI2318" s="298">
        <v>0</v>
      </c>
      <c r="AJ2318" s="298">
        <v>1</v>
      </c>
      <c r="AK2318" s="298">
        <v>0</v>
      </c>
      <c r="AL2318" s="298">
        <v>0</v>
      </c>
      <c r="AM2318" s="296">
        <v>0</v>
      </c>
      <c r="AN2318" s="296">
        <v>0</v>
      </c>
      <c r="AO2318" s="296">
        <v>0</v>
      </c>
      <c r="AP2318" s="296">
        <v>0</v>
      </c>
      <c r="AQ2318" s="296">
        <v>1000</v>
      </c>
      <c r="AR2318" s="296">
        <v>0</v>
      </c>
      <c r="AS2318" s="296">
        <v>0</v>
      </c>
      <c r="AT2318" s="298">
        <v>0</v>
      </c>
      <c r="AU2318" s="296">
        <v>0</v>
      </c>
      <c r="AV2318" s="296"/>
      <c r="AW2318" s="299" t="s">
        <v>293</v>
      </c>
      <c r="AX2318" s="296" t="s">
        <v>551</v>
      </c>
      <c r="AY2318" s="294">
        <v>0</v>
      </c>
      <c r="AZ2318" s="294">
        <v>0</v>
      </c>
      <c r="BA2318" s="295" t="s">
        <v>534</v>
      </c>
      <c r="BB2318" s="296" t="s">
        <v>5499</v>
      </c>
      <c r="BC2318" s="297">
        <v>0</v>
      </c>
      <c r="BD2318" s="297">
        <v>0</v>
      </c>
      <c r="BE2318" s="300" t="s">
        <v>5500</v>
      </c>
      <c r="BF2318" s="300" t="s">
        <v>5501</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1:78" ht="19.5" customHeight="1">
      <c r="C2319" s="294">
        <v>77001803</v>
      </c>
      <c r="D2319" s="295" t="s">
        <v>5502</v>
      </c>
      <c r="E2319" s="295" t="s">
        <v>5503</v>
      </c>
      <c r="F2319" s="294">
        <v>1</v>
      </c>
      <c r="G2319" s="296">
        <v>0</v>
      </c>
      <c r="H2319" s="294">
        <v>0</v>
      </c>
      <c r="I2319" s="297">
        <v>0</v>
      </c>
      <c r="J2319" s="294">
        <v>1</v>
      </c>
      <c r="K2319" s="294">
        <v>0</v>
      </c>
      <c r="L2319" s="294">
        <v>0</v>
      </c>
      <c r="M2319" s="296">
        <v>0</v>
      </c>
      <c r="N2319" s="296">
        <v>0</v>
      </c>
      <c r="O2319" s="296">
        <v>2</v>
      </c>
      <c r="P2319" s="296" t="s">
        <v>5339</v>
      </c>
      <c r="Q2319" s="296" t="s">
        <v>5340</v>
      </c>
      <c r="R2319" s="296">
        <v>0</v>
      </c>
      <c r="S2319" s="298">
        <v>0</v>
      </c>
      <c r="T2319" s="296">
        <v>0</v>
      </c>
      <c r="U2319" s="296">
        <v>1</v>
      </c>
      <c r="V2319" s="296">
        <v>2</v>
      </c>
      <c r="W2319" s="296">
        <v>0</v>
      </c>
      <c r="X2319" s="296">
        <v>2</v>
      </c>
      <c r="Y2319" s="19">
        <v>0</v>
      </c>
      <c r="Z2319" s="296">
        <v>0</v>
      </c>
      <c r="AA2319" s="296">
        <v>0</v>
      </c>
      <c r="AB2319" s="296">
        <v>0</v>
      </c>
      <c r="AC2319" s="296">
        <v>0</v>
      </c>
      <c r="AD2319" s="296">
        <v>0</v>
      </c>
      <c r="AE2319" s="296">
        <v>1</v>
      </c>
      <c r="AF2319" s="296">
        <v>24</v>
      </c>
      <c r="AG2319" s="296">
        <v>1</v>
      </c>
      <c r="AH2319" s="296">
        <v>2</v>
      </c>
      <c r="AI2319" s="298">
        <v>0</v>
      </c>
      <c r="AJ2319" s="298">
        <v>2</v>
      </c>
      <c r="AK2319" s="298">
        <v>0</v>
      </c>
      <c r="AL2319" s="298">
        <v>2</v>
      </c>
      <c r="AM2319" s="296">
        <v>0</v>
      </c>
      <c r="AN2319" s="296">
        <v>0</v>
      </c>
      <c r="AO2319" s="296">
        <v>0</v>
      </c>
      <c r="AP2319" s="296">
        <v>3</v>
      </c>
      <c r="AQ2319" s="296">
        <v>12000</v>
      </c>
      <c r="AR2319" s="296">
        <v>1</v>
      </c>
      <c r="AS2319" s="296">
        <v>2</v>
      </c>
      <c r="AT2319" s="373" t="s">
        <v>5504</v>
      </c>
      <c r="AU2319" s="371" t="s">
        <v>5505</v>
      </c>
      <c r="AV2319" s="302"/>
      <c r="AW2319" s="295" t="s">
        <v>205</v>
      </c>
      <c r="AX2319" s="296" t="s">
        <v>540</v>
      </c>
      <c r="AY2319" s="294">
        <v>10000007</v>
      </c>
      <c r="AZ2319" s="372" t="s">
        <v>5506</v>
      </c>
      <c r="BA2319" s="295" t="s">
        <v>592</v>
      </c>
      <c r="BB2319" s="296" t="s">
        <v>5507</v>
      </c>
      <c r="BC2319" s="297">
        <v>0</v>
      </c>
      <c r="BD2319" s="297">
        <v>0</v>
      </c>
      <c r="BE2319" s="300" t="s">
        <v>5508</v>
      </c>
      <c r="BF2319" s="300" t="s">
        <v>5509</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0</v>
      </c>
      <c r="BU2319" s="23">
        <v>0</v>
      </c>
      <c r="BV2319" s="23"/>
      <c r="BW2319" s="23"/>
      <c r="BX2319" s="23"/>
      <c r="BY2319" s="23"/>
      <c r="BZ2319" s="23"/>
    </row>
    <row r="2320" spans="1:78" ht="19.5" customHeight="1">
      <c r="C2320" s="294">
        <v>77001804</v>
      </c>
      <c r="D2320" s="295" t="s">
        <v>5510</v>
      </c>
      <c r="E2320" s="295" t="s">
        <v>5511</v>
      </c>
      <c r="F2320" s="294">
        <v>1</v>
      </c>
      <c r="G2320" s="296">
        <v>0</v>
      </c>
      <c r="H2320" s="294">
        <v>0</v>
      </c>
      <c r="I2320" s="297">
        <v>0</v>
      </c>
      <c r="J2320" s="294">
        <v>1</v>
      </c>
      <c r="K2320" s="294">
        <v>0</v>
      </c>
      <c r="L2320" s="294">
        <v>0</v>
      </c>
      <c r="M2320" s="296">
        <v>0</v>
      </c>
      <c r="N2320" s="296">
        <v>0</v>
      </c>
      <c r="O2320" s="296">
        <v>2</v>
      </c>
      <c r="P2320" s="296">
        <v>2</v>
      </c>
      <c r="Q2320" s="296">
        <v>0.5</v>
      </c>
      <c r="R2320" s="296">
        <v>1</v>
      </c>
      <c r="S2320" s="298">
        <v>1</v>
      </c>
      <c r="T2320" s="296">
        <v>0</v>
      </c>
      <c r="U2320" s="296">
        <v>1</v>
      </c>
      <c r="V2320" s="296">
        <v>2</v>
      </c>
      <c r="W2320" s="296">
        <v>0</v>
      </c>
      <c r="X2320" s="296">
        <v>2.5</v>
      </c>
      <c r="Y2320" s="19">
        <v>0</v>
      </c>
      <c r="Z2320" s="296">
        <v>0</v>
      </c>
      <c r="AA2320" s="296">
        <v>1</v>
      </c>
      <c r="AB2320" s="296">
        <v>0</v>
      </c>
      <c r="AC2320" s="296">
        <v>0</v>
      </c>
      <c r="AD2320" s="296">
        <v>0</v>
      </c>
      <c r="AE2320" s="296">
        <v>1</v>
      </c>
      <c r="AF2320" s="296">
        <v>0</v>
      </c>
      <c r="AG2320" s="296">
        <v>1</v>
      </c>
      <c r="AH2320" s="296">
        <v>4</v>
      </c>
      <c r="AI2320" s="298">
        <v>1</v>
      </c>
      <c r="AJ2320" s="298">
        <v>1</v>
      </c>
      <c r="AK2320" s="298">
        <v>0</v>
      </c>
      <c r="AL2320" s="298">
        <v>3</v>
      </c>
      <c r="AM2320" s="296">
        <v>0</v>
      </c>
      <c r="AN2320" s="296">
        <v>0</v>
      </c>
      <c r="AO2320" s="296">
        <v>0</v>
      </c>
      <c r="AP2320" s="296">
        <v>0</v>
      </c>
      <c r="AQ2320" s="296">
        <v>3000</v>
      </c>
      <c r="AR2320" s="296">
        <v>1</v>
      </c>
      <c r="AS2320" s="296">
        <v>0</v>
      </c>
      <c r="AT2320" s="298">
        <v>0</v>
      </c>
      <c r="AU2320" s="371" t="s">
        <v>5512</v>
      </c>
      <c r="AV2320" s="302"/>
      <c r="AW2320" s="299" t="s">
        <v>293</v>
      </c>
      <c r="AX2320" s="296" t="s">
        <v>540</v>
      </c>
      <c r="AY2320" s="294">
        <v>0</v>
      </c>
      <c r="AZ2320" s="294">
        <v>77001803</v>
      </c>
      <c r="BA2320" s="295" t="s">
        <v>206</v>
      </c>
      <c r="BB2320" s="296">
        <v>0</v>
      </c>
      <c r="BC2320" s="297">
        <v>0</v>
      </c>
      <c r="BD2320" s="297">
        <v>0</v>
      </c>
      <c r="BE2320" s="300" t="s">
        <v>5513</v>
      </c>
      <c r="BF2320" s="300" t="s">
        <v>5514</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77001806</v>
      </c>
      <c r="BU2320" s="23">
        <v>0</v>
      </c>
      <c r="BV2320" s="23"/>
      <c r="BW2320" s="23"/>
      <c r="BX2320" s="23"/>
      <c r="BY2320" s="23"/>
      <c r="BZ2320" s="23"/>
    </row>
    <row r="2321" spans="3:78" ht="19.5" customHeight="1">
      <c r="C2321" s="294">
        <v>77001805</v>
      </c>
      <c r="D2321" s="295" t="s">
        <v>5502</v>
      </c>
      <c r="E2321" s="295" t="s">
        <v>5503</v>
      </c>
      <c r="F2321" s="294">
        <v>1</v>
      </c>
      <c r="G2321" s="296">
        <v>0</v>
      </c>
      <c r="H2321" s="294">
        <v>0</v>
      </c>
      <c r="I2321" s="297">
        <v>0</v>
      </c>
      <c r="J2321" s="294">
        <v>1</v>
      </c>
      <c r="K2321" s="294">
        <v>0</v>
      </c>
      <c r="L2321" s="294">
        <v>0</v>
      </c>
      <c r="M2321" s="296">
        <v>0</v>
      </c>
      <c r="N2321" s="296">
        <v>0</v>
      </c>
      <c r="O2321" s="296">
        <v>2</v>
      </c>
      <c r="P2321" s="296">
        <v>1</v>
      </c>
      <c r="Q2321" s="296">
        <v>1</v>
      </c>
      <c r="R2321" s="296">
        <v>1</v>
      </c>
      <c r="S2321" s="298">
        <v>0</v>
      </c>
      <c r="T2321" s="296">
        <v>0</v>
      </c>
      <c r="U2321" s="296">
        <v>1</v>
      </c>
      <c r="V2321" s="296">
        <v>2</v>
      </c>
      <c r="W2321" s="296">
        <v>0</v>
      </c>
      <c r="X2321" s="296">
        <v>1.5</v>
      </c>
      <c r="Y2321" s="19">
        <v>0</v>
      </c>
      <c r="Z2321" s="296">
        <v>0</v>
      </c>
      <c r="AA2321" s="296">
        <v>0</v>
      </c>
      <c r="AB2321" s="296">
        <v>0</v>
      </c>
      <c r="AC2321" s="296">
        <v>0</v>
      </c>
      <c r="AD2321" s="296">
        <v>0</v>
      </c>
      <c r="AE2321" s="296">
        <v>1</v>
      </c>
      <c r="AF2321" s="296">
        <v>35</v>
      </c>
      <c r="AG2321" s="296">
        <v>1</v>
      </c>
      <c r="AH2321" s="296">
        <v>2</v>
      </c>
      <c r="AI2321" s="298">
        <v>0</v>
      </c>
      <c r="AJ2321" s="298">
        <v>2</v>
      </c>
      <c r="AK2321" s="298">
        <v>0</v>
      </c>
      <c r="AL2321" s="298">
        <v>2</v>
      </c>
      <c r="AM2321" s="296">
        <v>0</v>
      </c>
      <c r="AN2321" s="296">
        <v>0</v>
      </c>
      <c r="AO2321" s="296">
        <v>0</v>
      </c>
      <c r="AP2321" s="296">
        <v>0</v>
      </c>
      <c r="AQ2321" s="296">
        <v>12000</v>
      </c>
      <c r="AR2321" s="296">
        <v>1</v>
      </c>
      <c r="AS2321" s="296">
        <v>2</v>
      </c>
      <c r="AT2321" s="303">
        <v>0</v>
      </c>
      <c r="AU2321" s="371" t="s">
        <v>5515</v>
      </c>
      <c r="AV2321" s="302"/>
      <c r="AW2321" s="295" t="s">
        <v>205</v>
      </c>
      <c r="AX2321" s="296" t="s">
        <v>540</v>
      </c>
      <c r="AY2321" s="294">
        <v>10000007</v>
      </c>
      <c r="AZ2321" s="372" t="s">
        <v>5506</v>
      </c>
      <c r="BA2321" s="295" t="s">
        <v>592</v>
      </c>
      <c r="BB2321" s="296" t="s">
        <v>5516</v>
      </c>
      <c r="BC2321" s="297">
        <v>0</v>
      </c>
      <c r="BD2321" s="297">
        <v>0</v>
      </c>
      <c r="BE2321" s="300" t="s">
        <v>5517</v>
      </c>
      <c r="BF2321" s="300" t="s">
        <v>5518</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77001806</v>
      </c>
      <c r="D2322" s="295" t="s">
        <v>5519</v>
      </c>
      <c r="E2322" s="295" t="s">
        <v>5520</v>
      </c>
      <c r="F2322" s="294">
        <v>1</v>
      </c>
      <c r="G2322" s="296">
        <v>0</v>
      </c>
      <c r="H2322" s="294">
        <v>0</v>
      </c>
      <c r="I2322" s="297">
        <v>0</v>
      </c>
      <c r="J2322" s="294">
        <v>1</v>
      </c>
      <c r="K2322" s="294">
        <v>0</v>
      </c>
      <c r="L2322" s="294">
        <v>0</v>
      </c>
      <c r="M2322" s="296">
        <v>0</v>
      </c>
      <c r="N2322" s="296">
        <v>0</v>
      </c>
      <c r="O2322" s="301">
        <v>2</v>
      </c>
      <c r="P2322" s="296">
        <v>2</v>
      </c>
      <c r="Q2322" s="296">
        <v>0.7</v>
      </c>
      <c r="R2322" s="296">
        <v>0</v>
      </c>
      <c r="S2322" s="298">
        <v>0</v>
      </c>
      <c r="T2322" s="296">
        <v>0</v>
      </c>
      <c r="U2322" s="296">
        <v>1</v>
      </c>
      <c r="V2322" s="296">
        <v>1</v>
      </c>
      <c r="W2322" s="296">
        <v>0</v>
      </c>
      <c r="X2322" s="296">
        <v>0</v>
      </c>
      <c r="Y2322" s="19">
        <v>0</v>
      </c>
      <c r="Z2322" s="296">
        <v>0</v>
      </c>
      <c r="AA2322" s="296">
        <v>0</v>
      </c>
      <c r="AB2322" s="296">
        <v>0</v>
      </c>
      <c r="AC2322" s="296">
        <v>0</v>
      </c>
      <c r="AD2322" s="301">
        <v>0</v>
      </c>
      <c r="AE2322" s="296">
        <v>1</v>
      </c>
      <c r="AF2322" s="296">
        <v>40</v>
      </c>
      <c r="AG2322" s="296">
        <v>1</v>
      </c>
      <c r="AH2322" s="296">
        <v>2</v>
      </c>
      <c r="AI2322" s="298">
        <v>0</v>
      </c>
      <c r="AJ2322" s="298">
        <v>1</v>
      </c>
      <c r="AK2322" s="298">
        <v>0</v>
      </c>
      <c r="AL2322" s="298">
        <v>0</v>
      </c>
      <c r="AM2322" s="296">
        <v>0</v>
      </c>
      <c r="AN2322" s="296">
        <v>0</v>
      </c>
      <c r="AO2322" s="296">
        <v>0</v>
      </c>
      <c r="AP2322" s="296">
        <v>0</v>
      </c>
      <c r="AQ2322" s="296">
        <v>1000</v>
      </c>
      <c r="AR2322" s="296">
        <v>0</v>
      </c>
      <c r="AS2322" s="296">
        <v>0</v>
      </c>
      <c r="AT2322" s="298">
        <v>0</v>
      </c>
      <c r="AU2322" s="296" t="s">
        <v>204</v>
      </c>
      <c r="AV2322" s="296"/>
      <c r="AW2322" s="299" t="s">
        <v>293</v>
      </c>
      <c r="AX2322" s="296" t="s">
        <v>551</v>
      </c>
      <c r="AY2322" s="294">
        <v>0</v>
      </c>
      <c r="AZ2322" s="294">
        <v>0</v>
      </c>
      <c r="BA2322" s="295" t="s">
        <v>534</v>
      </c>
      <c r="BB2322" s="296" t="s">
        <v>5521</v>
      </c>
      <c r="BC2322" s="297">
        <v>0</v>
      </c>
      <c r="BD2322" s="297">
        <v>0</v>
      </c>
      <c r="BE2322" s="300" t="s">
        <v>5522</v>
      </c>
      <c r="BF2322" s="300" t="s">
        <v>5523</v>
      </c>
      <c r="BG2322" s="296">
        <v>0</v>
      </c>
      <c r="BH2322" s="296">
        <v>0</v>
      </c>
      <c r="BI2322" s="296">
        <v>0</v>
      </c>
      <c r="BJ2322" s="296">
        <v>0</v>
      </c>
      <c r="BK2322" s="296">
        <v>0</v>
      </c>
      <c r="BL2322" s="296">
        <v>0</v>
      </c>
      <c r="BM2322" s="301">
        <v>0</v>
      </c>
      <c r="BN2322" s="298">
        <v>0</v>
      </c>
      <c r="BO2322" s="298">
        <v>0</v>
      </c>
      <c r="BP2322" s="298">
        <v>0</v>
      </c>
      <c r="BQ2322" s="298">
        <v>0</v>
      </c>
      <c r="BR2322" s="298">
        <v>0</v>
      </c>
      <c r="BS2322" s="298">
        <v>0</v>
      </c>
      <c r="BT2322" s="298">
        <v>0</v>
      </c>
      <c r="BU2322" s="23">
        <v>0</v>
      </c>
      <c r="BV2322" s="23"/>
      <c r="BW2322" s="23"/>
      <c r="BX2322" s="23"/>
      <c r="BY2322" s="23"/>
      <c r="BZ2322" s="23"/>
    </row>
    <row r="2323" spans="3:78" ht="19.5" customHeight="1">
      <c r="C2323" s="294">
        <v>77001807</v>
      </c>
      <c r="D2323" s="295" t="s">
        <v>5524</v>
      </c>
      <c r="E2323" s="295" t="s">
        <v>5525</v>
      </c>
      <c r="F2323" s="296">
        <v>1</v>
      </c>
      <c r="G2323" s="296">
        <v>0</v>
      </c>
      <c r="H2323" s="296">
        <v>0</v>
      </c>
      <c r="I2323" s="297">
        <v>0</v>
      </c>
      <c r="J2323" s="294">
        <v>1</v>
      </c>
      <c r="K2323" s="294">
        <v>0</v>
      </c>
      <c r="L2323" s="294">
        <v>0</v>
      </c>
      <c r="M2323" s="296">
        <v>0</v>
      </c>
      <c r="N2323" s="296">
        <v>0</v>
      </c>
      <c r="O2323" s="296">
        <v>2</v>
      </c>
      <c r="P2323" s="296" t="s">
        <v>5526</v>
      </c>
      <c r="Q2323" s="296" t="s">
        <v>5527</v>
      </c>
      <c r="R2323" s="296">
        <v>0</v>
      </c>
      <c r="S2323" s="298">
        <v>0</v>
      </c>
      <c r="T2323" s="296">
        <v>0</v>
      </c>
      <c r="U2323" s="296">
        <v>1</v>
      </c>
      <c r="V2323" s="296">
        <v>1</v>
      </c>
      <c r="W2323" s="296">
        <v>0</v>
      </c>
      <c r="X2323" s="296">
        <v>0</v>
      </c>
      <c r="Y2323" s="19">
        <v>0</v>
      </c>
      <c r="Z2323" s="296">
        <v>0</v>
      </c>
      <c r="AA2323" s="296">
        <v>0</v>
      </c>
      <c r="AB2323" s="296">
        <v>0</v>
      </c>
      <c r="AC2323" s="296">
        <v>0</v>
      </c>
      <c r="AD2323" s="296">
        <v>0</v>
      </c>
      <c r="AE2323" s="296">
        <v>1</v>
      </c>
      <c r="AF2323" s="296">
        <v>0</v>
      </c>
      <c r="AG2323" s="296">
        <v>2</v>
      </c>
      <c r="AH2323" s="296" t="s">
        <v>219</v>
      </c>
      <c r="AI2323" s="298">
        <v>0</v>
      </c>
      <c r="AJ2323" s="298">
        <v>2</v>
      </c>
      <c r="AK2323" s="298">
        <v>0</v>
      </c>
      <c r="AL2323" s="298">
        <v>1.5</v>
      </c>
      <c r="AM2323" s="296">
        <v>0</v>
      </c>
      <c r="AN2323" s="296">
        <v>0</v>
      </c>
      <c r="AO2323" s="296">
        <v>0</v>
      </c>
      <c r="AP2323" s="296">
        <v>0.3</v>
      </c>
      <c r="AQ2323" s="296">
        <v>300</v>
      </c>
      <c r="AR2323" s="296">
        <v>0</v>
      </c>
      <c r="AS2323" s="296">
        <v>15</v>
      </c>
      <c r="AT2323" s="298">
        <v>0</v>
      </c>
      <c r="AU2323" s="302">
        <v>0</v>
      </c>
      <c r="AV2323" s="302"/>
      <c r="AW2323" s="295" t="s">
        <v>205</v>
      </c>
      <c r="AX2323" s="296" t="s">
        <v>221</v>
      </c>
      <c r="AY2323" s="294">
        <v>0</v>
      </c>
      <c r="AZ2323" s="294">
        <v>0</v>
      </c>
      <c r="BA2323" s="308" t="s">
        <v>222</v>
      </c>
      <c r="BB2323" s="296">
        <v>1</v>
      </c>
      <c r="BC2323" s="297">
        <v>0</v>
      </c>
      <c r="BD2323" s="297">
        <v>0</v>
      </c>
      <c r="BE2323" s="300" t="s">
        <v>5528</v>
      </c>
      <c r="BF2323" s="300" t="s">
        <v>5529</v>
      </c>
      <c r="BG2323" s="296">
        <v>0</v>
      </c>
      <c r="BH2323" s="296">
        <v>0</v>
      </c>
      <c r="BI2323" s="296">
        <v>0</v>
      </c>
      <c r="BJ2323" s="296">
        <v>0</v>
      </c>
      <c r="BK2323" s="296">
        <v>0</v>
      </c>
      <c r="BL2323" s="296">
        <v>0</v>
      </c>
      <c r="BM2323" s="301">
        <v>0</v>
      </c>
      <c r="BN2323" s="298">
        <v>0</v>
      </c>
      <c r="BO2323" s="298">
        <v>0</v>
      </c>
      <c r="BP2323" s="298">
        <v>0</v>
      </c>
      <c r="BQ2323" s="298">
        <v>0</v>
      </c>
      <c r="BR2323" s="298">
        <v>0</v>
      </c>
      <c r="BS2323" s="298">
        <v>1</v>
      </c>
      <c r="BT2323" s="298">
        <v>77001808</v>
      </c>
      <c r="BU2323" s="23">
        <v>0</v>
      </c>
      <c r="BV2323" s="23"/>
      <c r="BW2323" s="23"/>
      <c r="BX2323" s="23"/>
      <c r="BY2323" s="23"/>
      <c r="BZ2323" s="23"/>
    </row>
    <row r="2324" spans="3:78" ht="20.100000000000001" customHeight="1">
      <c r="C2324" s="294">
        <v>77001808</v>
      </c>
      <c r="D2324" s="295" t="s">
        <v>5524</v>
      </c>
      <c r="E2324" s="295" t="s">
        <v>5525</v>
      </c>
      <c r="F2324" s="296">
        <v>1</v>
      </c>
      <c r="G2324" s="296">
        <v>0</v>
      </c>
      <c r="H2324" s="296">
        <v>0</v>
      </c>
      <c r="I2324" s="297">
        <v>0</v>
      </c>
      <c r="J2324" s="294">
        <v>1</v>
      </c>
      <c r="K2324" s="294">
        <v>0</v>
      </c>
      <c r="L2324" s="294">
        <v>0</v>
      </c>
      <c r="M2324" s="296">
        <v>0</v>
      </c>
      <c r="N2324" s="296">
        <v>0</v>
      </c>
      <c r="O2324" s="296">
        <v>2</v>
      </c>
      <c r="P2324" s="296">
        <v>3</v>
      </c>
      <c r="Q2324" s="296">
        <v>0.2</v>
      </c>
      <c r="R2324" s="296">
        <v>0</v>
      </c>
      <c r="S2324" s="298">
        <v>0</v>
      </c>
      <c r="T2324" s="296">
        <v>0</v>
      </c>
      <c r="U2324" s="296">
        <v>1</v>
      </c>
      <c r="V2324" s="296">
        <v>2</v>
      </c>
      <c r="W2324" s="296">
        <v>0</v>
      </c>
      <c r="X2324" s="296">
        <v>1.5</v>
      </c>
      <c r="Y2324" s="19">
        <v>0</v>
      </c>
      <c r="Z2324" s="296">
        <v>0</v>
      </c>
      <c r="AA2324" s="296">
        <v>1</v>
      </c>
      <c r="AB2324" s="296">
        <v>0</v>
      </c>
      <c r="AC2324" s="296">
        <v>0</v>
      </c>
      <c r="AD2324" s="296">
        <v>0</v>
      </c>
      <c r="AE2324" s="296">
        <v>1</v>
      </c>
      <c r="AF2324" s="296">
        <v>0</v>
      </c>
      <c r="AG2324" s="296">
        <v>1</v>
      </c>
      <c r="AH2324" s="296">
        <v>3</v>
      </c>
      <c r="AI2324" s="298">
        <v>0</v>
      </c>
      <c r="AJ2324" s="298">
        <v>1</v>
      </c>
      <c r="AK2324" s="298">
        <v>0</v>
      </c>
      <c r="AL2324" s="298">
        <v>3</v>
      </c>
      <c r="AM2324" s="296">
        <v>0</v>
      </c>
      <c r="AN2324" s="296">
        <v>0</v>
      </c>
      <c r="AO2324" s="296">
        <v>0</v>
      </c>
      <c r="AP2324" s="296">
        <v>0.8</v>
      </c>
      <c r="AQ2324" s="296">
        <v>2000</v>
      </c>
      <c r="AR2324" s="296">
        <v>0.8</v>
      </c>
      <c r="AS2324" s="296">
        <v>0</v>
      </c>
      <c r="AT2324" s="298">
        <v>0</v>
      </c>
      <c r="AU2324" s="371" t="s">
        <v>5530</v>
      </c>
      <c r="AV2324" s="302"/>
      <c r="AW2324" s="295" t="s">
        <v>204</v>
      </c>
      <c r="AX2324" s="296" t="s">
        <v>221</v>
      </c>
      <c r="AY2324" s="294">
        <v>10000011</v>
      </c>
      <c r="AZ2324" s="294">
        <v>77001801</v>
      </c>
      <c r="BA2324" s="299" t="s">
        <v>206</v>
      </c>
      <c r="BB2324" s="296">
        <v>0</v>
      </c>
      <c r="BC2324" s="297">
        <v>0</v>
      </c>
      <c r="BD2324" s="297">
        <v>0</v>
      </c>
      <c r="BE2324" s="300" t="s">
        <v>5531</v>
      </c>
      <c r="BF2324" s="300" t="s">
        <v>5532</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294">
        <v>77001809</v>
      </c>
      <c r="D2325" s="295" t="s">
        <v>5533</v>
      </c>
      <c r="E2325" s="295" t="s">
        <v>5534</v>
      </c>
      <c r="F2325" s="294">
        <v>1</v>
      </c>
      <c r="G2325" s="294">
        <v>80004009</v>
      </c>
      <c r="H2325" s="294">
        <v>0</v>
      </c>
      <c r="I2325" s="297">
        <v>0</v>
      </c>
      <c r="J2325" s="294">
        <v>1</v>
      </c>
      <c r="K2325" s="294">
        <v>0</v>
      </c>
      <c r="L2325" s="294">
        <v>0</v>
      </c>
      <c r="M2325" s="296">
        <v>0</v>
      </c>
      <c r="N2325" s="296">
        <v>0</v>
      </c>
      <c r="O2325" s="296">
        <v>2</v>
      </c>
      <c r="P2325" s="296">
        <v>16</v>
      </c>
      <c r="Q2325" s="296">
        <v>5</v>
      </c>
      <c r="R2325" s="296">
        <v>0</v>
      </c>
      <c r="S2325" s="298">
        <v>0</v>
      </c>
      <c r="T2325" s="296">
        <v>0</v>
      </c>
      <c r="U2325" s="296">
        <v>1</v>
      </c>
      <c r="V2325" s="296">
        <v>2</v>
      </c>
      <c r="W2325" s="296">
        <v>0</v>
      </c>
      <c r="X2325" s="296">
        <v>1</v>
      </c>
      <c r="Y2325" s="19">
        <v>0</v>
      </c>
      <c r="Z2325" s="296">
        <v>0</v>
      </c>
      <c r="AA2325" s="296">
        <v>0</v>
      </c>
      <c r="AB2325" s="296">
        <v>0</v>
      </c>
      <c r="AC2325" s="296">
        <v>0</v>
      </c>
      <c r="AD2325" s="296">
        <v>0</v>
      </c>
      <c r="AE2325" s="296">
        <v>1</v>
      </c>
      <c r="AF2325" s="296">
        <v>0</v>
      </c>
      <c r="AG2325" s="296">
        <v>1</v>
      </c>
      <c r="AH2325" s="296">
        <v>2</v>
      </c>
      <c r="AI2325" s="298">
        <v>0</v>
      </c>
      <c r="AJ2325" s="298">
        <v>2</v>
      </c>
      <c r="AK2325" s="298">
        <v>0</v>
      </c>
      <c r="AL2325" s="298">
        <v>2</v>
      </c>
      <c r="AM2325" s="296">
        <v>0</v>
      </c>
      <c r="AN2325" s="296">
        <v>0</v>
      </c>
      <c r="AO2325" s="296">
        <v>0</v>
      </c>
      <c r="AP2325" s="296">
        <v>3</v>
      </c>
      <c r="AQ2325" s="296">
        <v>5000</v>
      </c>
      <c r="AR2325" s="296">
        <v>1</v>
      </c>
      <c r="AS2325" s="296">
        <v>10</v>
      </c>
      <c r="AT2325" s="303">
        <v>0</v>
      </c>
      <c r="AU2325" s="371" t="s">
        <v>5535</v>
      </c>
      <c r="AV2325" s="302"/>
      <c r="AW2325" s="295" t="s">
        <v>205</v>
      </c>
      <c r="AX2325" s="296" t="s">
        <v>540</v>
      </c>
      <c r="AY2325" s="294">
        <v>10000007</v>
      </c>
      <c r="AZ2325" s="372" t="s">
        <v>5506</v>
      </c>
      <c r="BA2325" s="295" t="s">
        <v>592</v>
      </c>
      <c r="BB2325" s="296" t="s">
        <v>5536</v>
      </c>
      <c r="BC2325" s="297">
        <v>0</v>
      </c>
      <c r="BD2325" s="297">
        <v>1</v>
      </c>
      <c r="BE2325" s="300" t="s">
        <v>5537</v>
      </c>
      <c r="BF2325" s="300" t="s">
        <v>5538</v>
      </c>
      <c r="BG2325" s="296">
        <v>0</v>
      </c>
      <c r="BH2325" s="296">
        <v>0</v>
      </c>
      <c r="BI2325" s="296">
        <v>0</v>
      </c>
      <c r="BJ2325" s="296">
        <v>0</v>
      </c>
      <c r="BK2325" s="296">
        <v>0</v>
      </c>
      <c r="BL2325" s="296">
        <v>0</v>
      </c>
      <c r="BM2325" s="301">
        <v>0</v>
      </c>
      <c r="BN2325" s="298">
        <v>0</v>
      </c>
      <c r="BO2325" s="298">
        <v>0</v>
      </c>
      <c r="BP2325" s="298">
        <v>0</v>
      </c>
      <c r="BQ2325" s="298">
        <v>0</v>
      </c>
      <c r="BR2325" s="298">
        <v>0</v>
      </c>
      <c r="BS2325" s="298">
        <v>0</v>
      </c>
      <c r="BT2325" s="298">
        <v>0</v>
      </c>
      <c r="BU2325" s="23">
        <v>0</v>
      </c>
      <c r="BV2325" s="23"/>
      <c r="BW2325" s="23"/>
      <c r="BX2325" s="23"/>
      <c r="BY2325" s="23"/>
      <c r="BZ2325" s="23"/>
    </row>
    <row r="2326" spans="3:78" ht="19.5" customHeight="1">
      <c r="C2326" s="74">
        <v>77001901</v>
      </c>
      <c r="D2326" s="71" t="s">
        <v>5539</v>
      </c>
      <c r="E2326" s="71" t="s">
        <v>5540</v>
      </c>
      <c r="F2326" s="72">
        <v>1</v>
      </c>
      <c r="G2326" s="72">
        <v>0</v>
      </c>
      <c r="H2326" s="72">
        <v>0</v>
      </c>
      <c r="I2326" s="75">
        <v>0</v>
      </c>
      <c r="J2326" s="74">
        <v>1</v>
      </c>
      <c r="K2326" s="72">
        <v>0</v>
      </c>
      <c r="L2326" s="72">
        <v>0</v>
      </c>
      <c r="M2326" s="72">
        <v>0</v>
      </c>
      <c r="N2326" s="72">
        <v>0</v>
      </c>
      <c r="O2326" s="72">
        <v>2</v>
      </c>
      <c r="P2326" s="72">
        <v>3</v>
      </c>
      <c r="Q2326" s="72">
        <v>0.4</v>
      </c>
      <c r="R2326" s="72">
        <v>0</v>
      </c>
      <c r="S2326" s="73">
        <v>0</v>
      </c>
      <c r="T2326" s="72">
        <v>0</v>
      </c>
      <c r="U2326" s="72">
        <v>1</v>
      </c>
      <c r="V2326" s="72">
        <v>1</v>
      </c>
      <c r="W2326" s="72">
        <v>0</v>
      </c>
      <c r="X2326" s="72">
        <v>0</v>
      </c>
      <c r="Y2326" s="19">
        <v>0</v>
      </c>
      <c r="Z2326" s="72">
        <v>0</v>
      </c>
      <c r="AA2326" s="72">
        <v>1</v>
      </c>
      <c r="AB2326" s="72">
        <v>0</v>
      </c>
      <c r="AC2326" s="72">
        <v>0</v>
      </c>
      <c r="AD2326" s="72">
        <v>0</v>
      </c>
      <c r="AE2326" s="72">
        <v>0</v>
      </c>
      <c r="AF2326" s="72">
        <v>14</v>
      </c>
      <c r="AG2326" s="72">
        <v>1</v>
      </c>
      <c r="AH2326" s="72">
        <v>3</v>
      </c>
      <c r="AI2326" s="73">
        <v>0</v>
      </c>
      <c r="AJ2326" s="73">
        <v>1</v>
      </c>
      <c r="AK2326" s="73">
        <v>0</v>
      </c>
      <c r="AL2326" s="73">
        <v>1.5</v>
      </c>
      <c r="AM2326" s="72">
        <v>0</v>
      </c>
      <c r="AN2326" s="72">
        <v>0</v>
      </c>
      <c r="AO2326" s="72">
        <v>0</v>
      </c>
      <c r="AP2326" s="72">
        <v>0.2</v>
      </c>
      <c r="AQ2326" s="72">
        <v>300</v>
      </c>
      <c r="AR2326" s="72">
        <v>0</v>
      </c>
      <c r="AS2326" s="72">
        <v>0</v>
      </c>
      <c r="AT2326" s="342" t="s">
        <v>5541</v>
      </c>
      <c r="AU2326" s="72">
        <v>0</v>
      </c>
      <c r="AV2326" s="72"/>
      <c r="AW2326" s="71" t="s">
        <v>204</v>
      </c>
      <c r="AX2326" s="72" t="s">
        <v>540</v>
      </c>
      <c r="AY2326" s="74">
        <v>0</v>
      </c>
      <c r="AZ2326" s="74">
        <v>77001901</v>
      </c>
      <c r="BA2326" s="71" t="s">
        <v>777</v>
      </c>
      <c r="BB2326" s="72">
        <v>0</v>
      </c>
      <c r="BC2326" s="75">
        <v>0</v>
      </c>
      <c r="BD2326" s="75">
        <v>0</v>
      </c>
      <c r="BE2326" s="114" t="s">
        <v>5542</v>
      </c>
      <c r="BF2326" s="114" t="s">
        <v>5543</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77001902</v>
      </c>
      <c r="BU2326" s="23">
        <v>0</v>
      </c>
      <c r="BV2326" s="23"/>
      <c r="BW2326" s="23"/>
      <c r="BX2326" s="23"/>
      <c r="BY2326" s="23"/>
      <c r="BZ2326" s="23"/>
    </row>
    <row r="2327" spans="3:78" ht="19.5" customHeight="1">
      <c r="C2327" s="74">
        <v>77001902</v>
      </c>
      <c r="D2327" s="71" t="s">
        <v>606</v>
      </c>
      <c r="E2327" s="71" t="s">
        <v>607</v>
      </c>
      <c r="F2327" s="74">
        <v>1</v>
      </c>
      <c r="G2327" s="72">
        <v>0</v>
      </c>
      <c r="H2327" s="74">
        <v>0</v>
      </c>
      <c r="I2327" s="75">
        <v>0</v>
      </c>
      <c r="J2327" s="74">
        <v>1</v>
      </c>
      <c r="K2327" s="74">
        <v>0</v>
      </c>
      <c r="L2327" s="74">
        <v>0</v>
      </c>
      <c r="M2327" s="72">
        <v>0</v>
      </c>
      <c r="N2327" s="72">
        <v>0</v>
      </c>
      <c r="O2327" s="72">
        <v>2</v>
      </c>
      <c r="P2327" s="72">
        <v>3</v>
      </c>
      <c r="Q2327" s="72">
        <v>0.2</v>
      </c>
      <c r="R2327" s="72">
        <v>0</v>
      </c>
      <c r="S2327" s="73">
        <v>0</v>
      </c>
      <c r="T2327" s="72">
        <v>0</v>
      </c>
      <c r="U2327" s="72">
        <v>1</v>
      </c>
      <c r="V2327" s="72">
        <v>1</v>
      </c>
      <c r="W2327" s="72">
        <v>0</v>
      </c>
      <c r="X2327" s="72">
        <v>0</v>
      </c>
      <c r="Y2327" s="19">
        <v>0</v>
      </c>
      <c r="Z2327" s="72">
        <v>0</v>
      </c>
      <c r="AA2327" s="72">
        <v>0</v>
      </c>
      <c r="AB2327" s="72">
        <v>0</v>
      </c>
      <c r="AC2327" s="72">
        <v>0</v>
      </c>
      <c r="AD2327" s="72">
        <v>0</v>
      </c>
      <c r="AE2327" s="72">
        <v>1</v>
      </c>
      <c r="AF2327" s="72">
        <v>0</v>
      </c>
      <c r="AG2327" s="72">
        <v>1</v>
      </c>
      <c r="AH2327" s="72">
        <v>2</v>
      </c>
      <c r="AI2327" s="73">
        <v>0</v>
      </c>
      <c r="AJ2327" s="73">
        <v>1</v>
      </c>
      <c r="AK2327" s="73">
        <v>0</v>
      </c>
      <c r="AL2327" s="73">
        <v>3</v>
      </c>
      <c r="AM2327" s="72">
        <v>0</v>
      </c>
      <c r="AN2327" s="72">
        <v>0</v>
      </c>
      <c r="AO2327" s="72">
        <v>0</v>
      </c>
      <c r="AP2327" s="72">
        <v>0.3</v>
      </c>
      <c r="AQ2327" s="72">
        <v>300</v>
      </c>
      <c r="AR2327" s="72">
        <v>0</v>
      </c>
      <c r="AS2327" s="72">
        <v>0</v>
      </c>
      <c r="AT2327" s="73">
        <v>0</v>
      </c>
      <c r="AU2327" s="93">
        <v>0</v>
      </c>
      <c r="AV2327" s="93"/>
      <c r="AW2327" s="71" t="s">
        <v>204</v>
      </c>
      <c r="AX2327" s="72">
        <v>0</v>
      </c>
      <c r="AY2327" s="74">
        <v>0</v>
      </c>
      <c r="AZ2327" s="74">
        <v>0</v>
      </c>
      <c r="BA2327" s="71" t="s">
        <v>534</v>
      </c>
      <c r="BB2327" s="356" t="s">
        <v>5544</v>
      </c>
      <c r="BC2327" s="75">
        <v>0</v>
      </c>
      <c r="BD2327" s="75">
        <v>0</v>
      </c>
      <c r="BE2327" s="76" t="s">
        <v>5545</v>
      </c>
      <c r="BF2327" s="76" t="s">
        <v>5546</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77001904</v>
      </c>
      <c r="BU2327" s="23">
        <v>0</v>
      </c>
      <c r="BV2327" s="23"/>
      <c r="BW2327" s="23"/>
      <c r="BX2327" s="23"/>
      <c r="BY2327" s="23"/>
      <c r="BZ2327" s="23"/>
    </row>
    <row r="2328" spans="3:78" ht="19.5" customHeight="1">
      <c r="C2328" s="74">
        <v>77001903</v>
      </c>
      <c r="D2328" s="71" t="s">
        <v>766</v>
      </c>
      <c r="E2328" s="71" t="s">
        <v>767</v>
      </c>
      <c r="F2328" s="72">
        <v>1</v>
      </c>
      <c r="G2328" s="72">
        <v>0</v>
      </c>
      <c r="H2328" s="72">
        <v>0</v>
      </c>
      <c r="I2328" s="75">
        <v>0</v>
      </c>
      <c r="J2328" s="74">
        <v>1</v>
      </c>
      <c r="K2328" s="74">
        <v>0</v>
      </c>
      <c r="L2328" s="74">
        <v>0</v>
      </c>
      <c r="M2328" s="72">
        <v>0</v>
      </c>
      <c r="N2328" s="72">
        <v>0</v>
      </c>
      <c r="O2328" s="72">
        <v>2</v>
      </c>
      <c r="P2328" s="72">
        <v>1</v>
      </c>
      <c r="Q2328" s="72">
        <v>1</v>
      </c>
      <c r="R2328" s="72">
        <v>1</v>
      </c>
      <c r="S2328" s="73">
        <v>1</v>
      </c>
      <c r="T2328" s="72">
        <v>0</v>
      </c>
      <c r="U2328" s="72">
        <v>1</v>
      </c>
      <c r="V2328" s="72">
        <v>1</v>
      </c>
      <c r="W2328" s="72">
        <v>0</v>
      </c>
      <c r="X2328" s="72">
        <v>0.8</v>
      </c>
      <c r="Y2328" s="19">
        <v>0</v>
      </c>
      <c r="Z2328" s="72">
        <v>0</v>
      </c>
      <c r="AA2328" s="72">
        <v>0</v>
      </c>
      <c r="AB2328" s="72">
        <v>0</v>
      </c>
      <c r="AC2328" s="72">
        <v>0</v>
      </c>
      <c r="AD2328" s="72">
        <v>0</v>
      </c>
      <c r="AE2328" s="72">
        <v>1</v>
      </c>
      <c r="AF2328" s="72">
        <v>10</v>
      </c>
      <c r="AG2328" s="72">
        <v>2</v>
      </c>
      <c r="AH2328" s="72" t="s">
        <v>1042</v>
      </c>
      <c r="AI2328" s="73">
        <v>0</v>
      </c>
      <c r="AJ2328" s="73">
        <v>2</v>
      </c>
      <c r="AK2328" s="73">
        <v>0</v>
      </c>
      <c r="AL2328" s="73">
        <v>1.5</v>
      </c>
      <c r="AM2328" s="72">
        <v>0</v>
      </c>
      <c r="AN2328" s="72">
        <v>0.5</v>
      </c>
      <c r="AO2328" s="72">
        <v>0</v>
      </c>
      <c r="AP2328" s="72">
        <v>0.5</v>
      </c>
      <c r="AQ2328" s="72">
        <v>500</v>
      </c>
      <c r="AR2328" s="72">
        <v>0</v>
      </c>
      <c r="AS2328" s="72">
        <v>15</v>
      </c>
      <c r="AT2328" s="73">
        <v>0</v>
      </c>
      <c r="AU2328" s="334" t="s">
        <v>5547</v>
      </c>
      <c r="AV2328" s="93"/>
      <c r="AW2328" s="71" t="s">
        <v>205</v>
      </c>
      <c r="AX2328" s="72" t="s">
        <v>221</v>
      </c>
      <c r="AY2328" s="74">
        <v>0</v>
      </c>
      <c r="AZ2328" s="74">
        <v>0</v>
      </c>
      <c r="BA2328" s="307" t="s">
        <v>222</v>
      </c>
      <c r="BB2328" s="72">
        <v>0</v>
      </c>
      <c r="BC2328" s="75">
        <v>0</v>
      </c>
      <c r="BD2328" s="75">
        <v>0</v>
      </c>
      <c r="BE2328" s="76" t="s">
        <v>2444</v>
      </c>
      <c r="BF2328" s="76" t="s">
        <v>2445</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20.100000000000001" customHeight="1">
      <c r="C2329" s="74">
        <v>77001904</v>
      </c>
      <c r="D2329" s="71" t="s">
        <v>3002</v>
      </c>
      <c r="E2329" s="71" t="s">
        <v>5369</v>
      </c>
      <c r="F2329" s="72">
        <v>1</v>
      </c>
      <c r="G2329" s="72">
        <v>0</v>
      </c>
      <c r="H2329" s="72">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2</v>
      </c>
      <c r="Y2329" s="19">
        <v>0</v>
      </c>
      <c r="Z2329" s="72">
        <v>0</v>
      </c>
      <c r="AA2329" s="72">
        <v>1</v>
      </c>
      <c r="AB2329" s="72">
        <v>0</v>
      </c>
      <c r="AC2329" s="72">
        <v>0</v>
      </c>
      <c r="AD2329" s="72">
        <v>0</v>
      </c>
      <c r="AE2329" s="72">
        <v>1</v>
      </c>
      <c r="AF2329" s="72">
        <v>0</v>
      </c>
      <c r="AG2329" s="72">
        <v>1</v>
      </c>
      <c r="AH2329" s="72">
        <v>5</v>
      </c>
      <c r="AI2329" s="73">
        <v>0</v>
      </c>
      <c r="AJ2329" s="73">
        <v>1</v>
      </c>
      <c r="AK2329" s="73">
        <v>0</v>
      </c>
      <c r="AL2329" s="73">
        <v>3</v>
      </c>
      <c r="AM2329" s="72">
        <v>0</v>
      </c>
      <c r="AN2329" s="72">
        <v>2.1</v>
      </c>
      <c r="AO2329" s="72">
        <v>0</v>
      </c>
      <c r="AP2329" s="72">
        <v>0.9</v>
      </c>
      <c r="AQ2329" s="72">
        <v>3000</v>
      </c>
      <c r="AR2329" s="72">
        <v>1</v>
      </c>
      <c r="AS2329" s="72">
        <v>0</v>
      </c>
      <c r="AT2329" s="73">
        <v>0</v>
      </c>
      <c r="AU2329" s="334" t="s">
        <v>5548</v>
      </c>
      <c r="AV2329" s="93"/>
      <c r="AW2329" s="71" t="s">
        <v>293</v>
      </c>
      <c r="AX2329" s="72" t="s">
        <v>221</v>
      </c>
      <c r="AY2329" s="74">
        <v>0</v>
      </c>
      <c r="AZ2329" s="74">
        <v>77001902</v>
      </c>
      <c r="BA2329" s="88" t="s">
        <v>206</v>
      </c>
      <c r="BB2329" s="72">
        <v>0</v>
      </c>
      <c r="BC2329" s="75">
        <v>0</v>
      </c>
      <c r="BD2329" s="75">
        <v>0</v>
      </c>
      <c r="BE2329" s="76" t="s">
        <v>5549</v>
      </c>
      <c r="BF2329" s="76" t="s">
        <v>5550</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19.5" customHeight="1">
      <c r="C2330" s="74">
        <v>77001905</v>
      </c>
      <c r="D2330" s="71" t="s">
        <v>5551</v>
      </c>
      <c r="E2330" s="71" t="s">
        <v>5552</v>
      </c>
      <c r="F2330" s="74">
        <v>1</v>
      </c>
      <c r="G2330" s="72">
        <v>0</v>
      </c>
      <c r="H2330" s="74">
        <v>0</v>
      </c>
      <c r="I2330" s="75">
        <v>0</v>
      </c>
      <c r="J2330" s="74">
        <v>1</v>
      </c>
      <c r="K2330" s="74">
        <v>0</v>
      </c>
      <c r="L2330" s="74">
        <v>0</v>
      </c>
      <c r="M2330" s="72">
        <v>0</v>
      </c>
      <c r="N2330" s="72">
        <v>0</v>
      </c>
      <c r="O2330" s="90">
        <v>2</v>
      </c>
      <c r="P2330" s="72">
        <v>2</v>
      </c>
      <c r="Q2330" s="72">
        <v>0.6</v>
      </c>
      <c r="R2330" s="72">
        <v>0</v>
      </c>
      <c r="S2330" s="73">
        <v>0</v>
      </c>
      <c r="T2330" s="72">
        <v>0</v>
      </c>
      <c r="U2330" s="72">
        <v>1</v>
      </c>
      <c r="V2330" s="72">
        <v>1</v>
      </c>
      <c r="W2330" s="72">
        <v>0</v>
      </c>
      <c r="X2330" s="72">
        <v>0</v>
      </c>
      <c r="Y2330" s="19">
        <v>0</v>
      </c>
      <c r="Z2330" s="72">
        <v>0</v>
      </c>
      <c r="AA2330" s="72">
        <v>0</v>
      </c>
      <c r="AB2330" s="72">
        <v>0</v>
      </c>
      <c r="AC2330" s="72">
        <v>0</v>
      </c>
      <c r="AD2330" s="90">
        <v>0</v>
      </c>
      <c r="AE2330" s="72">
        <v>1</v>
      </c>
      <c r="AF2330" s="72">
        <v>60</v>
      </c>
      <c r="AG2330" s="72">
        <v>1</v>
      </c>
      <c r="AH2330" s="72">
        <v>2</v>
      </c>
      <c r="AI2330" s="73">
        <v>1</v>
      </c>
      <c r="AJ2330" s="73">
        <v>1</v>
      </c>
      <c r="AK2330" s="73">
        <v>0</v>
      </c>
      <c r="AL2330" s="73">
        <v>0</v>
      </c>
      <c r="AM2330" s="72">
        <v>0</v>
      </c>
      <c r="AN2330" s="72">
        <v>0</v>
      </c>
      <c r="AO2330" s="72">
        <v>0</v>
      </c>
      <c r="AP2330" s="72">
        <v>0</v>
      </c>
      <c r="AQ2330" s="72">
        <v>1000</v>
      </c>
      <c r="AR2330" s="72">
        <v>0</v>
      </c>
      <c r="AS2330" s="72">
        <v>0</v>
      </c>
      <c r="AT2330" s="73">
        <v>0</v>
      </c>
      <c r="AU2330" s="334" t="s">
        <v>5553</v>
      </c>
      <c r="AV2330" s="93"/>
      <c r="AW2330" s="88" t="s">
        <v>293</v>
      </c>
      <c r="AX2330" s="72" t="s">
        <v>551</v>
      </c>
      <c r="AY2330" s="74">
        <v>0</v>
      </c>
      <c r="AZ2330" s="74">
        <v>0</v>
      </c>
      <c r="BA2330" s="71" t="s">
        <v>534</v>
      </c>
      <c r="BB2330" s="72" t="s">
        <v>5554</v>
      </c>
      <c r="BC2330" s="75">
        <v>0</v>
      </c>
      <c r="BD2330" s="75">
        <v>0</v>
      </c>
      <c r="BE2330" s="76" t="s">
        <v>5555</v>
      </c>
      <c r="BF2330" s="76" t="s">
        <v>5556</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77001906</v>
      </c>
      <c r="D2331" s="71" t="s">
        <v>5557</v>
      </c>
      <c r="E2331" s="71" t="s">
        <v>5558</v>
      </c>
      <c r="F2331" s="72">
        <v>1</v>
      </c>
      <c r="G2331" s="72">
        <v>0</v>
      </c>
      <c r="H2331" s="72">
        <v>0</v>
      </c>
      <c r="I2331" s="75">
        <v>0</v>
      </c>
      <c r="J2331" s="74">
        <v>1</v>
      </c>
      <c r="K2331" s="74">
        <v>0</v>
      </c>
      <c r="L2331" s="74">
        <v>0</v>
      </c>
      <c r="M2331" s="72">
        <v>0</v>
      </c>
      <c r="N2331" s="72">
        <v>0</v>
      </c>
      <c r="O2331" s="72">
        <v>2</v>
      </c>
      <c r="P2331" s="72">
        <v>1</v>
      </c>
      <c r="Q2331" s="72">
        <v>0.2</v>
      </c>
      <c r="R2331" s="72">
        <v>0</v>
      </c>
      <c r="S2331" s="73">
        <v>0</v>
      </c>
      <c r="T2331" s="72">
        <v>0</v>
      </c>
      <c r="U2331" s="72">
        <v>1</v>
      </c>
      <c r="V2331" s="72">
        <v>1</v>
      </c>
      <c r="W2331" s="72">
        <v>0</v>
      </c>
      <c r="X2331" s="72">
        <v>0</v>
      </c>
      <c r="Y2331" s="19">
        <v>0</v>
      </c>
      <c r="Z2331" s="72">
        <v>0</v>
      </c>
      <c r="AA2331" s="72">
        <v>1</v>
      </c>
      <c r="AB2331" s="72">
        <v>0</v>
      </c>
      <c r="AC2331" s="72">
        <v>0</v>
      </c>
      <c r="AD2331" s="72">
        <v>0</v>
      </c>
      <c r="AE2331" s="72">
        <v>1</v>
      </c>
      <c r="AF2331" s="72">
        <v>24</v>
      </c>
      <c r="AG2331" s="72">
        <v>1</v>
      </c>
      <c r="AH2331" s="72">
        <v>3</v>
      </c>
      <c r="AI2331" s="73">
        <v>0</v>
      </c>
      <c r="AJ2331" s="73">
        <v>1</v>
      </c>
      <c r="AK2331" s="73">
        <v>0</v>
      </c>
      <c r="AL2331" s="73">
        <v>3</v>
      </c>
      <c r="AM2331" s="72">
        <v>0</v>
      </c>
      <c r="AN2331" s="72">
        <v>0</v>
      </c>
      <c r="AO2331" s="72">
        <v>0</v>
      </c>
      <c r="AP2331" s="72">
        <v>0</v>
      </c>
      <c r="AQ2331" s="72">
        <v>0</v>
      </c>
      <c r="AR2331" s="72">
        <v>0</v>
      </c>
      <c r="AS2331" s="72">
        <v>0</v>
      </c>
      <c r="AT2331" s="333" t="s">
        <v>5559</v>
      </c>
      <c r="AU2331" s="93">
        <v>0</v>
      </c>
      <c r="AV2331" s="93"/>
      <c r="AW2331" s="71" t="s">
        <v>204</v>
      </c>
      <c r="AX2331" s="72" t="s">
        <v>221</v>
      </c>
      <c r="AY2331" s="74">
        <v>0</v>
      </c>
      <c r="AZ2331" s="74">
        <v>77001901</v>
      </c>
      <c r="BA2331" s="88" t="s">
        <v>206</v>
      </c>
      <c r="BB2331" s="72">
        <v>0</v>
      </c>
      <c r="BC2331" s="75">
        <v>0</v>
      </c>
      <c r="BD2331" s="75">
        <v>0</v>
      </c>
      <c r="BE2331" s="76" t="s">
        <v>5560</v>
      </c>
      <c r="BF2331" s="76" t="s">
        <v>5561</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77001907</v>
      </c>
      <c r="D2332" s="71" t="s">
        <v>5562</v>
      </c>
      <c r="E2332" s="71" t="s">
        <v>5563</v>
      </c>
      <c r="F2332" s="72">
        <v>1</v>
      </c>
      <c r="G2332" s="72">
        <v>0</v>
      </c>
      <c r="H2332" s="72">
        <v>0</v>
      </c>
      <c r="I2332" s="75">
        <v>0</v>
      </c>
      <c r="J2332" s="74">
        <v>1</v>
      </c>
      <c r="K2332" s="74">
        <v>0</v>
      </c>
      <c r="L2332" s="74">
        <v>0</v>
      </c>
      <c r="M2332" s="72">
        <v>0</v>
      </c>
      <c r="N2332" s="72">
        <v>0</v>
      </c>
      <c r="O2332" s="72">
        <v>2</v>
      </c>
      <c r="P2332" s="72">
        <v>16</v>
      </c>
      <c r="Q2332" s="72">
        <v>6</v>
      </c>
      <c r="R2332" s="72">
        <v>0</v>
      </c>
      <c r="S2332" s="73">
        <v>0</v>
      </c>
      <c r="T2332" s="72">
        <v>0</v>
      </c>
      <c r="U2332" s="72">
        <v>1</v>
      </c>
      <c r="V2332" s="72">
        <v>1</v>
      </c>
      <c r="W2332" s="72">
        <v>0</v>
      </c>
      <c r="X2332" s="72">
        <v>0</v>
      </c>
      <c r="Y2332" s="19">
        <v>0</v>
      </c>
      <c r="Z2332" s="72">
        <v>0</v>
      </c>
      <c r="AA2332" s="72">
        <v>0</v>
      </c>
      <c r="AB2332" s="72">
        <v>0</v>
      </c>
      <c r="AC2332" s="72">
        <v>0</v>
      </c>
      <c r="AD2332" s="72">
        <v>0</v>
      </c>
      <c r="AE2332" s="72">
        <v>1</v>
      </c>
      <c r="AF2332" s="72">
        <v>0</v>
      </c>
      <c r="AG2332" s="72">
        <v>2</v>
      </c>
      <c r="AH2332" s="72" t="s">
        <v>1042</v>
      </c>
      <c r="AI2332" s="73">
        <v>0</v>
      </c>
      <c r="AJ2332" s="73">
        <v>2</v>
      </c>
      <c r="AK2332" s="73">
        <v>0</v>
      </c>
      <c r="AL2332" s="73">
        <v>1.5</v>
      </c>
      <c r="AM2332" s="72">
        <v>0</v>
      </c>
      <c r="AN2332" s="72">
        <v>0</v>
      </c>
      <c r="AO2332" s="72">
        <v>0</v>
      </c>
      <c r="AP2332" s="72">
        <v>0.3</v>
      </c>
      <c r="AQ2332" s="72">
        <v>300</v>
      </c>
      <c r="AR2332" s="72">
        <v>0</v>
      </c>
      <c r="AS2332" s="72">
        <v>15</v>
      </c>
      <c r="AT2332" s="73">
        <v>97009010</v>
      </c>
      <c r="AU2332" s="93">
        <v>0</v>
      </c>
      <c r="AV2332" s="93"/>
      <c r="AW2332" s="71" t="s">
        <v>205</v>
      </c>
      <c r="AX2332" s="72" t="s">
        <v>221</v>
      </c>
      <c r="AY2332" s="74">
        <v>0</v>
      </c>
      <c r="AZ2332" s="74">
        <v>0</v>
      </c>
      <c r="BA2332" s="307" t="s">
        <v>222</v>
      </c>
      <c r="BB2332" s="72">
        <v>1</v>
      </c>
      <c r="BC2332" s="75">
        <v>0</v>
      </c>
      <c r="BD2332" s="75">
        <v>0</v>
      </c>
      <c r="BE2332" s="76" t="s">
        <v>5564</v>
      </c>
      <c r="BF2332" s="76" t="s">
        <v>5565</v>
      </c>
      <c r="BG2332" s="72">
        <v>0</v>
      </c>
      <c r="BH2332" s="72">
        <v>0</v>
      </c>
      <c r="BI2332" s="72">
        <v>0</v>
      </c>
      <c r="BJ2332" s="72">
        <v>0</v>
      </c>
      <c r="BK2332" s="72">
        <v>0</v>
      </c>
      <c r="BL2332" s="72">
        <v>0</v>
      </c>
      <c r="BM2332" s="90">
        <v>0</v>
      </c>
      <c r="BN2332" s="73">
        <v>0</v>
      </c>
      <c r="BO2332" s="73">
        <v>0</v>
      </c>
      <c r="BP2332" s="73">
        <v>0</v>
      </c>
      <c r="BQ2332" s="73">
        <v>0</v>
      </c>
      <c r="BR2332" s="73">
        <v>0</v>
      </c>
      <c r="BS2332" s="73">
        <v>1</v>
      </c>
      <c r="BT2332" s="73">
        <v>77001908</v>
      </c>
      <c r="BU2332" s="23">
        <v>0</v>
      </c>
      <c r="BV2332" s="23"/>
      <c r="BW2332" s="23"/>
      <c r="BX2332" s="23"/>
      <c r="BY2332" s="23"/>
      <c r="BZ2332" s="23"/>
    </row>
    <row r="2333" spans="3:78" ht="20.100000000000001" customHeight="1">
      <c r="C2333" s="74">
        <v>77001908</v>
      </c>
      <c r="D2333" s="71" t="s">
        <v>5566</v>
      </c>
      <c r="E2333" s="71" t="s">
        <v>5567</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0.5</v>
      </c>
      <c r="Y2333" s="19">
        <v>0</v>
      </c>
      <c r="Z2333" s="72">
        <v>0</v>
      </c>
      <c r="AA2333" s="72">
        <v>1</v>
      </c>
      <c r="AB2333" s="72">
        <v>0</v>
      </c>
      <c r="AC2333" s="72">
        <v>0</v>
      </c>
      <c r="AD2333" s="72">
        <v>0</v>
      </c>
      <c r="AE2333" s="72">
        <v>1</v>
      </c>
      <c r="AF2333" s="72">
        <v>0</v>
      </c>
      <c r="AG2333" s="72">
        <v>1</v>
      </c>
      <c r="AH2333" s="72">
        <v>3</v>
      </c>
      <c r="AI2333" s="73">
        <v>0</v>
      </c>
      <c r="AJ2333" s="73">
        <v>1</v>
      </c>
      <c r="AK2333" s="73">
        <v>0</v>
      </c>
      <c r="AL2333" s="73">
        <v>3</v>
      </c>
      <c r="AM2333" s="72">
        <v>0</v>
      </c>
      <c r="AN2333" s="72">
        <v>0</v>
      </c>
      <c r="AO2333" s="72">
        <v>0</v>
      </c>
      <c r="AP2333" s="72">
        <v>0.5</v>
      </c>
      <c r="AQ2333" s="72">
        <v>3000</v>
      </c>
      <c r="AR2333" s="72">
        <v>0.5</v>
      </c>
      <c r="AS2333" s="72">
        <v>0</v>
      </c>
      <c r="AT2333" s="73">
        <v>0</v>
      </c>
      <c r="AU2333" s="334" t="s">
        <v>5547</v>
      </c>
      <c r="AV2333" s="93"/>
      <c r="AW2333" s="71" t="s">
        <v>204</v>
      </c>
      <c r="AX2333" s="72" t="s">
        <v>221</v>
      </c>
      <c r="AY2333" s="74">
        <v>0</v>
      </c>
      <c r="AZ2333" s="74">
        <v>77001907</v>
      </c>
      <c r="BA2333" s="88" t="s">
        <v>206</v>
      </c>
      <c r="BB2333" s="72">
        <v>0</v>
      </c>
      <c r="BC2333" s="75">
        <v>0</v>
      </c>
      <c r="BD2333" s="75">
        <v>0</v>
      </c>
      <c r="BE2333" s="76" t="s">
        <v>3002</v>
      </c>
      <c r="BF2333" s="76" t="s">
        <v>5369</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77001909</v>
      </c>
      <c r="D2334" s="71" t="s">
        <v>5568</v>
      </c>
      <c r="E2334" s="71" t="s">
        <v>5569</v>
      </c>
      <c r="F2334" s="74">
        <v>1</v>
      </c>
      <c r="G2334" s="74">
        <v>0</v>
      </c>
      <c r="H2334" s="74">
        <v>0</v>
      </c>
      <c r="I2334" s="75">
        <v>0</v>
      </c>
      <c r="J2334" s="74">
        <v>1</v>
      </c>
      <c r="K2334" s="74">
        <v>0</v>
      </c>
      <c r="L2334" s="74">
        <v>0</v>
      </c>
      <c r="M2334" s="72">
        <v>0</v>
      </c>
      <c r="N2334" s="72">
        <v>0</v>
      </c>
      <c r="O2334" s="72">
        <v>2</v>
      </c>
      <c r="P2334" s="72">
        <v>16</v>
      </c>
      <c r="Q2334" s="72">
        <v>5</v>
      </c>
      <c r="R2334" s="72">
        <v>0</v>
      </c>
      <c r="S2334" s="73">
        <v>0</v>
      </c>
      <c r="T2334" s="72">
        <v>0</v>
      </c>
      <c r="U2334" s="72">
        <v>1</v>
      </c>
      <c r="V2334" s="72">
        <v>2</v>
      </c>
      <c r="W2334" s="72">
        <v>0</v>
      </c>
      <c r="X2334" s="72">
        <v>1</v>
      </c>
      <c r="Y2334" s="19">
        <v>0</v>
      </c>
      <c r="Z2334" s="72">
        <v>0</v>
      </c>
      <c r="AA2334" s="72">
        <v>1</v>
      </c>
      <c r="AB2334" s="72">
        <v>0</v>
      </c>
      <c r="AC2334" s="72">
        <v>0</v>
      </c>
      <c r="AD2334" s="72">
        <v>0</v>
      </c>
      <c r="AE2334" s="72">
        <v>1</v>
      </c>
      <c r="AF2334" s="72">
        <v>0</v>
      </c>
      <c r="AG2334" s="72">
        <v>2</v>
      </c>
      <c r="AH2334" s="72" t="s">
        <v>5570</v>
      </c>
      <c r="AI2334" s="73">
        <v>0</v>
      </c>
      <c r="AJ2334" s="73">
        <v>2</v>
      </c>
      <c r="AK2334" s="73">
        <v>0</v>
      </c>
      <c r="AL2334" s="73">
        <v>4</v>
      </c>
      <c r="AM2334" s="72">
        <v>0</v>
      </c>
      <c r="AN2334" s="72">
        <v>1</v>
      </c>
      <c r="AO2334" s="72">
        <v>0</v>
      </c>
      <c r="AP2334" s="72">
        <v>1</v>
      </c>
      <c r="AQ2334" s="72">
        <v>9000</v>
      </c>
      <c r="AR2334" s="72">
        <v>0</v>
      </c>
      <c r="AS2334" s="72">
        <v>10</v>
      </c>
      <c r="AT2334" s="92">
        <v>0</v>
      </c>
      <c r="AU2334" s="334" t="s">
        <v>5547</v>
      </c>
      <c r="AV2334" s="93"/>
      <c r="AW2334" s="71" t="s">
        <v>262</v>
      </c>
      <c r="AX2334" s="72" t="s">
        <v>540</v>
      </c>
      <c r="AY2334" s="74">
        <v>10000007</v>
      </c>
      <c r="AZ2334" s="74">
        <v>77001908</v>
      </c>
      <c r="BA2334" s="71" t="s">
        <v>592</v>
      </c>
      <c r="BB2334" s="72" t="s">
        <v>5571</v>
      </c>
      <c r="BC2334" s="75">
        <v>0</v>
      </c>
      <c r="BD2334" s="75">
        <v>1</v>
      </c>
      <c r="BE2334" s="76" t="s">
        <v>5572</v>
      </c>
      <c r="BF2334" s="76" t="s">
        <v>5573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77001910</v>
      </c>
      <c r="D2335" s="71" t="s">
        <v>5574</v>
      </c>
      <c r="E2335" s="71" t="s">
        <v>5575</v>
      </c>
      <c r="F2335" s="72">
        <v>1</v>
      </c>
      <c r="G2335" s="72">
        <v>0</v>
      </c>
      <c r="H2335" s="72">
        <v>0</v>
      </c>
      <c r="I2335" s="75">
        <v>0</v>
      </c>
      <c r="J2335" s="74">
        <v>1</v>
      </c>
      <c r="K2335" s="74">
        <v>0</v>
      </c>
      <c r="L2335" s="74">
        <v>0</v>
      </c>
      <c r="M2335" s="72">
        <v>0</v>
      </c>
      <c r="N2335" s="72">
        <v>0</v>
      </c>
      <c r="O2335" s="72">
        <v>2</v>
      </c>
      <c r="P2335" s="72">
        <v>2</v>
      </c>
      <c r="Q2335" s="72">
        <v>0.8</v>
      </c>
      <c r="R2335" s="72">
        <v>0</v>
      </c>
      <c r="S2335" s="73">
        <v>3</v>
      </c>
      <c r="T2335" s="72">
        <v>0</v>
      </c>
      <c r="U2335" s="72">
        <v>1</v>
      </c>
      <c r="V2335" s="72">
        <v>1</v>
      </c>
      <c r="W2335" s="72">
        <v>0</v>
      </c>
      <c r="X2335" s="72">
        <v>0</v>
      </c>
      <c r="Y2335" s="19">
        <v>0</v>
      </c>
      <c r="Z2335" s="72">
        <v>0</v>
      </c>
      <c r="AA2335" s="72">
        <v>0</v>
      </c>
      <c r="AB2335" s="72">
        <v>0</v>
      </c>
      <c r="AC2335" s="72">
        <v>0</v>
      </c>
      <c r="AD2335" s="72">
        <v>0</v>
      </c>
      <c r="AE2335" s="72">
        <v>1</v>
      </c>
      <c r="AF2335" s="72">
        <v>12</v>
      </c>
      <c r="AG2335" s="72">
        <v>2</v>
      </c>
      <c r="AH2335" s="72" t="s">
        <v>219</v>
      </c>
      <c r="AI2335" s="73">
        <v>0</v>
      </c>
      <c r="AJ2335" s="73">
        <v>2</v>
      </c>
      <c r="AK2335" s="73">
        <v>0</v>
      </c>
      <c r="AL2335" s="73">
        <v>1.5</v>
      </c>
      <c r="AM2335" s="72">
        <v>0</v>
      </c>
      <c r="AN2335" s="72">
        <v>0</v>
      </c>
      <c r="AO2335" s="72">
        <v>0</v>
      </c>
      <c r="AP2335" s="72">
        <v>0.3</v>
      </c>
      <c r="AQ2335" s="72">
        <v>300</v>
      </c>
      <c r="AR2335" s="72">
        <v>0</v>
      </c>
      <c r="AS2335" s="72">
        <v>20</v>
      </c>
      <c r="AT2335" s="73">
        <v>0</v>
      </c>
      <c r="AU2335" s="334" t="s">
        <v>5547</v>
      </c>
      <c r="AV2335" s="93"/>
      <c r="AW2335" s="71" t="s">
        <v>205</v>
      </c>
      <c r="AX2335" s="72" t="s">
        <v>221</v>
      </c>
      <c r="AY2335" s="74">
        <v>0</v>
      </c>
      <c r="AZ2335" s="74">
        <v>0</v>
      </c>
      <c r="BA2335" s="307" t="s">
        <v>222</v>
      </c>
      <c r="BB2335" s="72">
        <v>0</v>
      </c>
      <c r="BC2335" s="75">
        <v>0</v>
      </c>
      <c r="BD2335" s="75">
        <v>0</v>
      </c>
      <c r="BE2335" s="76" t="s">
        <v>5576</v>
      </c>
      <c r="BF2335" s="76" t="s">
        <v>5577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77001911</v>
      </c>
      <c r="BU2335" s="23">
        <v>0</v>
      </c>
      <c r="BV2335" s="23"/>
      <c r="BW2335" s="23"/>
      <c r="BX2335" s="23"/>
      <c r="BY2335" s="23"/>
      <c r="BZ2335" s="23"/>
    </row>
    <row r="2336" spans="3:78" ht="20.100000000000001" customHeight="1">
      <c r="C2336" s="74">
        <v>77001911</v>
      </c>
      <c r="D2336" s="71" t="s">
        <v>3002</v>
      </c>
      <c r="E2336" s="71" t="s">
        <v>5369</v>
      </c>
      <c r="F2336" s="72">
        <v>1</v>
      </c>
      <c r="G2336" s="72">
        <v>0</v>
      </c>
      <c r="H2336" s="72">
        <v>0</v>
      </c>
      <c r="I2336" s="75">
        <v>0</v>
      </c>
      <c r="J2336" s="74">
        <v>1</v>
      </c>
      <c r="K2336" s="74">
        <v>0</v>
      </c>
      <c r="L2336" s="74">
        <v>0</v>
      </c>
      <c r="M2336" s="72">
        <v>0</v>
      </c>
      <c r="N2336" s="72">
        <v>0</v>
      </c>
      <c r="O2336" s="72">
        <v>2</v>
      </c>
      <c r="P2336" s="72">
        <v>3</v>
      </c>
      <c r="Q2336" s="72">
        <v>0.2</v>
      </c>
      <c r="R2336" s="72">
        <v>0</v>
      </c>
      <c r="S2336" s="73">
        <v>0</v>
      </c>
      <c r="T2336" s="72">
        <v>0</v>
      </c>
      <c r="U2336" s="72">
        <v>1</v>
      </c>
      <c r="V2336" s="72">
        <v>1</v>
      </c>
      <c r="W2336" s="72">
        <v>0</v>
      </c>
      <c r="X2336" s="72">
        <v>1.5</v>
      </c>
      <c r="Y2336" s="19">
        <v>0</v>
      </c>
      <c r="Z2336" s="72">
        <v>0</v>
      </c>
      <c r="AA2336" s="72">
        <v>1</v>
      </c>
      <c r="AB2336" s="72">
        <v>0</v>
      </c>
      <c r="AC2336" s="72">
        <v>0</v>
      </c>
      <c r="AD2336" s="72">
        <v>0</v>
      </c>
      <c r="AE2336" s="72">
        <v>1</v>
      </c>
      <c r="AF2336" s="72">
        <v>0</v>
      </c>
      <c r="AG2336" s="72">
        <v>1</v>
      </c>
      <c r="AH2336" s="72">
        <v>6</v>
      </c>
      <c r="AI2336" s="73">
        <v>0</v>
      </c>
      <c r="AJ2336" s="73">
        <v>1</v>
      </c>
      <c r="AK2336" s="73">
        <v>0</v>
      </c>
      <c r="AL2336" s="73">
        <v>3</v>
      </c>
      <c r="AM2336" s="72">
        <v>0</v>
      </c>
      <c r="AN2336" s="72">
        <v>0</v>
      </c>
      <c r="AO2336" s="72">
        <v>0</v>
      </c>
      <c r="AP2336" s="72">
        <v>1</v>
      </c>
      <c r="AQ2336" s="72">
        <v>3000</v>
      </c>
      <c r="AR2336" s="72">
        <v>1</v>
      </c>
      <c r="AS2336" s="72">
        <v>0</v>
      </c>
      <c r="AT2336" s="73">
        <v>0</v>
      </c>
      <c r="AU2336" s="334" t="s">
        <v>5578</v>
      </c>
      <c r="AV2336" s="93"/>
      <c r="AW2336" s="71" t="s">
        <v>204</v>
      </c>
      <c r="AX2336" s="72" t="s">
        <v>221</v>
      </c>
      <c r="AY2336" s="74">
        <v>0</v>
      </c>
      <c r="AZ2336" s="74">
        <v>77001903</v>
      </c>
      <c r="BA2336" s="88" t="s">
        <v>206</v>
      </c>
      <c r="BB2336" s="72">
        <v>0</v>
      </c>
      <c r="BC2336" s="75">
        <v>0</v>
      </c>
      <c r="BD2336" s="75">
        <v>0</v>
      </c>
      <c r="BE2336" s="76" t="s">
        <v>3002</v>
      </c>
      <c r="BF2336" s="76" t="s">
        <v>5369</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20.100000000000001" customHeight="1">
      <c r="C2337" s="74">
        <v>77001912</v>
      </c>
      <c r="D2337" s="71" t="s">
        <v>5579</v>
      </c>
      <c r="E2337" s="71" t="s">
        <v>5580</v>
      </c>
      <c r="F2337" s="72">
        <v>1</v>
      </c>
      <c r="G2337" s="72">
        <v>0</v>
      </c>
      <c r="H2337" s="72">
        <v>0</v>
      </c>
      <c r="I2337" s="75">
        <v>0</v>
      </c>
      <c r="J2337" s="74">
        <v>1</v>
      </c>
      <c r="K2337" s="72">
        <v>0</v>
      </c>
      <c r="L2337" s="72">
        <v>0</v>
      </c>
      <c r="M2337" s="72">
        <v>0</v>
      </c>
      <c r="N2337" s="72">
        <v>0</v>
      </c>
      <c r="O2337" s="72">
        <v>2</v>
      </c>
      <c r="P2337" s="72">
        <v>1</v>
      </c>
      <c r="Q2337" s="72">
        <v>0.1</v>
      </c>
      <c r="R2337" s="72">
        <v>0</v>
      </c>
      <c r="S2337" s="73">
        <v>0</v>
      </c>
      <c r="T2337" s="72">
        <v>0</v>
      </c>
      <c r="U2337" s="72">
        <v>1</v>
      </c>
      <c r="V2337" s="72">
        <v>1</v>
      </c>
      <c r="W2337" s="72">
        <v>0</v>
      </c>
      <c r="X2337" s="72">
        <v>1</v>
      </c>
      <c r="Y2337" s="19">
        <v>0</v>
      </c>
      <c r="Z2337" s="72">
        <v>0</v>
      </c>
      <c r="AA2337" s="72">
        <v>1</v>
      </c>
      <c r="AB2337" s="72">
        <v>0</v>
      </c>
      <c r="AC2337" s="72">
        <v>0</v>
      </c>
      <c r="AD2337" s="72">
        <v>0</v>
      </c>
      <c r="AE2337" s="72">
        <v>1</v>
      </c>
      <c r="AF2337" s="72">
        <v>0</v>
      </c>
      <c r="AG2337" s="72">
        <v>1</v>
      </c>
      <c r="AH2337" s="72">
        <v>3</v>
      </c>
      <c r="AI2337" s="73">
        <v>0</v>
      </c>
      <c r="AJ2337" s="73">
        <v>1</v>
      </c>
      <c r="AK2337" s="73">
        <v>0</v>
      </c>
      <c r="AL2337" s="73">
        <v>2</v>
      </c>
      <c r="AM2337" s="72">
        <v>0</v>
      </c>
      <c r="AN2337" s="72">
        <v>0</v>
      </c>
      <c r="AO2337" s="72">
        <v>0</v>
      </c>
      <c r="AP2337" s="72">
        <v>0.5</v>
      </c>
      <c r="AQ2337" s="72">
        <v>600</v>
      </c>
      <c r="AR2337" s="72">
        <v>0.5</v>
      </c>
      <c r="AS2337" s="72">
        <v>0</v>
      </c>
      <c r="AT2337" s="73">
        <v>0</v>
      </c>
      <c r="AU2337" s="72">
        <v>0</v>
      </c>
      <c r="AV2337" s="72"/>
      <c r="AW2337" s="71" t="s">
        <v>204</v>
      </c>
      <c r="AX2337" s="72" t="s">
        <v>540</v>
      </c>
      <c r="AY2337" s="74">
        <v>10000001</v>
      </c>
      <c r="AZ2337" s="74">
        <v>77001904</v>
      </c>
      <c r="BA2337" s="71" t="s">
        <v>777</v>
      </c>
      <c r="BB2337" s="72">
        <v>0</v>
      </c>
      <c r="BC2337" s="75">
        <v>0</v>
      </c>
      <c r="BD2337" s="75">
        <v>0</v>
      </c>
      <c r="BE2337" s="114" t="s">
        <v>5581</v>
      </c>
      <c r="BF2337" s="114" t="s">
        <v>5582</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77001913</v>
      </c>
      <c r="BU2337" s="23">
        <v>0</v>
      </c>
      <c r="BV2337" s="23"/>
      <c r="BW2337" s="23"/>
      <c r="BX2337" s="23"/>
      <c r="BY2337" s="23"/>
      <c r="BZ2337" s="23"/>
    </row>
    <row r="2338" spans="3:78" ht="20.100000000000001" customHeight="1">
      <c r="C2338" s="74">
        <v>77001913</v>
      </c>
      <c r="D2338" s="71" t="s">
        <v>604</v>
      </c>
      <c r="E2338" s="71" t="s">
        <v>1168</v>
      </c>
      <c r="F2338" s="74">
        <v>1</v>
      </c>
      <c r="G2338" s="72">
        <v>0</v>
      </c>
      <c r="H2338" s="74">
        <v>0</v>
      </c>
      <c r="I2338" s="75">
        <v>0</v>
      </c>
      <c r="J2338" s="74">
        <v>1</v>
      </c>
      <c r="K2338" s="74">
        <v>0</v>
      </c>
      <c r="L2338" s="74">
        <v>0</v>
      </c>
      <c r="M2338" s="72">
        <v>0</v>
      </c>
      <c r="N2338" s="72">
        <v>0</v>
      </c>
      <c r="O2338" s="72">
        <v>2</v>
      </c>
      <c r="P2338" s="72">
        <v>1</v>
      </c>
      <c r="Q2338" s="72">
        <v>0.5</v>
      </c>
      <c r="R2338" s="72">
        <v>0</v>
      </c>
      <c r="S2338" s="73">
        <v>0</v>
      </c>
      <c r="T2338" s="72">
        <v>0</v>
      </c>
      <c r="U2338" s="72">
        <v>1</v>
      </c>
      <c r="V2338" s="72">
        <v>2</v>
      </c>
      <c r="W2338" s="72">
        <v>0</v>
      </c>
      <c r="X2338" s="72">
        <v>0.5</v>
      </c>
      <c r="Y2338" s="19">
        <v>0</v>
      </c>
      <c r="Z2338" s="72">
        <v>0</v>
      </c>
      <c r="AA2338" s="72">
        <v>0</v>
      </c>
      <c r="AB2338" s="72">
        <v>0</v>
      </c>
      <c r="AC2338" s="72">
        <v>0</v>
      </c>
      <c r="AD2338" s="72">
        <v>0</v>
      </c>
      <c r="AE2338" s="72">
        <v>0</v>
      </c>
      <c r="AF2338" s="72">
        <v>8</v>
      </c>
      <c r="AG2338" s="72">
        <v>2</v>
      </c>
      <c r="AH2338" s="72" t="s">
        <v>1042</v>
      </c>
      <c r="AI2338" s="73">
        <v>0</v>
      </c>
      <c r="AJ2338" s="73">
        <v>2</v>
      </c>
      <c r="AK2338" s="73">
        <v>0</v>
      </c>
      <c r="AL2338" s="73">
        <v>1.5</v>
      </c>
      <c r="AM2338" s="72">
        <v>0</v>
      </c>
      <c r="AN2338" s="72">
        <v>0</v>
      </c>
      <c r="AO2338" s="72">
        <v>0</v>
      </c>
      <c r="AP2338" s="72">
        <v>0.3</v>
      </c>
      <c r="AQ2338" s="72">
        <v>400</v>
      </c>
      <c r="AR2338" s="72">
        <v>0.3</v>
      </c>
      <c r="AS2338" s="72">
        <v>0</v>
      </c>
      <c r="AT2338" s="73">
        <v>0</v>
      </c>
      <c r="AU2338" s="72">
        <v>97009003</v>
      </c>
      <c r="AV2338" s="72"/>
      <c r="AW2338" s="88" t="s">
        <v>204</v>
      </c>
      <c r="AX2338" s="72" t="s">
        <v>551</v>
      </c>
      <c r="AY2338" s="74">
        <v>10001007</v>
      </c>
      <c r="AZ2338" s="74">
        <v>77001905</v>
      </c>
      <c r="BA2338" s="71" t="s">
        <v>206</v>
      </c>
      <c r="BB2338" s="72">
        <v>0</v>
      </c>
      <c r="BC2338" s="75">
        <v>0</v>
      </c>
      <c r="BD2338" s="75">
        <v>0</v>
      </c>
      <c r="BE2338" s="76" t="s">
        <v>5583</v>
      </c>
      <c r="BF2338" s="76" t="s">
        <v>5584</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19.5" customHeight="1">
      <c r="C2339" s="74">
        <v>77001914</v>
      </c>
      <c r="D2339" s="71" t="s">
        <v>2494</v>
      </c>
      <c r="E2339" s="71" t="s">
        <v>2495</v>
      </c>
      <c r="F2339" s="74">
        <v>1</v>
      </c>
      <c r="G2339" s="72">
        <v>0</v>
      </c>
      <c r="H2339" s="74">
        <v>0</v>
      </c>
      <c r="I2339" s="75">
        <v>0</v>
      </c>
      <c r="J2339" s="74">
        <v>1</v>
      </c>
      <c r="K2339" s="74">
        <v>0</v>
      </c>
      <c r="L2339" s="74">
        <v>0</v>
      </c>
      <c r="M2339" s="72">
        <v>0</v>
      </c>
      <c r="N2339" s="72">
        <v>0</v>
      </c>
      <c r="O2339" s="72">
        <v>2</v>
      </c>
      <c r="P2339" s="72">
        <v>16</v>
      </c>
      <c r="Q2339" s="72">
        <v>5</v>
      </c>
      <c r="R2339" s="72">
        <v>0</v>
      </c>
      <c r="S2339" s="73">
        <v>0</v>
      </c>
      <c r="T2339" s="72">
        <v>0</v>
      </c>
      <c r="U2339" s="72">
        <v>1</v>
      </c>
      <c r="V2339" s="72">
        <v>2</v>
      </c>
      <c r="W2339" s="72">
        <v>0</v>
      </c>
      <c r="X2339" s="72">
        <v>1.5</v>
      </c>
      <c r="Y2339" s="19">
        <v>0</v>
      </c>
      <c r="Z2339" s="72">
        <v>0</v>
      </c>
      <c r="AA2339" s="72">
        <v>0</v>
      </c>
      <c r="AB2339" s="72">
        <v>0</v>
      </c>
      <c r="AC2339" s="72">
        <v>0</v>
      </c>
      <c r="AD2339" s="72">
        <v>0</v>
      </c>
      <c r="AE2339" s="72">
        <v>1</v>
      </c>
      <c r="AF2339" s="72">
        <v>0</v>
      </c>
      <c r="AG2339" s="72">
        <v>1</v>
      </c>
      <c r="AH2339" s="72">
        <v>2</v>
      </c>
      <c r="AI2339" s="73">
        <v>0</v>
      </c>
      <c r="AJ2339" s="73">
        <v>2</v>
      </c>
      <c r="AK2339" s="73">
        <v>0</v>
      </c>
      <c r="AL2339" s="73">
        <v>2</v>
      </c>
      <c r="AM2339" s="72">
        <v>0</v>
      </c>
      <c r="AN2339" s="72">
        <v>0</v>
      </c>
      <c r="AO2339" s="72">
        <v>0</v>
      </c>
      <c r="AP2339" s="72">
        <v>2</v>
      </c>
      <c r="AQ2339" s="72">
        <v>5000</v>
      </c>
      <c r="AR2339" s="72">
        <v>0</v>
      </c>
      <c r="AS2339" s="72">
        <v>15</v>
      </c>
      <c r="AT2339" s="92">
        <v>0</v>
      </c>
      <c r="AU2339" s="334" t="s">
        <v>204</v>
      </c>
      <c r="AV2339" s="93"/>
      <c r="AW2339" s="71" t="s">
        <v>262</v>
      </c>
      <c r="AX2339" s="72" t="s">
        <v>540</v>
      </c>
      <c r="AY2339" s="74">
        <v>10000007</v>
      </c>
      <c r="AZ2339" s="332" t="s">
        <v>5585</v>
      </c>
      <c r="BA2339" s="71" t="s">
        <v>592</v>
      </c>
      <c r="BB2339" s="72" t="s">
        <v>1311</v>
      </c>
      <c r="BC2339" s="75">
        <v>0</v>
      </c>
      <c r="BD2339" s="75">
        <v>1</v>
      </c>
      <c r="BE2339" s="76" t="s">
        <v>1312</v>
      </c>
      <c r="BF2339" s="76" t="s">
        <v>1313</v>
      </c>
      <c r="BG2339" s="72">
        <v>0</v>
      </c>
      <c r="BH2339" s="72">
        <v>0</v>
      </c>
      <c r="BI2339" s="72">
        <v>0</v>
      </c>
      <c r="BJ2339" s="72">
        <v>0</v>
      </c>
      <c r="BK2339" s="72">
        <v>0</v>
      </c>
      <c r="BL2339" s="72">
        <v>0</v>
      </c>
      <c r="BM2339" s="90">
        <v>0</v>
      </c>
      <c r="BN2339" s="73">
        <v>0</v>
      </c>
      <c r="BO2339" s="73">
        <v>0</v>
      </c>
      <c r="BP2339" s="73">
        <v>0</v>
      </c>
      <c r="BQ2339" s="73">
        <v>0</v>
      </c>
      <c r="BR2339" s="73">
        <v>0</v>
      </c>
      <c r="BS2339" s="73">
        <v>1</v>
      </c>
      <c r="BT2339" s="73">
        <v>0</v>
      </c>
      <c r="BU2339" s="23">
        <v>0</v>
      </c>
      <c r="BV2339" s="23"/>
      <c r="BW2339" s="23"/>
      <c r="BX2339" s="23"/>
      <c r="BY2339" s="23"/>
      <c r="BZ2339" s="23"/>
    </row>
    <row r="2340" spans="3:78" ht="20.100000000000001" customHeight="1">
      <c r="C2340" s="107">
        <v>77002001</v>
      </c>
      <c r="D2340" s="309" t="s">
        <v>5586</v>
      </c>
      <c r="E2340" s="309" t="s">
        <v>5587</v>
      </c>
      <c r="F2340" s="107">
        <v>1</v>
      </c>
      <c r="G2340" s="100">
        <v>0</v>
      </c>
      <c r="H2340" s="107">
        <v>0</v>
      </c>
      <c r="I2340" s="99">
        <v>0</v>
      </c>
      <c r="J2340" s="107">
        <v>1</v>
      </c>
      <c r="K2340" s="107">
        <v>0</v>
      </c>
      <c r="L2340" s="99">
        <v>0</v>
      </c>
      <c r="M2340" s="99">
        <v>0</v>
      </c>
      <c r="N2340" s="99">
        <v>0</v>
      </c>
      <c r="O2340" s="99">
        <v>2</v>
      </c>
      <c r="P2340" s="99">
        <v>1</v>
      </c>
      <c r="Q2340" s="99">
        <v>0.15</v>
      </c>
      <c r="R2340" s="99">
        <v>0</v>
      </c>
      <c r="S2340" s="99">
        <v>0</v>
      </c>
      <c r="T2340" s="99">
        <v>0</v>
      </c>
      <c r="U2340" s="99">
        <v>1</v>
      </c>
      <c r="V2340" s="99">
        <v>2</v>
      </c>
      <c r="W2340" s="99">
        <v>0</v>
      </c>
      <c r="X2340" s="99">
        <v>0.8</v>
      </c>
      <c r="Y2340" s="19">
        <v>0</v>
      </c>
      <c r="Z2340" s="99">
        <v>1000</v>
      </c>
      <c r="AA2340" s="99">
        <v>1</v>
      </c>
      <c r="AB2340" s="99">
        <v>0</v>
      </c>
      <c r="AC2340" s="99">
        <v>0</v>
      </c>
      <c r="AD2340" s="99">
        <v>0</v>
      </c>
      <c r="AE2340" s="99">
        <v>0</v>
      </c>
      <c r="AF2340" s="99">
        <v>16</v>
      </c>
      <c r="AG2340" s="99">
        <v>1</v>
      </c>
      <c r="AH2340" s="99">
        <v>6</v>
      </c>
      <c r="AI2340" s="99">
        <v>0</v>
      </c>
      <c r="AJ2340" s="99">
        <v>1</v>
      </c>
      <c r="AK2340" s="99">
        <v>0</v>
      </c>
      <c r="AL2340" s="99">
        <v>7</v>
      </c>
      <c r="AM2340" s="99">
        <v>0</v>
      </c>
      <c r="AN2340" s="99">
        <v>0</v>
      </c>
      <c r="AO2340" s="99">
        <v>0</v>
      </c>
      <c r="AP2340" s="99">
        <v>1</v>
      </c>
      <c r="AQ2340" s="99">
        <v>2000</v>
      </c>
      <c r="AR2340" s="99">
        <v>1</v>
      </c>
      <c r="AS2340" s="99">
        <v>0</v>
      </c>
      <c r="AT2340" s="99">
        <v>0</v>
      </c>
      <c r="AU2340" s="99">
        <v>0</v>
      </c>
      <c r="AV2340" s="99"/>
      <c r="AW2340" s="309" t="s">
        <v>205</v>
      </c>
      <c r="AX2340" s="99" t="s">
        <v>1047</v>
      </c>
      <c r="AY2340" s="99">
        <v>10000007</v>
      </c>
      <c r="AZ2340" s="99">
        <v>77002001</v>
      </c>
      <c r="BA2340" s="309" t="s">
        <v>1728</v>
      </c>
      <c r="BB2340" s="99">
        <v>1</v>
      </c>
      <c r="BC2340" s="99">
        <v>0</v>
      </c>
      <c r="BD2340" s="99">
        <v>0</v>
      </c>
      <c r="BE2340" s="310" t="s">
        <v>5588</v>
      </c>
      <c r="BF2340" s="310" t="s">
        <v>5589</v>
      </c>
      <c r="BG2340" s="99">
        <v>0</v>
      </c>
      <c r="BH2340" s="99">
        <v>0</v>
      </c>
      <c r="BI2340" s="99">
        <v>0</v>
      </c>
      <c r="BJ2340" s="99">
        <v>0</v>
      </c>
      <c r="BK2340" s="99">
        <v>0</v>
      </c>
      <c r="BL2340" s="99">
        <v>0</v>
      </c>
      <c r="BM2340" s="311">
        <v>0</v>
      </c>
      <c r="BN2340" s="99">
        <v>0</v>
      </c>
      <c r="BO2340" s="99">
        <v>0</v>
      </c>
      <c r="BP2340" s="99">
        <v>1000</v>
      </c>
      <c r="BQ2340" s="99">
        <v>1</v>
      </c>
      <c r="BR2340" s="99">
        <v>200</v>
      </c>
      <c r="BS2340" s="99">
        <v>0</v>
      </c>
      <c r="BT2340" s="99">
        <v>0</v>
      </c>
      <c r="BU2340" s="23">
        <v>0</v>
      </c>
      <c r="BV2340" s="23"/>
      <c r="BW2340" s="23"/>
      <c r="BX2340" s="23"/>
      <c r="BY2340" s="23"/>
      <c r="BZ2340" s="23"/>
    </row>
    <row r="2341" spans="3:78" ht="19.5" customHeight="1">
      <c r="C2341" s="107">
        <v>77002002</v>
      </c>
      <c r="D2341" s="110" t="s">
        <v>5590</v>
      </c>
      <c r="E2341" s="110" t="s">
        <v>5591</v>
      </c>
      <c r="F2341" s="107">
        <v>1</v>
      </c>
      <c r="G2341" s="100">
        <v>0</v>
      </c>
      <c r="H2341" s="107">
        <v>0</v>
      </c>
      <c r="I2341" s="105">
        <v>0</v>
      </c>
      <c r="J2341" s="107">
        <v>1</v>
      </c>
      <c r="K2341" s="107">
        <v>0</v>
      </c>
      <c r="L2341" s="107">
        <v>0</v>
      </c>
      <c r="M2341" s="100">
        <v>0</v>
      </c>
      <c r="N2341" s="100">
        <v>0</v>
      </c>
      <c r="O2341" s="100">
        <v>2</v>
      </c>
      <c r="P2341" s="100">
        <v>2</v>
      </c>
      <c r="Q2341" s="100">
        <v>0.5</v>
      </c>
      <c r="R2341" s="100">
        <v>1</v>
      </c>
      <c r="S2341" s="99">
        <v>0</v>
      </c>
      <c r="T2341" s="100">
        <v>0</v>
      </c>
      <c r="U2341" s="100">
        <v>1</v>
      </c>
      <c r="V2341" s="100">
        <v>1</v>
      </c>
      <c r="W2341" s="100">
        <v>0</v>
      </c>
      <c r="X2341" s="100">
        <v>0</v>
      </c>
      <c r="Y2341" s="19">
        <v>0</v>
      </c>
      <c r="Z2341" s="100">
        <v>0</v>
      </c>
      <c r="AA2341" s="100">
        <v>0</v>
      </c>
      <c r="AB2341" s="100">
        <v>0</v>
      </c>
      <c r="AC2341" s="100">
        <v>0</v>
      </c>
      <c r="AD2341" s="100">
        <v>0</v>
      </c>
      <c r="AE2341" s="100">
        <v>1</v>
      </c>
      <c r="AF2341" s="100">
        <v>0</v>
      </c>
      <c r="AG2341" s="100">
        <v>1</v>
      </c>
      <c r="AH2341" s="100">
        <v>2</v>
      </c>
      <c r="AI2341" s="99">
        <v>0</v>
      </c>
      <c r="AJ2341" s="99">
        <v>1</v>
      </c>
      <c r="AK2341" s="99">
        <v>0</v>
      </c>
      <c r="AL2341" s="99">
        <v>3</v>
      </c>
      <c r="AM2341" s="100">
        <v>0</v>
      </c>
      <c r="AN2341" s="100">
        <v>0</v>
      </c>
      <c r="AO2341" s="100">
        <v>0</v>
      </c>
      <c r="AP2341" s="100">
        <v>0.3</v>
      </c>
      <c r="AQ2341" s="100">
        <v>300</v>
      </c>
      <c r="AR2341" s="100">
        <v>0</v>
      </c>
      <c r="AS2341" s="100">
        <v>0</v>
      </c>
      <c r="AT2341" s="99">
        <v>0</v>
      </c>
      <c r="AU2341" s="118">
        <v>0</v>
      </c>
      <c r="AV2341" s="118"/>
      <c r="AW2341" s="110" t="s">
        <v>204</v>
      </c>
      <c r="AX2341" s="100">
        <v>0</v>
      </c>
      <c r="AY2341" s="107">
        <v>0</v>
      </c>
      <c r="AZ2341" s="107">
        <v>0</v>
      </c>
      <c r="BA2341" s="110" t="s">
        <v>534</v>
      </c>
      <c r="BB2341" s="340" t="s">
        <v>5592</v>
      </c>
      <c r="BC2341" s="105">
        <v>0</v>
      </c>
      <c r="BD2341" s="105">
        <v>0</v>
      </c>
      <c r="BE2341" s="111" t="s">
        <v>5593</v>
      </c>
      <c r="BF2341" s="111" t="s">
        <v>5594</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19.5" customHeight="1">
      <c r="C2342" s="107">
        <v>77002003</v>
      </c>
      <c r="D2342" s="110" t="s">
        <v>5595</v>
      </c>
      <c r="E2342" s="110" t="s">
        <v>5596</v>
      </c>
      <c r="F2342" s="107">
        <v>1</v>
      </c>
      <c r="G2342" s="100">
        <v>0</v>
      </c>
      <c r="H2342" s="107">
        <v>0</v>
      </c>
      <c r="I2342" s="105">
        <v>0</v>
      </c>
      <c r="J2342" s="107">
        <v>1</v>
      </c>
      <c r="K2342" s="107">
        <v>0</v>
      </c>
      <c r="L2342" s="107">
        <v>0</v>
      </c>
      <c r="M2342" s="100">
        <v>0</v>
      </c>
      <c r="N2342" s="100">
        <v>0</v>
      </c>
      <c r="O2342" s="100">
        <v>2</v>
      </c>
      <c r="P2342" s="100">
        <v>3</v>
      </c>
      <c r="Q2342" s="100">
        <v>0.2</v>
      </c>
      <c r="R2342" s="100">
        <v>0</v>
      </c>
      <c r="S2342" s="99">
        <v>0</v>
      </c>
      <c r="T2342" s="100">
        <v>0</v>
      </c>
      <c r="U2342" s="100">
        <v>1</v>
      </c>
      <c r="V2342" s="100">
        <v>1</v>
      </c>
      <c r="W2342" s="100">
        <v>0</v>
      </c>
      <c r="X2342" s="100">
        <v>0</v>
      </c>
      <c r="Y2342" s="19">
        <v>0</v>
      </c>
      <c r="Z2342" s="100">
        <v>0</v>
      </c>
      <c r="AA2342" s="100">
        <v>1</v>
      </c>
      <c r="AB2342" s="100">
        <v>0</v>
      </c>
      <c r="AC2342" s="100">
        <v>0</v>
      </c>
      <c r="AD2342" s="100">
        <v>0</v>
      </c>
      <c r="AE2342" s="100">
        <v>1</v>
      </c>
      <c r="AF2342" s="100">
        <v>0</v>
      </c>
      <c r="AG2342" s="100">
        <v>1</v>
      </c>
      <c r="AH2342" s="100">
        <v>20</v>
      </c>
      <c r="AI2342" s="99">
        <v>0</v>
      </c>
      <c r="AJ2342" s="99">
        <v>1</v>
      </c>
      <c r="AK2342" s="99">
        <v>0</v>
      </c>
      <c r="AL2342" s="99">
        <v>3</v>
      </c>
      <c r="AM2342" s="100">
        <v>0</v>
      </c>
      <c r="AN2342" s="100">
        <v>0</v>
      </c>
      <c r="AO2342" s="100">
        <v>0</v>
      </c>
      <c r="AP2342" s="100">
        <v>0.3</v>
      </c>
      <c r="AQ2342" s="100">
        <v>300</v>
      </c>
      <c r="AR2342" s="100">
        <v>0</v>
      </c>
      <c r="AS2342" s="100">
        <v>0</v>
      </c>
      <c r="AT2342" s="99">
        <v>0</v>
      </c>
      <c r="AU2342" s="339" t="s">
        <v>5597</v>
      </c>
      <c r="AV2342" s="118"/>
      <c r="AW2342" s="110" t="s">
        <v>204</v>
      </c>
      <c r="AX2342" s="100">
        <v>0</v>
      </c>
      <c r="AY2342" s="107">
        <v>0</v>
      </c>
      <c r="AZ2342" s="107">
        <v>0</v>
      </c>
      <c r="BA2342" s="110" t="s">
        <v>534</v>
      </c>
      <c r="BB2342" s="340" t="s">
        <v>5598</v>
      </c>
      <c r="BC2342" s="105">
        <v>0</v>
      </c>
      <c r="BD2342" s="105">
        <v>0</v>
      </c>
      <c r="BE2342" s="111" t="s">
        <v>5599</v>
      </c>
      <c r="BF2342" s="111" t="s">
        <v>5600</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77002004</v>
      </c>
      <c r="D2343" s="110" t="s">
        <v>5601</v>
      </c>
      <c r="E2343" s="304" t="s">
        <v>5602</v>
      </c>
      <c r="F2343" s="97">
        <v>1</v>
      </c>
      <c r="G2343" s="97">
        <v>0</v>
      </c>
      <c r="H2343" s="100">
        <v>0</v>
      </c>
      <c r="I2343" s="105">
        <v>0</v>
      </c>
      <c r="J2343" s="107">
        <v>1</v>
      </c>
      <c r="K2343" s="107">
        <v>0</v>
      </c>
      <c r="L2343" s="107">
        <v>0</v>
      </c>
      <c r="M2343" s="100">
        <v>0</v>
      </c>
      <c r="N2343" s="100">
        <v>0</v>
      </c>
      <c r="O2343" s="100">
        <v>2</v>
      </c>
      <c r="P2343" s="100">
        <v>1</v>
      </c>
      <c r="Q2343" s="100">
        <v>0.15</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5603</v>
      </c>
      <c r="BF2343" s="111" t="s">
        <v>5604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20.100000000000001" customHeight="1">
      <c r="C2344" s="107">
        <v>77002005</v>
      </c>
      <c r="D2344" s="110" t="s">
        <v>5601</v>
      </c>
      <c r="E2344" s="304" t="s">
        <v>5602</v>
      </c>
      <c r="F2344" s="97">
        <v>1</v>
      </c>
      <c r="G2344" s="97">
        <v>0</v>
      </c>
      <c r="H2344" s="100">
        <v>0</v>
      </c>
      <c r="I2344" s="105">
        <v>0</v>
      </c>
      <c r="J2344" s="107">
        <v>1</v>
      </c>
      <c r="K2344" s="107">
        <v>0</v>
      </c>
      <c r="L2344" s="107">
        <v>0</v>
      </c>
      <c r="M2344" s="100">
        <v>0</v>
      </c>
      <c r="N2344" s="100">
        <v>0</v>
      </c>
      <c r="O2344" s="100">
        <v>2</v>
      </c>
      <c r="P2344" s="100">
        <v>2</v>
      </c>
      <c r="Q2344" s="100">
        <v>1</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20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39" t="s">
        <v>204</v>
      </c>
      <c r="AV2344" s="118"/>
      <c r="AW2344" s="110" t="s">
        <v>204</v>
      </c>
      <c r="AX2344" s="100" t="s">
        <v>221</v>
      </c>
      <c r="AY2344" s="107">
        <v>0</v>
      </c>
      <c r="AZ2344" s="107">
        <v>0</v>
      </c>
      <c r="BA2344" s="110" t="s">
        <v>222</v>
      </c>
      <c r="BB2344" s="100">
        <v>0</v>
      </c>
      <c r="BC2344" s="105">
        <v>0</v>
      </c>
      <c r="BD2344" s="105">
        <v>0</v>
      </c>
      <c r="BE2344" s="111" t="s">
        <v>5603</v>
      </c>
      <c r="BF2344" s="111" t="s">
        <v>5604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77002006</v>
      </c>
      <c r="D2345" s="110" t="s">
        <v>1330</v>
      </c>
      <c r="E2345" s="110" t="s">
        <v>1331</v>
      </c>
      <c r="F2345" s="107">
        <v>1</v>
      </c>
      <c r="G2345" s="107">
        <v>80004009</v>
      </c>
      <c r="H2345" s="107">
        <v>0</v>
      </c>
      <c r="I2345" s="105">
        <v>0</v>
      </c>
      <c r="J2345" s="107">
        <v>1</v>
      </c>
      <c r="K2345" s="107">
        <v>0</v>
      </c>
      <c r="L2345" s="107">
        <v>0</v>
      </c>
      <c r="M2345" s="100">
        <v>0</v>
      </c>
      <c r="N2345" s="100">
        <v>0</v>
      </c>
      <c r="O2345" s="100">
        <v>2</v>
      </c>
      <c r="P2345" s="100">
        <v>1</v>
      </c>
      <c r="Q2345" s="100">
        <v>0.2</v>
      </c>
      <c r="R2345" s="100">
        <v>0</v>
      </c>
      <c r="S2345" s="99">
        <v>0</v>
      </c>
      <c r="T2345" s="100">
        <v>0</v>
      </c>
      <c r="U2345" s="100">
        <v>1</v>
      </c>
      <c r="V2345" s="100">
        <v>2</v>
      </c>
      <c r="W2345" s="100">
        <v>0</v>
      </c>
      <c r="X2345" s="100">
        <v>0.8</v>
      </c>
      <c r="Y2345" s="19">
        <v>0</v>
      </c>
      <c r="Z2345" s="100">
        <v>0</v>
      </c>
      <c r="AA2345" s="100">
        <v>1</v>
      </c>
      <c r="AB2345" s="100">
        <v>0</v>
      </c>
      <c r="AC2345" s="100">
        <v>0</v>
      </c>
      <c r="AD2345" s="100">
        <v>0</v>
      </c>
      <c r="AE2345" s="100">
        <v>1</v>
      </c>
      <c r="AF2345" s="100">
        <v>0</v>
      </c>
      <c r="AG2345" s="100">
        <v>1</v>
      </c>
      <c r="AH2345" s="100">
        <v>2</v>
      </c>
      <c r="AI2345" s="99">
        <v>0</v>
      </c>
      <c r="AJ2345" s="99">
        <v>2</v>
      </c>
      <c r="AK2345" s="99">
        <v>0</v>
      </c>
      <c r="AL2345" s="99">
        <v>2</v>
      </c>
      <c r="AM2345" s="100">
        <v>0</v>
      </c>
      <c r="AN2345" s="100">
        <v>0</v>
      </c>
      <c r="AO2345" s="100">
        <v>0</v>
      </c>
      <c r="AP2345" s="100">
        <v>2</v>
      </c>
      <c r="AQ2345" s="100">
        <v>5000</v>
      </c>
      <c r="AR2345" s="100">
        <v>0</v>
      </c>
      <c r="AS2345" s="100">
        <v>10</v>
      </c>
      <c r="AT2345" s="117">
        <v>0</v>
      </c>
      <c r="AU2345" s="339" t="s">
        <v>5605</v>
      </c>
      <c r="AV2345" s="118"/>
      <c r="AW2345" s="110" t="s">
        <v>204</v>
      </c>
      <c r="AX2345" s="100" t="s">
        <v>540</v>
      </c>
      <c r="AY2345" s="107">
        <v>10000007</v>
      </c>
      <c r="AZ2345" s="337" t="s">
        <v>5606</v>
      </c>
      <c r="BA2345" s="110" t="s">
        <v>592</v>
      </c>
      <c r="BB2345" s="100" t="s">
        <v>1324</v>
      </c>
      <c r="BC2345" s="105">
        <v>0</v>
      </c>
      <c r="BD2345" s="105">
        <v>1</v>
      </c>
      <c r="BE2345" s="111" t="s">
        <v>5607</v>
      </c>
      <c r="BF2345" s="111" t="s">
        <v>5608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19.5" customHeight="1">
      <c r="C2346" s="107">
        <v>77002007</v>
      </c>
      <c r="D2346" s="110" t="s">
        <v>5609</v>
      </c>
      <c r="E2346" s="110" t="s">
        <v>5610</v>
      </c>
      <c r="F2346" s="107">
        <v>1</v>
      </c>
      <c r="G2346" s="100">
        <v>60010100</v>
      </c>
      <c r="H2346" s="107">
        <v>0</v>
      </c>
      <c r="I2346" s="105">
        <v>0</v>
      </c>
      <c r="J2346" s="107">
        <v>1</v>
      </c>
      <c r="K2346" s="107">
        <v>0</v>
      </c>
      <c r="L2346" s="107">
        <v>0</v>
      </c>
      <c r="M2346" s="100">
        <v>0</v>
      </c>
      <c r="N2346" s="100">
        <v>0</v>
      </c>
      <c r="O2346" s="100">
        <v>2</v>
      </c>
      <c r="P2346" s="100">
        <v>16</v>
      </c>
      <c r="Q2346" s="100">
        <v>4</v>
      </c>
      <c r="R2346" s="100">
        <v>0</v>
      </c>
      <c r="S2346" s="99">
        <v>0</v>
      </c>
      <c r="T2346" s="100">
        <v>0</v>
      </c>
      <c r="U2346" s="100">
        <v>1</v>
      </c>
      <c r="V2346" s="100">
        <v>2</v>
      </c>
      <c r="W2346" s="100">
        <v>0</v>
      </c>
      <c r="X2346" s="100">
        <v>1.5</v>
      </c>
      <c r="Y2346" s="19">
        <v>0</v>
      </c>
      <c r="Z2346" s="100">
        <v>0</v>
      </c>
      <c r="AA2346" s="100">
        <v>1</v>
      </c>
      <c r="AB2346" s="100">
        <v>0</v>
      </c>
      <c r="AC2346" s="100">
        <v>0</v>
      </c>
      <c r="AD2346" s="100">
        <v>0</v>
      </c>
      <c r="AE2346" s="100">
        <v>1</v>
      </c>
      <c r="AF2346" s="100">
        <v>0</v>
      </c>
      <c r="AG2346" s="100">
        <v>1</v>
      </c>
      <c r="AH2346" s="100">
        <v>4</v>
      </c>
      <c r="AI2346" s="99">
        <v>0</v>
      </c>
      <c r="AJ2346" s="99">
        <v>1</v>
      </c>
      <c r="AK2346" s="99">
        <v>0</v>
      </c>
      <c r="AL2346" s="99">
        <v>3</v>
      </c>
      <c r="AM2346" s="100">
        <v>0</v>
      </c>
      <c r="AN2346" s="100">
        <v>1</v>
      </c>
      <c r="AO2346" s="100">
        <v>0</v>
      </c>
      <c r="AP2346" s="100">
        <v>1</v>
      </c>
      <c r="AQ2346" s="100">
        <v>3000</v>
      </c>
      <c r="AR2346" s="100">
        <v>1</v>
      </c>
      <c r="AS2346" s="100">
        <v>0</v>
      </c>
      <c r="AT2346" s="99">
        <v>0</v>
      </c>
      <c r="AU2346" s="339" t="s">
        <v>5611</v>
      </c>
      <c r="AV2346" s="118"/>
      <c r="AW2346" s="104" t="s">
        <v>204</v>
      </c>
      <c r="AX2346" s="100" t="s">
        <v>540</v>
      </c>
      <c r="AY2346" s="107">
        <v>0</v>
      </c>
      <c r="AZ2346" s="337" t="s">
        <v>5612</v>
      </c>
      <c r="BA2346" s="110" t="s">
        <v>206</v>
      </c>
      <c r="BB2346" s="100">
        <v>0</v>
      </c>
      <c r="BC2346" s="105">
        <v>0</v>
      </c>
      <c r="BD2346" s="105">
        <v>0</v>
      </c>
      <c r="BE2346" s="111" t="s">
        <v>5613</v>
      </c>
      <c r="BF2346" s="111" t="s">
        <v>5614</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20.100000000000001" customHeight="1">
      <c r="C2347" s="107">
        <v>77002008</v>
      </c>
      <c r="D2347" s="110" t="s">
        <v>5615</v>
      </c>
      <c r="E2347" s="304" t="s">
        <v>5616</v>
      </c>
      <c r="F2347" s="97">
        <v>1</v>
      </c>
      <c r="G2347" s="97">
        <v>0</v>
      </c>
      <c r="H2347" s="100">
        <v>0</v>
      </c>
      <c r="I2347" s="105">
        <v>0</v>
      </c>
      <c r="J2347" s="107">
        <v>1</v>
      </c>
      <c r="K2347" s="107">
        <v>0</v>
      </c>
      <c r="L2347" s="107">
        <v>0</v>
      </c>
      <c r="M2347" s="100">
        <v>0</v>
      </c>
      <c r="N2347" s="100">
        <v>0</v>
      </c>
      <c r="O2347" s="100">
        <v>2</v>
      </c>
      <c r="P2347" s="100">
        <v>3</v>
      </c>
      <c r="Q2347" s="100">
        <v>0.2</v>
      </c>
      <c r="R2347" s="100">
        <v>0</v>
      </c>
      <c r="S2347" s="99">
        <v>0</v>
      </c>
      <c r="T2347" s="100">
        <v>0</v>
      </c>
      <c r="U2347" s="100">
        <v>1</v>
      </c>
      <c r="V2347" s="97">
        <v>1</v>
      </c>
      <c r="W2347" s="100">
        <v>0</v>
      </c>
      <c r="X2347" s="100">
        <v>2</v>
      </c>
      <c r="Y2347" s="19">
        <v>0</v>
      </c>
      <c r="Z2347" s="100">
        <v>0</v>
      </c>
      <c r="AA2347" s="100">
        <v>1</v>
      </c>
      <c r="AB2347" s="100">
        <v>0</v>
      </c>
      <c r="AC2347" s="100">
        <v>0</v>
      </c>
      <c r="AD2347" s="100">
        <v>0</v>
      </c>
      <c r="AE2347" s="100">
        <v>1</v>
      </c>
      <c r="AF2347" s="100">
        <v>24</v>
      </c>
      <c r="AG2347" s="100">
        <v>1</v>
      </c>
      <c r="AH2347" s="100">
        <v>6</v>
      </c>
      <c r="AI2347" s="99">
        <v>0</v>
      </c>
      <c r="AJ2347" s="99">
        <v>1</v>
      </c>
      <c r="AK2347" s="99">
        <v>0</v>
      </c>
      <c r="AL2347" s="99">
        <v>3</v>
      </c>
      <c r="AM2347" s="100">
        <v>0</v>
      </c>
      <c r="AN2347" s="100">
        <v>1</v>
      </c>
      <c r="AO2347" s="100">
        <v>0</v>
      </c>
      <c r="AP2347" s="100">
        <v>2</v>
      </c>
      <c r="AQ2347" s="100">
        <v>3000</v>
      </c>
      <c r="AR2347" s="100">
        <v>1</v>
      </c>
      <c r="AS2347" s="100">
        <v>0</v>
      </c>
      <c r="AT2347" s="335" t="s">
        <v>5617</v>
      </c>
      <c r="AU2347" s="339" t="s">
        <v>5597</v>
      </c>
      <c r="AV2347" s="118"/>
      <c r="AW2347" s="110" t="s">
        <v>262</v>
      </c>
      <c r="AX2347" s="100" t="s">
        <v>221</v>
      </c>
      <c r="AY2347" s="107">
        <v>10000011</v>
      </c>
      <c r="AZ2347" s="337" t="s">
        <v>5618</v>
      </c>
      <c r="BA2347" s="104" t="s">
        <v>206</v>
      </c>
      <c r="BB2347" s="100">
        <v>0</v>
      </c>
      <c r="BC2347" s="105">
        <v>0</v>
      </c>
      <c r="BD2347" s="105">
        <v>0</v>
      </c>
      <c r="BE2347" s="111" t="s">
        <v>5619</v>
      </c>
      <c r="BF2347" s="111" t="s">
        <v>5620</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19.5" customHeight="1">
      <c r="C2348" s="107">
        <v>77002009</v>
      </c>
      <c r="D2348" s="110" t="s">
        <v>5621</v>
      </c>
      <c r="E2348" s="110" t="s">
        <v>5622</v>
      </c>
      <c r="F2348" s="107">
        <v>1</v>
      </c>
      <c r="G2348" s="107">
        <v>0</v>
      </c>
      <c r="H2348" s="107">
        <v>0</v>
      </c>
      <c r="I2348" s="105">
        <v>0</v>
      </c>
      <c r="J2348" s="107">
        <v>1</v>
      </c>
      <c r="K2348" s="107">
        <v>0</v>
      </c>
      <c r="L2348" s="107">
        <v>0</v>
      </c>
      <c r="M2348" s="100">
        <v>0</v>
      </c>
      <c r="N2348" s="100">
        <v>0</v>
      </c>
      <c r="O2348" s="100">
        <v>2</v>
      </c>
      <c r="P2348" s="100">
        <v>3</v>
      </c>
      <c r="Q2348" s="100">
        <v>0.1</v>
      </c>
      <c r="R2348" s="100">
        <v>0</v>
      </c>
      <c r="S2348" s="99">
        <v>0</v>
      </c>
      <c r="T2348" s="100">
        <v>0</v>
      </c>
      <c r="U2348" s="100">
        <v>1</v>
      </c>
      <c r="V2348" s="100">
        <v>2</v>
      </c>
      <c r="W2348" s="100">
        <v>0</v>
      </c>
      <c r="X2348" s="100">
        <v>1</v>
      </c>
      <c r="Y2348" s="19">
        <v>0</v>
      </c>
      <c r="Z2348" s="100">
        <v>0</v>
      </c>
      <c r="AA2348" s="100">
        <v>1</v>
      </c>
      <c r="AB2348" s="100">
        <v>0</v>
      </c>
      <c r="AC2348" s="100">
        <v>0</v>
      </c>
      <c r="AD2348" s="100">
        <v>1</v>
      </c>
      <c r="AE2348" s="100">
        <v>0</v>
      </c>
      <c r="AF2348" s="100">
        <v>0</v>
      </c>
      <c r="AG2348" s="100">
        <v>1</v>
      </c>
      <c r="AH2348" s="100">
        <v>3</v>
      </c>
      <c r="AI2348" s="99">
        <v>4</v>
      </c>
      <c r="AJ2348" s="99">
        <v>1</v>
      </c>
      <c r="AK2348" s="99">
        <v>0</v>
      </c>
      <c r="AL2348" s="99">
        <v>1.5</v>
      </c>
      <c r="AM2348" s="100">
        <v>0</v>
      </c>
      <c r="AN2348" s="100">
        <v>0</v>
      </c>
      <c r="AO2348" s="100">
        <v>0</v>
      </c>
      <c r="AP2348" s="100">
        <v>0</v>
      </c>
      <c r="AQ2348" s="100">
        <v>6000</v>
      </c>
      <c r="AR2348" s="100">
        <v>0.8</v>
      </c>
      <c r="AS2348" s="100">
        <v>0</v>
      </c>
      <c r="AT2348" s="99">
        <v>0</v>
      </c>
      <c r="AU2348" s="339" t="s">
        <v>5611</v>
      </c>
      <c r="AV2348" s="118"/>
      <c r="AW2348" s="104" t="s">
        <v>205</v>
      </c>
      <c r="AX2348" s="100" t="s">
        <v>540</v>
      </c>
      <c r="AY2348" s="107">
        <v>0</v>
      </c>
      <c r="AZ2348" s="337" t="s">
        <v>5623</v>
      </c>
      <c r="BA2348" s="110" t="s">
        <v>206</v>
      </c>
      <c r="BB2348" s="100" t="s">
        <v>5624</v>
      </c>
      <c r="BC2348" s="105">
        <v>0</v>
      </c>
      <c r="BD2348" s="105">
        <v>0</v>
      </c>
      <c r="BE2348" s="111" t="s">
        <v>5379</v>
      </c>
      <c r="BF2348" s="111" t="s">
        <v>5380</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77002010</v>
      </c>
      <c r="D2349" s="110" t="s">
        <v>5625</v>
      </c>
      <c r="E2349" s="110" t="s">
        <v>5626</v>
      </c>
      <c r="F2349" s="100">
        <v>1</v>
      </c>
      <c r="G2349" s="100">
        <v>0</v>
      </c>
      <c r="H2349" s="107">
        <v>0</v>
      </c>
      <c r="I2349" s="105">
        <v>0</v>
      </c>
      <c r="J2349" s="107">
        <v>1</v>
      </c>
      <c r="K2349" s="107">
        <v>0</v>
      </c>
      <c r="L2349" s="107">
        <v>0</v>
      </c>
      <c r="M2349" s="100">
        <v>0</v>
      </c>
      <c r="N2349" s="100">
        <v>0</v>
      </c>
      <c r="O2349" s="100">
        <v>2</v>
      </c>
      <c r="P2349" s="100">
        <v>2</v>
      </c>
      <c r="Q2349" s="100">
        <v>0.8</v>
      </c>
      <c r="R2349" s="100">
        <v>0</v>
      </c>
      <c r="S2349" s="99">
        <v>3</v>
      </c>
      <c r="T2349" s="100">
        <v>0</v>
      </c>
      <c r="U2349" s="100">
        <v>1</v>
      </c>
      <c r="V2349" s="100">
        <v>2</v>
      </c>
      <c r="W2349" s="100">
        <v>0</v>
      </c>
      <c r="X2349" s="100">
        <v>0.8</v>
      </c>
      <c r="Y2349" s="19">
        <v>0</v>
      </c>
      <c r="Z2349" s="100">
        <v>0</v>
      </c>
      <c r="AA2349" s="100">
        <v>0</v>
      </c>
      <c r="AB2349" s="100">
        <v>0</v>
      </c>
      <c r="AC2349" s="100">
        <v>0</v>
      </c>
      <c r="AD2349" s="100">
        <v>0</v>
      </c>
      <c r="AE2349" s="100">
        <v>0</v>
      </c>
      <c r="AF2349" s="100">
        <v>28</v>
      </c>
      <c r="AG2349" s="100">
        <v>1</v>
      </c>
      <c r="AH2349" s="100">
        <v>3</v>
      </c>
      <c r="AI2349" s="99">
        <v>6</v>
      </c>
      <c r="AJ2349" s="99">
        <v>1</v>
      </c>
      <c r="AK2349" s="99">
        <v>0</v>
      </c>
      <c r="AL2349" s="99">
        <v>1.5</v>
      </c>
      <c r="AM2349" s="100">
        <v>0</v>
      </c>
      <c r="AN2349" s="100">
        <v>0</v>
      </c>
      <c r="AO2349" s="100">
        <v>0</v>
      </c>
      <c r="AP2349" s="100">
        <v>1</v>
      </c>
      <c r="AQ2349" s="100">
        <v>5000</v>
      </c>
      <c r="AR2349" s="100">
        <v>1</v>
      </c>
      <c r="AS2349" s="100">
        <v>0</v>
      </c>
      <c r="AT2349" s="99">
        <v>0</v>
      </c>
      <c r="AU2349" s="339" t="s">
        <v>5627</v>
      </c>
      <c r="AV2349" s="118"/>
      <c r="AW2349" s="104" t="s">
        <v>262</v>
      </c>
      <c r="AX2349" s="100" t="s">
        <v>540</v>
      </c>
      <c r="AY2349" s="107">
        <v>10000007</v>
      </c>
      <c r="AZ2349" s="337" t="s">
        <v>5628</v>
      </c>
      <c r="BA2349" s="110" t="s">
        <v>206</v>
      </c>
      <c r="BB2349" s="100" t="s">
        <v>5629</v>
      </c>
      <c r="BC2349" s="105">
        <v>0</v>
      </c>
      <c r="BD2349" s="105">
        <v>0</v>
      </c>
      <c r="BE2349" s="111" t="s">
        <v>5630</v>
      </c>
      <c r="BF2349" s="111" t="s">
        <v>5631</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77002011</v>
      </c>
      <c r="D2350" s="110" t="s">
        <v>5632</v>
      </c>
      <c r="E2350" s="110" t="s">
        <v>5633</v>
      </c>
      <c r="F2350" s="100">
        <v>1</v>
      </c>
      <c r="G2350" s="100">
        <v>61012301</v>
      </c>
      <c r="H2350" s="100">
        <v>0</v>
      </c>
      <c r="I2350" s="105">
        <v>0</v>
      </c>
      <c r="J2350" s="107">
        <v>1</v>
      </c>
      <c r="K2350" s="107">
        <v>0</v>
      </c>
      <c r="L2350" s="107">
        <v>0</v>
      </c>
      <c r="M2350" s="100">
        <v>0</v>
      </c>
      <c r="N2350" s="100">
        <v>0</v>
      </c>
      <c r="O2350" s="100">
        <v>2</v>
      </c>
      <c r="P2350" s="100">
        <v>1</v>
      </c>
      <c r="Q2350" s="100">
        <v>0.15</v>
      </c>
      <c r="R2350" s="100">
        <v>0</v>
      </c>
      <c r="S2350" s="99">
        <v>1</v>
      </c>
      <c r="T2350" s="100">
        <v>0</v>
      </c>
      <c r="U2350" s="100">
        <v>0</v>
      </c>
      <c r="V2350" s="100">
        <v>1</v>
      </c>
      <c r="W2350" s="100">
        <v>0</v>
      </c>
      <c r="X2350" s="100">
        <v>0</v>
      </c>
      <c r="Y2350" s="19">
        <v>0</v>
      </c>
      <c r="Z2350" s="100">
        <v>0</v>
      </c>
      <c r="AA2350" s="100">
        <v>1</v>
      </c>
      <c r="AB2350" s="100">
        <v>0</v>
      </c>
      <c r="AC2350" s="100">
        <v>0</v>
      </c>
      <c r="AD2350" s="100">
        <v>0</v>
      </c>
      <c r="AE2350" s="100">
        <v>1</v>
      </c>
      <c r="AF2350" s="100">
        <v>6</v>
      </c>
      <c r="AG2350" s="100">
        <v>2</v>
      </c>
      <c r="AH2350" s="100" t="s">
        <v>219</v>
      </c>
      <c r="AI2350" s="99">
        <v>0</v>
      </c>
      <c r="AJ2350" s="99">
        <v>2</v>
      </c>
      <c r="AK2350" s="99">
        <v>0</v>
      </c>
      <c r="AL2350" s="99">
        <v>1.5</v>
      </c>
      <c r="AM2350" s="100">
        <v>0</v>
      </c>
      <c r="AN2350" s="100">
        <v>0</v>
      </c>
      <c r="AO2350" s="100">
        <v>0</v>
      </c>
      <c r="AP2350" s="100">
        <v>0.5</v>
      </c>
      <c r="AQ2350" s="100">
        <v>500</v>
      </c>
      <c r="AR2350" s="100">
        <v>0</v>
      </c>
      <c r="AS2350" s="100">
        <v>15</v>
      </c>
      <c r="AT2350" s="99">
        <v>97010008</v>
      </c>
      <c r="AU2350" s="118">
        <v>0</v>
      </c>
      <c r="AV2350" s="118"/>
      <c r="AW2350" s="110" t="s">
        <v>293</v>
      </c>
      <c r="AX2350" s="100" t="s">
        <v>221</v>
      </c>
      <c r="AY2350" s="107">
        <v>0</v>
      </c>
      <c r="AZ2350" s="107">
        <v>0</v>
      </c>
      <c r="BA2350" s="137" t="s">
        <v>222</v>
      </c>
      <c r="BB2350" s="100">
        <v>0</v>
      </c>
      <c r="BC2350" s="105">
        <v>0</v>
      </c>
      <c r="BD2350" s="105">
        <v>0</v>
      </c>
      <c r="BE2350" s="111" t="s">
        <v>5634</v>
      </c>
      <c r="BF2350" s="111" t="s">
        <v>5635</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77002012</v>
      </c>
      <c r="BU2350" s="23">
        <v>0</v>
      </c>
      <c r="BV2350" s="23"/>
      <c r="BW2350" s="23"/>
      <c r="BX2350" s="23"/>
      <c r="BY2350" s="23"/>
      <c r="BZ2350" s="23"/>
    </row>
    <row r="2351" spans="3:78" ht="19.5" customHeight="1">
      <c r="C2351" s="107">
        <v>77002012</v>
      </c>
      <c r="D2351" s="104" t="s">
        <v>5636</v>
      </c>
      <c r="E2351" s="104" t="s">
        <v>5637</v>
      </c>
      <c r="F2351" s="100">
        <v>1</v>
      </c>
      <c r="G2351" s="107">
        <v>61022101</v>
      </c>
      <c r="H2351" s="107">
        <v>0</v>
      </c>
      <c r="I2351" s="105">
        <v>0</v>
      </c>
      <c r="J2351" s="100">
        <v>1</v>
      </c>
      <c r="K2351" s="100">
        <v>0</v>
      </c>
      <c r="L2351" s="100">
        <v>0</v>
      </c>
      <c r="M2351" s="107">
        <v>0</v>
      </c>
      <c r="N2351" s="107">
        <v>0</v>
      </c>
      <c r="O2351" s="107">
        <v>2</v>
      </c>
      <c r="P2351" s="107">
        <v>2</v>
      </c>
      <c r="Q2351" s="107">
        <v>1</v>
      </c>
      <c r="R2351" s="107">
        <v>0</v>
      </c>
      <c r="S2351" s="99">
        <v>0</v>
      </c>
      <c r="T2351" s="105">
        <v>0</v>
      </c>
      <c r="U2351" s="100">
        <v>1</v>
      </c>
      <c r="V2351" s="107">
        <v>1</v>
      </c>
      <c r="W2351" s="107">
        <v>0</v>
      </c>
      <c r="X2351" s="107">
        <v>1.5</v>
      </c>
      <c r="Y2351" s="19">
        <v>0</v>
      </c>
      <c r="Z2351" s="107">
        <v>0</v>
      </c>
      <c r="AA2351" s="107">
        <v>0</v>
      </c>
      <c r="AB2351" s="107">
        <v>0</v>
      </c>
      <c r="AC2351" s="107">
        <v>0</v>
      </c>
      <c r="AD2351" s="107">
        <v>0</v>
      </c>
      <c r="AE2351" s="107">
        <v>0</v>
      </c>
      <c r="AF2351" s="107">
        <v>8</v>
      </c>
      <c r="AG2351" s="107">
        <v>1</v>
      </c>
      <c r="AH2351" s="138">
        <v>5</v>
      </c>
      <c r="AI2351" s="99">
        <v>0</v>
      </c>
      <c r="AJ2351" s="99">
        <v>1</v>
      </c>
      <c r="AK2351" s="99">
        <v>0</v>
      </c>
      <c r="AL2351" s="99">
        <v>3</v>
      </c>
      <c r="AM2351" s="107">
        <v>0</v>
      </c>
      <c r="AN2351" s="107">
        <v>0</v>
      </c>
      <c r="AO2351" s="107">
        <v>0</v>
      </c>
      <c r="AP2351" s="107">
        <v>0</v>
      </c>
      <c r="AQ2351" s="107">
        <v>2000</v>
      </c>
      <c r="AR2351" s="107">
        <v>0.5</v>
      </c>
      <c r="AS2351" s="107">
        <v>0</v>
      </c>
      <c r="AT2351" s="99">
        <v>0</v>
      </c>
      <c r="AU2351" s="337" t="s">
        <v>5638</v>
      </c>
      <c r="AV2351" s="107"/>
      <c r="AW2351" s="110" t="s">
        <v>293</v>
      </c>
      <c r="AX2351" s="107" t="s">
        <v>551</v>
      </c>
      <c r="AY2351" s="107">
        <v>10001005</v>
      </c>
      <c r="AZ2351" s="337" t="s">
        <v>5639</v>
      </c>
      <c r="BA2351" s="104" t="s">
        <v>206</v>
      </c>
      <c r="BB2351" s="104">
        <v>0</v>
      </c>
      <c r="BC2351" s="105">
        <v>0</v>
      </c>
      <c r="BD2351" s="105">
        <v>0</v>
      </c>
      <c r="BE2351" s="139" t="s">
        <v>1192</v>
      </c>
      <c r="BF2351" s="139" t="s">
        <v>1193</v>
      </c>
      <c r="BG2351" s="107">
        <v>0</v>
      </c>
      <c r="BH2351" s="100">
        <v>0</v>
      </c>
      <c r="BI2351" s="107">
        <v>0</v>
      </c>
      <c r="BJ2351" s="107">
        <v>0</v>
      </c>
      <c r="BK2351" s="107">
        <v>0</v>
      </c>
      <c r="BL2351" s="107">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77002013</v>
      </c>
      <c r="D2352" s="110" t="s">
        <v>5640</v>
      </c>
      <c r="E2352" s="110" t="s">
        <v>5641</v>
      </c>
      <c r="F2352" s="107">
        <v>1</v>
      </c>
      <c r="G2352" s="100">
        <v>60010100</v>
      </c>
      <c r="H2352" s="107">
        <v>0</v>
      </c>
      <c r="I2352" s="105">
        <v>0</v>
      </c>
      <c r="J2352" s="107">
        <v>1</v>
      </c>
      <c r="K2352" s="107">
        <v>0</v>
      </c>
      <c r="L2352" s="107">
        <v>0</v>
      </c>
      <c r="M2352" s="100">
        <v>0</v>
      </c>
      <c r="N2352" s="100">
        <v>0</v>
      </c>
      <c r="O2352" s="100">
        <v>2</v>
      </c>
      <c r="P2352" s="100">
        <v>1</v>
      </c>
      <c r="Q2352" s="100">
        <v>0.15</v>
      </c>
      <c r="R2352" s="100">
        <v>0</v>
      </c>
      <c r="S2352" s="99">
        <v>0</v>
      </c>
      <c r="T2352" s="100">
        <v>0</v>
      </c>
      <c r="U2352" s="100">
        <v>1</v>
      </c>
      <c r="V2352" s="100">
        <v>2</v>
      </c>
      <c r="W2352" s="100">
        <v>0</v>
      </c>
      <c r="X2352" s="100">
        <v>0</v>
      </c>
      <c r="Y2352" s="19">
        <v>0</v>
      </c>
      <c r="Z2352" s="100">
        <v>0</v>
      </c>
      <c r="AA2352" s="100">
        <v>1</v>
      </c>
      <c r="AB2352" s="100">
        <v>0</v>
      </c>
      <c r="AC2352" s="100">
        <v>0</v>
      </c>
      <c r="AD2352" s="100">
        <v>0</v>
      </c>
      <c r="AE2352" s="100">
        <v>1</v>
      </c>
      <c r="AF2352" s="100">
        <v>3</v>
      </c>
      <c r="AG2352" s="100">
        <v>1</v>
      </c>
      <c r="AH2352" s="100">
        <v>4</v>
      </c>
      <c r="AI2352" s="99">
        <v>0</v>
      </c>
      <c r="AJ2352" s="99">
        <v>1</v>
      </c>
      <c r="AK2352" s="99">
        <v>0</v>
      </c>
      <c r="AL2352" s="99">
        <v>3</v>
      </c>
      <c r="AM2352" s="100">
        <v>0</v>
      </c>
      <c r="AN2352" s="100">
        <v>1</v>
      </c>
      <c r="AO2352" s="100">
        <v>0</v>
      </c>
      <c r="AP2352" s="100">
        <v>0</v>
      </c>
      <c r="AQ2352" s="100">
        <v>3000</v>
      </c>
      <c r="AR2352" s="100">
        <v>0</v>
      </c>
      <c r="AS2352" s="100">
        <v>0</v>
      </c>
      <c r="AT2352" s="335" t="s">
        <v>5642</v>
      </c>
      <c r="AU2352" s="118">
        <v>0</v>
      </c>
      <c r="AV2352" s="118"/>
      <c r="AW2352" s="104" t="s">
        <v>262</v>
      </c>
      <c r="AX2352" s="100" t="s">
        <v>540</v>
      </c>
      <c r="AY2352" s="107">
        <v>0</v>
      </c>
      <c r="AZ2352" s="107">
        <v>0</v>
      </c>
      <c r="BA2352" s="110" t="s">
        <v>206</v>
      </c>
      <c r="BB2352" s="100">
        <v>0</v>
      </c>
      <c r="BC2352" s="105">
        <v>0</v>
      </c>
      <c r="BD2352" s="105">
        <v>0</v>
      </c>
      <c r="BE2352" s="111" t="s">
        <v>5643</v>
      </c>
      <c r="BF2352" s="111" t="s">
        <v>5644</v>
      </c>
      <c r="BG2352" s="100">
        <v>0</v>
      </c>
      <c r="BH2352" s="100">
        <v>0</v>
      </c>
      <c r="BI2352" s="100">
        <v>0</v>
      </c>
      <c r="BJ2352" s="100">
        <v>0</v>
      </c>
      <c r="BK2352" s="100">
        <v>0</v>
      </c>
      <c r="BL2352" s="100">
        <v>0</v>
      </c>
      <c r="BM2352" s="97">
        <v>0</v>
      </c>
      <c r="BN2352" s="99">
        <v>0</v>
      </c>
      <c r="BO2352" s="99">
        <v>0</v>
      </c>
      <c r="BP2352" s="99">
        <v>0</v>
      </c>
      <c r="BQ2352" s="99">
        <v>0</v>
      </c>
      <c r="BR2352" s="99">
        <v>0</v>
      </c>
      <c r="BS2352" s="99">
        <v>1</v>
      </c>
      <c r="BT2352" s="99">
        <v>0</v>
      </c>
      <c r="BU2352" s="23">
        <v>0</v>
      </c>
      <c r="BV2352" s="23"/>
      <c r="BW2352" s="23"/>
      <c r="BX2352" s="23"/>
      <c r="BY2352" s="23"/>
      <c r="BZ2352" s="23"/>
    </row>
    <row r="2353" spans="1:78" ht="19.5" customHeight="1">
      <c r="C2353" s="107">
        <v>77002014</v>
      </c>
      <c r="D2353" s="110" t="s">
        <v>5645</v>
      </c>
      <c r="E2353" s="110" t="s">
        <v>5646</v>
      </c>
      <c r="F2353" s="107">
        <v>1</v>
      </c>
      <c r="G2353" s="100">
        <v>0</v>
      </c>
      <c r="H2353" s="107">
        <v>0</v>
      </c>
      <c r="I2353" s="105">
        <v>0</v>
      </c>
      <c r="J2353" s="107">
        <v>1</v>
      </c>
      <c r="K2353" s="107">
        <v>0</v>
      </c>
      <c r="L2353" s="107">
        <v>0</v>
      </c>
      <c r="M2353" s="100">
        <v>0</v>
      </c>
      <c r="N2353" s="100">
        <v>0</v>
      </c>
      <c r="O2353" s="100">
        <v>2</v>
      </c>
      <c r="P2353" s="100">
        <v>1</v>
      </c>
      <c r="Q2353" s="100">
        <v>1</v>
      </c>
      <c r="R2353" s="100">
        <v>0</v>
      </c>
      <c r="S2353" s="99">
        <v>0</v>
      </c>
      <c r="T2353" s="100">
        <v>0</v>
      </c>
      <c r="U2353" s="100">
        <v>1</v>
      </c>
      <c r="V2353" s="100">
        <v>2</v>
      </c>
      <c r="W2353" s="100">
        <v>0</v>
      </c>
      <c r="X2353" s="100">
        <v>1.6</v>
      </c>
      <c r="Y2353" s="19">
        <v>0</v>
      </c>
      <c r="Z2353" s="100">
        <v>0</v>
      </c>
      <c r="AA2353" s="100">
        <v>0</v>
      </c>
      <c r="AB2353" s="100">
        <v>0</v>
      </c>
      <c r="AC2353" s="100">
        <v>0</v>
      </c>
      <c r="AD2353" s="100">
        <v>0</v>
      </c>
      <c r="AE2353" s="100">
        <v>1</v>
      </c>
      <c r="AF2353" s="100">
        <v>0</v>
      </c>
      <c r="AG2353" s="100">
        <v>1</v>
      </c>
      <c r="AH2353" s="100">
        <v>2</v>
      </c>
      <c r="AI2353" s="99">
        <v>0</v>
      </c>
      <c r="AJ2353" s="99">
        <v>2</v>
      </c>
      <c r="AK2353" s="99">
        <v>0</v>
      </c>
      <c r="AL2353" s="99">
        <v>2</v>
      </c>
      <c r="AM2353" s="100">
        <v>0</v>
      </c>
      <c r="AN2353" s="100">
        <v>0</v>
      </c>
      <c r="AO2353" s="100">
        <v>0</v>
      </c>
      <c r="AP2353" s="100">
        <v>0</v>
      </c>
      <c r="AQ2353" s="100">
        <v>5000</v>
      </c>
      <c r="AR2353" s="100">
        <v>0</v>
      </c>
      <c r="AS2353" s="100">
        <v>15</v>
      </c>
      <c r="AT2353" s="117">
        <v>0</v>
      </c>
      <c r="AU2353" s="339" t="s">
        <v>5647</v>
      </c>
      <c r="AV2353" s="118"/>
      <c r="AW2353" s="110" t="s">
        <v>293</v>
      </c>
      <c r="AX2353" s="100" t="s">
        <v>540</v>
      </c>
      <c r="AY2353" s="107">
        <v>10000007</v>
      </c>
      <c r="AZ2353" s="107">
        <v>77002008</v>
      </c>
      <c r="BA2353" s="110" t="s">
        <v>592</v>
      </c>
      <c r="BB2353" s="100" t="s">
        <v>2496</v>
      </c>
      <c r="BC2353" s="105">
        <v>0</v>
      </c>
      <c r="BD2353" s="105">
        <v>1</v>
      </c>
      <c r="BE2353" s="111" t="s">
        <v>5648</v>
      </c>
      <c r="BF2353" s="111" t="s">
        <v>5649</v>
      </c>
      <c r="BG2353" s="100">
        <v>0</v>
      </c>
      <c r="BH2353" s="100">
        <v>0</v>
      </c>
      <c r="BI2353" s="100">
        <v>0</v>
      </c>
      <c r="BJ2353" s="100">
        <v>0</v>
      </c>
      <c r="BK2353" s="100">
        <v>0</v>
      </c>
      <c r="BL2353" s="100">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77002015</v>
      </c>
      <c r="D2354" s="110" t="s">
        <v>5579</v>
      </c>
      <c r="E2354" s="110" t="s">
        <v>5580</v>
      </c>
      <c r="F2354" s="100">
        <v>1</v>
      </c>
      <c r="G2354" s="100">
        <v>0</v>
      </c>
      <c r="H2354" s="100">
        <v>0</v>
      </c>
      <c r="I2354" s="105">
        <v>0</v>
      </c>
      <c r="J2354" s="107">
        <v>1</v>
      </c>
      <c r="K2354" s="100">
        <v>0</v>
      </c>
      <c r="L2354" s="100">
        <v>0</v>
      </c>
      <c r="M2354" s="100">
        <v>0</v>
      </c>
      <c r="N2354" s="100">
        <v>0</v>
      </c>
      <c r="O2354" s="100">
        <v>2</v>
      </c>
      <c r="P2354" s="100">
        <v>1</v>
      </c>
      <c r="Q2354" s="100">
        <v>0.1</v>
      </c>
      <c r="R2354" s="100">
        <v>0</v>
      </c>
      <c r="S2354" s="99">
        <v>0</v>
      </c>
      <c r="T2354" s="100">
        <v>0</v>
      </c>
      <c r="U2354" s="100">
        <v>1</v>
      </c>
      <c r="V2354" s="100">
        <v>1</v>
      </c>
      <c r="W2354" s="100">
        <v>0</v>
      </c>
      <c r="X2354" s="100">
        <v>1.2</v>
      </c>
      <c r="Y2354" s="19">
        <v>0</v>
      </c>
      <c r="Z2354" s="100">
        <v>0</v>
      </c>
      <c r="AA2354" s="100">
        <v>1</v>
      </c>
      <c r="AB2354" s="100">
        <v>0</v>
      </c>
      <c r="AC2354" s="100">
        <v>0</v>
      </c>
      <c r="AD2354" s="100">
        <v>0</v>
      </c>
      <c r="AE2354" s="100">
        <v>1</v>
      </c>
      <c r="AF2354" s="100">
        <v>0</v>
      </c>
      <c r="AG2354" s="100">
        <v>1</v>
      </c>
      <c r="AH2354" s="100">
        <v>3</v>
      </c>
      <c r="AI2354" s="99">
        <v>0</v>
      </c>
      <c r="AJ2354" s="99">
        <v>1</v>
      </c>
      <c r="AK2354" s="99">
        <v>0</v>
      </c>
      <c r="AL2354" s="99">
        <v>2</v>
      </c>
      <c r="AM2354" s="100">
        <v>0</v>
      </c>
      <c r="AN2354" s="100">
        <v>0</v>
      </c>
      <c r="AO2354" s="100">
        <v>0</v>
      </c>
      <c r="AP2354" s="100">
        <v>0.5</v>
      </c>
      <c r="AQ2354" s="100">
        <v>600</v>
      </c>
      <c r="AR2354" s="100">
        <v>0.5</v>
      </c>
      <c r="AS2354" s="100">
        <v>0</v>
      </c>
      <c r="AT2354" s="99">
        <v>0</v>
      </c>
      <c r="AU2354" s="100">
        <v>97010001</v>
      </c>
      <c r="AV2354" s="100"/>
      <c r="AW2354" s="110" t="s">
        <v>204</v>
      </c>
      <c r="AX2354" s="100" t="s">
        <v>540</v>
      </c>
      <c r="AY2354" s="107">
        <v>10000001</v>
      </c>
      <c r="AZ2354" s="107">
        <v>77002009</v>
      </c>
      <c r="BA2354" s="110" t="s">
        <v>777</v>
      </c>
      <c r="BB2354" s="100">
        <v>0</v>
      </c>
      <c r="BC2354" s="105">
        <v>0</v>
      </c>
      <c r="BD2354" s="105">
        <v>0</v>
      </c>
      <c r="BE2354" s="136" t="s">
        <v>5650</v>
      </c>
      <c r="BF2354" s="136" t="s">
        <v>5651</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77002016</v>
      </c>
      <c r="D2355" s="110" t="s">
        <v>5652</v>
      </c>
      <c r="E2355" s="110" t="s">
        <v>5653</v>
      </c>
      <c r="F2355" s="107">
        <v>1</v>
      </c>
      <c r="G2355" s="100">
        <v>0</v>
      </c>
      <c r="H2355" s="107">
        <v>0</v>
      </c>
      <c r="I2355" s="105">
        <v>0</v>
      </c>
      <c r="J2355" s="107">
        <v>1</v>
      </c>
      <c r="K2355" s="107">
        <v>0</v>
      </c>
      <c r="L2355" s="107">
        <v>0</v>
      </c>
      <c r="M2355" s="100">
        <v>0</v>
      </c>
      <c r="N2355" s="100">
        <v>0</v>
      </c>
      <c r="O2355" s="100">
        <v>2</v>
      </c>
      <c r="P2355" s="100">
        <v>16</v>
      </c>
      <c r="Q2355" s="100">
        <v>8</v>
      </c>
      <c r="R2355" s="100">
        <v>0</v>
      </c>
      <c r="S2355" s="99">
        <v>0</v>
      </c>
      <c r="T2355" s="100">
        <v>0</v>
      </c>
      <c r="U2355" s="100">
        <v>1</v>
      </c>
      <c r="V2355" s="100">
        <v>2</v>
      </c>
      <c r="W2355" s="100">
        <v>0</v>
      </c>
      <c r="X2355" s="100">
        <v>1</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0.5</v>
      </c>
      <c r="AQ2355" s="100">
        <v>5000</v>
      </c>
      <c r="AR2355" s="100">
        <v>0.5</v>
      </c>
      <c r="AS2355" s="100">
        <v>15</v>
      </c>
      <c r="AT2355" s="117">
        <v>0</v>
      </c>
      <c r="AU2355" s="339" t="s">
        <v>5654</v>
      </c>
      <c r="AV2355" s="118"/>
      <c r="AW2355" s="110" t="s">
        <v>293</v>
      </c>
      <c r="AX2355" s="100" t="s">
        <v>540</v>
      </c>
      <c r="AY2355" s="107">
        <v>10000007</v>
      </c>
      <c r="AZ2355" s="107">
        <v>77002008</v>
      </c>
      <c r="BA2355" s="110" t="s">
        <v>592</v>
      </c>
      <c r="BB2355" s="100" t="s">
        <v>2496</v>
      </c>
      <c r="BC2355" s="105">
        <v>0</v>
      </c>
      <c r="BD2355" s="105">
        <v>1</v>
      </c>
      <c r="BE2355" s="111" t="s">
        <v>5655</v>
      </c>
      <c r="BF2355" s="111" t="s">
        <v>5656</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77002017</v>
      </c>
      <c r="D2356" s="110" t="s">
        <v>5579</v>
      </c>
      <c r="E2356" s="110" t="s">
        <v>5580</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97010002</v>
      </c>
      <c r="AV2356" s="100"/>
      <c r="AW2356" s="110" t="s">
        <v>204</v>
      </c>
      <c r="AX2356" s="100" t="s">
        <v>540</v>
      </c>
      <c r="AY2356" s="107">
        <v>10000001</v>
      </c>
      <c r="AZ2356" s="107">
        <v>77002009</v>
      </c>
      <c r="BA2356" s="110" t="s">
        <v>777</v>
      </c>
      <c r="BB2356" s="100">
        <v>0</v>
      </c>
      <c r="BC2356" s="105">
        <v>0</v>
      </c>
      <c r="BD2356" s="105">
        <v>0</v>
      </c>
      <c r="BE2356" s="136" t="s">
        <v>5650</v>
      </c>
      <c r="BF2356" s="136" t="s">
        <v>5651</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20.100000000000001" customHeight="1">
      <c r="A2357" s="140"/>
      <c r="B2357" s="140"/>
      <c r="C2357" s="107">
        <v>77002018</v>
      </c>
      <c r="D2357" s="110" t="s">
        <v>5657</v>
      </c>
      <c r="E2357" s="304" t="s">
        <v>5658</v>
      </c>
      <c r="F2357" s="97">
        <v>1</v>
      </c>
      <c r="G2357" s="97">
        <v>0</v>
      </c>
      <c r="H2357" s="100">
        <v>0</v>
      </c>
      <c r="I2357" s="105">
        <v>0</v>
      </c>
      <c r="J2357" s="107">
        <v>1</v>
      </c>
      <c r="K2357" s="107">
        <v>0</v>
      </c>
      <c r="L2357" s="107">
        <v>0</v>
      </c>
      <c r="M2357" s="100">
        <v>0</v>
      </c>
      <c r="N2357" s="100">
        <v>0</v>
      </c>
      <c r="O2357" s="100">
        <v>2</v>
      </c>
      <c r="P2357" s="100">
        <v>2</v>
      </c>
      <c r="Q2357" s="100">
        <v>0.4</v>
      </c>
      <c r="R2357" s="100">
        <v>0</v>
      </c>
      <c r="S2357" s="99">
        <v>0</v>
      </c>
      <c r="T2357" s="100">
        <v>0</v>
      </c>
      <c r="U2357" s="100">
        <v>1</v>
      </c>
      <c r="V2357" s="97">
        <v>1</v>
      </c>
      <c r="W2357" s="100">
        <v>0</v>
      </c>
      <c r="X2357" s="100">
        <v>2</v>
      </c>
      <c r="Y2357" s="19">
        <v>0</v>
      </c>
      <c r="Z2357" s="100">
        <v>0</v>
      </c>
      <c r="AA2357" s="100">
        <v>1</v>
      </c>
      <c r="AB2357" s="100">
        <v>0</v>
      </c>
      <c r="AC2357" s="100">
        <v>0</v>
      </c>
      <c r="AD2357" s="100">
        <v>0</v>
      </c>
      <c r="AE2357" s="100">
        <v>1</v>
      </c>
      <c r="AF2357" s="100">
        <v>20</v>
      </c>
      <c r="AG2357" s="100">
        <v>1</v>
      </c>
      <c r="AH2357" s="100">
        <v>6</v>
      </c>
      <c r="AI2357" s="99">
        <v>0</v>
      </c>
      <c r="AJ2357" s="99">
        <v>1</v>
      </c>
      <c r="AK2357" s="99">
        <v>0</v>
      </c>
      <c r="AL2357" s="99">
        <v>3</v>
      </c>
      <c r="AM2357" s="100">
        <v>0</v>
      </c>
      <c r="AN2357" s="100">
        <v>1</v>
      </c>
      <c r="AO2357" s="100">
        <v>0</v>
      </c>
      <c r="AP2357" s="100">
        <v>1</v>
      </c>
      <c r="AQ2357" s="100">
        <v>1100</v>
      </c>
      <c r="AR2357" s="100">
        <v>1</v>
      </c>
      <c r="AS2357" s="100">
        <v>0</v>
      </c>
      <c r="AT2357" s="99">
        <v>0</v>
      </c>
      <c r="AU2357" s="339" t="s">
        <v>5597</v>
      </c>
      <c r="AV2357" s="118"/>
      <c r="AW2357" s="110" t="s">
        <v>262</v>
      </c>
      <c r="AX2357" s="100" t="s">
        <v>221</v>
      </c>
      <c r="AY2357" s="107">
        <v>10000011</v>
      </c>
      <c r="AZ2357" s="337" t="s">
        <v>5612</v>
      </c>
      <c r="BA2357" s="104" t="s">
        <v>206</v>
      </c>
      <c r="BB2357" s="100">
        <v>0</v>
      </c>
      <c r="BC2357" s="105">
        <v>0</v>
      </c>
      <c r="BD2357" s="105">
        <v>0</v>
      </c>
      <c r="BE2357" s="111" t="s">
        <v>5659</v>
      </c>
      <c r="BF2357" s="111" t="s">
        <v>5660</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77002019</v>
      </c>
      <c r="BU2357" s="23">
        <v>0</v>
      </c>
      <c r="BV2357" s="23"/>
      <c r="BW2357" s="23"/>
      <c r="BX2357" s="23"/>
      <c r="BY2357" s="23"/>
      <c r="BZ2357" s="23"/>
    </row>
    <row r="2358" spans="1:78" ht="19.5" customHeight="1">
      <c r="A2358" s="140"/>
      <c r="B2358" s="140"/>
      <c r="C2358" s="107">
        <v>77002019</v>
      </c>
      <c r="D2358" s="110" t="s">
        <v>2494</v>
      </c>
      <c r="E2358" s="110" t="s">
        <v>2495</v>
      </c>
      <c r="F2358" s="107">
        <v>1</v>
      </c>
      <c r="G2358" s="100">
        <v>0</v>
      </c>
      <c r="H2358" s="107">
        <v>0</v>
      </c>
      <c r="I2358" s="105">
        <v>0</v>
      </c>
      <c r="J2358" s="107">
        <v>1</v>
      </c>
      <c r="K2358" s="107">
        <v>0</v>
      </c>
      <c r="L2358" s="107">
        <v>0</v>
      </c>
      <c r="M2358" s="100">
        <v>0</v>
      </c>
      <c r="N2358" s="100">
        <v>0</v>
      </c>
      <c r="O2358" s="100">
        <v>2</v>
      </c>
      <c r="P2358" s="100">
        <v>16</v>
      </c>
      <c r="Q2358" s="100">
        <v>5</v>
      </c>
      <c r="R2358" s="100">
        <v>0</v>
      </c>
      <c r="S2358" s="99">
        <v>0</v>
      </c>
      <c r="T2358" s="100">
        <v>0</v>
      </c>
      <c r="U2358" s="100">
        <v>1</v>
      </c>
      <c r="V2358" s="100">
        <v>2</v>
      </c>
      <c r="W2358" s="100">
        <v>0</v>
      </c>
      <c r="X2358" s="100">
        <v>1</v>
      </c>
      <c r="Y2358" s="19">
        <v>0</v>
      </c>
      <c r="Z2358" s="100">
        <v>0</v>
      </c>
      <c r="AA2358" s="100">
        <v>0</v>
      </c>
      <c r="AB2358" s="100">
        <v>0</v>
      </c>
      <c r="AC2358" s="100">
        <v>0</v>
      </c>
      <c r="AD2358" s="100">
        <v>0</v>
      </c>
      <c r="AE2358" s="100">
        <v>1</v>
      </c>
      <c r="AF2358" s="100">
        <v>0</v>
      </c>
      <c r="AG2358" s="100">
        <v>1</v>
      </c>
      <c r="AH2358" s="100">
        <v>2</v>
      </c>
      <c r="AI2358" s="99">
        <v>0</v>
      </c>
      <c r="AJ2358" s="99">
        <v>2</v>
      </c>
      <c r="AK2358" s="99">
        <v>0</v>
      </c>
      <c r="AL2358" s="99">
        <v>2</v>
      </c>
      <c r="AM2358" s="100">
        <v>0</v>
      </c>
      <c r="AN2358" s="100">
        <v>0</v>
      </c>
      <c r="AO2358" s="100">
        <v>0</v>
      </c>
      <c r="AP2358" s="100">
        <v>0.3</v>
      </c>
      <c r="AQ2358" s="100">
        <v>5000</v>
      </c>
      <c r="AR2358" s="100">
        <v>0.3</v>
      </c>
      <c r="AS2358" s="100">
        <v>15</v>
      </c>
      <c r="AT2358" s="338" t="s">
        <v>5661</v>
      </c>
      <c r="AU2358" s="339" t="s">
        <v>5638</v>
      </c>
      <c r="AV2358" s="118"/>
      <c r="AW2358" s="110" t="s">
        <v>262</v>
      </c>
      <c r="AX2358" s="100" t="s">
        <v>540</v>
      </c>
      <c r="AY2358" s="107">
        <v>10000007</v>
      </c>
      <c r="AZ2358" s="107">
        <v>77002008</v>
      </c>
      <c r="BA2358" s="110" t="s">
        <v>592</v>
      </c>
      <c r="BB2358" s="100" t="s">
        <v>2496</v>
      </c>
      <c r="BC2358" s="105">
        <v>0</v>
      </c>
      <c r="BD2358" s="105">
        <v>1</v>
      </c>
      <c r="BE2358" s="111" t="s">
        <v>1312</v>
      </c>
      <c r="BF2358" s="111" t="s">
        <v>1313</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0</v>
      </c>
      <c r="BU2358" s="23">
        <v>0</v>
      </c>
      <c r="BV2358" s="23"/>
      <c r="BW2358" s="23"/>
      <c r="BX2358" s="23"/>
      <c r="BY2358" s="23"/>
      <c r="BZ2358" s="23"/>
    </row>
    <row r="2359" spans="1:78" ht="19.5" customHeight="1">
      <c r="A2359" s="140"/>
      <c r="B2359" s="140"/>
      <c r="C2359" s="107">
        <v>77002020</v>
      </c>
      <c r="D2359" s="110" t="s">
        <v>5579</v>
      </c>
      <c r="E2359" s="110" t="s">
        <v>5580</v>
      </c>
      <c r="F2359" s="100">
        <v>1</v>
      </c>
      <c r="G2359" s="100">
        <v>0</v>
      </c>
      <c r="H2359" s="100">
        <v>0</v>
      </c>
      <c r="I2359" s="105">
        <v>0</v>
      </c>
      <c r="J2359" s="107">
        <v>1</v>
      </c>
      <c r="K2359" s="100">
        <v>0</v>
      </c>
      <c r="L2359" s="100">
        <v>0</v>
      </c>
      <c r="M2359" s="100">
        <v>0</v>
      </c>
      <c r="N2359" s="100">
        <v>0</v>
      </c>
      <c r="O2359" s="100">
        <v>2</v>
      </c>
      <c r="P2359" s="100">
        <v>1</v>
      </c>
      <c r="Q2359" s="100">
        <v>0.1</v>
      </c>
      <c r="R2359" s="100">
        <v>0</v>
      </c>
      <c r="S2359" s="99">
        <v>0</v>
      </c>
      <c r="T2359" s="100">
        <v>0</v>
      </c>
      <c r="U2359" s="100">
        <v>1</v>
      </c>
      <c r="V2359" s="100">
        <v>1</v>
      </c>
      <c r="W2359" s="100">
        <v>0</v>
      </c>
      <c r="X2359" s="100">
        <v>0.8</v>
      </c>
      <c r="Y2359" s="19">
        <v>0</v>
      </c>
      <c r="Z2359" s="100">
        <v>0</v>
      </c>
      <c r="AA2359" s="100">
        <v>1</v>
      </c>
      <c r="AB2359" s="100">
        <v>0</v>
      </c>
      <c r="AC2359" s="100">
        <v>0</v>
      </c>
      <c r="AD2359" s="100">
        <v>0</v>
      </c>
      <c r="AE2359" s="100">
        <v>1</v>
      </c>
      <c r="AF2359" s="100">
        <v>0</v>
      </c>
      <c r="AG2359" s="100">
        <v>1</v>
      </c>
      <c r="AH2359" s="100">
        <v>3</v>
      </c>
      <c r="AI2359" s="99">
        <v>0</v>
      </c>
      <c r="AJ2359" s="99">
        <v>1</v>
      </c>
      <c r="AK2359" s="99">
        <v>0</v>
      </c>
      <c r="AL2359" s="99">
        <v>2</v>
      </c>
      <c r="AM2359" s="100">
        <v>0</v>
      </c>
      <c r="AN2359" s="100">
        <v>0</v>
      </c>
      <c r="AO2359" s="100">
        <v>0</v>
      </c>
      <c r="AP2359" s="100">
        <v>0.5</v>
      </c>
      <c r="AQ2359" s="100">
        <v>600</v>
      </c>
      <c r="AR2359" s="100">
        <v>0.5</v>
      </c>
      <c r="AS2359" s="100">
        <v>0</v>
      </c>
      <c r="AT2359" s="99">
        <v>0</v>
      </c>
      <c r="AU2359" s="339" t="s">
        <v>5597</v>
      </c>
      <c r="AV2359" s="118"/>
      <c r="AW2359" s="110" t="s">
        <v>204</v>
      </c>
      <c r="AX2359" s="100" t="s">
        <v>540</v>
      </c>
      <c r="AY2359" s="107">
        <v>10000001</v>
      </c>
      <c r="AZ2359" s="107">
        <v>77002009</v>
      </c>
      <c r="BA2359" s="110" t="s">
        <v>777</v>
      </c>
      <c r="BB2359" s="100">
        <v>0</v>
      </c>
      <c r="BC2359" s="105">
        <v>0</v>
      </c>
      <c r="BD2359" s="105">
        <v>0</v>
      </c>
      <c r="BE2359" s="136" t="s">
        <v>5581</v>
      </c>
      <c r="BF2359" s="136" t="s">
        <v>5582</v>
      </c>
      <c r="BG2359" s="100">
        <v>0</v>
      </c>
      <c r="BH2359" s="100">
        <v>0</v>
      </c>
      <c r="BI2359" s="100">
        <v>0</v>
      </c>
      <c r="BJ2359" s="100">
        <v>0</v>
      </c>
      <c r="BK2359" s="100">
        <v>0</v>
      </c>
      <c r="BL2359" s="100">
        <v>0</v>
      </c>
      <c r="BM2359" s="97">
        <v>0</v>
      </c>
      <c r="BN2359" s="99">
        <v>0</v>
      </c>
      <c r="BO2359" s="99">
        <v>0</v>
      </c>
      <c r="BP2359" s="99">
        <v>0</v>
      </c>
      <c r="BQ2359" s="99">
        <v>0</v>
      </c>
      <c r="BR2359" s="99">
        <v>0</v>
      </c>
      <c r="BS2359" s="99">
        <v>1</v>
      </c>
      <c r="BT2359" s="99">
        <v>77002021</v>
      </c>
      <c r="BU2359" s="23">
        <v>0</v>
      </c>
      <c r="BV2359" s="23"/>
      <c r="BW2359" s="23"/>
      <c r="BX2359" s="23"/>
      <c r="BY2359" s="23"/>
      <c r="BZ2359" s="23"/>
    </row>
    <row r="2360" spans="1:78" ht="19.5" customHeight="1">
      <c r="A2360" s="140"/>
      <c r="B2360" s="140"/>
      <c r="C2360" s="107">
        <v>77002021</v>
      </c>
      <c r="D2360" s="110" t="s">
        <v>5662</v>
      </c>
      <c r="E2360" s="110" t="s">
        <v>5663</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2</v>
      </c>
      <c r="AQ2360" s="100">
        <v>5000</v>
      </c>
      <c r="AR2360" s="100">
        <v>0</v>
      </c>
      <c r="AS2360" s="100">
        <v>10</v>
      </c>
      <c r="AT2360" s="117">
        <v>0</v>
      </c>
      <c r="AU2360" s="339" t="s">
        <v>5664</v>
      </c>
      <c r="AV2360" s="118"/>
      <c r="AW2360" s="110" t="s">
        <v>262</v>
      </c>
      <c r="AX2360" s="100" t="s">
        <v>540</v>
      </c>
      <c r="AY2360" s="107">
        <v>10000007</v>
      </c>
      <c r="AZ2360" s="107">
        <v>77002008</v>
      </c>
      <c r="BA2360" s="110" t="s">
        <v>592</v>
      </c>
      <c r="BB2360" s="100" t="s">
        <v>5665</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77002022</v>
      </c>
      <c r="D2361" s="110" t="s">
        <v>5579</v>
      </c>
      <c r="E2361" s="110" t="s">
        <v>5580</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1.2</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39" t="s">
        <v>5638</v>
      </c>
      <c r="AV2361" s="118"/>
      <c r="AW2361" s="110" t="s">
        <v>204</v>
      </c>
      <c r="AX2361" s="100" t="s">
        <v>540</v>
      </c>
      <c r="AY2361" s="107">
        <v>10000001</v>
      </c>
      <c r="AZ2361" s="107">
        <v>77002009</v>
      </c>
      <c r="BA2361" s="110" t="s">
        <v>777</v>
      </c>
      <c r="BB2361" s="100">
        <v>0</v>
      </c>
      <c r="BC2361" s="105">
        <v>0</v>
      </c>
      <c r="BD2361" s="105">
        <v>0</v>
      </c>
      <c r="BE2361" s="136" t="s">
        <v>5581</v>
      </c>
      <c r="BF2361" s="136" t="s">
        <v>5582</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77002019</v>
      </c>
      <c r="BU2361" s="23">
        <v>0</v>
      </c>
      <c r="BV2361" s="23"/>
      <c r="BW2361" s="23"/>
      <c r="BX2361" s="23"/>
      <c r="BY2361" s="23"/>
      <c r="BZ2361" s="23"/>
    </row>
    <row r="2362" spans="1:78" ht="19.5" customHeight="1">
      <c r="A2362" s="140"/>
      <c r="B2362" s="140"/>
      <c r="C2362" s="74">
        <v>77005001</v>
      </c>
      <c r="D2362" s="71" t="s">
        <v>5666</v>
      </c>
      <c r="E2362" s="71" t="s">
        <v>5667</v>
      </c>
      <c r="F2362" s="72">
        <v>1</v>
      </c>
      <c r="G2362" s="72">
        <v>63021101</v>
      </c>
      <c r="H2362" s="72">
        <v>0</v>
      </c>
      <c r="I2362" s="75">
        <v>0</v>
      </c>
      <c r="J2362" s="74">
        <v>1</v>
      </c>
      <c r="K2362" s="72">
        <v>0</v>
      </c>
      <c r="L2362" s="72">
        <v>0</v>
      </c>
      <c r="M2362" s="72">
        <v>0</v>
      </c>
      <c r="N2362" s="72">
        <v>0</v>
      </c>
      <c r="O2362" s="72">
        <v>1</v>
      </c>
      <c r="P2362" s="72">
        <v>0</v>
      </c>
      <c r="Q2362" s="72">
        <v>0</v>
      </c>
      <c r="R2362" s="72">
        <v>0</v>
      </c>
      <c r="S2362" s="73">
        <v>0</v>
      </c>
      <c r="T2362" s="72">
        <v>0</v>
      </c>
      <c r="U2362" s="72">
        <v>1</v>
      </c>
      <c r="V2362" s="72">
        <v>1</v>
      </c>
      <c r="W2362" s="72">
        <v>0</v>
      </c>
      <c r="X2362" s="72">
        <v>1.5</v>
      </c>
      <c r="Y2362" s="19">
        <v>0</v>
      </c>
      <c r="Z2362" s="72">
        <v>0</v>
      </c>
      <c r="AA2362" s="72">
        <v>0</v>
      </c>
      <c r="AB2362" s="72">
        <v>0</v>
      </c>
      <c r="AC2362" s="72">
        <v>0</v>
      </c>
      <c r="AD2362" s="72">
        <v>0</v>
      </c>
      <c r="AE2362" s="72">
        <v>0</v>
      </c>
      <c r="AF2362" s="72">
        <v>6</v>
      </c>
      <c r="AG2362" s="72">
        <v>3</v>
      </c>
      <c r="AH2362" s="93">
        <v>4120</v>
      </c>
      <c r="AI2362" s="73">
        <v>2</v>
      </c>
      <c r="AJ2362" s="73">
        <v>3</v>
      </c>
      <c r="AK2362" s="73">
        <v>0</v>
      </c>
      <c r="AL2362" s="73">
        <v>1.5</v>
      </c>
      <c r="AM2362" s="72">
        <v>0</v>
      </c>
      <c r="AN2362" s="72">
        <v>0</v>
      </c>
      <c r="AO2362" s="72">
        <v>0</v>
      </c>
      <c r="AP2362" s="72">
        <v>0.2</v>
      </c>
      <c r="AQ2362" s="72">
        <v>1000</v>
      </c>
      <c r="AR2362" s="72">
        <v>0.2</v>
      </c>
      <c r="AS2362" s="72">
        <v>0</v>
      </c>
      <c r="AT2362" s="73">
        <v>0</v>
      </c>
      <c r="AU2362" s="356" t="s">
        <v>5668</v>
      </c>
      <c r="AV2362" s="72"/>
      <c r="AW2362" s="71" t="s">
        <v>204</v>
      </c>
      <c r="AX2362" s="72" t="s">
        <v>540</v>
      </c>
      <c r="AY2362" s="74">
        <v>10000001</v>
      </c>
      <c r="AZ2362" s="74">
        <v>77005001</v>
      </c>
      <c r="BA2362" s="71" t="s">
        <v>206</v>
      </c>
      <c r="BB2362" s="72">
        <v>0</v>
      </c>
      <c r="BC2362" s="73">
        <v>0</v>
      </c>
      <c r="BD2362" s="73">
        <v>0</v>
      </c>
      <c r="BE2362" s="114" t="s">
        <v>5669</v>
      </c>
      <c r="BF2362" s="114" t="s">
        <v>5670</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23">
        <v>0</v>
      </c>
      <c r="BV2362" s="23"/>
      <c r="BW2362" s="23"/>
      <c r="BX2362" s="23"/>
      <c r="BY2362" s="23"/>
      <c r="BZ2362" s="23"/>
    </row>
    <row r="2363" spans="1:78" ht="19.5" customHeight="1">
      <c r="A2363" s="140"/>
      <c r="B2363" s="140"/>
      <c r="C2363" s="74">
        <v>77005002</v>
      </c>
      <c r="D2363" s="71" t="s">
        <v>2359</v>
      </c>
      <c r="E2363" s="160" t="s">
        <v>2360</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1.7</v>
      </c>
      <c r="Y2363" s="19">
        <v>0</v>
      </c>
      <c r="Z2363" s="72">
        <v>0</v>
      </c>
      <c r="AA2363" s="72">
        <v>0</v>
      </c>
      <c r="AB2363" s="72">
        <v>0</v>
      </c>
      <c r="AC2363" s="72">
        <v>0</v>
      </c>
      <c r="AD2363" s="72">
        <v>0</v>
      </c>
      <c r="AE2363" s="72">
        <v>0</v>
      </c>
      <c r="AF2363" s="72">
        <v>9</v>
      </c>
      <c r="AG2363" s="72">
        <v>1</v>
      </c>
      <c r="AH2363" s="72">
        <v>5</v>
      </c>
      <c r="AI2363" s="73">
        <v>0</v>
      </c>
      <c r="AJ2363" s="73">
        <v>3</v>
      </c>
      <c r="AK2363" s="73">
        <v>0</v>
      </c>
      <c r="AL2363" s="73">
        <v>1.7</v>
      </c>
      <c r="AM2363" s="72">
        <v>0</v>
      </c>
      <c r="AN2363" s="72">
        <v>0</v>
      </c>
      <c r="AO2363" s="72">
        <v>0</v>
      </c>
      <c r="AP2363" s="72">
        <v>0</v>
      </c>
      <c r="AQ2363" s="72">
        <v>1000</v>
      </c>
      <c r="AR2363" s="72">
        <v>0.2</v>
      </c>
      <c r="AS2363" s="72">
        <v>0</v>
      </c>
      <c r="AT2363" s="73">
        <v>0</v>
      </c>
      <c r="AU2363" s="334" t="s">
        <v>5671</v>
      </c>
      <c r="AV2363" s="93"/>
      <c r="AW2363" s="88" t="s">
        <v>204</v>
      </c>
      <c r="AX2363" s="72" t="s">
        <v>551</v>
      </c>
      <c r="AY2363" s="74">
        <v>10000001</v>
      </c>
      <c r="AZ2363" s="74">
        <v>77005002</v>
      </c>
      <c r="BA2363" s="71" t="s">
        <v>206</v>
      </c>
      <c r="BB2363" s="72">
        <v>0</v>
      </c>
      <c r="BC2363" s="75">
        <v>0</v>
      </c>
      <c r="BD2363" s="75">
        <v>0</v>
      </c>
      <c r="BE2363" s="76" t="s">
        <v>2361</v>
      </c>
      <c r="BF2363" s="76" t="s">
        <v>2362</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374" t="s">
        <v>5672</v>
      </c>
      <c r="BV2363" s="23"/>
      <c r="BW2363" s="23"/>
      <c r="BX2363" s="23"/>
      <c r="BY2363" s="23"/>
      <c r="BZ2363" s="23"/>
    </row>
    <row r="2364" spans="1:78" ht="19.5" customHeight="1">
      <c r="A2364" s="140"/>
      <c r="B2364" s="140"/>
      <c r="C2364" s="74">
        <v>77005003</v>
      </c>
      <c r="D2364" s="71" t="s">
        <v>5673</v>
      </c>
      <c r="E2364" s="160" t="s">
        <v>5674</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0</v>
      </c>
      <c r="Y2364" s="19">
        <v>0</v>
      </c>
      <c r="Z2364" s="72">
        <v>0</v>
      </c>
      <c r="AA2364" s="72">
        <v>0</v>
      </c>
      <c r="AB2364" s="72">
        <v>0</v>
      </c>
      <c r="AC2364" s="72">
        <v>0</v>
      </c>
      <c r="AD2364" s="72">
        <v>0</v>
      </c>
      <c r="AE2364" s="72">
        <v>0</v>
      </c>
      <c r="AF2364" s="72">
        <v>24</v>
      </c>
      <c r="AG2364" s="72">
        <v>0</v>
      </c>
      <c r="AH2364" s="72">
        <v>0</v>
      </c>
      <c r="AI2364" s="73">
        <v>0</v>
      </c>
      <c r="AJ2364" s="73">
        <v>0</v>
      </c>
      <c r="AK2364" s="73">
        <v>0</v>
      </c>
      <c r="AL2364" s="73">
        <v>1.5</v>
      </c>
      <c r="AM2364" s="72">
        <v>0</v>
      </c>
      <c r="AN2364" s="72">
        <v>0</v>
      </c>
      <c r="AO2364" s="72">
        <v>0</v>
      </c>
      <c r="AP2364" s="74">
        <v>0.2</v>
      </c>
      <c r="AQ2364" s="72">
        <v>3000</v>
      </c>
      <c r="AR2364" s="72">
        <v>0.2</v>
      </c>
      <c r="AS2364" s="72">
        <v>0</v>
      </c>
      <c r="AT2364" s="73">
        <v>0</v>
      </c>
      <c r="AU2364" s="72" t="s">
        <v>204</v>
      </c>
      <c r="AV2364" s="72"/>
      <c r="AW2364" s="71" t="s">
        <v>204</v>
      </c>
      <c r="AX2364" s="72" t="s">
        <v>551</v>
      </c>
      <c r="AY2364" s="74">
        <v>0</v>
      </c>
      <c r="AZ2364" s="74">
        <v>0</v>
      </c>
      <c r="BA2364" s="71" t="s">
        <v>1180</v>
      </c>
      <c r="BB2364" s="356" t="s">
        <v>5675</v>
      </c>
      <c r="BC2364" s="75">
        <v>0</v>
      </c>
      <c r="BD2364" s="75">
        <v>0</v>
      </c>
      <c r="BE2364" s="76" t="s">
        <v>5676</v>
      </c>
      <c r="BF2364" s="76" t="s">
        <v>5677</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20.100000000000001" customHeight="1">
      <c r="A2365" s="140"/>
      <c r="B2365" s="140"/>
      <c r="C2365" s="74">
        <v>77005004</v>
      </c>
      <c r="D2365" s="71" t="s">
        <v>2359</v>
      </c>
      <c r="E2365" s="160" t="s">
        <v>2360</v>
      </c>
      <c r="F2365" s="90">
        <v>1</v>
      </c>
      <c r="G2365" s="72">
        <v>63021101</v>
      </c>
      <c r="H2365" s="74">
        <v>0</v>
      </c>
      <c r="I2365" s="75">
        <v>0</v>
      </c>
      <c r="J2365" s="74">
        <v>1</v>
      </c>
      <c r="K2365" s="72">
        <v>0</v>
      </c>
      <c r="L2365" s="74">
        <v>0</v>
      </c>
      <c r="M2365" s="72">
        <v>0</v>
      </c>
      <c r="N2365" s="72">
        <v>0</v>
      </c>
      <c r="O2365" s="72">
        <v>2</v>
      </c>
      <c r="P2365" s="72">
        <v>1</v>
      </c>
      <c r="Q2365" s="72">
        <v>0.2</v>
      </c>
      <c r="R2365" s="72">
        <v>0</v>
      </c>
      <c r="S2365" s="73">
        <v>0</v>
      </c>
      <c r="T2365" s="72">
        <v>0</v>
      </c>
      <c r="U2365" s="72">
        <v>1</v>
      </c>
      <c r="V2365" s="72">
        <v>1</v>
      </c>
      <c r="W2365" s="72">
        <v>0</v>
      </c>
      <c r="X2365" s="72">
        <v>2</v>
      </c>
      <c r="Y2365" s="19">
        <v>0</v>
      </c>
      <c r="Z2365" s="72">
        <v>0</v>
      </c>
      <c r="AA2365" s="72">
        <v>0</v>
      </c>
      <c r="AB2365" s="72">
        <v>0</v>
      </c>
      <c r="AC2365" s="72">
        <v>0</v>
      </c>
      <c r="AD2365" s="72">
        <v>0</v>
      </c>
      <c r="AE2365" s="72">
        <v>0</v>
      </c>
      <c r="AF2365" s="72">
        <v>0</v>
      </c>
      <c r="AG2365" s="72">
        <v>1</v>
      </c>
      <c r="AH2365" s="72">
        <v>5</v>
      </c>
      <c r="AI2365" s="73">
        <v>0</v>
      </c>
      <c r="AJ2365" s="73">
        <v>1</v>
      </c>
      <c r="AK2365" s="73">
        <v>0</v>
      </c>
      <c r="AL2365" s="73">
        <v>2</v>
      </c>
      <c r="AM2365" s="72">
        <v>0</v>
      </c>
      <c r="AN2365" s="72">
        <v>0</v>
      </c>
      <c r="AO2365" s="72">
        <v>0</v>
      </c>
      <c r="AP2365" s="72">
        <v>0</v>
      </c>
      <c r="AQ2365" s="72">
        <v>1000</v>
      </c>
      <c r="AR2365" s="72">
        <v>0.2</v>
      </c>
      <c r="AS2365" s="72">
        <v>0</v>
      </c>
      <c r="AT2365" s="73">
        <v>0</v>
      </c>
      <c r="AU2365" s="334" t="s">
        <v>5671</v>
      </c>
      <c r="AV2365" s="93"/>
      <c r="AW2365" s="88" t="s">
        <v>204</v>
      </c>
      <c r="AX2365" s="72" t="s">
        <v>551</v>
      </c>
      <c r="AY2365" s="74">
        <v>10000001</v>
      </c>
      <c r="AZ2365" s="74">
        <v>77005002</v>
      </c>
      <c r="BA2365" s="71" t="s">
        <v>206</v>
      </c>
      <c r="BB2365" s="72">
        <v>0</v>
      </c>
      <c r="BC2365" s="75">
        <v>0</v>
      </c>
      <c r="BD2365" s="75">
        <v>0</v>
      </c>
      <c r="BE2365" s="76" t="s">
        <v>2361</v>
      </c>
      <c r="BF2365" s="76" t="s">
        <v>2362</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s="1" customFormat="1" ht="20.100000000000001" customHeight="1">
      <c r="C2366" s="74">
        <v>77005005</v>
      </c>
      <c r="D2366" s="71" t="s">
        <v>766</v>
      </c>
      <c r="E2366" s="160" t="s">
        <v>767</v>
      </c>
      <c r="F2366" s="90">
        <v>1</v>
      </c>
      <c r="G2366" s="90">
        <v>0</v>
      </c>
      <c r="H2366" s="72">
        <v>0</v>
      </c>
      <c r="I2366" s="75">
        <v>0</v>
      </c>
      <c r="J2366" s="74">
        <v>1</v>
      </c>
      <c r="K2366" s="74">
        <v>0</v>
      </c>
      <c r="L2366" s="74">
        <v>0</v>
      </c>
      <c r="M2366" s="72">
        <v>0</v>
      </c>
      <c r="N2366" s="72">
        <v>0</v>
      </c>
      <c r="O2366" s="72">
        <v>2</v>
      </c>
      <c r="P2366" s="72">
        <v>16</v>
      </c>
      <c r="Q2366" s="72">
        <v>8</v>
      </c>
      <c r="R2366" s="72">
        <v>0</v>
      </c>
      <c r="S2366" s="73">
        <v>0</v>
      </c>
      <c r="T2366" s="72">
        <v>0</v>
      </c>
      <c r="U2366" s="72">
        <v>1</v>
      </c>
      <c r="V2366" s="90">
        <v>1</v>
      </c>
      <c r="W2366" s="72">
        <v>0</v>
      </c>
      <c r="X2366" s="72">
        <v>0</v>
      </c>
      <c r="Y2366" s="19">
        <v>0</v>
      </c>
      <c r="Z2366" s="72">
        <v>0</v>
      </c>
      <c r="AA2366" s="72">
        <v>1</v>
      </c>
      <c r="AB2366" s="72">
        <v>0</v>
      </c>
      <c r="AC2366" s="72">
        <v>0</v>
      </c>
      <c r="AD2366" s="72">
        <v>0</v>
      </c>
      <c r="AE2366" s="72">
        <v>1</v>
      </c>
      <c r="AF2366" s="72">
        <v>12</v>
      </c>
      <c r="AG2366" s="72">
        <v>2</v>
      </c>
      <c r="AH2366" s="72" t="s">
        <v>219</v>
      </c>
      <c r="AI2366" s="73">
        <v>0</v>
      </c>
      <c r="AJ2366" s="73">
        <v>2</v>
      </c>
      <c r="AK2366" s="73">
        <v>0</v>
      </c>
      <c r="AL2366" s="73">
        <v>1.5</v>
      </c>
      <c r="AM2366" s="72">
        <v>0</v>
      </c>
      <c r="AN2366" s="72">
        <v>0</v>
      </c>
      <c r="AO2366" s="72">
        <v>0</v>
      </c>
      <c r="AP2366" s="72">
        <v>0.5</v>
      </c>
      <c r="AQ2366" s="72">
        <v>600</v>
      </c>
      <c r="AR2366" s="72">
        <v>0</v>
      </c>
      <c r="AS2366" s="72">
        <v>12</v>
      </c>
      <c r="AT2366" s="73">
        <v>0</v>
      </c>
      <c r="AU2366" s="93">
        <v>0</v>
      </c>
      <c r="AV2366" s="93"/>
      <c r="AW2366" s="71" t="s">
        <v>205</v>
      </c>
      <c r="AX2366" s="72" t="s">
        <v>221</v>
      </c>
      <c r="AY2366" s="74">
        <v>10000011</v>
      </c>
      <c r="AZ2366" s="74">
        <v>0</v>
      </c>
      <c r="BA2366" s="71" t="s">
        <v>222</v>
      </c>
      <c r="BB2366" s="72">
        <v>0</v>
      </c>
      <c r="BC2366" s="75">
        <v>0</v>
      </c>
      <c r="BD2366" s="75">
        <v>0</v>
      </c>
      <c r="BE2366" s="76" t="s">
        <v>2365</v>
      </c>
      <c r="BF2366" s="76" t="s">
        <v>2366</v>
      </c>
      <c r="BG2366" s="72">
        <v>0</v>
      </c>
      <c r="BH2366" s="72">
        <v>0</v>
      </c>
      <c r="BI2366" s="72">
        <v>0</v>
      </c>
      <c r="BJ2366" s="72">
        <v>0</v>
      </c>
      <c r="BK2366" s="72">
        <v>0</v>
      </c>
      <c r="BL2366" s="72">
        <v>0</v>
      </c>
      <c r="BM2366" s="90">
        <v>0</v>
      </c>
      <c r="BN2366" s="73">
        <v>0</v>
      </c>
      <c r="BO2366" s="73">
        <v>0</v>
      </c>
      <c r="BP2366" s="73">
        <v>0</v>
      </c>
      <c r="BQ2366" s="73">
        <v>0</v>
      </c>
      <c r="BR2366" s="73">
        <v>0</v>
      </c>
      <c r="BS2366" s="73">
        <v>1</v>
      </c>
      <c r="BT2366" s="73">
        <v>77005006</v>
      </c>
      <c r="BU2366" s="73">
        <v>0</v>
      </c>
      <c r="BV2366" s="23"/>
      <c r="BW2366" s="23"/>
      <c r="BX2366" s="23"/>
      <c r="BY2366" s="23"/>
      <c r="BZ2366" s="23"/>
    </row>
    <row r="2367" spans="1:78" ht="20.100000000000001" customHeight="1">
      <c r="A2367" s="140"/>
      <c r="B2367" s="140"/>
      <c r="C2367" s="74">
        <v>77005006</v>
      </c>
      <c r="D2367" s="71" t="s">
        <v>2359</v>
      </c>
      <c r="E2367" s="160" t="s">
        <v>2360</v>
      </c>
      <c r="F2367" s="90">
        <v>1</v>
      </c>
      <c r="G2367" s="72">
        <v>63021101</v>
      </c>
      <c r="H2367" s="74">
        <v>0</v>
      </c>
      <c r="I2367" s="75">
        <v>0</v>
      </c>
      <c r="J2367" s="74">
        <v>1</v>
      </c>
      <c r="K2367" s="72">
        <v>0</v>
      </c>
      <c r="L2367" s="74">
        <v>0</v>
      </c>
      <c r="M2367" s="72">
        <v>0</v>
      </c>
      <c r="N2367" s="72">
        <v>0</v>
      </c>
      <c r="O2367" s="72">
        <v>2</v>
      </c>
      <c r="P2367" s="72">
        <v>16</v>
      </c>
      <c r="Q2367" s="72">
        <v>1</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400</v>
      </c>
      <c r="AR2367" s="72">
        <v>0.2</v>
      </c>
      <c r="AS2367" s="72">
        <v>0</v>
      </c>
      <c r="AT2367" s="73">
        <v>0</v>
      </c>
      <c r="AU2367" s="334" t="s">
        <v>5671</v>
      </c>
      <c r="AV2367" s="93"/>
      <c r="AW2367" s="88" t="s">
        <v>204</v>
      </c>
      <c r="AX2367" s="72" t="s">
        <v>551</v>
      </c>
      <c r="AY2367" s="74">
        <v>10000001</v>
      </c>
      <c r="AZ2367" s="74">
        <v>77005002</v>
      </c>
      <c r="BA2367" s="71" t="s">
        <v>206</v>
      </c>
      <c r="BB2367" s="72">
        <v>0</v>
      </c>
      <c r="BC2367" s="75">
        <v>0</v>
      </c>
      <c r="BD2367" s="75">
        <v>0</v>
      </c>
      <c r="BE2367" s="76" t="s">
        <v>2361</v>
      </c>
      <c r="BF2367" s="76" t="s">
        <v>2362</v>
      </c>
      <c r="BG2367" s="72">
        <v>0</v>
      </c>
      <c r="BH2367" s="72">
        <v>0</v>
      </c>
      <c r="BI2367" s="72">
        <v>0</v>
      </c>
      <c r="BJ2367" s="72">
        <v>0</v>
      </c>
      <c r="BK2367" s="72">
        <v>0</v>
      </c>
      <c r="BL2367" s="72">
        <v>0</v>
      </c>
      <c r="BM2367" s="90">
        <v>0</v>
      </c>
      <c r="BN2367" s="73">
        <v>0</v>
      </c>
      <c r="BO2367" s="73">
        <v>0</v>
      </c>
      <c r="BP2367" s="73">
        <v>0</v>
      </c>
      <c r="BQ2367" s="73">
        <v>0</v>
      </c>
      <c r="BR2367" s="73">
        <v>0</v>
      </c>
      <c r="BS2367" s="73">
        <v>0</v>
      </c>
      <c r="BT2367" s="73">
        <v>77005007</v>
      </c>
      <c r="BU2367" s="23">
        <v>0</v>
      </c>
      <c r="BV2367" s="23"/>
      <c r="BW2367" s="23"/>
      <c r="BX2367" s="23"/>
      <c r="BY2367" s="23"/>
      <c r="BZ2367" s="23"/>
    </row>
    <row r="2368" spans="1:78" s="1" customFormat="1" ht="20.100000000000001" customHeight="1">
      <c r="C2368" s="74">
        <v>77005007</v>
      </c>
      <c r="D2368" s="71" t="s">
        <v>766</v>
      </c>
      <c r="E2368" s="160" t="s">
        <v>767</v>
      </c>
      <c r="F2368" s="90">
        <v>1</v>
      </c>
      <c r="G2368" s="90">
        <v>0</v>
      </c>
      <c r="H2368" s="72">
        <v>0</v>
      </c>
      <c r="I2368" s="75">
        <v>0</v>
      </c>
      <c r="J2368" s="74">
        <v>1</v>
      </c>
      <c r="K2368" s="74">
        <v>0</v>
      </c>
      <c r="L2368" s="74">
        <v>0</v>
      </c>
      <c r="M2368" s="72">
        <v>0</v>
      </c>
      <c r="N2368" s="72">
        <v>0</v>
      </c>
      <c r="O2368" s="72">
        <v>2</v>
      </c>
      <c r="P2368" s="72">
        <v>16</v>
      </c>
      <c r="Q2368" s="72">
        <v>1</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2365</v>
      </c>
      <c r="BF2368" s="76" t="s">
        <v>2366</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77005008</v>
      </c>
      <c r="BU2368" s="73">
        <v>0</v>
      </c>
      <c r="BV2368" s="23"/>
      <c r="BW2368" s="23"/>
      <c r="BX2368" s="23"/>
      <c r="BY2368" s="23"/>
      <c r="BZ2368" s="23"/>
    </row>
    <row r="2369" spans="1:78" ht="20.100000000000001" customHeight="1">
      <c r="A2369" s="140"/>
      <c r="B2369" s="140"/>
      <c r="C2369" s="74">
        <v>77005008</v>
      </c>
      <c r="D2369" s="71" t="s">
        <v>2359</v>
      </c>
      <c r="E2369" s="160" t="s">
        <v>2360</v>
      </c>
      <c r="F2369" s="90">
        <v>1</v>
      </c>
      <c r="G2369" s="72">
        <v>63021101</v>
      </c>
      <c r="H2369" s="74">
        <v>0</v>
      </c>
      <c r="I2369" s="75">
        <v>0</v>
      </c>
      <c r="J2369" s="74">
        <v>1</v>
      </c>
      <c r="K2369" s="72">
        <v>0</v>
      </c>
      <c r="L2369" s="74">
        <v>0</v>
      </c>
      <c r="M2369" s="72">
        <v>0</v>
      </c>
      <c r="N2369" s="72">
        <v>0</v>
      </c>
      <c r="O2369" s="72">
        <v>2</v>
      </c>
      <c r="P2369" s="72">
        <v>16</v>
      </c>
      <c r="Q2369" s="72">
        <v>4</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34" t="s">
        <v>5671</v>
      </c>
      <c r="AV2369" s="93"/>
      <c r="AW2369" s="88" t="s">
        <v>204</v>
      </c>
      <c r="AX2369" s="72" t="s">
        <v>551</v>
      </c>
      <c r="AY2369" s="74">
        <v>10000001</v>
      </c>
      <c r="AZ2369" s="74">
        <v>77005002</v>
      </c>
      <c r="BA2369" s="71" t="s">
        <v>206</v>
      </c>
      <c r="BB2369" s="72">
        <v>0</v>
      </c>
      <c r="BC2369" s="75">
        <v>0</v>
      </c>
      <c r="BD2369" s="75">
        <v>0</v>
      </c>
      <c r="BE2369" s="76" t="s">
        <v>2361</v>
      </c>
      <c r="BF2369" s="76" t="s">
        <v>2362</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77005009</v>
      </c>
      <c r="BU2369" s="23">
        <v>0</v>
      </c>
      <c r="BV2369" s="23"/>
      <c r="BW2369" s="23"/>
      <c r="BX2369" s="23"/>
      <c r="BY2369" s="23"/>
      <c r="BZ2369" s="23"/>
    </row>
    <row r="2370" spans="1:78" s="1" customFormat="1" ht="20.100000000000001" customHeight="1">
      <c r="C2370" s="74">
        <v>77005009</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2365</v>
      </c>
      <c r="BF2370" s="76" t="s">
        <v>2366</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77005010</v>
      </c>
      <c r="BU2370" s="73">
        <v>0</v>
      </c>
      <c r="BV2370" s="23"/>
      <c r="BW2370" s="23"/>
      <c r="BX2370" s="23"/>
      <c r="BY2370" s="23"/>
      <c r="BZ2370" s="23"/>
    </row>
    <row r="2371" spans="1:78" ht="20.100000000000001" customHeight="1">
      <c r="A2371" s="140"/>
      <c r="B2371" s="140"/>
      <c r="C2371" s="74">
        <v>77005010</v>
      </c>
      <c r="D2371" s="71" t="s">
        <v>2359</v>
      </c>
      <c r="E2371" s="160" t="s">
        <v>2360</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34" t="s">
        <v>5671</v>
      </c>
      <c r="AV2371" s="93"/>
      <c r="AW2371" s="88" t="s">
        <v>204</v>
      </c>
      <c r="AX2371" s="72" t="s">
        <v>551</v>
      </c>
      <c r="AY2371" s="74">
        <v>10000001</v>
      </c>
      <c r="AZ2371" s="74">
        <v>77005002</v>
      </c>
      <c r="BA2371" s="71" t="s">
        <v>206</v>
      </c>
      <c r="BB2371" s="72">
        <v>0</v>
      </c>
      <c r="BC2371" s="75">
        <v>0</v>
      </c>
      <c r="BD2371" s="75">
        <v>0</v>
      </c>
      <c r="BE2371" s="76" t="s">
        <v>2361</v>
      </c>
      <c r="BF2371" s="76" t="s">
        <v>2362</v>
      </c>
      <c r="BG2371" s="72">
        <v>0</v>
      </c>
      <c r="BH2371" s="72">
        <v>0</v>
      </c>
      <c r="BI2371" s="72">
        <v>0</v>
      </c>
      <c r="BJ2371" s="72">
        <v>0</v>
      </c>
      <c r="BK2371" s="72">
        <v>0</v>
      </c>
      <c r="BL2371" s="72">
        <v>0</v>
      </c>
      <c r="BM2371" s="90">
        <v>0</v>
      </c>
      <c r="BN2371" s="73">
        <v>0</v>
      </c>
      <c r="BO2371" s="73">
        <v>0</v>
      </c>
      <c r="BP2371" s="73">
        <v>0</v>
      </c>
      <c r="BQ2371" s="73">
        <v>0</v>
      </c>
      <c r="BR2371" s="73">
        <v>0</v>
      </c>
      <c r="BS2371" s="73">
        <v>0</v>
      </c>
      <c r="BT2371" s="73">
        <v>0</v>
      </c>
      <c r="BU2371" s="23">
        <v>0</v>
      </c>
      <c r="BV2371" s="23"/>
      <c r="BW2371" s="23"/>
      <c r="BX2371" s="23"/>
      <c r="BY2371" s="23"/>
      <c r="BZ2371" s="23"/>
    </row>
    <row r="2372" spans="1:78" ht="19.5" customHeight="1">
      <c r="A2372" s="140"/>
      <c r="B2372" s="140"/>
      <c r="C2372" s="107">
        <v>77006001</v>
      </c>
      <c r="D2372" s="110" t="s">
        <v>5678</v>
      </c>
      <c r="E2372" s="110" t="s">
        <v>5679</v>
      </c>
      <c r="F2372" s="100">
        <v>1</v>
      </c>
      <c r="G2372" s="100">
        <v>63021101</v>
      </c>
      <c r="H2372" s="100">
        <v>0</v>
      </c>
      <c r="I2372" s="105">
        <v>0</v>
      </c>
      <c r="J2372" s="107">
        <v>1</v>
      </c>
      <c r="K2372" s="100">
        <v>0</v>
      </c>
      <c r="L2372" s="100">
        <v>0</v>
      </c>
      <c r="M2372" s="100">
        <v>0</v>
      </c>
      <c r="N2372" s="100">
        <v>0</v>
      </c>
      <c r="O2372" s="100">
        <v>1</v>
      </c>
      <c r="P2372" s="100">
        <v>0</v>
      </c>
      <c r="Q2372" s="100">
        <v>0</v>
      </c>
      <c r="R2372" s="100">
        <v>0</v>
      </c>
      <c r="S2372" s="99">
        <v>0</v>
      </c>
      <c r="T2372" s="100">
        <v>0</v>
      </c>
      <c r="U2372" s="100">
        <v>1</v>
      </c>
      <c r="V2372" s="100">
        <v>1</v>
      </c>
      <c r="W2372" s="100">
        <v>0</v>
      </c>
      <c r="X2372" s="100">
        <v>1</v>
      </c>
      <c r="Y2372" s="19">
        <v>0</v>
      </c>
      <c r="Z2372" s="100">
        <v>0</v>
      </c>
      <c r="AA2372" s="100">
        <v>0</v>
      </c>
      <c r="AB2372" s="100">
        <v>0</v>
      </c>
      <c r="AC2372" s="100">
        <v>0</v>
      </c>
      <c r="AD2372" s="100">
        <v>0</v>
      </c>
      <c r="AE2372" s="100">
        <v>0</v>
      </c>
      <c r="AF2372" s="100">
        <v>16</v>
      </c>
      <c r="AG2372" s="100">
        <v>1</v>
      </c>
      <c r="AH2372" s="118">
        <v>2</v>
      </c>
      <c r="AI2372" s="99">
        <v>2</v>
      </c>
      <c r="AJ2372" s="99">
        <v>2</v>
      </c>
      <c r="AK2372" s="99">
        <v>0</v>
      </c>
      <c r="AL2372" s="99">
        <v>3</v>
      </c>
      <c r="AM2372" s="100">
        <v>0</v>
      </c>
      <c r="AN2372" s="100">
        <v>0</v>
      </c>
      <c r="AO2372" s="100">
        <v>0</v>
      </c>
      <c r="AP2372" s="100">
        <v>0.2</v>
      </c>
      <c r="AQ2372" s="100">
        <v>2000</v>
      </c>
      <c r="AR2372" s="100">
        <v>0.2</v>
      </c>
      <c r="AS2372" s="100">
        <v>5</v>
      </c>
      <c r="AT2372" s="99">
        <v>0</v>
      </c>
      <c r="AU2372" s="340" t="s">
        <v>5668</v>
      </c>
      <c r="AV2372" s="100"/>
      <c r="AW2372" s="110" t="s">
        <v>204</v>
      </c>
      <c r="AX2372" s="100" t="s">
        <v>540</v>
      </c>
      <c r="AY2372" s="107">
        <v>10000001</v>
      </c>
      <c r="AZ2372" s="107">
        <v>77005003</v>
      </c>
      <c r="BA2372" s="110" t="s">
        <v>2374</v>
      </c>
      <c r="BB2372" s="100" t="s">
        <v>5680</v>
      </c>
      <c r="BC2372" s="99">
        <v>0</v>
      </c>
      <c r="BD2372" s="99">
        <v>0</v>
      </c>
      <c r="BE2372" s="136" t="s">
        <v>5681</v>
      </c>
      <c r="BF2372" s="136" t="s">
        <v>5682</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23">
        <v>0</v>
      </c>
      <c r="BV2372" s="23"/>
      <c r="BW2372" s="23"/>
      <c r="BX2372" s="23"/>
      <c r="BY2372" s="23"/>
      <c r="BZ2372" s="23"/>
    </row>
    <row r="2373" spans="1:78" ht="20.100000000000001" customHeight="1">
      <c r="A2373" s="140"/>
      <c r="B2373" s="140"/>
      <c r="C2373" s="107">
        <v>77006002</v>
      </c>
      <c r="D2373" s="110" t="s">
        <v>5683</v>
      </c>
      <c r="E2373" s="304" t="s">
        <v>5684</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1.5</v>
      </c>
      <c r="Y2373" s="19">
        <v>0</v>
      </c>
      <c r="Z2373" s="100">
        <v>0</v>
      </c>
      <c r="AA2373" s="100">
        <v>0</v>
      </c>
      <c r="AB2373" s="100">
        <v>0</v>
      </c>
      <c r="AC2373" s="100">
        <v>0</v>
      </c>
      <c r="AD2373" s="100">
        <v>0</v>
      </c>
      <c r="AE2373" s="100">
        <v>0</v>
      </c>
      <c r="AF2373" s="100">
        <v>12</v>
      </c>
      <c r="AG2373" s="100">
        <v>1</v>
      </c>
      <c r="AH2373" s="100">
        <v>4</v>
      </c>
      <c r="AI2373" s="99">
        <v>2</v>
      </c>
      <c r="AJ2373" s="99">
        <v>1</v>
      </c>
      <c r="AK2373" s="99">
        <v>0</v>
      </c>
      <c r="AL2373" s="99">
        <v>7</v>
      </c>
      <c r="AM2373" s="100">
        <v>0</v>
      </c>
      <c r="AN2373" s="100">
        <v>0</v>
      </c>
      <c r="AO2373" s="100">
        <v>0</v>
      </c>
      <c r="AP2373" s="100">
        <v>0.2</v>
      </c>
      <c r="AQ2373" s="100">
        <v>2000</v>
      </c>
      <c r="AR2373" s="100">
        <v>0.4</v>
      </c>
      <c r="AS2373" s="100">
        <v>0</v>
      </c>
      <c r="AT2373" s="99">
        <v>0</v>
      </c>
      <c r="AU2373" s="118">
        <v>0</v>
      </c>
      <c r="AV2373" s="118"/>
      <c r="AW2373" s="104" t="s">
        <v>204</v>
      </c>
      <c r="AX2373" s="100" t="s">
        <v>551</v>
      </c>
      <c r="AY2373" s="107">
        <v>10000001</v>
      </c>
      <c r="AZ2373" s="107">
        <v>77005004</v>
      </c>
      <c r="BA2373" s="110" t="s">
        <v>206</v>
      </c>
      <c r="BB2373" s="100">
        <v>0</v>
      </c>
      <c r="BC2373" s="105">
        <v>0</v>
      </c>
      <c r="BD2373" s="105">
        <v>0</v>
      </c>
      <c r="BE2373" s="111" t="s">
        <v>5685</v>
      </c>
      <c r="BF2373" s="111" t="s">
        <v>5686</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374" t="s">
        <v>5687</v>
      </c>
      <c r="BV2373" s="23"/>
      <c r="BW2373" s="23"/>
      <c r="BX2373" s="23"/>
      <c r="BY2373" s="23"/>
      <c r="BZ2373" s="23"/>
    </row>
    <row r="2374" spans="1:78" ht="20.100000000000001" customHeight="1">
      <c r="A2374" s="140"/>
      <c r="B2374" s="140"/>
      <c r="C2374" s="107">
        <v>77006003</v>
      </c>
      <c r="D2374" s="110" t="s">
        <v>5688</v>
      </c>
      <c r="E2374" s="304" t="s">
        <v>5689</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1.2</v>
      </c>
      <c r="Y2374" s="19">
        <v>0</v>
      </c>
      <c r="Z2374" s="100">
        <v>0</v>
      </c>
      <c r="AA2374" s="100">
        <v>0</v>
      </c>
      <c r="AB2374" s="100">
        <v>0</v>
      </c>
      <c r="AC2374" s="100">
        <v>0</v>
      </c>
      <c r="AD2374" s="100">
        <v>0</v>
      </c>
      <c r="AE2374" s="100">
        <v>0</v>
      </c>
      <c r="AF2374" s="100">
        <v>10</v>
      </c>
      <c r="AG2374" s="100">
        <v>1</v>
      </c>
      <c r="AH2374" s="100">
        <v>2</v>
      </c>
      <c r="AI2374" s="99">
        <v>2</v>
      </c>
      <c r="AJ2374" s="99">
        <v>2</v>
      </c>
      <c r="AK2374" s="99">
        <v>0</v>
      </c>
      <c r="AL2374" s="99">
        <v>3</v>
      </c>
      <c r="AM2374" s="100">
        <v>0</v>
      </c>
      <c r="AN2374" s="100">
        <v>0</v>
      </c>
      <c r="AO2374" s="100">
        <v>0</v>
      </c>
      <c r="AP2374" s="107">
        <v>0.2</v>
      </c>
      <c r="AQ2374" s="100">
        <v>6000</v>
      </c>
      <c r="AR2374" s="100">
        <v>0.2</v>
      </c>
      <c r="AS2374" s="100">
        <v>8</v>
      </c>
      <c r="AT2374" s="99">
        <v>0</v>
      </c>
      <c r="AU2374" s="340" t="s">
        <v>5668</v>
      </c>
      <c r="AV2374" s="100"/>
      <c r="AW2374" s="110" t="s">
        <v>204</v>
      </c>
      <c r="AX2374" s="100" t="s">
        <v>551</v>
      </c>
      <c r="AY2374" s="107">
        <v>0</v>
      </c>
      <c r="AZ2374" s="107">
        <v>77005005</v>
      </c>
      <c r="BA2374" s="110" t="s">
        <v>2390</v>
      </c>
      <c r="BB2374" s="100" t="s">
        <v>5690</v>
      </c>
      <c r="BC2374" s="105">
        <v>0</v>
      </c>
      <c r="BD2374" s="105">
        <v>0</v>
      </c>
      <c r="BE2374" s="111" t="s">
        <v>5691</v>
      </c>
      <c r="BF2374" s="111" t="s">
        <v>5692</v>
      </c>
      <c r="BG2374" s="100">
        <v>0</v>
      </c>
      <c r="BH2374" s="100">
        <v>0</v>
      </c>
      <c r="BI2374" s="100">
        <v>0</v>
      </c>
      <c r="BJ2374" s="100">
        <v>0</v>
      </c>
      <c r="BK2374" s="100">
        <v>0</v>
      </c>
      <c r="BL2374" s="100">
        <v>0</v>
      </c>
      <c r="BM2374" s="97">
        <v>0</v>
      </c>
      <c r="BN2374" s="99">
        <v>0</v>
      </c>
      <c r="BO2374" s="99">
        <v>0</v>
      </c>
      <c r="BP2374" s="99">
        <v>1</v>
      </c>
      <c r="BQ2374" s="99">
        <v>1</v>
      </c>
      <c r="BR2374" s="99">
        <v>0</v>
      </c>
      <c r="BS2374" s="99">
        <v>0</v>
      </c>
      <c r="BT2374" s="99">
        <v>0</v>
      </c>
      <c r="BU2374" s="23">
        <v>0</v>
      </c>
      <c r="BV2374" s="23"/>
      <c r="BW2374" s="23"/>
      <c r="BX2374" s="23"/>
      <c r="BY2374" s="23"/>
      <c r="BZ2374" s="23"/>
    </row>
    <row r="2375" spans="1:78" ht="19.5" customHeight="1">
      <c r="A2375" s="140"/>
      <c r="B2375" s="140"/>
      <c r="C2375" s="107">
        <v>77006004</v>
      </c>
      <c r="D2375" s="110" t="s">
        <v>2397</v>
      </c>
      <c r="E2375" s="110" t="s">
        <v>2398</v>
      </c>
      <c r="F2375" s="107">
        <v>1</v>
      </c>
      <c r="G2375" s="107">
        <v>0</v>
      </c>
      <c r="H2375" s="107">
        <v>0</v>
      </c>
      <c r="I2375" s="105">
        <v>0</v>
      </c>
      <c r="J2375" s="107">
        <v>1</v>
      </c>
      <c r="K2375" s="107">
        <v>0</v>
      </c>
      <c r="L2375" s="107">
        <v>0</v>
      </c>
      <c r="M2375" s="100">
        <v>0</v>
      </c>
      <c r="N2375" s="100">
        <v>0</v>
      </c>
      <c r="O2375" s="100">
        <v>2</v>
      </c>
      <c r="P2375" s="100">
        <v>3</v>
      </c>
      <c r="Q2375" s="100">
        <v>0.2</v>
      </c>
      <c r="R2375" s="100">
        <v>0</v>
      </c>
      <c r="S2375" s="99">
        <v>0</v>
      </c>
      <c r="T2375" s="100">
        <v>0</v>
      </c>
      <c r="U2375" s="100">
        <v>1</v>
      </c>
      <c r="V2375" s="100">
        <v>2</v>
      </c>
      <c r="W2375" s="100">
        <v>0</v>
      </c>
      <c r="X2375" s="100">
        <v>1.5</v>
      </c>
      <c r="Y2375" s="19">
        <v>0</v>
      </c>
      <c r="Z2375" s="100">
        <v>0</v>
      </c>
      <c r="AA2375" s="100">
        <v>1</v>
      </c>
      <c r="AB2375" s="100">
        <v>0</v>
      </c>
      <c r="AC2375" s="100">
        <v>0</v>
      </c>
      <c r="AD2375" s="100">
        <v>1</v>
      </c>
      <c r="AE2375" s="100">
        <v>1</v>
      </c>
      <c r="AF2375" s="100">
        <v>0</v>
      </c>
      <c r="AG2375" s="100">
        <v>1</v>
      </c>
      <c r="AH2375" s="100">
        <v>3</v>
      </c>
      <c r="AI2375" s="99">
        <v>1</v>
      </c>
      <c r="AJ2375" s="99">
        <v>1</v>
      </c>
      <c r="AK2375" s="99">
        <v>0</v>
      </c>
      <c r="AL2375" s="99">
        <v>3</v>
      </c>
      <c r="AM2375" s="100">
        <v>0</v>
      </c>
      <c r="AN2375" s="100">
        <v>0</v>
      </c>
      <c r="AO2375" s="100">
        <v>0</v>
      </c>
      <c r="AP2375" s="100">
        <v>0</v>
      </c>
      <c r="AQ2375" s="100">
        <v>2000</v>
      </c>
      <c r="AR2375" s="100">
        <v>0.3</v>
      </c>
      <c r="AS2375" s="100">
        <v>0</v>
      </c>
      <c r="AT2375" s="99">
        <v>0</v>
      </c>
      <c r="AU2375" s="118">
        <v>0</v>
      </c>
      <c r="AV2375" s="118"/>
      <c r="AW2375" s="104" t="s">
        <v>204</v>
      </c>
      <c r="AX2375" s="100" t="s">
        <v>540</v>
      </c>
      <c r="AY2375" s="107">
        <v>0</v>
      </c>
      <c r="AZ2375" s="107">
        <v>77005004</v>
      </c>
      <c r="BA2375" s="110" t="s">
        <v>206</v>
      </c>
      <c r="BB2375" s="100">
        <v>0</v>
      </c>
      <c r="BC2375" s="105">
        <v>0</v>
      </c>
      <c r="BD2375" s="105">
        <v>0</v>
      </c>
      <c r="BE2375" s="111" t="s">
        <v>2399</v>
      </c>
      <c r="BF2375" s="111" t="s">
        <v>2400</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99">
        <v>0</v>
      </c>
      <c r="BV2375" s="23"/>
      <c r="BW2375" s="23"/>
      <c r="BX2375" s="23"/>
      <c r="BY2375" s="23"/>
      <c r="BZ2375" s="23"/>
    </row>
    <row r="2376" spans="1:78" ht="19.5" customHeight="1">
      <c r="A2376" s="140"/>
      <c r="B2376" s="140"/>
      <c r="C2376" s="312">
        <v>77007001</v>
      </c>
      <c r="D2376" s="313" t="s">
        <v>5693</v>
      </c>
      <c r="E2376" s="313" t="s">
        <v>5694</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9</v>
      </c>
      <c r="AG2376" s="314">
        <v>1</v>
      </c>
      <c r="AH2376" s="316">
        <v>5</v>
      </c>
      <c r="AI2376" s="23">
        <v>2</v>
      </c>
      <c r="AJ2376" s="23">
        <v>1</v>
      </c>
      <c r="AK2376" s="23">
        <v>0</v>
      </c>
      <c r="AL2376" s="23">
        <v>8</v>
      </c>
      <c r="AM2376" s="314">
        <v>0</v>
      </c>
      <c r="AN2376" s="314">
        <v>0</v>
      </c>
      <c r="AO2376" s="314">
        <v>0</v>
      </c>
      <c r="AP2376" s="314">
        <v>0.2</v>
      </c>
      <c r="AQ2376" s="314">
        <v>1000</v>
      </c>
      <c r="AR2376" s="314">
        <v>0.2</v>
      </c>
      <c r="AS2376" s="314">
        <v>0</v>
      </c>
      <c r="AT2376" s="23">
        <v>0</v>
      </c>
      <c r="AU2376" s="375" t="s">
        <v>5695</v>
      </c>
      <c r="AV2376" s="314"/>
      <c r="AW2376" s="313" t="s">
        <v>204</v>
      </c>
      <c r="AX2376" s="314" t="s">
        <v>540</v>
      </c>
      <c r="AY2376" s="312">
        <v>10000001</v>
      </c>
      <c r="AZ2376" s="312">
        <v>77005101</v>
      </c>
      <c r="BA2376" s="313" t="s">
        <v>1377</v>
      </c>
      <c r="BB2376" s="314">
        <v>0</v>
      </c>
      <c r="BC2376" s="23">
        <v>0</v>
      </c>
      <c r="BD2376" s="23">
        <v>0</v>
      </c>
      <c r="BE2376" s="317" t="s">
        <v>5696</v>
      </c>
      <c r="BF2376" s="317" t="s">
        <v>5697</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19.5" customHeight="1">
      <c r="A2377" s="140"/>
      <c r="B2377" s="140"/>
      <c r="C2377" s="312">
        <v>77007002</v>
      </c>
      <c r="D2377" s="313" t="s">
        <v>5698</v>
      </c>
      <c r="E2377" s="313" t="s">
        <v>5699</v>
      </c>
      <c r="F2377" s="314">
        <v>1</v>
      </c>
      <c r="G2377" s="314">
        <v>63021101</v>
      </c>
      <c r="H2377" s="314">
        <v>0</v>
      </c>
      <c r="I2377" s="315">
        <v>0</v>
      </c>
      <c r="J2377" s="312">
        <v>1</v>
      </c>
      <c r="K2377" s="314">
        <v>0</v>
      </c>
      <c r="L2377" s="314">
        <v>0</v>
      </c>
      <c r="M2377" s="314">
        <v>0</v>
      </c>
      <c r="N2377" s="314">
        <v>0</v>
      </c>
      <c r="O2377" s="314">
        <v>1</v>
      </c>
      <c r="P2377" s="314">
        <v>0</v>
      </c>
      <c r="Q2377" s="314">
        <v>0</v>
      </c>
      <c r="R2377" s="314">
        <v>0</v>
      </c>
      <c r="S2377" s="23">
        <v>0</v>
      </c>
      <c r="T2377" s="314">
        <v>0</v>
      </c>
      <c r="U2377" s="314">
        <v>1</v>
      </c>
      <c r="V2377" s="314">
        <v>1</v>
      </c>
      <c r="W2377" s="314">
        <v>0</v>
      </c>
      <c r="X2377" s="314">
        <v>3</v>
      </c>
      <c r="Y2377" s="19">
        <v>0</v>
      </c>
      <c r="Z2377" s="314">
        <v>0</v>
      </c>
      <c r="AA2377" s="314">
        <v>0</v>
      </c>
      <c r="AB2377" s="314">
        <v>0</v>
      </c>
      <c r="AC2377" s="314">
        <v>0</v>
      </c>
      <c r="AD2377" s="314">
        <v>0</v>
      </c>
      <c r="AE2377" s="314">
        <v>0</v>
      </c>
      <c r="AF2377" s="314">
        <v>6</v>
      </c>
      <c r="AG2377" s="314">
        <v>3</v>
      </c>
      <c r="AH2377" s="316">
        <v>4120</v>
      </c>
      <c r="AI2377" s="23">
        <v>2</v>
      </c>
      <c r="AJ2377" s="23">
        <v>3</v>
      </c>
      <c r="AK2377" s="23">
        <v>0</v>
      </c>
      <c r="AL2377" s="23">
        <v>1.5</v>
      </c>
      <c r="AM2377" s="314">
        <v>0</v>
      </c>
      <c r="AN2377" s="314">
        <v>0</v>
      </c>
      <c r="AO2377" s="314">
        <v>0</v>
      </c>
      <c r="AP2377" s="314">
        <v>0.2</v>
      </c>
      <c r="AQ2377" s="314">
        <v>1000</v>
      </c>
      <c r="AR2377" s="314">
        <v>0.2</v>
      </c>
      <c r="AS2377" s="314">
        <v>0</v>
      </c>
      <c r="AT2377" s="23">
        <v>97050102</v>
      </c>
      <c r="AU2377" s="376" t="s">
        <v>5700</v>
      </c>
      <c r="AV2377" s="316"/>
      <c r="AW2377" s="313" t="s">
        <v>204</v>
      </c>
      <c r="AX2377" s="314" t="s">
        <v>540</v>
      </c>
      <c r="AY2377" s="312">
        <v>10000001</v>
      </c>
      <c r="AZ2377" s="312">
        <v>77005102</v>
      </c>
      <c r="BA2377" s="313" t="s">
        <v>206</v>
      </c>
      <c r="BB2377" s="314">
        <v>0</v>
      </c>
      <c r="BC2377" s="23">
        <v>0</v>
      </c>
      <c r="BD2377" s="23">
        <v>0</v>
      </c>
      <c r="BE2377" s="317" t="s">
        <v>5701</v>
      </c>
      <c r="BF2377" s="317" t="s">
        <v>5702</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77007003</v>
      </c>
      <c r="D2378" s="313" t="s">
        <v>5703</v>
      </c>
      <c r="E2378" s="319" t="s">
        <v>5704</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0</v>
      </c>
      <c r="Y2378" s="19">
        <v>0</v>
      </c>
      <c r="Z2378" s="314">
        <v>0</v>
      </c>
      <c r="AA2378" s="314">
        <v>0</v>
      </c>
      <c r="AB2378" s="314">
        <v>0</v>
      </c>
      <c r="AC2378" s="314">
        <v>0</v>
      </c>
      <c r="AD2378" s="314">
        <v>0</v>
      </c>
      <c r="AE2378" s="314">
        <v>0</v>
      </c>
      <c r="AF2378" s="314">
        <v>18</v>
      </c>
      <c r="AG2378" s="314">
        <v>1</v>
      </c>
      <c r="AH2378" s="314">
        <v>3</v>
      </c>
      <c r="AI2378" s="23">
        <v>0</v>
      </c>
      <c r="AJ2378" s="23">
        <v>0</v>
      </c>
      <c r="AK2378" s="23">
        <v>0</v>
      </c>
      <c r="AL2378" s="23">
        <v>1.5</v>
      </c>
      <c r="AM2378" s="314">
        <v>0</v>
      </c>
      <c r="AN2378" s="314">
        <v>0</v>
      </c>
      <c r="AO2378" s="314">
        <v>0</v>
      </c>
      <c r="AP2378" s="312">
        <v>3</v>
      </c>
      <c r="AQ2378" s="314">
        <v>3000</v>
      </c>
      <c r="AR2378" s="314">
        <v>0.1</v>
      </c>
      <c r="AS2378" s="314">
        <v>0</v>
      </c>
      <c r="AT2378" s="374" t="s">
        <v>5705</v>
      </c>
      <c r="AU2378" s="314">
        <v>0</v>
      </c>
      <c r="AV2378" s="314"/>
      <c r="AW2378" s="313" t="s">
        <v>204</v>
      </c>
      <c r="AX2378" s="314" t="s">
        <v>551</v>
      </c>
      <c r="AY2378" s="312">
        <v>0</v>
      </c>
      <c r="AZ2378" s="312">
        <v>77005103</v>
      </c>
      <c r="BA2378" s="313" t="s">
        <v>1180</v>
      </c>
      <c r="BB2378" s="375" t="s">
        <v>5706</v>
      </c>
      <c r="BC2378" s="315">
        <v>0</v>
      </c>
      <c r="BD2378" s="315">
        <v>0</v>
      </c>
      <c r="BE2378" s="320" t="s">
        <v>2433</v>
      </c>
      <c r="BF2378" s="320" t="s">
        <v>2434</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20.100000000000001" customHeight="1">
      <c r="A2379" s="140"/>
      <c r="B2379" s="140"/>
      <c r="C2379" s="312">
        <v>77007004</v>
      </c>
      <c r="D2379" s="313" t="s">
        <v>2435</v>
      </c>
      <c r="E2379" s="319" t="s">
        <v>2436</v>
      </c>
      <c r="F2379" s="318">
        <v>1</v>
      </c>
      <c r="G2379" s="314">
        <v>63021101</v>
      </c>
      <c r="H2379" s="312">
        <v>0</v>
      </c>
      <c r="I2379" s="315">
        <v>0</v>
      </c>
      <c r="J2379" s="312">
        <v>1</v>
      </c>
      <c r="K2379" s="314">
        <v>0</v>
      </c>
      <c r="L2379" s="312">
        <v>0</v>
      </c>
      <c r="M2379" s="314">
        <v>0</v>
      </c>
      <c r="N2379" s="314">
        <v>0</v>
      </c>
      <c r="O2379" s="314">
        <v>1</v>
      </c>
      <c r="P2379" s="314">
        <v>0</v>
      </c>
      <c r="Q2379" s="314">
        <v>0</v>
      </c>
      <c r="R2379" s="314">
        <v>0</v>
      </c>
      <c r="S2379" s="23">
        <v>0</v>
      </c>
      <c r="T2379" s="314">
        <v>0</v>
      </c>
      <c r="U2379" s="314">
        <v>1</v>
      </c>
      <c r="V2379" s="314">
        <v>1</v>
      </c>
      <c r="W2379" s="314">
        <v>0</v>
      </c>
      <c r="X2379" s="314">
        <v>1.2</v>
      </c>
      <c r="Y2379" s="19">
        <v>0</v>
      </c>
      <c r="Z2379" s="314">
        <v>300</v>
      </c>
      <c r="AA2379" s="314">
        <v>0</v>
      </c>
      <c r="AB2379" s="314">
        <v>0</v>
      </c>
      <c r="AC2379" s="314">
        <v>0</v>
      </c>
      <c r="AD2379" s="314">
        <v>0</v>
      </c>
      <c r="AE2379" s="314">
        <v>0</v>
      </c>
      <c r="AF2379" s="314">
        <v>24</v>
      </c>
      <c r="AG2379" s="314">
        <v>1</v>
      </c>
      <c r="AH2379" s="314">
        <v>2</v>
      </c>
      <c r="AI2379" s="23">
        <v>2</v>
      </c>
      <c r="AJ2379" s="23">
        <v>0</v>
      </c>
      <c r="AK2379" s="23">
        <v>0</v>
      </c>
      <c r="AL2379" s="23">
        <v>0</v>
      </c>
      <c r="AM2379" s="314">
        <v>0</v>
      </c>
      <c r="AN2379" s="314">
        <v>0</v>
      </c>
      <c r="AO2379" s="314">
        <v>0</v>
      </c>
      <c r="AP2379" s="312">
        <v>0</v>
      </c>
      <c r="AQ2379" s="314">
        <v>5000</v>
      </c>
      <c r="AR2379" s="314">
        <v>0</v>
      </c>
      <c r="AS2379" s="314">
        <v>0</v>
      </c>
      <c r="AT2379" s="374" t="s">
        <v>5707</v>
      </c>
      <c r="AU2379" s="314" t="s">
        <v>204</v>
      </c>
      <c r="AV2379" s="314"/>
      <c r="AW2379" s="313" t="s">
        <v>204</v>
      </c>
      <c r="AX2379" s="314" t="s">
        <v>551</v>
      </c>
      <c r="AY2379" s="312">
        <v>0</v>
      </c>
      <c r="AZ2379" s="312">
        <v>77005104</v>
      </c>
      <c r="BA2379" s="313" t="s">
        <v>1171</v>
      </c>
      <c r="BB2379" s="314">
        <v>0</v>
      </c>
      <c r="BC2379" s="315">
        <v>0</v>
      </c>
      <c r="BD2379" s="315">
        <v>0</v>
      </c>
      <c r="BE2379" s="320" t="s">
        <v>5708</v>
      </c>
      <c r="BF2379" s="320" t="s">
        <v>5709</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77007005</v>
      </c>
      <c r="D2380" s="313" t="s">
        <v>766</v>
      </c>
      <c r="E2380" s="313" t="s">
        <v>767</v>
      </c>
      <c r="F2380" s="314">
        <v>1</v>
      </c>
      <c r="G2380" s="314">
        <v>0</v>
      </c>
      <c r="H2380" s="314">
        <v>0</v>
      </c>
      <c r="I2380" s="315">
        <v>0</v>
      </c>
      <c r="J2380" s="312">
        <v>1</v>
      </c>
      <c r="K2380" s="312">
        <v>0</v>
      </c>
      <c r="L2380" s="312">
        <v>0</v>
      </c>
      <c r="M2380" s="314">
        <v>0</v>
      </c>
      <c r="N2380" s="314">
        <v>0</v>
      </c>
      <c r="O2380" s="314">
        <v>2</v>
      </c>
      <c r="P2380" s="314">
        <v>1</v>
      </c>
      <c r="Q2380" s="314">
        <v>1</v>
      </c>
      <c r="R2380" s="314">
        <v>1</v>
      </c>
      <c r="S2380" s="23">
        <v>0</v>
      </c>
      <c r="T2380" s="314">
        <v>0</v>
      </c>
      <c r="U2380" s="314">
        <v>1</v>
      </c>
      <c r="V2380" s="314">
        <v>1</v>
      </c>
      <c r="W2380" s="314">
        <v>0</v>
      </c>
      <c r="X2380" s="314">
        <v>1.5</v>
      </c>
      <c r="Y2380" s="19">
        <v>0</v>
      </c>
      <c r="Z2380" s="314">
        <v>0</v>
      </c>
      <c r="AA2380" s="314">
        <v>0</v>
      </c>
      <c r="AB2380" s="314">
        <v>0</v>
      </c>
      <c r="AC2380" s="314">
        <v>0</v>
      </c>
      <c r="AD2380" s="314">
        <v>0</v>
      </c>
      <c r="AE2380" s="314">
        <v>1</v>
      </c>
      <c r="AF2380" s="314">
        <v>10</v>
      </c>
      <c r="AG2380" s="314">
        <v>2</v>
      </c>
      <c r="AH2380" s="314" t="s">
        <v>1042</v>
      </c>
      <c r="AI2380" s="23">
        <v>0</v>
      </c>
      <c r="AJ2380" s="23">
        <v>2</v>
      </c>
      <c r="AK2380" s="23">
        <v>0</v>
      </c>
      <c r="AL2380" s="23">
        <v>1.5</v>
      </c>
      <c r="AM2380" s="314">
        <v>0</v>
      </c>
      <c r="AN2380" s="314">
        <v>0.5</v>
      </c>
      <c r="AO2380" s="314">
        <v>0</v>
      </c>
      <c r="AP2380" s="314">
        <v>1</v>
      </c>
      <c r="AQ2380" s="314">
        <v>1000</v>
      </c>
      <c r="AR2380" s="314">
        <v>0.2</v>
      </c>
      <c r="AS2380" s="314">
        <v>15</v>
      </c>
      <c r="AT2380" s="23">
        <v>0</v>
      </c>
      <c r="AU2380" s="376" t="s">
        <v>5668</v>
      </c>
      <c r="AV2380" s="316"/>
      <c r="AW2380" s="313" t="s">
        <v>205</v>
      </c>
      <c r="AX2380" s="314" t="s">
        <v>221</v>
      </c>
      <c r="AY2380" s="312">
        <v>0</v>
      </c>
      <c r="AZ2380" s="312">
        <v>0</v>
      </c>
      <c r="BA2380" s="321" t="s">
        <v>222</v>
      </c>
      <c r="BB2380" s="314">
        <v>0</v>
      </c>
      <c r="BC2380" s="315">
        <v>0</v>
      </c>
      <c r="BD2380" s="315">
        <v>0</v>
      </c>
      <c r="BE2380" s="320" t="s">
        <v>2444</v>
      </c>
      <c r="BF2380" s="320" t="s">
        <v>2445</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ht="19.5" customHeight="1">
      <c r="A2381" s="140"/>
      <c r="B2381" s="140"/>
      <c r="C2381" s="312">
        <v>77007006</v>
      </c>
      <c r="D2381" s="313" t="s">
        <v>2446</v>
      </c>
      <c r="E2381" s="313" t="s">
        <v>2447</v>
      </c>
      <c r="F2381" s="312">
        <v>1</v>
      </c>
      <c r="G2381" s="312">
        <v>0</v>
      </c>
      <c r="H2381" s="312">
        <v>0</v>
      </c>
      <c r="I2381" s="315">
        <v>0</v>
      </c>
      <c r="J2381" s="312">
        <v>1</v>
      </c>
      <c r="K2381" s="312">
        <v>0</v>
      </c>
      <c r="L2381" s="312">
        <v>0</v>
      </c>
      <c r="M2381" s="314">
        <v>0</v>
      </c>
      <c r="N2381" s="314">
        <v>0</v>
      </c>
      <c r="O2381" s="314">
        <v>2</v>
      </c>
      <c r="P2381" s="314">
        <v>3</v>
      </c>
      <c r="Q2381" s="314">
        <v>0.2</v>
      </c>
      <c r="R2381" s="314">
        <v>0</v>
      </c>
      <c r="S2381" s="23">
        <v>0</v>
      </c>
      <c r="T2381" s="314">
        <v>0</v>
      </c>
      <c r="U2381" s="314">
        <v>1</v>
      </c>
      <c r="V2381" s="314">
        <v>2</v>
      </c>
      <c r="W2381" s="314">
        <v>0</v>
      </c>
      <c r="X2381" s="314">
        <v>0</v>
      </c>
      <c r="Y2381" s="19">
        <v>0</v>
      </c>
      <c r="Z2381" s="314">
        <v>0</v>
      </c>
      <c r="AA2381" s="314">
        <v>1</v>
      </c>
      <c r="AB2381" s="314">
        <v>0</v>
      </c>
      <c r="AC2381" s="314">
        <v>0</v>
      </c>
      <c r="AD2381" s="314">
        <v>1</v>
      </c>
      <c r="AE2381" s="314">
        <v>1</v>
      </c>
      <c r="AF2381" s="314">
        <v>0</v>
      </c>
      <c r="AG2381" s="314">
        <v>1</v>
      </c>
      <c r="AH2381" s="314">
        <v>3</v>
      </c>
      <c r="AI2381" s="23">
        <v>0</v>
      </c>
      <c r="AJ2381" s="23">
        <v>1</v>
      </c>
      <c r="AK2381" s="23">
        <v>0</v>
      </c>
      <c r="AL2381" s="23">
        <v>3</v>
      </c>
      <c r="AM2381" s="314">
        <v>0</v>
      </c>
      <c r="AN2381" s="314">
        <v>0</v>
      </c>
      <c r="AO2381" s="314">
        <v>0</v>
      </c>
      <c r="AP2381" s="314">
        <v>0</v>
      </c>
      <c r="AQ2381" s="314">
        <v>500</v>
      </c>
      <c r="AR2381" s="314">
        <v>0</v>
      </c>
      <c r="AS2381" s="314">
        <v>0</v>
      </c>
      <c r="AT2381" s="23">
        <v>97050104</v>
      </c>
      <c r="AU2381" s="316">
        <v>0</v>
      </c>
      <c r="AV2381" s="316"/>
      <c r="AW2381" s="322" t="s">
        <v>204</v>
      </c>
      <c r="AX2381" s="314" t="s">
        <v>540</v>
      </c>
      <c r="AY2381" s="312">
        <v>0</v>
      </c>
      <c r="AZ2381" s="312">
        <v>0</v>
      </c>
      <c r="BA2381" s="313" t="s">
        <v>206</v>
      </c>
      <c r="BB2381" s="314">
        <v>0</v>
      </c>
      <c r="BC2381" s="315">
        <v>0</v>
      </c>
      <c r="BD2381" s="315">
        <v>0</v>
      </c>
      <c r="BE2381" s="320" t="s">
        <v>2399</v>
      </c>
      <c r="BF2381" s="320" t="s">
        <v>2400</v>
      </c>
      <c r="BG2381" s="314">
        <v>0</v>
      </c>
      <c r="BH2381" s="314">
        <v>0</v>
      </c>
      <c r="BI2381" s="314">
        <v>0</v>
      </c>
      <c r="BJ2381" s="314">
        <v>0</v>
      </c>
      <c r="BK2381" s="314">
        <v>0</v>
      </c>
      <c r="BL2381" s="314">
        <v>0</v>
      </c>
      <c r="BM2381" s="318">
        <v>0</v>
      </c>
      <c r="BN2381" s="23">
        <v>0</v>
      </c>
      <c r="BO2381" s="23">
        <v>0</v>
      </c>
      <c r="BP2381" s="23">
        <v>0</v>
      </c>
      <c r="BQ2381" s="23">
        <v>0</v>
      </c>
      <c r="BR2381" s="23">
        <v>0</v>
      </c>
      <c r="BS2381" s="23">
        <v>0</v>
      </c>
      <c r="BT2381" s="23">
        <v>0</v>
      </c>
      <c r="BU2381" s="23">
        <v>0</v>
      </c>
      <c r="BV2381" s="23"/>
      <c r="BW2381" s="23"/>
      <c r="BX2381" s="23"/>
      <c r="BY2381" s="23"/>
      <c r="BZ2381" s="23"/>
    </row>
    <row r="2382" spans="1:78" s="5" customFormat="1" ht="20.100000000000001" customHeight="1">
      <c r="C2382" s="312">
        <v>77007007</v>
      </c>
      <c r="D2382" s="323" t="s">
        <v>766</v>
      </c>
      <c r="E2382" s="324" t="s">
        <v>767</v>
      </c>
      <c r="F2382" s="325">
        <v>1</v>
      </c>
      <c r="G2382" s="325">
        <v>0</v>
      </c>
      <c r="H2382" s="326">
        <v>0</v>
      </c>
      <c r="I2382" s="327">
        <v>0</v>
      </c>
      <c r="J2382" s="328">
        <v>1</v>
      </c>
      <c r="K2382" s="328">
        <v>0</v>
      </c>
      <c r="L2382" s="328">
        <v>0</v>
      </c>
      <c r="M2382" s="326">
        <v>0</v>
      </c>
      <c r="N2382" s="326">
        <v>0</v>
      </c>
      <c r="O2382" s="326">
        <v>2</v>
      </c>
      <c r="P2382" s="326">
        <v>1</v>
      </c>
      <c r="Q2382" s="326">
        <v>0.2</v>
      </c>
      <c r="R2382" s="326">
        <v>0</v>
      </c>
      <c r="S2382" s="249">
        <v>0</v>
      </c>
      <c r="T2382" s="326">
        <v>0</v>
      </c>
      <c r="U2382" s="326">
        <v>1</v>
      </c>
      <c r="V2382" s="325">
        <v>1</v>
      </c>
      <c r="W2382" s="326">
        <v>0</v>
      </c>
      <c r="X2382" s="326">
        <v>1</v>
      </c>
      <c r="Y2382" s="19">
        <v>0</v>
      </c>
      <c r="Z2382" s="326">
        <v>150</v>
      </c>
      <c r="AA2382" s="326">
        <v>1</v>
      </c>
      <c r="AB2382" s="326">
        <v>0</v>
      </c>
      <c r="AC2382" s="326">
        <v>0</v>
      </c>
      <c r="AD2382" s="326">
        <v>0</v>
      </c>
      <c r="AE2382" s="326">
        <v>1</v>
      </c>
      <c r="AF2382" s="326">
        <v>12</v>
      </c>
      <c r="AG2382" s="326">
        <v>2</v>
      </c>
      <c r="AH2382" s="326" t="s">
        <v>219</v>
      </c>
      <c r="AI2382" s="249">
        <v>0</v>
      </c>
      <c r="AJ2382" s="249">
        <v>2</v>
      </c>
      <c r="AK2382" s="249">
        <v>0</v>
      </c>
      <c r="AL2382" s="249">
        <v>1.5</v>
      </c>
      <c r="AM2382" s="326">
        <v>0</v>
      </c>
      <c r="AN2382" s="326">
        <v>0</v>
      </c>
      <c r="AO2382" s="326">
        <v>0</v>
      </c>
      <c r="AP2382" s="326">
        <v>1.5</v>
      </c>
      <c r="AQ2382" s="326">
        <v>1600</v>
      </c>
      <c r="AR2382" s="326">
        <v>1</v>
      </c>
      <c r="AS2382" s="326">
        <v>15</v>
      </c>
      <c r="AT2382" s="249">
        <v>0</v>
      </c>
      <c r="AU2382" s="377" t="s">
        <v>5710</v>
      </c>
      <c r="AV2382" s="329"/>
      <c r="AW2382" s="323" t="s">
        <v>205</v>
      </c>
      <c r="AX2382" s="326" t="s">
        <v>221</v>
      </c>
      <c r="AY2382" s="328">
        <v>10000011</v>
      </c>
      <c r="AZ2382" s="328">
        <v>77005105</v>
      </c>
      <c r="BA2382" s="323" t="s">
        <v>222</v>
      </c>
      <c r="BB2382" s="326">
        <v>0</v>
      </c>
      <c r="BC2382" s="327">
        <v>0</v>
      </c>
      <c r="BD2382" s="327">
        <v>0</v>
      </c>
      <c r="BE2382" s="330" t="s">
        <v>2365</v>
      </c>
      <c r="BF2382" s="330" t="s">
        <v>2366</v>
      </c>
      <c r="BG2382" s="326">
        <v>0</v>
      </c>
      <c r="BH2382" s="326">
        <v>0</v>
      </c>
      <c r="BI2382" s="326">
        <v>0</v>
      </c>
      <c r="BJ2382" s="326">
        <v>0</v>
      </c>
      <c r="BK2382" s="326">
        <v>0</v>
      </c>
      <c r="BL2382" s="326">
        <v>0</v>
      </c>
      <c r="BM2382" s="325">
        <v>0</v>
      </c>
      <c r="BN2382" s="249">
        <v>0</v>
      </c>
      <c r="BO2382" s="249">
        <v>0</v>
      </c>
      <c r="BP2382" s="249">
        <v>0</v>
      </c>
      <c r="BQ2382" s="249">
        <v>0</v>
      </c>
      <c r="BR2382" s="249">
        <v>0</v>
      </c>
      <c r="BS2382" s="249">
        <v>0</v>
      </c>
      <c r="BT2382" s="249">
        <v>0</v>
      </c>
      <c r="BU2382" s="249">
        <v>0</v>
      </c>
      <c r="BV2382" s="23"/>
      <c r="BW2382" s="23"/>
      <c r="BX2382" s="23"/>
      <c r="BY2382" s="23"/>
      <c r="BZ2382" s="23"/>
    </row>
    <row r="2383" spans="1:78" ht="19.5" customHeight="1">
      <c r="A2383" s="140"/>
      <c r="B2383" s="140"/>
      <c r="C2383" s="74">
        <v>77008001</v>
      </c>
      <c r="D2383" s="71" t="s">
        <v>5711</v>
      </c>
      <c r="E2383" s="71" t="s">
        <v>5712</v>
      </c>
      <c r="F2383" s="72">
        <v>1</v>
      </c>
      <c r="G2383" s="72">
        <v>63021101</v>
      </c>
      <c r="H2383" s="72">
        <v>0</v>
      </c>
      <c r="I2383" s="75">
        <v>0</v>
      </c>
      <c r="J2383" s="74">
        <v>1</v>
      </c>
      <c r="K2383" s="72">
        <v>0</v>
      </c>
      <c r="L2383" s="72">
        <v>0</v>
      </c>
      <c r="M2383" s="72">
        <v>0</v>
      </c>
      <c r="N2383" s="72">
        <v>0</v>
      </c>
      <c r="O2383" s="72">
        <v>1</v>
      </c>
      <c r="P2383" s="72">
        <v>0</v>
      </c>
      <c r="Q2383" s="72">
        <v>0</v>
      </c>
      <c r="R2383" s="72">
        <v>0</v>
      </c>
      <c r="S2383" s="73">
        <v>0</v>
      </c>
      <c r="T2383" s="72">
        <v>0</v>
      </c>
      <c r="U2383" s="72">
        <v>1</v>
      </c>
      <c r="V2383" s="72">
        <v>1</v>
      </c>
      <c r="W2383" s="72">
        <v>0</v>
      </c>
      <c r="X2383" s="72">
        <v>3</v>
      </c>
      <c r="Y2383" s="19">
        <v>0</v>
      </c>
      <c r="Z2383" s="72">
        <v>0</v>
      </c>
      <c r="AA2383" s="72">
        <v>0</v>
      </c>
      <c r="AB2383" s="72">
        <v>0</v>
      </c>
      <c r="AC2383" s="72">
        <v>0</v>
      </c>
      <c r="AD2383" s="72">
        <v>0</v>
      </c>
      <c r="AE2383" s="72">
        <v>0</v>
      </c>
      <c r="AF2383" s="72">
        <v>16</v>
      </c>
      <c r="AG2383" s="72">
        <v>1</v>
      </c>
      <c r="AH2383" s="93">
        <v>2</v>
      </c>
      <c r="AI2383" s="73">
        <v>2</v>
      </c>
      <c r="AJ2383" s="73">
        <v>2</v>
      </c>
      <c r="AK2383" s="73">
        <v>0</v>
      </c>
      <c r="AL2383" s="73">
        <v>3</v>
      </c>
      <c r="AM2383" s="72">
        <v>0</v>
      </c>
      <c r="AN2383" s="72">
        <v>0</v>
      </c>
      <c r="AO2383" s="72">
        <v>0</v>
      </c>
      <c r="AP2383" s="72">
        <v>0.2</v>
      </c>
      <c r="AQ2383" s="72">
        <v>3000</v>
      </c>
      <c r="AR2383" s="72">
        <v>0.2</v>
      </c>
      <c r="AS2383" s="72">
        <v>8</v>
      </c>
      <c r="AT2383" s="73">
        <v>0</v>
      </c>
      <c r="AU2383" s="356" t="s">
        <v>5713</v>
      </c>
      <c r="AV2383" s="72"/>
      <c r="AW2383" s="71" t="s">
        <v>204</v>
      </c>
      <c r="AX2383" s="72" t="s">
        <v>540</v>
      </c>
      <c r="AY2383" s="74">
        <v>10000001</v>
      </c>
      <c r="AZ2383" s="74">
        <v>77005201</v>
      </c>
      <c r="BA2383" s="71" t="s">
        <v>592</v>
      </c>
      <c r="BB2383" s="72">
        <v>0</v>
      </c>
      <c r="BC2383" s="73">
        <v>0</v>
      </c>
      <c r="BD2383" s="73">
        <v>0</v>
      </c>
      <c r="BE2383" s="114" t="s">
        <v>5714</v>
      </c>
      <c r="BF2383" s="114" t="s">
        <v>5715</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77008002</v>
      </c>
      <c r="D2384" s="71" t="s">
        <v>5716</v>
      </c>
      <c r="E2384" s="160" t="s">
        <v>1202</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1</v>
      </c>
      <c r="Y2384" s="19">
        <v>0</v>
      </c>
      <c r="Z2384" s="72">
        <v>0</v>
      </c>
      <c r="AA2384" s="72">
        <v>0</v>
      </c>
      <c r="AB2384" s="72">
        <v>0</v>
      </c>
      <c r="AC2384" s="72">
        <v>0</v>
      </c>
      <c r="AD2384" s="72">
        <v>0</v>
      </c>
      <c r="AE2384" s="72">
        <v>0</v>
      </c>
      <c r="AF2384" s="72">
        <v>9</v>
      </c>
      <c r="AG2384" s="72">
        <v>1</v>
      </c>
      <c r="AH2384" s="72">
        <v>4</v>
      </c>
      <c r="AI2384" s="73">
        <v>2</v>
      </c>
      <c r="AJ2384" s="73">
        <v>1</v>
      </c>
      <c r="AK2384" s="73">
        <v>0</v>
      </c>
      <c r="AL2384" s="73">
        <v>8</v>
      </c>
      <c r="AM2384" s="72">
        <v>0</v>
      </c>
      <c r="AN2384" s="72">
        <v>0</v>
      </c>
      <c r="AO2384" s="72">
        <v>0</v>
      </c>
      <c r="AP2384" s="72">
        <v>0</v>
      </c>
      <c r="AQ2384" s="72">
        <v>6000</v>
      </c>
      <c r="AR2384" s="72">
        <v>0.2</v>
      </c>
      <c r="AS2384" s="72">
        <v>0</v>
      </c>
      <c r="AT2384" s="73">
        <v>0</v>
      </c>
      <c r="AU2384" s="334" t="s">
        <v>5668</v>
      </c>
      <c r="AV2384" s="93"/>
      <c r="AW2384" s="88" t="s">
        <v>204</v>
      </c>
      <c r="AX2384" s="72" t="s">
        <v>551</v>
      </c>
      <c r="AY2384" s="74">
        <v>10000001</v>
      </c>
      <c r="AZ2384" s="74">
        <v>77005203</v>
      </c>
      <c r="BA2384" s="71" t="s">
        <v>321</v>
      </c>
      <c r="BB2384" s="72">
        <v>1</v>
      </c>
      <c r="BC2384" s="75">
        <v>0</v>
      </c>
      <c r="BD2384" s="75">
        <v>0</v>
      </c>
      <c r="BE2384" s="76" t="s">
        <v>5717</v>
      </c>
      <c r="BF2384" s="76" t="s">
        <v>5718</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spans="1:78" ht="20.100000000000001" customHeight="1">
      <c r="A2385" s="140"/>
      <c r="B2385" s="140"/>
      <c r="C2385" s="74">
        <v>77008003</v>
      </c>
      <c r="D2385" s="71" t="s">
        <v>5719</v>
      </c>
      <c r="E2385" s="160" t="s">
        <v>5720</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2</v>
      </c>
      <c r="Y2385" s="19">
        <v>0</v>
      </c>
      <c r="Z2385" s="72">
        <v>0</v>
      </c>
      <c r="AA2385" s="72">
        <v>0</v>
      </c>
      <c r="AB2385" s="72">
        <v>0</v>
      </c>
      <c r="AC2385" s="72">
        <v>0</v>
      </c>
      <c r="AD2385" s="72">
        <v>0</v>
      </c>
      <c r="AE2385" s="72">
        <v>0</v>
      </c>
      <c r="AF2385" s="72">
        <v>12</v>
      </c>
      <c r="AG2385" s="72">
        <v>1</v>
      </c>
      <c r="AH2385" s="72">
        <v>4</v>
      </c>
      <c r="AI2385" s="73">
        <v>2</v>
      </c>
      <c r="AJ2385" s="73">
        <v>1</v>
      </c>
      <c r="AK2385" s="73">
        <v>0</v>
      </c>
      <c r="AL2385" s="73">
        <v>7</v>
      </c>
      <c r="AM2385" s="72">
        <v>0</v>
      </c>
      <c r="AN2385" s="72">
        <v>0</v>
      </c>
      <c r="AO2385" s="72">
        <v>0</v>
      </c>
      <c r="AP2385" s="74">
        <v>0.2</v>
      </c>
      <c r="AQ2385" s="72">
        <v>1000</v>
      </c>
      <c r="AR2385" s="72">
        <v>0.4</v>
      </c>
      <c r="AS2385" s="72">
        <v>0</v>
      </c>
      <c r="AT2385" s="73">
        <v>0</v>
      </c>
      <c r="AU2385" s="72">
        <v>97050203</v>
      </c>
      <c r="AV2385" s="72"/>
      <c r="AW2385" s="71" t="s">
        <v>204</v>
      </c>
      <c r="AX2385" s="72" t="s">
        <v>551</v>
      </c>
      <c r="AY2385" s="74">
        <v>0</v>
      </c>
      <c r="AZ2385" s="74">
        <v>77005207</v>
      </c>
      <c r="BA2385" s="71" t="s">
        <v>206</v>
      </c>
      <c r="BB2385" s="72">
        <v>0</v>
      </c>
      <c r="BC2385" s="75">
        <v>0</v>
      </c>
      <c r="BD2385" s="75">
        <v>0</v>
      </c>
      <c r="BE2385" s="76" t="s">
        <v>5721</v>
      </c>
      <c r="BF2385" s="76" t="s">
        <v>5722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342" t="s">
        <v>5723</v>
      </c>
      <c r="BV2385" s="23"/>
      <c r="BW2385" s="23"/>
      <c r="BX2385" s="23"/>
      <c r="BY2385" s="23"/>
      <c r="BZ2385" s="23"/>
    </row>
    <row r="2386" spans="1:78" ht="20.100000000000001" customHeight="1">
      <c r="A2386" s="140"/>
      <c r="B2386" s="140"/>
      <c r="C2386" s="74">
        <v>77008004</v>
      </c>
      <c r="D2386" s="71" t="s">
        <v>5724</v>
      </c>
      <c r="E2386" s="160" t="s">
        <v>5725</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0</v>
      </c>
      <c r="Y2386" s="19">
        <v>0</v>
      </c>
      <c r="Z2386" s="72">
        <v>0</v>
      </c>
      <c r="AA2386" s="72">
        <v>0</v>
      </c>
      <c r="AB2386" s="72">
        <v>0</v>
      </c>
      <c r="AC2386" s="72">
        <v>0</v>
      </c>
      <c r="AD2386" s="72">
        <v>0</v>
      </c>
      <c r="AE2386" s="72">
        <v>0</v>
      </c>
      <c r="AF2386" s="72">
        <v>24</v>
      </c>
      <c r="AG2386" s="72">
        <v>1</v>
      </c>
      <c r="AH2386" s="72">
        <v>3</v>
      </c>
      <c r="AI2386" s="73">
        <v>0</v>
      </c>
      <c r="AJ2386" s="73">
        <v>0</v>
      </c>
      <c r="AK2386" s="73">
        <v>0</v>
      </c>
      <c r="AL2386" s="73">
        <v>1.5</v>
      </c>
      <c r="AM2386" s="72">
        <v>0</v>
      </c>
      <c r="AN2386" s="72">
        <v>0</v>
      </c>
      <c r="AO2386" s="72">
        <v>0</v>
      </c>
      <c r="AP2386" s="74">
        <v>0.1</v>
      </c>
      <c r="AQ2386" s="72">
        <v>3000</v>
      </c>
      <c r="AR2386" s="72">
        <v>0.1</v>
      </c>
      <c r="AS2386" s="72">
        <v>0</v>
      </c>
      <c r="AT2386" s="73">
        <v>97050202</v>
      </c>
      <c r="AU2386" s="356" t="s">
        <v>204</v>
      </c>
      <c r="AV2386" s="72"/>
      <c r="AW2386" s="71" t="s">
        <v>204</v>
      </c>
      <c r="AX2386" s="72" t="s">
        <v>551</v>
      </c>
      <c r="AY2386" s="74">
        <v>0</v>
      </c>
      <c r="AZ2386" s="74">
        <v>77005204</v>
      </c>
      <c r="BA2386" s="71" t="s">
        <v>206</v>
      </c>
      <c r="BB2386" s="72">
        <v>0</v>
      </c>
      <c r="BC2386" s="75">
        <v>0</v>
      </c>
      <c r="BD2386" s="75">
        <v>0</v>
      </c>
      <c r="BE2386" s="76" t="s">
        <v>5726</v>
      </c>
      <c r="BF2386" s="76" t="s">
        <v>5727</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77008005</v>
      </c>
      <c r="D2387" s="71" t="s">
        <v>2397</v>
      </c>
      <c r="E2387" s="71" t="s">
        <v>2398</v>
      </c>
      <c r="F2387" s="74">
        <v>1</v>
      </c>
      <c r="G2387" s="74">
        <v>0</v>
      </c>
      <c r="H2387" s="74">
        <v>0</v>
      </c>
      <c r="I2387" s="75">
        <v>0</v>
      </c>
      <c r="J2387" s="74">
        <v>1</v>
      </c>
      <c r="K2387" s="74">
        <v>0</v>
      </c>
      <c r="L2387" s="74">
        <v>0</v>
      </c>
      <c r="M2387" s="72">
        <v>0</v>
      </c>
      <c r="N2387" s="72">
        <v>0</v>
      </c>
      <c r="O2387" s="72">
        <v>2</v>
      </c>
      <c r="P2387" s="72">
        <v>3</v>
      </c>
      <c r="Q2387" s="72">
        <v>0.2</v>
      </c>
      <c r="R2387" s="72">
        <v>0</v>
      </c>
      <c r="S2387" s="73">
        <v>0</v>
      </c>
      <c r="T2387" s="72">
        <v>0</v>
      </c>
      <c r="U2387" s="72">
        <v>1</v>
      </c>
      <c r="V2387" s="72">
        <v>2</v>
      </c>
      <c r="W2387" s="72">
        <v>0</v>
      </c>
      <c r="X2387" s="72">
        <v>2</v>
      </c>
      <c r="Y2387" s="19">
        <v>0</v>
      </c>
      <c r="Z2387" s="72">
        <v>0</v>
      </c>
      <c r="AA2387" s="72">
        <v>1</v>
      </c>
      <c r="AB2387" s="72">
        <v>0</v>
      </c>
      <c r="AC2387" s="72">
        <v>0</v>
      </c>
      <c r="AD2387" s="72">
        <v>1</v>
      </c>
      <c r="AE2387" s="72">
        <v>1</v>
      </c>
      <c r="AF2387" s="72">
        <v>0</v>
      </c>
      <c r="AG2387" s="72">
        <v>1</v>
      </c>
      <c r="AH2387" s="72">
        <v>3</v>
      </c>
      <c r="AI2387" s="73">
        <v>1</v>
      </c>
      <c r="AJ2387" s="73">
        <v>1</v>
      </c>
      <c r="AK2387" s="73">
        <v>0</v>
      </c>
      <c r="AL2387" s="73">
        <v>3</v>
      </c>
      <c r="AM2387" s="72">
        <v>0</v>
      </c>
      <c r="AN2387" s="72">
        <v>0</v>
      </c>
      <c r="AO2387" s="72">
        <v>0</v>
      </c>
      <c r="AP2387" s="72">
        <v>0</v>
      </c>
      <c r="AQ2387" s="72">
        <v>2000</v>
      </c>
      <c r="AR2387" s="72">
        <v>0.4</v>
      </c>
      <c r="AS2387" s="72">
        <v>0</v>
      </c>
      <c r="AT2387" s="73">
        <v>0</v>
      </c>
      <c r="AU2387" s="334" t="s">
        <v>5668</v>
      </c>
      <c r="AV2387" s="93"/>
      <c r="AW2387" s="88" t="s">
        <v>204</v>
      </c>
      <c r="AX2387" s="72" t="s">
        <v>540</v>
      </c>
      <c r="AY2387" s="74">
        <v>0</v>
      </c>
      <c r="AZ2387" s="74">
        <v>77005207</v>
      </c>
      <c r="BA2387" s="71" t="s">
        <v>206</v>
      </c>
      <c r="BB2387" s="72">
        <v>0</v>
      </c>
      <c r="BC2387" s="75">
        <v>0</v>
      </c>
      <c r="BD2387" s="75">
        <v>0</v>
      </c>
      <c r="BE2387" s="76" t="s">
        <v>2492</v>
      </c>
      <c r="BF2387" s="76" t="s">
        <v>2493</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19.5" customHeight="1">
      <c r="A2388" s="140"/>
      <c r="B2388" s="140"/>
      <c r="C2388" s="74">
        <v>77008006</v>
      </c>
      <c r="D2388" s="71" t="s">
        <v>2494</v>
      </c>
      <c r="E2388" s="71" t="s">
        <v>2495</v>
      </c>
      <c r="F2388" s="74">
        <v>1</v>
      </c>
      <c r="G2388" s="72">
        <v>0</v>
      </c>
      <c r="H2388" s="74">
        <v>0</v>
      </c>
      <c r="I2388" s="75">
        <v>0</v>
      </c>
      <c r="J2388" s="74">
        <v>1</v>
      </c>
      <c r="K2388" s="74">
        <v>0</v>
      </c>
      <c r="L2388" s="74">
        <v>0</v>
      </c>
      <c r="M2388" s="72">
        <v>0</v>
      </c>
      <c r="N2388" s="72">
        <v>0</v>
      </c>
      <c r="O2388" s="72">
        <v>2</v>
      </c>
      <c r="P2388" s="72">
        <v>16</v>
      </c>
      <c r="Q2388" s="72">
        <v>1</v>
      </c>
      <c r="R2388" s="72">
        <v>0</v>
      </c>
      <c r="S2388" s="73">
        <v>0</v>
      </c>
      <c r="T2388" s="72">
        <v>0</v>
      </c>
      <c r="U2388" s="72">
        <v>1</v>
      </c>
      <c r="V2388" s="72">
        <v>2</v>
      </c>
      <c r="W2388" s="72">
        <v>0</v>
      </c>
      <c r="X2388" s="72">
        <v>1.5</v>
      </c>
      <c r="Y2388" s="19">
        <v>0</v>
      </c>
      <c r="Z2388" s="72">
        <v>0</v>
      </c>
      <c r="AA2388" s="72">
        <v>0</v>
      </c>
      <c r="AB2388" s="72">
        <v>0</v>
      </c>
      <c r="AC2388" s="72">
        <v>0</v>
      </c>
      <c r="AD2388" s="72">
        <v>0</v>
      </c>
      <c r="AE2388" s="72">
        <v>1</v>
      </c>
      <c r="AF2388" s="72">
        <v>0</v>
      </c>
      <c r="AG2388" s="72">
        <v>1</v>
      </c>
      <c r="AH2388" s="72">
        <v>2</v>
      </c>
      <c r="AI2388" s="73">
        <v>0</v>
      </c>
      <c r="AJ2388" s="73">
        <v>2</v>
      </c>
      <c r="AK2388" s="73">
        <v>0</v>
      </c>
      <c r="AL2388" s="73">
        <v>2</v>
      </c>
      <c r="AM2388" s="72">
        <v>0</v>
      </c>
      <c r="AN2388" s="72">
        <v>0</v>
      </c>
      <c r="AO2388" s="72">
        <v>0</v>
      </c>
      <c r="AP2388" s="72">
        <v>0</v>
      </c>
      <c r="AQ2388" s="72">
        <v>5000</v>
      </c>
      <c r="AR2388" s="72">
        <v>0</v>
      </c>
      <c r="AS2388" s="72">
        <v>15</v>
      </c>
      <c r="AT2388" s="92">
        <v>0</v>
      </c>
      <c r="AU2388" s="334" t="s">
        <v>5668</v>
      </c>
      <c r="AV2388" s="93"/>
      <c r="AW2388" s="71" t="s">
        <v>204</v>
      </c>
      <c r="AX2388" s="72" t="s">
        <v>540</v>
      </c>
      <c r="AY2388" s="74">
        <v>10000007</v>
      </c>
      <c r="AZ2388" s="74">
        <v>77005205</v>
      </c>
      <c r="BA2388" s="71" t="s">
        <v>592</v>
      </c>
      <c r="BB2388" s="72" t="s">
        <v>2496</v>
      </c>
      <c r="BC2388" s="75">
        <v>0</v>
      </c>
      <c r="BD2388" s="75">
        <v>1</v>
      </c>
      <c r="BE2388" s="76" t="s">
        <v>2497</v>
      </c>
      <c r="BF2388" s="76" t="s">
        <v>2498</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s="1" customFormat="1" ht="19.5" customHeight="1">
      <c r="A2389" s="218"/>
      <c r="B2389" s="218"/>
      <c r="C2389" s="74">
        <v>77008007</v>
      </c>
      <c r="D2389" s="71" t="s">
        <v>2499</v>
      </c>
      <c r="E2389" s="71" t="s">
        <v>2500</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1.5</v>
      </c>
      <c r="Y2389" s="19">
        <v>0</v>
      </c>
      <c r="Z2389" s="72">
        <v>0</v>
      </c>
      <c r="AA2389" s="72">
        <v>1</v>
      </c>
      <c r="AB2389" s="72">
        <v>0</v>
      </c>
      <c r="AC2389" s="72">
        <v>0</v>
      </c>
      <c r="AD2389" s="72">
        <v>1</v>
      </c>
      <c r="AE2389" s="72">
        <v>1</v>
      </c>
      <c r="AF2389" s="72">
        <v>12</v>
      </c>
      <c r="AG2389" s="72">
        <v>1</v>
      </c>
      <c r="AH2389" s="72">
        <v>3</v>
      </c>
      <c r="AI2389" s="73">
        <v>1</v>
      </c>
      <c r="AJ2389" s="73">
        <v>1</v>
      </c>
      <c r="AK2389" s="73">
        <v>0</v>
      </c>
      <c r="AL2389" s="73">
        <v>3</v>
      </c>
      <c r="AM2389" s="72">
        <v>0</v>
      </c>
      <c r="AN2389" s="72">
        <v>0</v>
      </c>
      <c r="AO2389" s="72">
        <v>0</v>
      </c>
      <c r="AP2389" s="72">
        <v>0</v>
      </c>
      <c r="AQ2389" s="72">
        <v>2000</v>
      </c>
      <c r="AR2389" s="72">
        <v>0.3</v>
      </c>
      <c r="AS2389" s="72">
        <v>0</v>
      </c>
      <c r="AT2389" s="73">
        <v>0</v>
      </c>
      <c r="AU2389" s="334" t="s">
        <v>5728</v>
      </c>
      <c r="AV2389" s="93"/>
      <c r="AW2389" s="88" t="s">
        <v>204</v>
      </c>
      <c r="AX2389" s="72" t="s">
        <v>540</v>
      </c>
      <c r="AY2389" s="74">
        <v>0</v>
      </c>
      <c r="AZ2389" s="74">
        <v>77005202</v>
      </c>
      <c r="BA2389" s="71" t="s">
        <v>206</v>
      </c>
      <c r="BB2389" s="72">
        <v>0</v>
      </c>
      <c r="BC2389" s="75">
        <v>0</v>
      </c>
      <c r="BD2389" s="75">
        <v>0</v>
      </c>
      <c r="BE2389" s="76" t="s">
        <v>2399</v>
      </c>
      <c r="BF2389" s="76" t="s">
        <v>2400</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107">
        <v>77009001</v>
      </c>
      <c r="D2390" s="110" t="s">
        <v>2502</v>
      </c>
      <c r="E2390" s="110" t="s">
        <v>2503</v>
      </c>
      <c r="F2390" s="100">
        <v>1</v>
      </c>
      <c r="G2390" s="100">
        <v>63021101</v>
      </c>
      <c r="H2390" s="100">
        <v>0</v>
      </c>
      <c r="I2390" s="105">
        <v>0</v>
      </c>
      <c r="J2390" s="107">
        <v>1</v>
      </c>
      <c r="K2390" s="100">
        <v>0</v>
      </c>
      <c r="L2390" s="100">
        <v>0</v>
      </c>
      <c r="M2390" s="100">
        <v>0</v>
      </c>
      <c r="N2390" s="100">
        <v>0</v>
      </c>
      <c r="O2390" s="100">
        <v>1</v>
      </c>
      <c r="P2390" s="100">
        <v>0</v>
      </c>
      <c r="Q2390" s="100">
        <v>0</v>
      </c>
      <c r="R2390" s="100">
        <v>0</v>
      </c>
      <c r="S2390" s="99">
        <v>0</v>
      </c>
      <c r="T2390" s="100">
        <v>0</v>
      </c>
      <c r="U2390" s="100">
        <v>1</v>
      </c>
      <c r="V2390" s="100">
        <v>1</v>
      </c>
      <c r="W2390" s="100">
        <v>0</v>
      </c>
      <c r="X2390" s="100">
        <v>1</v>
      </c>
      <c r="Y2390" s="19">
        <v>0</v>
      </c>
      <c r="Z2390" s="100">
        <v>0</v>
      </c>
      <c r="AA2390" s="100">
        <v>0</v>
      </c>
      <c r="AB2390" s="100">
        <v>0</v>
      </c>
      <c r="AC2390" s="100">
        <v>0</v>
      </c>
      <c r="AD2390" s="100">
        <v>0</v>
      </c>
      <c r="AE2390" s="100">
        <v>0</v>
      </c>
      <c r="AF2390" s="100">
        <v>6</v>
      </c>
      <c r="AG2390" s="100">
        <v>1</v>
      </c>
      <c r="AH2390" s="118">
        <v>6</v>
      </c>
      <c r="AI2390" s="99">
        <v>2</v>
      </c>
      <c r="AJ2390" s="99">
        <v>1</v>
      </c>
      <c r="AK2390" s="99">
        <v>0</v>
      </c>
      <c r="AL2390" s="99">
        <v>8</v>
      </c>
      <c r="AM2390" s="100">
        <v>0</v>
      </c>
      <c r="AN2390" s="100">
        <v>0</v>
      </c>
      <c r="AO2390" s="100">
        <v>0</v>
      </c>
      <c r="AP2390" s="100">
        <v>0.2</v>
      </c>
      <c r="AQ2390" s="100">
        <v>5000</v>
      </c>
      <c r="AR2390" s="100">
        <v>0.2</v>
      </c>
      <c r="AS2390" s="100">
        <v>0</v>
      </c>
      <c r="AT2390" s="99">
        <v>0</v>
      </c>
      <c r="AU2390" s="100">
        <v>97050301</v>
      </c>
      <c r="AV2390" s="100"/>
      <c r="AW2390" s="110" t="s">
        <v>204</v>
      </c>
      <c r="AX2390" s="100" t="s">
        <v>540</v>
      </c>
      <c r="AY2390" s="107">
        <v>10000001</v>
      </c>
      <c r="AZ2390" s="107">
        <v>77005301</v>
      </c>
      <c r="BA2390" s="110" t="s">
        <v>2504</v>
      </c>
      <c r="BB2390" s="100" t="s">
        <v>5729</v>
      </c>
      <c r="BC2390" s="99">
        <v>0</v>
      </c>
      <c r="BD2390" s="99">
        <v>0</v>
      </c>
      <c r="BE2390" s="136" t="s">
        <v>5730</v>
      </c>
      <c r="BF2390" s="136" t="s">
        <v>5731</v>
      </c>
      <c r="BG2390" s="100">
        <v>0</v>
      </c>
      <c r="BH2390" s="100">
        <v>0</v>
      </c>
      <c r="BI2390" s="100">
        <v>0</v>
      </c>
      <c r="BJ2390" s="100">
        <v>0</v>
      </c>
      <c r="BK2390" s="100">
        <v>0</v>
      </c>
      <c r="BL2390" s="100">
        <v>0</v>
      </c>
      <c r="BM2390" s="97">
        <v>0</v>
      </c>
      <c r="BN2390" s="99">
        <v>0</v>
      </c>
      <c r="BO2390" s="99">
        <v>0</v>
      </c>
      <c r="BP2390" s="99">
        <v>0</v>
      </c>
      <c r="BQ2390" s="99">
        <v>0</v>
      </c>
      <c r="BR2390" s="99">
        <v>0</v>
      </c>
      <c r="BS2390" s="99">
        <v>0</v>
      </c>
      <c r="BT2390" s="99">
        <v>0</v>
      </c>
      <c r="BU2390" s="99">
        <v>0</v>
      </c>
      <c r="BV2390" s="23"/>
      <c r="BW2390" s="23"/>
      <c r="BX2390" s="23"/>
      <c r="BY2390" s="23"/>
      <c r="BZ2390" s="23"/>
    </row>
    <row r="2391" spans="1:78" ht="20.100000000000001" customHeight="1">
      <c r="A2391" s="140"/>
      <c r="B2391" s="140"/>
      <c r="C2391" s="107">
        <v>77009002</v>
      </c>
      <c r="D2391" s="110" t="s">
        <v>5732</v>
      </c>
      <c r="E2391" s="304" t="s">
        <v>5733</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3</v>
      </c>
      <c r="AJ2391" s="99">
        <v>0</v>
      </c>
      <c r="AK2391" s="99">
        <v>0</v>
      </c>
      <c r="AL2391" s="99">
        <v>1.5</v>
      </c>
      <c r="AM2391" s="100">
        <v>0</v>
      </c>
      <c r="AN2391" s="100">
        <v>0</v>
      </c>
      <c r="AO2391" s="100">
        <v>0</v>
      </c>
      <c r="AP2391" s="100">
        <v>0.2</v>
      </c>
      <c r="AQ2391" s="100">
        <v>2000</v>
      </c>
      <c r="AR2391" s="100">
        <v>0.4</v>
      </c>
      <c r="AS2391" s="100">
        <v>0</v>
      </c>
      <c r="AT2391" s="99">
        <v>0</v>
      </c>
      <c r="AU2391" s="339" t="s">
        <v>5734</v>
      </c>
      <c r="AV2391" s="118"/>
      <c r="AW2391" s="104" t="s">
        <v>204</v>
      </c>
      <c r="AX2391" s="100" t="s">
        <v>551</v>
      </c>
      <c r="AY2391" s="107">
        <v>10000001</v>
      </c>
      <c r="AZ2391" s="107">
        <v>77005302</v>
      </c>
      <c r="BA2391" s="110" t="s">
        <v>206</v>
      </c>
      <c r="BB2391" s="100" t="s">
        <v>5735</v>
      </c>
      <c r="BC2391" s="105">
        <v>0</v>
      </c>
      <c r="BD2391" s="105">
        <v>0</v>
      </c>
      <c r="BE2391" s="111" t="s">
        <v>5736</v>
      </c>
      <c r="BF2391" s="111" t="s">
        <v>5737</v>
      </c>
      <c r="BG2391" s="100">
        <v>0</v>
      </c>
      <c r="BH2391" s="100">
        <v>0</v>
      </c>
      <c r="BI2391" s="100">
        <v>0</v>
      </c>
      <c r="BJ2391" s="100">
        <v>0</v>
      </c>
      <c r="BK2391" s="100">
        <v>0</v>
      </c>
      <c r="BL2391" s="100">
        <v>0</v>
      </c>
      <c r="BM2391" s="97">
        <v>0</v>
      </c>
      <c r="BN2391" s="99">
        <v>0</v>
      </c>
      <c r="BO2391" s="99">
        <v>0</v>
      </c>
      <c r="BP2391" s="99">
        <v>0</v>
      </c>
      <c r="BQ2391" s="99">
        <v>0</v>
      </c>
      <c r="BR2391" s="99">
        <v>0</v>
      </c>
      <c r="BS2391" s="99">
        <v>1</v>
      </c>
      <c r="BT2391" s="99">
        <v>0</v>
      </c>
      <c r="BU2391" s="99">
        <v>0</v>
      </c>
      <c r="BV2391" s="23"/>
      <c r="BW2391" s="23"/>
      <c r="BX2391" s="23"/>
      <c r="BY2391" s="23"/>
      <c r="BZ2391" s="23"/>
    </row>
    <row r="2392" spans="1:78" ht="20.100000000000001" customHeight="1">
      <c r="A2392" s="140"/>
      <c r="B2392" s="140"/>
      <c r="C2392" s="107">
        <v>77009003</v>
      </c>
      <c r="D2392" s="110" t="s">
        <v>2513</v>
      </c>
      <c r="E2392" s="304" t="s">
        <v>2514</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77005303</v>
      </c>
      <c r="BA2392" s="110" t="s">
        <v>5738</v>
      </c>
      <c r="BB2392" s="100">
        <v>90005004</v>
      </c>
      <c r="BC2392" s="105">
        <v>0</v>
      </c>
      <c r="BD2392" s="105">
        <v>0</v>
      </c>
      <c r="BE2392" s="111" t="s">
        <v>5739</v>
      </c>
      <c r="BF2392" s="111" t="s">
        <v>5740</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77009004</v>
      </c>
      <c r="D2393" s="110" t="s">
        <v>2520</v>
      </c>
      <c r="E2393" s="304" t="s">
        <v>2521</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0</v>
      </c>
      <c r="BA2393" s="110" t="s">
        <v>2522</v>
      </c>
      <c r="BB2393" s="340" t="s">
        <v>5741</v>
      </c>
      <c r="BC2393" s="105">
        <v>0</v>
      </c>
      <c r="BD2393" s="105">
        <v>0</v>
      </c>
      <c r="BE2393" s="111" t="s">
        <v>5742</v>
      </c>
      <c r="BF2393" s="111" t="s">
        <v>5743</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77009005</v>
      </c>
      <c r="D2394" s="110" t="s">
        <v>606</v>
      </c>
      <c r="E2394" s="304" t="s">
        <v>607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t="s">
        <v>204</v>
      </c>
      <c r="AV2394" s="100"/>
      <c r="AW2394" s="110" t="s">
        <v>204</v>
      </c>
      <c r="AX2394" s="100" t="s">
        <v>551</v>
      </c>
      <c r="AY2394" s="107">
        <v>0</v>
      </c>
      <c r="AZ2394" s="107">
        <v>0</v>
      </c>
      <c r="BA2394" s="110" t="s">
        <v>2538</v>
      </c>
      <c r="BB2394" s="340" t="s">
        <v>5744</v>
      </c>
      <c r="BC2394" s="105">
        <v>0</v>
      </c>
      <c r="BD2394" s="105">
        <v>0</v>
      </c>
      <c r="BE2394" s="111" t="s">
        <v>2540</v>
      </c>
      <c r="BF2394" s="111" t="s">
        <v>2541</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s="2" customFormat="1" ht="20.100000000000001" customHeight="1">
      <c r="A2395" s="6"/>
      <c r="B2395" s="6"/>
      <c r="C2395" s="107">
        <v>77009006</v>
      </c>
      <c r="D2395" s="104" t="s">
        <v>2542</v>
      </c>
      <c r="E2395" s="104" t="s">
        <v>2543</v>
      </c>
      <c r="F2395" s="100">
        <v>1</v>
      </c>
      <c r="G2395" s="100">
        <v>0</v>
      </c>
      <c r="H2395" s="107">
        <v>0</v>
      </c>
      <c r="I2395" s="105">
        <v>0</v>
      </c>
      <c r="J2395" s="100">
        <v>1</v>
      </c>
      <c r="K2395" s="100">
        <v>0</v>
      </c>
      <c r="L2395" s="100">
        <v>0</v>
      </c>
      <c r="M2395" s="107">
        <v>0</v>
      </c>
      <c r="N2395" s="107">
        <v>0</v>
      </c>
      <c r="O2395" s="107">
        <v>2</v>
      </c>
      <c r="P2395" s="107">
        <v>16</v>
      </c>
      <c r="Q2395" s="107">
        <v>10</v>
      </c>
      <c r="R2395" s="107">
        <v>0</v>
      </c>
      <c r="S2395" s="99">
        <v>0</v>
      </c>
      <c r="T2395" s="105">
        <v>0</v>
      </c>
      <c r="U2395" s="100">
        <v>1</v>
      </c>
      <c r="V2395" s="107">
        <v>2</v>
      </c>
      <c r="W2395" s="107">
        <v>0</v>
      </c>
      <c r="X2395" s="107">
        <v>2.6</v>
      </c>
      <c r="Y2395" s="19">
        <v>0</v>
      </c>
      <c r="Z2395" s="107">
        <v>0</v>
      </c>
      <c r="AA2395" s="107">
        <v>1</v>
      </c>
      <c r="AB2395" s="107">
        <v>0</v>
      </c>
      <c r="AC2395" s="107">
        <v>0</v>
      </c>
      <c r="AD2395" s="107">
        <v>0</v>
      </c>
      <c r="AE2395" s="107">
        <v>0</v>
      </c>
      <c r="AF2395" s="107">
        <v>0</v>
      </c>
      <c r="AG2395" s="107">
        <v>2</v>
      </c>
      <c r="AH2395" s="107" t="s">
        <v>219</v>
      </c>
      <c r="AI2395" s="99">
        <v>0</v>
      </c>
      <c r="AJ2395" s="99">
        <v>2</v>
      </c>
      <c r="AK2395" s="99">
        <v>0</v>
      </c>
      <c r="AL2395" s="99">
        <v>3</v>
      </c>
      <c r="AM2395" s="107">
        <v>0</v>
      </c>
      <c r="AN2395" s="107">
        <v>0</v>
      </c>
      <c r="AO2395" s="107">
        <v>0</v>
      </c>
      <c r="AP2395" s="107">
        <v>1</v>
      </c>
      <c r="AQ2395" s="107">
        <v>2000</v>
      </c>
      <c r="AR2395" s="107">
        <v>1</v>
      </c>
      <c r="AS2395" s="107">
        <v>0</v>
      </c>
      <c r="AT2395" s="99">
        <v>0</v>
      </c>
      <c r="AU2395" s="107">
        <v>97050303</v>
      </c>
      <c r="AV2395" s="107"/>
      <c r="AW2395" s="104" t="s">
        <v>293</v>
      </c>
      <c r="AX2395" s="107" t="s">
        <v>540</v>
      </c>
      <c r="AY2395" s="107">
        <v>10000015</v>
      </c>
      <c r="AZ2395" s="107">
        <v>77005304</v>
      </c>
      <c r="BA2395" s="110" t="s">
        <v>206</v>
      </c>
      <c r="BB2395" s="104">
        <v>0</v>
      </c>
      <c r="BC2395" s="105">
        <v>0</v>
      </c>
      <c r="BD2395" s="105">
        <v>0</v>
      </c>
      <c r="BE2395" s="139" t="s">
        <v>2544</v>
      </c>
      <c r="BF2395" s="139" t="s">
        <v>2545</v>
      </c>
      <c r="BG2395" s="107">
        <v>0</v>
      </c>
      <c r="BH2395" s="100">
        <v>0</v>
      </c>
      <c r="BI2395" s="107">
        <v>0</v>
      </c>
      <c r="BJ2395" s="107">
        <v>0</v>
      </c>
      <c r="BK2395" s="107">
        <v>0</v>
      </c>
      <c r="BL2395" s="107">
        <v>0</v>
      </c>
      <c r="BM2395" s="97">
        <v>0</v>
      </c>
      <c r="BN2395" s="99">
        <v>1</v>
      </c>
      <c r="BO2395" s="99">
        <v>0</v>
      </c>
      <c r="BP2395" s="99">
        <v>0</v>
      </c>
      <c r="BQ2395" s="99">
        <v>0</v>
      </c>
      <c r="BR2395" s="99">
        <v>0</v>
      </c>
      <c r="BS2395" s="99">
        <v>0</v>
      </c>
      <c r="BT2395" s="99">
        <v>0</v>
      </c>
      <c r="BU2395" s="99">
        <v>0</v>
      </c>
      <c r="BV2395" s="23"/>
      <c r="BW2395" s="23"/>
      <c r="BX2395" s="23"/>
      <c r="BY2395" s="23"/>
      <c r="BZ2395" s="23"/>
    </row>
    <row r="2396" spans="1:78" ht="19.5" customHeight="1">
      <c r="A2396" s="140"/>
      <c r="B2396" s="140"/>
      <c r="C2396" s="107">
        <v>77009007</v>
      </c>
      <c r="D2396" s="110" t="s">
        <v>1271</v>
      </c>
      <c r="E2396" s="110" t="s">
        <v>1272</v>
      </c>
      <c r="F2396" s="100">
        <v>1</v>
      </c>
      <c r="G2396" s="100">
        <v>0</v>
      </c>
      <c r="H2396" s="100">
        <v>0</v>
      </c>
      <c r="I2396" s="105">
        <v>0</v>
      </c>
      <c r="J2396" s="107">
        <v>1</v>
      </c>
      <c r="K2396" s="107">
        <v>0</v>
      </c>
      <c r="L2396" s="107">
        <v>0</v>
      </c>
      <c r="M2396" s="100">
        <v>0</v>
      </c>
      <c r="N2396" s="100">
        <v>0</v>
      </c>
      <c r="O2396" s="100">
        <v>2</v>
      </c>
      <c r="P2396" s="100">
        <v>1</v>
      </c>
      <c r="Q2396" s="100">
        <v>0.2</v>
      </c>
      <c r="R2396" s="100">
        <v>0</v>
      </c>
      <c r="S2396" s="99">
        <v>0</v>
      </c>
      <c r="T2396" s="100">
        <v>0</v>
      </c>
      <c r="U2396" s="100">
        <v>1</v>
      </c>
      <c r="V2396" s="100">
        <v>1</v>
      </c>
      <c r="W2396" s="100">
        <v>0</v>
      </c>
      <c r="X2396" s="100">
        <v>0</v>
      </c>
      <c r="Y2396" s="19">
        <v>0</v>
      </c>
      <c r="Z2396" s="100">
        <v>0</v>
      </c>
      <c r="AA2396" s="100">
        <v>1</v>
      </c>
      <c r="AB2396" s="100">
        <v>0</v>
      </c>
      <c r="AC2396" s="100">
        <v>0</v>
      </c>
      <c r="AD2396" s="100">
        <v>0</v>
      </c>
      <c r="AE2396" s="100">
        <v>1</v>
      </c>
      <c r="AF2396" s="100">
        <v>12</v>
      </c>
      <c r="AG2396" s="100">
        <v>2</v>
      </c>
      <c r="AH2396" s="100" t="s">
        <v>219</v>
      </c>
      <c r="AI2396" s="99">
        <v>0</v>
      </c>
      <c r="AJ2396" s="99">
        <v>2</v>
      </c>
      <c r="AK2396" s="99">
        <v>0</v>
      </c>
      <c r="AL2396" s="99">
        <v>1.5</v>
      </c>
      <c r="AM2396" s="100">
        <v>0</v>
      </c>
      <c r="AN2396" s="100">
        <v>0</v>
      </c>
      <c r="AO2396" s="100">
        <v>0</v>
      </c>
      <c r="AP2396" s="100">
        <v>0.3</v>
      </c>
      <c r="AQ2396" s="100">
        <v>300</v>
      </c>
      <c r="AR2396" s="100">
        <v>0</v>
      </c>
      <c r="AS2396" s="100">
        <v>15</v>
      </c>
      <c r="AT2396" s="99">
        <v>0</v>
      </c>
      <c r="AU2396" s="118">
        <v>0</v>
      </c>
      <c r="AV2396" s="118"/>
      <c r="AW2396" s="110" t="s">
        <v>204</v>
      </c>
      <c r="AX2396" s="100" t="s">
        <v>221</v>
      </c>
      <c r="AY2396" s="107">
        <v>0</v>
      </c>
      <c r="AZ2396" s="107">
        <v>0</v>
      </c>
      <c r="BA2396" s="137" t="s">
        <v>222</v>
      </c>
      <c r="BB2396" s="100">
        <v>1</v>
      </c>
      <c r="BC2396" s="105">
        <v>0</v>
      </c>
      <c r="BD2396" s="105">
        <v>0</v>
      </c>
      <c r="BE2396" s="111" t="s">
        <v>2546</v>
      </c>
      <c r="BF2396" s="111" t="s">
        <v>2547</v>
      </c>
      <c r="BG2396" s="100">
        <v>0</v>
      </c>
      <c r="BH2396" s="100">
        <v>0</v>
      </c>
      <c r="BI2396" s="100">
        <v>0</v>
      </c>
      <c r="BJ2396" s="100">
        <v>0</v>
      </c>
      <c r="BK2396" s="100">
        <v>0</v>
      </c>
      <c r="BL2396" s="100">
        <v>0</v>
      </c>
      <c r="BM2396" s="97">
        <v>0</v>
      </c>
      <c r="BN2396" s="99">
        <v>0</v>
      </c>
      <c r="BO2396" s="99">
        <v>0</v>
      </c>
      <c r="BP2396" s="99">
        <v>0</v>
      </c>
      <c r="BQ2396" s="99">
        <v>0</v>
      </c>
      <c r="BR2396" s="99">
        <v>0</v>
      </c>
      <c r="BS2396" s="99">
        <v>1</v>
      </c>
      <c r="BT2396" s="99">
        <v>77009008</v>
      </c>
      <c r="BU2396" s="99">
        <v>0</v>
      </c>
      <c r="BV2396" s="23"/>
      <c r="BW2396" s="23"/>
      <c r="BX2396" s="23"/>
      <c r="BY2396" s="23"/>
      <c r="BZ2396" s="23"/>
    </row>
    <row r="2397" spans="1:78" ht="19.5" customHeight="1">
      <c r="A2397" s="140"/>
      <c r="B2397" s="140"/>
      <c r="C2397" s="107">
        <v>77009008</v>
      </c>
      <c r="D2397" s="104" t="s">
        <v>1271</v>
      </c>
      <c r="E2397" s="104" t="s">
        <v>1272</v>
      </c>
      <c r="F2397" s="100">
        <v>1</v>
      </c>
      <c r="G2397" s="100">
        <v>0</v>
      </c>
      <c r="H2397" s="107">
        <v>0</v>
      </c>
      <c r="I2397" s="105">
        <v>0</v>
      </c>
      <c r="J2397" s="100">
        <v>1</v>
      </c>
      <c r="K2397" s="100">
        <v>0</v>
      </c>
      <c r="L2397" s="100">
        <v>0</v>
      </c>
      <c r="M2397" s="107">
        <v>0</v>
      </c>
      <c r="N2397" s="107">
        <v>0</v>
      </c>
      <c r="O2397" s="107">
        <v>2</v>
      </c>
      <c r="P2397" s="107">
        <v>1</v>
      </c>
      <c r="Q2397" s="107">
        <v>1</v>
      </c>
      <c r="R2397" s="107">
        <v>0</v>
      </c>
      <c r="S2397" s="99">
        <v>0</v>
      </c>
      <c r="T2397" s="105">
        <v>0</v>
      </c>
      <c r="U2397" s="100">
        <v>1</v>
      </c>
      <c r="V2397" s="107">
        <v>1</v>
      </c>
      <c r="W2397" s="107">
        <v>0</v>
      </c>
      <c r="X2397" s="107">
        <v>1.5</v>
      </c>
      <c r="Y2397" s="19">
        <v>0</v>
      </c>
      <c r="Z2397" s="107">
        <v>0</v>
      </c>
      <c r="AA2397" s="107">
        <v>1</v>
      </c>
      <c r="AB2397" s="107">
        <v>0</v>
      </c>
      <c r="AC2397" s="107">
        <v>0</v>
      </c>
      <c r="AD2397" s="107">
        <v>0</v>
      </c>
      <c r="AE2397" s="107">
        <v>0</v>
      </c>
      <c r="AF2397" s="107">
        <v>0</v>
      </c>
      <c r="AG2397" s="107">
        <v>1</v>
      </c>
      <c r="AH2397" s="138">
        <v>4</v>
      </c>
      <c r="AI2397" s="99">
        <v>0</v>
      </c>
      <c r="AJ2397" s="99">
        <v>1</v>
      </c>
      <c r="AK2397" s="99">
        <v>0</v>
      </c>
      <c r="AL2397" s="99">
        <v>5</v>
      </c>
      <c r="AM2397" s="107">
        <v>0</v>
      </c>
      <c r="AN2397" s="107">
        <v>1</v>
      </c>
      <c r="AO2397" s="107">
        <v>0</v>
      </c>
      <c r="AP2397" s="107">
        <v>0.6</v>
      </c>
      <c r="AQ2397" s="107">
        <v>2000</v>
      </c>
      <c r="AR2397" s="107">
        <v>0.6</v>
      </c>
      <c r="AS2397" s="107">
        <v>0</v>
      </c>
      <c r="AT2397" s="99">
        <v>0</v>
      </c>
      <c r="AU2397" s="107">
        <v>97050301</v>
      </c>
      <c r="AV2397" s="107"/>
      <c r="AW2397" s="104" t="s">
        <v>293</v>
      </c>
      <c r="AX2397" s="107" t="s">
        <v>551</v>
      </c>
      <c r="AY2397" s="107">
        <v>10001005</v>
      </c>
      <c r="AZ2397" s="107">
        <v>77005305</v>
      </c>
      <c r="BA2397" s="104" t="s">
        <v>206</v>
      </c>
      <c r="BB2397" s="104">
        <v>0</v>
      </c>
      <c r="BC2397" s="105">
        <v>0</v>
      </c>
      <c r="BD2397" s="105">
        <v>0</v>
      </c>
      <c r="BE2397" s="139" t="s">
        <v>1275</v>
      </c>
      <c r="BF2397" s="139" t="s">
        <v>1276</v>
      </c>
      <c r="BG2397" s="107">
        <v>0</v>
      </c>
      <c r="BH2397" s="100">
        <v>0</v>
      </c>
      <c r="BI2397" s="107">
        <v>0</v>
      </c>
      <c r="BJ2397" s="107">
        <v>0</v>
      </c>
      <c r="BK2397" s="107">
        <v>0</v>
      </c>
      <c r="BL2397" s="107">
        <v>0</v>
      </c>
      <c r="BM2397" s="97">
        <v>0</v>
      </c>
      <c r="BN2397" s="99">
        <v>0</v>
      </c>
      <c r="BO2397" s="99">
        <v>0</v>
      </c>
      <c r="BP2397" s="99">
        <v>0</v>
      </c>
      <c r="BQ2397" s="99">
        <v>0</v>
      </c>
      <c r="BR2397" s="99">
        <v>0</v>
      </c>
      <c r="BS2397" s="99">
        <v>0</v>
      </c>
      <c r="BT2397" s="99">
        <v>0</v>
      </c>
      <c r="BU2397" s="99">
        <v>0</v>
      </c>
      <c r="BV2397" s="23"/>
      <c r="BW2397" s="23"/>
      <c r="BX2397" s="23"/>
      <c r="BY2397" s="23"/>
      <c r="BZ2397" s="23"/>
    </row>
    <row r="2398" spans="1:78" ht="20.100000000000001" customHeight="1">
      <c r="A2398" s="140"/>
      <c r="B2398" s="140"/>
      <c r="C2398" s="74">
        <v>77010001</v>
      </c>
      <c r="D2398" s="71" t="s">
        <v>3207</v>
      </c>
      <c r="E2398" s="160" t="s">
        <v>3208</v>
      </c>
      <c r="F2398" s="90">
        <v>1</v>
      </c>
      <c r="G2398" s="72">
        <v>63021101</v>
      </c>
      <c r="H2398" s="74">
        <v>0</v>
      </c>
      <c r="I2398" s="75">
        <v>0</v>
      </c>
      <c r="J2398" s="74">
        <v>1</v>
      </c>
      <c r="K2398" s="72">
        <v>0</v>
      </c>
      <c r="L2398" s="74">
        <v>0</v>
      </c>
      <c r="M2398" s="72">
        <v>0</v>
      </c>
      <c r="N2398" s="72">
        <v>0</v>
      </c>
      <c r="O2398" s="72">
        <v>2</v>
      </c>
      <c r="P2398" s="72">
        <v>7</v>
      </c>
      <c r="Q2398" s="72">
        <v>0.15</v>
      </c>
      <c r="R2398" s="72">
        <v>0</v>
      </c>
      <c r="S2398" s="73">
        <v>0</v>
      </c>
      <c r="T2398" s="72">
        <v>0</v>
      </c>
      <c r="U2398" s="72">
        <v>1</v>
      </c>
      <c r="V2398" s="72">
        <v>1</v>
      </c>
      <c r="W2398" s="72">
        <v>0</v>
      </c>
      <c r="X2398" s="72">
        <v>0</v>
      </c>
      <c r="Y2398" s="19">
        <v>0</v>
      </c>
      <c r="Z2398" s="72">
        <v>0</v>
      </c>
      <c r="AA2398" s="72">
        <v>0</v>
      </c>
      <c r="AB2398" s="72">
        <v>0</v>
      </c>
      <c r="AC2398" s="72">
        <v>0</v>
      </c>
      <c r="AD2398" s="72">
        <v>0</v>
      </c>
      <c r="AE2398" s="72">
        <v>0</v>
      </c>
      <c r="AF2398" s="72">
        <v>0</v>
      </c>
      <c r="AG2398" s="72">
        <v>0</v>
      </c>
      <c r="AH2398" s="72">
        <v>0</v>
      </c>
      <c r="AI2398" s="73">
        <v>0</v>
      </c>
      <c r="AJ2398" s="73">
        <v>0</v>
      </c>
      <c r="AK2398" s="73">
        <v>0</v>
      </c>
      <c r="AL2398" s="73">
        <v>1.5</v>
      </c>
      <c r="AM2398" s="72">
        <v>0</v>
      </c>
      <c r="AN2398" s="72">
        <v>0</v>
      </c>
      <c r="AO2398" s="72">
        <v>0</v>
      </c>
      <c r="AP2398" s="74">
        <v>0</v>
      </c>
      <c r="AQ2398" s="72">
        <v>3000</v>
      </c>
      <c r="AR2398" s="72">
        <v>0</v>
      </c>
      <c r="AS2398" s="72">
        <v>0</v>
      </c>
      <c r="AT2398" s="73">
        <v>0</v>
      </c>
      <c r="AU2398" s="72">
        <v>97050401</v>
      </c>
      <c r="AV2398" s="72"/>
      <c r="AW2398" s="71" t="s">
        <v>204</v>
      </c>
      <c r="AX2398" s="72" t="s">
        <v>551</v>
      </c>
      <c r="AY2398" s="74">
        <v>0</v>
      </c>
      <c r="AZ2398" s="74">
        <v>0</v>
      </c>
      <c r="BA2398" s="71" t="s">
        <v>206</v>
      </c>
      <c r="BB2398" s="72">
        <v>0</v>
      </c>
      <c r="BC2398" s="75">
        <v>0</v>
      </c>
      <c r="BD2398" s="75">
        <v>0</v>
      </c>
      <c r="BE2398" s="76" t="s">
        <v>5745</v>
      </c>
      <c r="BF2398" s="76" t="s">
        <v>5746</v>
      </c>
      <c r="BG2398" s="72">
        <v>0</v>
      </c>
      <c r="BH2398" s="72">
        <v>0</v>
      </c>
      <c r="BI2398" s="72">
        <v>0</v>
      </c>
      <c r="BJ2398" s="72">
        <v>0</v>
      </c>
      <c r="BK2398" s="72">
        <v>0</v>
      </c>
      <c r="BL2398" s="72">
        <v>0</v>
      </c>
      <c r="BM2398" s="90">
        <v>0</v>
      </c>
      <c r="BN2398" s="73">
        <v>0</v>
      </c>
      <c r="BO2398" s="73">
        <v>0</v>
      </c>
      <c r="BP2398" s="73">
        <v>0</v>
      </c>
      <c r="BQ2398" s="73">
        <v>0</v>
      </c>
      <c r="BR2398" s="73">
        <v>0</v>
      </c>
      <c r="BS2398" s="73">
        <v>0</v>
      </c>
      <c r="BT2398" s="73">
        <v>0</v>
      </c>
      <c r="BU2398" s="23">
        <v>0</v>
      </c>
      <c r="BV2398" s="23"/>
      <c r="BW2398" s="23"/>
      <c r="BX2398" s="23"/>
      <c r="BY2398" s="23"/>
      <c r="BZ2398" s="23"/>
    </row>
    <row r="2399" spans="1:78" ht="20.100000000000001" customHeight="1">
      <c r="C2399" s="74">
        <v>77010111</v>
      </c>
      <c r="D2399" s="71" t="s">
        <v>5747</v>
      </c>
      <c r="E2399" s="71" t="s">
        <v>4198</v>
      </c>
      <c r="F2399" s="21">
        <v>1</v>
      </c>
      <c r="G2399" s="74">
        <v>90002001</v>
      </c>
      <c r="H2399" s="72">
        <v>0</v>
      </c>
      <c r="I2399" s="31">
        <v>0</v>
      </c>
      <c r="J2399" s="32">
        <v>1</v>
      </c>
      <c r="K2399" s="32">
        <v>0</v>
      </c>
      <c r="L2399" s="32">
        <v>0</v>
      </c>
      <c r="M2399" s="72">
        <v>0</v>
      </c>
      <c r="N2399" s="72">
        <v>0</v>
      </c>
      <c r="O2399" s="72">
        <v>1</v>
      </c>
      <c r="P2399" s="72">
        <v>0</v>
      </c>
      <c r="Q2399" s="72">
        <v>0</v>
      </c>
      <c r="R2399" s="72">
        <v>0</v>
      </c>
      <c r="S2399" s="19">
        <v>0</v>
      </c>
      <c r="T2399" s="72">
        <v>0</v>
      </c>
      <c r="U2399" s="21">
        <v>1</v>
      </c>
      <c r="V2399" s="72">
        <v>1</v>
      </c>
      <c r="W2399" s="72">
        <v>0</v>
      </c>
      <c r="X2399" s="72">
        <v>4</v>
      </c>
      <c r="Y2399" s="19">
        <v>0</v>
      </c>
      <c r="Z2399" s="72">
        <v>0</v>
      </c>
      <c r="AA2399" s="72">
        <v>0</v>
      </c>
      <c r="AB2399" s="72">
        <v>0</v>
      </c>
      <c r="AC2399" s="72">
        <v>0</v>
      </c>
      <c r="AD2399" s="72">
        <v>0</v>
      </c>
      <c r="AE2399" s="72">
        <v>0</v>
      </c>
      <c r="AF2399" s="72">
        <v>20</v>
      </c>
      <c r="AG2399" s="72">
        <v>2</v>
      </c>
      <c r="AH2399" s="72" t="s">
        <v>633</v>
      </c>
      <c r="AI2399" s="19">
        <v>0</v>
      </c>
      <c r="AJ2399" s="19">
        <v>2</v>
      </c>
      <c r="AK2399" s="19">
        <v>0</v>
      </c>
      <c r="AL2399" s="73">
        <v>3</v>
      </c>
      <c r="AM2399" s="72">
        <v>0</v>
      </c>
      <c r="AN2399" s="72">
        <v>0</v>
      </c>
      <c r="AO2399" s="72">
        <v>10</v>
      </c>
      <c r="AP2399" s="72">
        <v>10.1</v>
      </c>
      <c r="AQ2399" s="72">
        <v>10000</v>
      </c>
      <c r="AR2399" s="72">
        <v>0</v>
      </c>
      <c r="AS2399" s="72">
        <v>0</v>
      </c>
      <c r="AT2399" s="19">
        <v>0</v>
      </c>
      <c r="AU2399" s="72">
        <v>0</v>
      </c>
      <c r="AV2399" s="72"/>
      <c r="AW2399" s="71" t="s">
        <v>293</v>
      </c>
      <c r="AX2399" s="21">
        <v>0</v>
      </c>
      <c r="AY2399" s="74">
        <v>0</v>
      </c>
      <c r="AZ2399" s="32">
        <v>77010111</v>
      </c>
      <c r="BA2399" s="71" t="s">
        <v>2594</v>
      </c>
      <c r="BB2399" s="72">
        <v>60</v>
      </c>
      <c r="BC2399" s="75">
        <v>0</v>
      </c>
      <c r="BD2399" s="75">
        <v>0</v>
      </c>
      <c r="BE2399" s="76" t="s">
        <v>636</v>
      </c>
      <c r="BF2399" s="76" t="s">
        <v>637</v>
      </c>
      <c r="BG2399" s="72">
        <v>0</v>
      </c>
      <c r="BH2399" s="21">
        <v>0</v>
      </c>
      <c r="BI2399" s="72">
        <v>0</v>
      </c>
      <c r="BJ2399" s="72">
        <v>0</v>
      </c>
      <c r="BK2399" s="72">
        <v>0</v>
      </c>
      <c r="BL2399" s="72">
        <v>0</v>
      </c>
      <c r="BM2399" s="21">
        <v>0</v>
      </c>
      <c r="BN2399" s="19">
        <v>0</v>
      </c>
      <c r="BO2399" s="19">
        <v>0</v>
      </c>
      <c r="BP2399" s="19">
        <v>0</v>
      </c>
      <c r="BQ2399" s="19">
        <v>0</v>
      </c>
      <c r="BR2399" s="19">
        <v>0</v>
      </c>
      <c r="BS2399" s="19">
        <v>0</v>
      </c>
      <c r="BT2399" s="19">
        <v>0</v>
      </c>
      <c r="BU2399" s="23">
        <v>0</v>
      </c>
      <c r="BV2399" s="23"/>
      <c r="BW2399" s="23"/>
      <c r="BX2399" s="23"/>
      <c r="BY2399" s="23"/>
      <c r="BZ2399" s="23"/>
    </row>
    <row r="2400" spans="1:78" s="1" customFormat="1" ht="20.100000000000001" customHeight="1">
      <c r="C2400" s="72">
        <v>77010200</v>
      </c>
      <c r="D2400" s="71" t="s">
        <v>5748</v>
      </c>
      <c r="E2400" s="71" t="s">
        <v>1443</v>
      </c>
      <c r="F2400" s="72">
        <v>0</v>
      </c>
      <c r="G2400" s="72">
        <v>62011301</v>
      </c>
      <c r="H2400" s="72">
        <v>0</v>
      </c>
      <c r="I2400" s="75">
        <v>0</v>
      </c>
      <c r="J2400" s="72">
        <v>10</v>
      </c>
      <c r="K2400" s="72">
        <v>3</v>
      </c>
      <c r="L2400" s="72">
        <v>0</v>
      </c>
      <c r="M2400" s="72">
        <v>0</v>
      </c>
      <c r="N2400" s="72">
        <v>0</v>
      </c>
      <c r="O2400" s="72">
        <v>1</v>
      </c>
      <c r="P2400" s="72">
        <v>0</v>
      </c>
      <c r="Q2400" s="72">
        <v>0</v>
      </c>
      <c r="R2400" s="72">
        <v>0</v>
      </c>
      <c r="S2400" s="73">
        <v>0</v>
      </c>
      <c r="T2400" s="72">
        <v>0</v>
      </c>
      <c r="U2400" s="72">
        <v>1</v>
      </c>
      <c r="V2400" s="72">
        <v>2</v>
      </c>
      <c r="W2400" s="72">
        <v>0</v>
      </c>
      <c r="X2400" s="72">
        <v>3</v>
      </c>
      <c r="Y2400" s="19">
        <v>0</v>
      </c>
      <c r="Z2400" s="72">
        <v>350</v>
      </c>
      <c r="AA2400" s="72">
        <v>1</v>
      </c>
      <c r="AB2400" s="72">
        <v>0</v>
      </c>
      <c r="AC2400" s="72">
        <v>0</v>
      </c>
      <c r="AD2400" s="72">
        <v>0</v>
      </c>
      <c r="AE2400" s="72">
        <v>0</v>
      </c>
      <c r="AF2400" s="72">
        <v>20</v>
      </c>
      <c r="AG2400" s="72">
        <v>1</v>
      </c>
      <c r="AH2400" s="72">
        <v>0</v>
      </c>
      <c r="AI2400" s="73">
        <v>0</v>
      </c>
      <c r="AJ2400" s="73">
        <v>101</v>
      </c>
      <c r="AK2400" s="73">
        <v>0</v>
      </c>
      <c r="AL2400" s="73">
        <v>10</v>
      </c>
      <c r="AM2400" s="72">
        <v>0</v>
      </c>
      <c r="AN2400" s="72">
        <v>0</v>
      </c>
      <c r="AO2400" s="72">
        <v>0</v>
      </c>
      <c r="AP2400" s="72">
        <v>1</v>
      </c>
      <c r="AQ2400" s="72">
        <v>1000</v>
      </c>
      <c r="AR2400" s="72">
        <v>0.4</v>
      </c>
      <c r="AS2400" s="72">
        <v>0</v>
      </c>
      <c r="AT2400" s="73">
        <v>0</v>
      </c>
      <c r="AU2400" s="72" t="s">
        <v>204</v>
      </c>
      <c r="AV2400" s="72"/>
      <c r="AW2400" s="71" t="s">
        <v>768</v>
      </c>
      <c r="AX2400" s="72" t="s">
        <v>221</v>
      </c>
      <c r="AY2400" s="74">
        <v>10000015</v>
      </c>
      <c r="AZ2400" s="74">
        <v>21000030</v>
      </c>
      <c r="BA2400" s="71" t="s">
        <v>2640</v>
      </c>
      <c r="BB2400" s="356" t="s">
        <v>5749</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s="1" customFormat="1" ht="20.100000000000001" customHeight="1">
      <c r="C2401" s="72">
        <v>77010201</v>
      </c>
      <c r="D2401" s="71" t="s">
        <v>5750</v>
      </c>
      <c r="E2401" s="71" t="s">
        <v>1443</v>
      </c>
      <c r="F2401" s="72">
        <v>0</v>
      </c>
      <c r="G2401" s="72">
        <v>62011301</v>
      </c>
      <c r="H2401" s="72">
        <v>0</v>
      </c>
      <c r="I2401" s="75">
        <v>0</v>
      </c>
      <c r="J2401" s="72">
        <v>10</v>
      </c>
      <c r="K2401" s="72">
        <v>3</v>
      </c>
      <c r="L2401" s="72">
        <v>0</v>
      </c>
      <c r="M2401" s="72">
        <v>0</v>
      </c>
      <c r="N2401" s="72">
        <v>0</v>
      </c>
      <c r="O2401" s="72">
        <v>2</v>
      </c>
      <c r="P2401" s="72">
        <v>1</v>
      </c>
      <c r="Q2401" s="72">
        <v>1</v>
      </c>
      <c r="R2401" s="72">
        <v>0</v>
      </c>
      <c r="S2401" s="73">
        <v>0</v>
      </c>
      <c r="T2401" s="72">
        <v>0</v>
      </c>
      <c r="U2401" s="72">
        <v>1</v>
      </c>
      <c r="V2401" s="72">
        <v>2</v>
      </c>
      <c r="W2401" s="72">
        <v>0</v>
      </c>
      <c r="X2401" s="72">
        <v>0</v>
      </c>
      <c r="Y2401" s="19">
        <v>0</v>
      </c>
      <c r="Z2401" s="72">
        <v>350</v>
      </c>
      <c r="AA2401" s="72">
        <v>1</v>
      </c>
      <c r="AB2401" s="72">
        <v>0</v>
      </c>
      <c r="AC2401" s="72">
        <v>0</v>
      </c>
      <c r="AD2401" s="72">
        <v>0</v>
      </c>
      <c r="AE2401" s="72">
        <v>0</v>
      </c>
      <c r="AF2401" s="72">
        <v>0</v>
      </c>
      <c r="AG2401" s="72">
        <v>1</v>
      </c>
      <c r="AH2401" s="72">
        <v>0</v>
      </c>
      <c r="AI2401" s="73">
        <v>0</v>
      </c>
      <c r="AJ2401" s="73">
        <v>101</v>
      </c>
      <c r="AK2401" s="73">
        <v>0</v>
      </c>
      <c r="AL2401" s="73">
        <v>10</v>
      </c>
      <c r="AM2401" s="72">
        <v>0</v>
      </c>
      <c r="AN2401" s="72">
        <v>0</v>
      </c>
      <c r="AO2401" s="72">
        <v>0</v>
      </c>
      <c r="AP2401" s="72">
        <v>1</v>
      </c>
      <c r="AQ2401" s="72">
        <v>1000</v>
      </c>
      <c r="AR2401" s="72">
        <v>0</v>
      </c>
      <c r="AS2401" s="72">
        <v>0</v>
      </c>
      <c r="AT2401" s="73">
        <v>97050404</v>
      </c>
      <c r="AU2401" s="72" t="s">
        <v>204</v>
      </c>
      <c r="AV2401" s="72"/>
      <c r="AW2401" s="71" t="s">
        <v>204</v>
      </c>
      <c r="AX2401" s="72">
        <v>0</v>
      </c>
      <c r="AY2401" s="74">
        <v>0</v>
      </c>
      <c r="AZ2401" s="74">
        <v>0</v>
      </c>
      <c r="BA2401" s="71" t="s">
        <v>206</v>
      </c>
      <c r="BB2401" s="72">
        <v>0</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1444</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pans="1:78" ht="19.5" customHeight="1">
      <c r="A2402" s="140"/>
      <c r="B2402" s="140"/>
      <c r="C2402" s="72">
        <v>77010202</v>
      </c>
      <c r="D2402" s="71" t="s">
        <v>5751</v>
      </c>
      <c r="E2402" s="71" t="s">
        <v>2495</v>
      </c>
      <c r="F2402" s="74">
        <v>1</v>
      </c>
      <c r="G2402" s="72">
        <v>62011301</v>
      </c>
      <c r="H2402" s="74">
        <v>0</v>
      </c>
      <c r="I2402" s="75">
        <v>0</v>
      </c>
      <c r="J2402" s="74">
        <v>1</v>
      </c>
      <c r="K2402" s="74">
        <v>0</v>
      </c>
      <c r="L2402" s="74">
        <v>0</v>
      </c>
      <c r="M2402" s="72">
        <v>0</v>
      </c>
      <c r="N2402" s="72">
        <v>0</v>
      </c>
      <c r="O2402" s="72">
        <v>1</v>
      </c>
      <c r="P2402" s="72">
        <v>0</v>
      </c>
      <c r="Q2402" s="72">
        <v>1</v>
      </c>
      <c r="R2402" s="72">
        <v>0</v>
      </c>
      <c r="S2402" s="73">
        <v>0</v>
      </c>
      <c r="T2402" s="72">
        <v>0</v>
      </c>
      <c r="U2402" s="72">
        <v>1</v>
      </c>
      <c r="V2402" s="72">
        <v>2</v>
      </c>
      <c r="W2402" s="72">
        <v>0</v>
      </c>
      <c r="X2402" s="72">
        <v>1.5</v>
      </c>
      <c r="Y2402" s="19">
        <v>0</v>
      </c>
      <c r="Z2402" s="72">
        <v>0</v>
      </c>
      <c r="AA2402" s="72">
        <v>0</v>
      </c>
      <c r="AB2402" s="72">
        <v>0</v>
      </c>
      <c r="AC2402" s="72">
        <v>0</v>
      </c>
      <c r="AD2402" s="72">
        <v>0</v>
      </c>
      <c r="AE2402" s="72">
        <v>1</v>
      </c>
      <c r="AF2402" s="72">
        <v>0</v>
      </c>
      <c r="AG2402" s="72">
        <v>1</v>
      </c>
      <c r="AH2402" s="72">
        <v>2</v>
      </c>
      <c r="AI2402" s="73">
        <v>0</v>
      </c>
      <c r="AJ2402" s="73">
        <v>2</v>
      </c>
      <c r="AK2402" s="73">
        <v>0</v>
      </c>
      <c r="AL2402" s="73">
        <v>2</v>
      </c>
      <c r="AM2402" s="72">
        <v>0</v>
      </c>
      <c r="AN2402" s="72">
        <v>0</v>
      </c>
      <c r="AO2402" s="72">
        <v>0</v>
      </c>
      <c r="AP2402" s="72">
        <v>0</v>
      </c>
      <c r="AQ2402" s="72">
        <v>5000</v>
      </c>
      <c r="AR2402" s="72">
        <v>0</v>
      </c>
      <c r="AS2402" s="72">
        <v>15</v>
      </c>
      <c r="AT2402" s="92">
        <v>0</v>
      </c>
      <c r="AU2402" s="334" t="s">
        <v>5668</v>
      </c>
      <c r="AV2402" s="93"/>
      <c r="AW2402" s="71" t="s">
        <v>204</v>
      </c>
      <c r="AX2402" s="72" t="s">
        <v>540</v>
      </c>
      <c r="AY2402" s="74">
        <v>10000007</v>
      </c>
      <c r="AZ2402" s="74">
        <v>77005205</v>
      </c>
      <c r="BA2402" s="71" t="s">
        <v>592</v>
      </c>
      <c r="BB2402" s="72" t="s">
        <v>2496</v>
      </c>
      <c r="BC2402" s="75">
        <v>0</v>
      </c>
      <c r="BD2402" s="75">
        <v>1</v>
      </c>
      <c r="BE2402" s="76" t="s">
        <v>2497</v>
      </c>
      <c r="BF2402" s="76" t="s">
        <v>2498</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5770</v>
      </c>
      <c r="BY2402" s="23"/>
      <c r="BZ2402" s="23"/>
    </row>
    <row r="2403" spans="1:78" ht="19.5" customHeight="1">
      <c r="A2403" s="140"/>
      <c r="B2403" s="140"/>
      <c r="C2403" s="72">
        <v>77010203</v>
      </c>
      <c r="D2403" s="71" t="s">
        <v>5752</v>
      </c>
      <c r="E2403" s="71" t="s">
        <v>2495</v>
      </c>
      <c r="F2403" s="74">
        <v>1</v>
      </c>
      <c r="G2403" s="72">
        <v>62011301</v>
      </c>
      <c r="H2403" s="74">
        <v>0</v>
      </c>
      <c r="I2403" s="75">
        <v>0</v>
      </c>
      <c r="J2403" s="74">
        <v>1</v>
      </c>
      <c r="K2403" s="74">
        <v>0</v>
      </c>
      <c r="L2403" s="74">
        <v>0</v>
      </c>
      <c r="M2403" s="72">
        <v>0</v>
      </c>
      <c r="N2403" s="72">
        <v>0</v>
      </c>
      <c r="O2403" s="72">
        <v>9</v>
      </c>
      <c r="P2403" s="72">
        <v>0</v>
      </c>
      <c r="Q2403" s="72">
        <v>1</v>
      </c>
      <c r="R2403" s="72">
        <v>0</v>
      </c>
      <c r="S2403" s="73">
        <v>0</v>
      </c>
      <c r="T2403" s="72">
        <v>0</v>
      </c>
      <c r="U2403" s="72">
        <v>1</v>
      </c>
      <c r="V2403" s="72">
        <v>2</v>
      </c>
      <c r="W2403" s="72">
        <v>0</v>
      </c>
      <c r="X2403" s="72">
        <v>0</v>
      </c>
      <c r="Y2403" s="19">
        <v>0</v>
      </c>
      <c r="Z2403" s="72">
        <v>0</v>
      </c>
      <c r="AA2403" s="72">
        <v>0</v>
      </c>
      <c r="AB2403" s="72">
        <v>0</v>
      </c>
      <c r="AC2403" s="72">
        <v>0</v>
      </c>
      <c r="AD2403" s="72">
        <v>0</v>
      </c>
      <c r="AE2403" s="72">
        <v>1</v>
      </c>
      <c r="AF2403" s="72">
        <v>0</v>
      </c>
      <c r="AG2403" s="72">
        <v>1</v>
      </c>
      <c r="AH2403" s="72">
        <v>0</v>
      </c>
      <c r="AI2403" s="73">
        <v>0</v>
      </c>
      <c r="AJ2403" s="73">
        <v>0</v>
      </c>
      <c r="AK2403" s="73">
        <v>0</v>
      </c>
      <c r="AL2403" s="73">
        <v>2</v>
      </c>
      <c r="AM2403" s="72">
        <v>0</v>
      </c>
      <c r="AN2403" s="72">
        <v>0</v>
      </c>
      <c r="AO2403" s="72">
        <v>0</v>
      </c>
      <c r="AP2403" s="72">
        <v>0</v>
      </c>
      <c r="AQ2403" s="72">
        <v>5000</v>
      </c>
      <c r="AR2403" s="72">
        <v>0</v>
      </c>
      <c r="AS2403" s="72">
        <v>0</v>
      </c>
      <c r="AT2403" s="92">
        <v>0</v>
      </c>
      <c r="AU2403" s="93">
        <v>0</v>
      </c>
      <c r="AV2403" s="93"/>
      <c r="AW2403" s="71" t="s">
        <v>204</v>
      </c>
      <c r="AX2403" s="72">
        <v>0</v>
      </c>
      <c r="AY2403" s="74">
        <v>0</v>
      </c>
      <c r="AZ2403" s="74">
        <v>0</v>
      </c>
      <c r="BA2403" s="71" t="s">
        <v>206</v>
      </c>
      <c r="BB2403" s="72">
        <v>0</v>
      </c>
      <c r="BC2403" s="75">
        <v>0</v>
      </c>
      <c r="BD2403" s="75">
        <v>1</v>
      </c>
      <c r="BE2403" s="76" t="s">
        <v>2497</v>
      </c>
      <c r="BF2403" s="76" t="s">
        <v>2498</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5753</v>
      </c>
      <c r="BY2403" s="23"/>
      <c r="BZ2403" s="23">
        <v>1</v>
      </c>
    </row>
  </sheetData>
  <autoFilter ref="BA1:BA2403"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2025-12-05T07:26:29Z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