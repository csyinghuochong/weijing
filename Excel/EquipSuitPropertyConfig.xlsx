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53304B85-BF3E-4E94-A0F7-76A44F7D09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quipSuitPropertyProto" sheetId="1" r:id="rId1"/>
  </sheets>
  <calcPr calcId="191029"/>
</workbook>
</file>

<file path=xl/calcChain.xml><?xml version="1.0" encoding="utf-8"?>
<calcChain xmlns="http://schemas.openxmlformats.org/spreadsheetml/2006/main">
  <c r="AI55" i="1" l="1"/>
  <c r="AH55" i="1"/>
  <c r="AG55" i="1"/>
  <c r="AF55" i="1"/>
  <c r="AE55" i="1"/>
  <c r="AD55" i="1"/>
  <c r="AC55" i="1"/>
  <c r="AB55" i="1"/>
  <c r="AA55" i="1"/>
  <c r="AI54" i="1"/>
  <c r="AH54" i="1"/>
  <c r="AG54" i="1"/>
  <c r="AF54" i="1"/>
  <c r="AE54" i="1"/>
  <c r="AD54" i="1"/>
  <c r="AC54" i="1"/>
  <c r="AB54" i="1"/>
  <c r="AA54" i="1"/>
  <c r="AI53" i="1"/>
  <c r="AH53" i="1"/>
  <c r="AG53" i="1"/>
  <c r="AF53" i="1"/>
  <c r="AE53" i="1"/>
  <c r="AD53" i="1"/>
  <c r="AC53" i="1"/>
  <c r="AB53" i="1"/>
  <c r="AA53" i="1"/>
  <c r="AI52" i="1"/>
  <c r="AH52" i="1"/>
  <c r="AG52" i="1"/>
  <c r="AF52" i="1"/>
  <c r="AE52" i="1"/>
  <c r="AD52" i="1"/>
  <c r="AC52" i="1"/>
  <c r="AB52" i="1"/>
  <c r="AA52" i="1"/>
  <c r="AI51" i="1"/>
  <c r="AH51" i="1"/>
  <c r="AG51" i="1"/>
  <c r="AF51" i="1"/>
  <c r="AE51" i="1"/>
  <c r="AD51" i="1"/>
  <c r="AC51" i="1"/>
  <c r="AB51" i="1"/>
  <c r="AA51" i="1"/>
  <c r="AI50" i="1"/>
  <c r="AH50" i="1"/>
  <c r="AG50" i="1"/>
  <c r="AF50" i="1"/>
  <c r="AE50" i="1"/>
  <c r="AD50" i="1"/>
  <c r="AC50" i="1"/>
  <c r="AB50" i="1"/>
  <c r="AA50" i="1"/>
  <c r="AI49" i="1"/>
  <c r="AH49" i="1"/>
  <c r="AG49" i="1"/>
  <c r="AF49" i="1"/>
  <c r="AE49" i="1"/>
  <c r="AD49" i="1"/>
  <c r="AC49" i="1"/>
  <c r="AB49" i="1"/>
  <c r="AA49" i="1"/>
  <c r="AI48" i="1"/>
  <c r="AH48" i="1"/>
  <c r="AG48" i="1"/>
  <c r="AF48" i="1"/>
  <c r="AE48" i="1"/>
  <c r="AD48" i="1"/>
  <c r="AC48" i="1"/>
  <c r="AB48" i="1"/>
  <c r="AA48" i="1"/>
  <c r="AI47" i="1"/>
  <c r="AH47" i="1"/>
  <c r="AG47" i="1"/>
  <c r="AF47" i="1"/>
  <c r="AE47" i="1"/>
  <c r="AD47" i="1"/>
  <c r="AC47" i="1"/>
  <c r="AB47" i="1"/>
  <c r="AA47" i="1"/>
  <c r="AI46" i="1"/>
  <c r="AH46" i="1"/>
  <c r="AG46" i="1"/>
  <c r="AF46" i="1"/>
  <c r="AE46" i="1"/>
  <c r="AD46" i="1"/>
  <c r="AC46" i="1"/>
  <c r="AB46" i="1"/>
  <c r="AA46" i="1"/>
  <c r="AI45" i="1"/>
  <c r="AH45" i="1"/>
  <c r="AG45" i="1"/>
  <c r="AF45" i="1"/>
  <c r="AE45" i="1"/>
  <c r="AD45" i="1"/>
  <c r="AC45" i="1"/>
  <c r="AB45" i="1"/>
  <c r="AA45" i="1"/>
  <c r="AI44" i="1"/>
  <c r="AH44" i="1"/>
  <c r="AG44" i="1"/>
  <c r="AF44" i="1"/>
  <c r="AE44" i="1"/>
  <c r="AD44" i="1"/>
  <c r="AC44" i="1"/>
  <c r="AB44" i="1"/>
  <c r="AA44" i="1"/>
  <c r="AI43" i="1"/>
  <c r="AH43" i="1"/>
  <c r="AG43" i="1"/>
  <c r="AF43" i="1"/>
  <c r="AE43" i="1"/>
  <c r="AD43" i="1"/>
  <c r="AC43" i="1"/>
  <c r="AB43" i="1"/>
  <c r="AA43" i="1"/>
  <c r="AI42" i="1"/>
  <c r="AH42" i="1"/>
  <c r="AG42" i="1"/>
  <c r="AF42" i="1"/>
  <c r="AE42" i="1"/>
  <c r="AD42" i="1"/>
  <c r="AC42" i="1"/>
  <c r="AB42" i="1"/>
  <c r="AA42" i="1"/>
  <c r="AI41" i="1"/>
  <c r="AH41" i="1"/>
  <c r="AG41" i="1"/>
  <c r="AF41" i="1"/>
  <c r="AE41" i="1"/>
  <c r="AD41" i="1"/>
  <c r="AC41" i="1"/>
  <c r="AB41" i="1"/>
  <c r="AA41" i="1"/>
  <c r="AI40" i="1"/>
  <c r="AH40" i="1"/>
  <c r="AG40" i="1"/>
  <c r="AF40" i="1"/>
  <c r="AE40" i="1"/>
  <c r="AD40" i="1"/>
  <c r="AC40" i="1"/>
  <c r="AB40" i="1"/>
  <c r="AA40" i="1"/>
  <c r="AI39" i="1"/>
  <c r="AH39" i="1"/>
  <c r="AG39" i="1"/>
  <c r="AF39" i="1"/>
  <c r="AE39" i="1"/>
  <c r="AD39" i="1"/>
  <c r="AC39" i="1"/>
  <c r="AB39" i="1"/>
  <c r="AA39" i="1"/>
  <c r="AI38" i="1"/>
  <c r="AH38" i="1"/>
  <c r="AG38" i="1"/>
  <c r="AF38" i="1"/>
  <c r="AE38" i="1"/>
  <c r="AD38" i="1"/>
  <c r="AC38" i="1"/>
  <c r="AB38" i="1"/>
  <c r="AA38" i="1"/>
  <c r="AI37" i="1"/>
  <c r="AH37" i="1"/>
  <c r="AG37" i="1"/>
  <c r="AF37" i="1"/>
  <c r="AE37" i="1"/>
  <c r="AD37" i="1"/>
  <c r="AC37" i="1"/>
  <c r="AB37" i="1"/>
  <c r="AA37" i="1"/>
  <c r="AI36" i="1"/>
  <c r="AH36" i="1"/>
  <c r="AG36" i="1"/>
  <c r="AF36" i="1"/>
  <c r="AE36" i="1"/>
  <c r="AD36" i="1"/>
  <c r="AC36" i="1"/>
  <c r="AB36" i="1"/>
  <c r="AA36" i="1"/>
  <c r="AI35" i="1"/>
  <c r="AH35" i="1"/>
  <c r="AG35" i="1"/>
  <c r="AF35" i="1"/>
  <c r="AE35" i="1"/>
  <c r="AD35" i="1"/>
  <c r="AC35" i="1"/>
  <c r="AB35" i="1"/>
  <c r="AA35" i="1"/>
  <c r="AI34" i="1"/>
  <c r="AH34" i="1"/>
  <c r="AG34" i="1"/>
  <c r="AF34" i="1"/>
  <c r="AE34" i="1"/>
  <c r="AD34" i="1"/>
  <c r="AC34" i="1"/>
  <c r="AB34" i="1"/>
  <c r="AA34" i="1"/>
  <c r="AI33" i="1"/>
  <c r="AH33" i="1"/>
  <c r="AG33" i="1"/>
  <c r="AF33" i="1"/>
  <c r="AE33" i="1"/>
  <c r="AD33" i="1"/>
  <c r="AC33" i="1"/>
  <c r="AB33" i="1"/>
  <c r="AA33" i="1"/>
  <c r="AI32" i="1"/>
  <c r="AH32" i="1"/>
  <c r="AG32" i="1"/>
  <c r="AF32" i="1"/>
  <c r="AE32" i="1"/>
  <c r="AD32" i="1"/>
  <c r="AC32" i="1"/>
  <c r="AB32" i="1"/>
  <c r="AA32" i="1"/>
  <c r="AI31" i="1"/>
  <c r="AH31" i="1"/>
  <c r="AG31" i="1"/>
  <c r="AF31" i="1"/>
  <c r="AE31" i="1"/>
  <c r="AD31" i="1"/>
  <c r="AC31" i="1"/>
  <c r="AB31" i="1"/>
  <c r="AA31" i="1"/>
  <c r="AI30" i="1"/>
  <c r="AH30" i="1"/>
  <c r="AG30" i="1"/>
  <c r="AF30" i="1"/>
  <c r="AE30" i="1"/>
  <c r="AD30" i="1"/>
  <c r="AC30" i="1"/>
  <c r="AB30" i="1"/>
  <c r="AA30" i="1"/>
  <c r="AI29" i="1"/>
  <c r="AH29" i="1"/>
  <c r="AG29" i="1"/>
  <c r="AF29" i="1"/>
  <c r="AE29" i="1"/>
  <c r="AD29" i="1"/>
  <c r="AC29" i="1"/>
  <c r="AB29" i="1"/>
  <c r="AA29" i="1"/>
  <c r="AI28" i="1"/>
  <c r="AH28" i="1"/>
  <c r="AG28" i="1"/>
  <c r="AF28" i="1"/>
  <c r="AE28" i="1"/>
  <c r="AD28" i="1"/>
  <c r="AC28" i="1"/>
  <c r="AB28" i="1"/>
  <c r="AA28" i="1"/>
  <c r="AI27" i="1"/>
  <c r="AH27" i="1"/>
  <c r="AG27" i="1"/>
  <c r="AF27" i="1"/>
  <c r="AE27" i="1"/>
  <c r="AD27" i="1"/>
  <c r="AC27" i="1"/>
  <c r="AB27" i="1"/>
  <c r="AA27" i="1"/>
  <c r="AI26" i="1"/>
  <c r="AH26" i="1"/>
  <c r="AG26" i="1"/>
  <c r="AF26" i="1"/>
  <c r="AE26" i="1"/>
  <c r="AD26" i="1"/>
  <c r="AC26" i="1"/>
  <c r="AB26" i="1"/>
  <c r="AA26" i="1"/>
  <c r="AI25" i="1"/>
  <c r="AH25" i="1"/>
  <c r="AG25" i="1"/>
  <c r="AF25" i="1"/>
  <c r="AE25" i="1"/>
  <c r="AD25" i="1"/>
  <c r="AC25" i="1"/>
  <c r="AB25" i="1"/>
  <c r="AA25" i="1"/>
  <c r="AI24" i="1"/>
  <c r="AH24" i="1"/>
  <c r="AG24" i="1"/>
  <c r="AF24" i="1"/>
  <c r="AE24" i="1"/>
  <c r="AD24" i="1"/>
  <c r="AC24" i="1"/>
  <c r="AB24" i="1"/>
  <c r="AA24" i="1"/>
  <c r="AI23" i="1"/>
  <c r="AH23" i="1"/>
  <c r="AG23" i="1"/>
  <c r="AF23" i="1"/>
  <c r="AE23" i="1"/>
  <c r="AD23" i="1"/>
  <c r="AC23" i="1"/>
  <c r="AB23" i="1"/>
  <c r="AA23" i="1"/>
  <c r="AI22" i="1"/>
  <c r="AH22" i="1"/>
  <c r="AG22" i="1"/>
  <c r="AF22" i="1"/>
  <c r="AE22" i="1"/>
  <c r="AD22" i="1"/>
  <c r="AC22" i="1"/>
  <c r="AB22" i="1"/>
  <c r="AA22" i="1"/>
  <c r="AI21" i="1"/>
  <c r="AH21" i="1"/>
  <c r="AG21" i="1"/>
  <c r="AF21" i="1"/>
  <c r="AE21" i="1"/>
  <c r="AD21" i="1"/>
  <c r="AC21" i="1"/>
  <c r="AB21" i="1"/>
  <c r="AA21" i="1"/>
  <c r="AI20" i="1"/>
  <c r="AH20" i="1"/>
  <c r="AG20" i="1"/>
  <c r="AF20" i="1"/>
  <c r="AE20" i="1"/>
  <c r="AD20" i="1"/>
  <c r="AC20" i="1"/>
  <c r="AB20" i="1"/>
  <c r="AA20" i="1"/>
  <c r="AI19" i="1"/>
  <c r="AH19" i="1"/>
  <c r="AG19" i="1"/>
  <c r="AF19" i="1"/>
  <c r="AE19" i="1"/>
  <c r="AD19" i="1"/>
  <c r="AC19" i="1"/>
  <c r="AB19" i="1"/>
  <c r="AA19" i="1"/>
  <c r="AI18" i="1"/>
  <c r="AH18" i="1"/>
  <c r="AG18" i="1"/>
  <c r="AF18" i="1"/>
  <c r="AE18" i="1"/>
  <c r="AD18" i="1"/>
  <c r="AC18" i="1"/>
  <c r="AB18" i="1"/>
  <c r="AA18" i="1"/>
  <c r="AI17" i="1"/>
  <c r="AH17" i="1"/>
  <c r="AG17" i="1"/>
  <c r="AF17" i="1"/>
  <c r="AE17" i="1"/>
  <c r="AD17" i="1"/>
  <c r="AC17" i="1"/>
  <c r="AB17" i="1"/>
  <c r="AA17" i="1"/>
  <c r="AI16" i="1"/>
  <c r="AH16" i="1"/>
  <c r="AG16" i="1"/>
  <c r="AF16" i="1"/>
  <c r="AE16" i="1"/>
  <c r="AD16" i="1"/>
  <c r="AC16" i="1"/>
  <c r="AB16" i="1"/>
  <c r="AA16" i="1"/>
  <c r="AI15" i="1"/>
  <c r="AH15" i="1"/>
  <c r="AG15" i="1"/>
  <c r="AF15" i="1"/>
  <c r="AE15" i="1"/>
  <c r="AD15" i="1"/>
  <c r="AC15" i="1"/>
  <c r="AB15" i="1"/>
  <c r="AA15" i="1"/>
  <c r="AI14" i="1"/>
  <c r="AH14" i="1"/>
  <c r="AG14" i="1"/>
  <c r="AF14" i="1"/>
  <c r="AE14" i="1"/>
  <c r="AD14" i="1"/>
  <c r="AC14" i="1"/>
  <c r="AB14" i="1"/>
  <c r="AA14" i="1"/>
  <c r="AI13" i="1"/>
  <c r="AH13" i="1"/>
  <c r="AG13" i="1"/>
  <c r="AF13" i="1"/>
  <c r="AE13" i="1"/>
  <c r="AD13" i="1"/>
  <c r="AC13" i="1"/>
  <c r="AB13" i="1"/>
  <c r="AA13" i="1"/>
  <c r="AI12" i="1"/>
  <c r="AH12" i="1"/>
  <c r="AG12" i="1"/>
  <c r="AF12" i="1"/>
  <c r="AE12" i="1"/>
  <c r="AD12" i="1"/>
  <c r="AC12" i="1"/>
  <c r="AB12" i="1"/>
  <c r="AA12" i="1"/>
  <c r="AI11" i="1"/>
  <c r="AH11" i="1"/>
  <c r="AG11" i="1"/>
  <c r="AF11" i="1"/>
  <c r="AE11" i="1"/>
  <c r="AD11" i="1"/>
  <c r="AC11" i="1"/>
  <c r="AB11" i="1"/>
  <c r="AA11" i="1"/>
  <c r="AI10" i="1"/>
  <c r="AH10" i="1"/>
  <c r="AG10" i="1"/>
  <c r="AF10" i="1"/>
  <c r="AE10" i="1"/>
  <c r="AD10" i="1"/>
  <c r="AC10" i="1"/>
  <c r="AB10" i="1"/>
  <c r="AA10" i="1"/>
  <c r="AI9" i="1"/>
  <c r="AH9" i="1"/>
  <c r="AG9" i="1"/>
  <c r="AF9" i="1"/>
  <c r="AE9" i="1"/>
  <c r="AD9" i="1"/>
  <c r="AC9" i="1"/>
  <c r="AB9" i="1"/>
  <c r="AA9" i="1"/>
  <c r="AI8" i="1"/>
  <c r="AH8" i="1"/>
  <c r="AG8" i="1"/>
  <c r="AF8" i="1"/>
  <c r="AE8" i="1"/>
  <c r="AD8" i="1"/>
  <c r="AC8" i="1"/>
  <c r="AB8" i="1"/>
  <c r="AA8" i="1"/>
  <c r="AI7" i="1"/>
  <c r="AH7" i="1"/>
  <c r="AG7" i="1"/>
  <c r="AF7" i="1"/>
  <c r="AE7" i="1"/>
  <c r="AD7" i="1"/>
  <c r="AC7" i="1"/>
  <c r="AB7" i="1"/>
  <c r="AA7" i="1"/>
  <c r="AI6" i="1"/>
  <c r="AH6" i="1"/>
  <c r="AG6" i="1"/>
  <c r="AF6" i="1"/>
  <c r="AE6" i="1"/>
  <c r="AD6" i="1"/>
  <c r="AC6" i="1"/>
  <c r="AB6" i="1"/>
  <c r="A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3" authorId="0" shapeId="0" xr:uid="{00000000-0006-0000-0000-000001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 xml:space="preserve">为显示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为不现实配合多行数据显示调用</t>
        </r>
      </text>
    </comment>
  </commentList>
</comments>
</file>

<file path=xl/sharedStrings.xml><?xml version="1.0" encoding="utf-8"?>
<sst xmlns="http://schemas.openxmlformats.org/spreadsheetml/2006/main" count="635" uniqueCount="353">
  <si>
    <t>Id</t>
  </si>
  <si>
    <t>套装名称</t>
  </si>
  <si>
    <t>是否显示套装件数</t>
  </si>
  <si>
    <t>血量</t>
  </si>
  <si>
    <t>最低攻击</t>
  </si>
  <si>
    <t>最高攻击</t>
  </si>
  <si>
    <t>最低攻击3</t>
  </si>
  <si>
    <t>最高攻击4</t>
  </si>
  <si>
    <t>最低防御</t>
  </si>
  <si>
    <t>最高防御</t>
  </si>
  <si>
    <t>最低防御5</t>
  </si>
  <si>
    <t>最高防御6</t>
  </si>
  <si>
    <t>暴击</t>
  </si>
  <si>
    <t>命中</t>
  </si>
  <si>
    <t>闪避</t>
  </si>
  <si>
    <t>伤害加成</t>
  </si>
  <si>
    <t>伤害减免</t>
  </si>
  <si>
    <t>速度</t>
  </si>
  <si>
    <t>幸运值</t>
  </si>
  <si>
    <t>套装附加技能</t>
  </si>
  <si>
    <t>附加</t>
  </si>
  <si>
    <t>EquipSuitName</t>
  </si>
  <si>
    <t>EquipSuitDes</t>
  </si>
  <si>
    <t>ifShowSuitNum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</si>
  <si>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</si>
  <si>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</si>
  <si>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</si>
  <si>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</si>
  <si>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</si>
  <si>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</si>
  <si>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</si>
  <si>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</si>
  <si>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</si>
  <si>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</si>
  <si>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</si>
  <si>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</si>
  <si>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</si>
  <si>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</si>
  <si>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</si>
  <si>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</si>
  <si>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EquipSuitSkillID</t>
  </si>
  <si>
    <t>AddPropreListStr</t>
  </si>
  <si>
    <t>int</t>
  </si>
  <si>
    <t>string</t>
  </si>
  <si>
    <t>double</t>
  </si>
  <si>
    <t>新兵套装</t>
  </si>
  <si>
    <t>物理攻击+20 暴击率+2%</t>
  </si>
  <si>
    <t>红宝石骷髅套装</t>
  </si>
  <si>
    <t>物理攻击+20  暴击率+3%</t>
  </si>
  <si>
    <t>布纹套装_2</t>
  </si>
  <si>
    <t>物理防御+4 魔法防御+40</t>
  </si>
  <si>
    <t>命中率+5%</t>
  </si>
  <si>
    <t>布纹套装_3</t>
  </si>
  <si>
    <t>血量+300  伤害减免+5%</t>
  </si>
  <si>
    <t>凌风套装</t>
  </si>
  <si>
    <t>物理攻击+100</t>
  </si>
  <si>
    <t>古墓套装</t>
  </si>
  <si>
    <t>套装技能：攻击强化</t>
  </si>
  <si>
    <t>血域套装1_3</t>
  </si>
  <si>
    <t>暴击率+5%</t>
  </si>
  <si>
    <t>血域套装2_2</t>
  </si>
  <si>
    <t>物理攻击+50</t>
  </si>
  <si>
    <t>血域套装2_3</t>
  </si>
  <si>
    <t>物理防御+50 魔法防御+50</t>
  </si>
  <si>
    <t>血域套装2_4</t>
  </si>
  <si>
    <t>造成伤害提升5%</t>
  </si>
  <si>
    <t>血域套装2_5</t>
  </si>
  <si>
    <t>附加被动技能-天崩地裂</t>
  </si>
  <si>
    <t>血域套装3_2</t>
  </si>
  <si>
    <t>受到伤害减免5%</t>
  </si>
  <si>
    <t>血域套装4_3</t>
  </si>
  <si>
    <t>生命+500,闪避率+5%</t>
  </si>
  <si>
    <t>荒漠套装</t>
  </si>
  <si>
    <t>攻击+30</t>
  </si>
  <si>
    <t>命中率+5% 血量+300</t>
  </si>
  <si>
    <t>破灵套装</t>
  </si>
  <si>
    <t>冰河套装</t>
  </si>
  <si>
    <t>物防+30  魔防+30</t>
  </si>
  <si>
    <t>冰封套装1_3</t>
  </si>
  <si>
    <t>攻击+50</t>
  </si>
  <si>
    <t>冰封套装2_2</t>
  </si>
  <si>
    <t>冰封套装2_3</t>
  </si>
  <si>
    <t>冰封套装2_4</t>
  </si>
  <si>
    <t>伤害加成+5%</t>
  </si>
  <si>
    <t>冰封套装3_2</t>
  </si>
  <si>
    <t>冰封套装4_3</t>
  </si>
  <si>
    <t>生命+100,闪避率+5%</t>
  </si>
  <si>
    <t>精灵套装</t>
  </si>
  <si>
    <t>暴击+5%</t>
  </si>
  <si>
    <t>暮色套装_2</t>
  </si>
  <si>
    <t>暮色套装_4</t>
  </si>
  <si>
    <t>命中率+5% 血量+50</t>
  </si>
  <si>
    <t>暮色套装_6</t>
  </si>
  <si>
    <t>伤害加成+5% 伤害减免+5%</t>
  </si>
  <si>
    <t>永恒套装1_3</t>
  </si>
  <si>
    <t>攻击：30-80</t>
  </si>
  <si>
    <t>永恒套装2_2</t>
  </si>
  <si>
    <t>永恒套装2_3</t>
  </si>
  <si>
    <t>永恒套装2_4</t>
  </si>
  <si>
    <t>伤害加成5%</t>
  </si>
  <si>
    <t>永恒套装3_2</t>
  </si>
  <si>
    <t>防御 50-50</t>
  </si>
  <si>
    <t>永恒套装4_3</t>
  </si>
  <si>
    <t>熔岩套装</t>
  </si>
  <si>
    <t>炙热套装_2</t>
  </si>
  <si>
    <t>炙热套装_4</t>
  </si>
  <si>
    <t>伤害减免+5%</t>
  </si>
  <si>
    <t>炙热套装_6</t>
  </si>
  <si>
    <t>圣光套装1_3</t>
  </si>
  <si>
    <t>圣光套装2_2</t>
  </si>
  <si>
    <t>攻击+100</t>
  </si>
  <si>
    <t>圣光套装2_3</t>
  </si>
  <si>
    <t>圣光套装2_4</t>
  </si>
  <si>
    <t>伤害加成5%  暴击+5%</t>
  </si>
  <si>
    <t>圣光套装3_2</t>
  </si>
  <si>
    <t>防御：30-60 魔防：30-60</t>
  </si>
  <si>
    <t>圣光套装4_3</t>
  </si>
  <si>
    <t>伤害加成5%  受到伤害减免5%</t>
  </si>
  <si>
    <t>命中率+10%</t>
  </si>
  <si>
    <t>攻击+200</t>
  </si>
  <si>
    <t>暴击+10%</t>
  </si>
  <si>
    <t>伤害加成10%  暴击+10%</t>
  </si>
  <si>
    <t>防御：50-100 魔防：05-100</t>
  </si>
  <si>
    <t>伤害加成10%  受到伤害减免10%</t>
  </si>
  <si>
    <t>迅影套装</t>
  </si>
  <si>
    <t>攻击提高20</t>
  </si>
  <si>
    <t>暴击率提高3%</t>
  </si>
  <si>
    <t>攻击提高30</t>
  </si>
  <si>
    <t>灵纹套装</t>
  </si>
  <si>
    <t>战灵套装</t>
  </si>
  <si>
    <t>勇气套装</t>
  </si>
  <si>
    <t>魔防提高30</t>
  </si>
  <si>
    <t>攻击提高50</t>
  </si>
  <si>
    <t>命中率提高3%</t>
  </si>
  <si>
    <t>防御提高20</t>
  </si>
  <si>
    <t>伤害减免提高3%</t>
  </si>
  <si>
    <t>血量提高200点</t>
  </si>
  <si>
    <t>伤害加成提高3%</t>
  </si>
  <si>
    <t>闪避率提高3%</t>
  </si>
  <si>
    <t>攻击提高75</t>
  </si>
  <si>
    <t>暴击率提高5%</t>
  </si>
  <si>
    <t>防御提高30 魔防提高30</t>
  </si>
  <si>
    <t>伤害加成提高4%</t>
  </si>
  <si>
    <t>移动速度提升5%</t>
  </si>
  <si>
    <t>100902,0.05</t>
  </si>
  <si>
    <t>血量提高320点</t>
  </si>
  <si>
    <t>重击概率提高5%</t>
  </si>
  <si>
    <t>202103,0.05</t>
  </si>
  <si>
    <t>攻击提高100点</t>
  </si>
  <si>
    <t>技能伤害提升100点</t>
  </si>
  <si>
    <t>伤害加成提高5%</t>
  </si>
  <si>
    <t>命中率提高5%</t>
  </si>
  <si>
    <t>攻击提高125点</t>
  </si>
  <si>
    <t>防御提高50 魔防提高50</t>
  </si>
  <si>
    <t>伤害减免提高5%</t>
  </si>
  <si>
    <t>闪避率提高5%</t>
  </si>
  <si>
    <t>防御提高75 魔防提高75</t>
  </si>
  <si>
    <t>攻击提高150</t>
  </si>
  <si>
    <t>攻击和魔法穿透提高5%</t>
  </si>
  <si>
    <t>202303,0.05</t>
  </si>
  <si>
    <t>攻击提高120</t>
  </si>
  <si>
    <t>物防提高150点</t>
  </si>
  <si>
    <t>攻击速度提高5%</t>
  </si>
  <si>
    <t>205003,0.05</t>
  </si>
  <si>
    <t>血量提高600点</t>
  </si>
  <si>
    <t>受到伤害对目标造成5%反弹伤害</t>
  </si>
  <si>
    <t>2027,0.05</t>
  </si>
  <si>
    <t>攻击提高200</t>
  </si>
  <si>
    <t>血量提高750点</t>
  </si>
  <si>
    <t>闪避概率提高5%</t>
  </si>
  <si>
    <t>202101,0.05</t>
  </si>
  <si>
    <t>真实伤害提高200点</t>
  </si>
  <si>
    <t>110301,200</t>
  </si>
  <si>
    <t>技能冷却时间缩减5%</t>
  </si>
  <si>
    <t>203601,0.05</t>
  </si>
  <si>
    <t>攻击提高5%</t>
  </si>
  <si>
    <t>100402,0.05</t>
  </si>
  <si>
    <t>忽视目标防御值300点</t>
  </si>
  <si>
    <t>118101,300</t>
  </si>
  <si>
    <t>生命上限提高5%</t>
  </si>
  <si>
    <t>100202,0.05</t>
  </si>
  <si>
    <t>暴击套装</t>
  </si>
  <si>
    <t>生肖套装</t>
    <phoneticPr fontId="11" type="noConversion"/>
  </si>
  <si>
    <t>暴击+1%</t>
  </si>
  <si>
    <t>魔防+1%</t>
    <phoneticPr fontId="11" type="noConversion"/>
  </si>
  <si>
    <t>法术+1%</t>
    <phoneticPr fontId="11" type="noConversion"/>
  </si>
  <si>
    <t>命中+1%</t>
    <phoneticPr fontId="11" type="noConversion"/>
  </si>
  <si>
    <t>物防+1%</t>
    <phoneticPr fontId="11" type="noConversion"/>
  </si>
  <si>
    <t>攻击+1%</t>
    <phoneticPr fontId="11" type="noConversion"/>
  </si>
  <si>
    <t>闪避+1%</t>
    <phoneticPr fontId="11" type="noConversion"/>
  </si>
  <si>
    <t>抗暴+1%</t>
    <phoneticPr fontId="11" type="noConversion"/>
  </si>
  <si>
    <t>血量+1%</t>
    <phoneticPr fontId="11" type="noConversion"/>
  </si>
  <si>
    <t>100402,0.01</t>
    <phoneticPr fontId="11" type="noConversion"/>
  </si>
  <si>
    <t>100602,0.01</t>
    <phoneticPr fontId="11" type="noConversion"/>
  </si>
  <si>
    <t>100802,0.01</t>
    <phoneticPr fontId="11" type="noConversion"/>
  </si>
  <si>
    <t>101002,0.01</t>
    <phoneticPr fontId="11" type="noConversion"/>
  </si>
  <si>
    <t>100202,0.01</t>
    <phoneticPr fontId="11" type="noConversion"/>
  </si>
  <si>
    <t>100802,0.015</t>
  </si>
  <si>
    <t>101002,0.015</t>
  </si>
  <si>
    <t>100602,0.015</t>
  </si>
  <si>
    <t>100402,0.015</t>
  </si>
  <si>
    <t>100202,0.015</t>
  </si>
  <si>
    <t>魔防+1.5%</t>
  </si>
  <si>
    <t>法术+1.5%</t>
  </si>
  <si>
    <t>暴击+1.5%</t>
  </si>
  <si>
    <t>物防+1.5%</t>
  </si>
  <si>
    <t>攻击+1.5%</t>
  </si>
  <si>
    <t>命中+1.5%</t>
  </si>
  <si>
    <t>抗暴+1.5%</t>
  </si>
  <si>
    <t>血量+1.5%</t>
  </si>
  <si>
    <t>闪避+1.5%</t>
  </si>
  <si>
    <t>魔防+2%</t>
  </si>
  <si>
    <t>法术+2%</t>
  </si>
  <si>
    <t>暴击+2%</t>
  </si>
  <si>
    <t>物防+2%</t>
  </si>
  <si>
    <t>攻击+2%</t>
  </si>
  <si>
    <t>命中+2%</t>
  </si>
  <si>
    <t>抗暴+2%</t>
  </si>
  <si>
    <t>血量+2%</t>
  </si>
  <si>
    <t>闪避+2%</t>
  </si>
  <si>
    <t>100802,0.02</t>
  </si>
  <si>
    <t>101002,0.02</t>
  </si>
  <si>
    <t>100602,0.02</t>
  </si>
  <si>
    <t>100402,0.02</t>
  </si>
  <si>
    <t>100202,0.02</t>
  </si>
  <si>
    <t>真实伤害提高300点</t>
    <phoneticPr fontId="11" type="noConversion"/>
  </si>
  <si>
    <t>忽视目标防御值400点</t>
    <phoneticPr fontId="11" type="noConversion"/>
  </si>
  <si>
    <t>118101,400</t>
    <phoneticPr fontId="11" type="noConversion"/>
  </si>
  <si>
    <t>110301,300</t>
    <phoneticPr fontId="11" type="noConversion"/>
  </si>
  <si>
    <t>力量+20</t>
    <phoneticPr fontId="11" type="noConversion"/>
  </si>
  <si>
    <t>敏捷+20</t>
    <phoneticPr fontId="11" type="noConversion"/>
  </si>
  <si>
    <t>耐力+20</t>
    <phoneticPr fontId="11" type="noConversion"/>
  </si>
  <si>
    <t>智力+20</t>
  </si>
  <si>
    <t>105103,20</t>
    <phoneticPr fontId="11" type="noConversion"/>
  </si>
  <si>
    <t>105203,20</t>
    <phoneticPr fontId="11" type="noConversion"/>
  </si>
  <si>
    <t>105503,20</t>
    <phoneticPr fontId="11" type="noConversion"/>
  </si>
  <si>
    <t>105403,20</t>
    <phoneticPr fontId="11" type="noConversion"/>
  </si>
  <si>
    <t>200403,0.02</t>
    <phoneticPr fontId="11" type="noConversion"/>
  </si>
  <si>
    <t>体质+20</t>
    <phoneticPr fontId="11" type="noConversion"/>
  </si>
  <si>
    <t>105303,20</t>
    <phoneticPr fontId="11" type="noConversion"/>
  </si>
  <si>
    <t>命中率提高4%</t>
    <phoneticPr fontId="11" type="noConversion"/>
  </si>
  <si>
    <t>EquipSuitDes_EN</t>
    <phoneticPr fontId="11" type="noConversion"/>
  </si>
  <si>
    <t>套装名称2</t>
    <phoneticPr fontId="11" type="noConversion"/>
  </si>
  <si>
    <t>string</t>
    <phoneticPr fontId="11" type="noConversion"/>
  </si>
  <si>
    <t>Attack +1%</t>
  </si>
  <si>
    <t>Attack +20</t>
  </si>
  <si>
    <t>Crit Rate +3%</t>
  </si>
  <si>
    <t>Attack +30</t>
  </si>
  <si>
    <t>Magic Def +30</t>
  </si>
  <si>
    <t>Hit Rate +3%</t>
  </si>
  <si>
    <t>Defense +20</t>
  </si>
  <si>
    <t>Dmg Reduction +3%</t>
  </si>
  <si>
    <t>HP +200</t>
  </si>
  <si>
    <t>Dmg Bonus +3%</t>
  </si>
  <si>
    <t>Evasion Rate +3%</t>
  </si>
  <si>
    <t>Hit Rate +4%</t>
  </si>
  <si>
    <t>Attack +75</t>
  </si>
  <si>
    <t>Def/Magic Def +30</t>
  </si>
  <si>
    <t>Dmg Bonus +4%</t>
  </si>
  <si>
    <t>Move Speed +5%</t>
  </si>
  <si>
    <t>HP +320</t>
  </si>
  <si>
    <t>Smash Rate +5%</t>
  </si>
  <si>
    <t>Attack +100</t>
  </si>
  <si>
    <t>Skill Dmg +100</t>
  </si>
  <si>
    <t>Attack +125</t>
  </si>
  <si>
    <t>Def/Magic Def +50</t>
  </si>
  <si>
    <t>Dmg Reduction +5%</t>
  </si>
  <si>
    <t>Evasion Rate +5%</t>
  </si>
  <si>
    <t>Def/Magic Def +75</t>
  </si>
  <si>
    <t>Attack +150</t>
  </si>
  <si>
    <t>Atk/Magic Pen +5%</t>
  </si>
  <si>
    <t>Physical Def +150</t>
  </si>
  <si>
    <t>Attack Speed +5%</t>
  </si>
  <si>
    <t>HP +600</t>
  </si>
  <si>
    <t>5% Dmg Reflect on Hit</t>
  </si>
  <si>
    <t>Attack +200</t>
  </si>
  <si>
    <t>HP +750</t>
  </si>
  <si>
    <t>True Dmg +200</t>
  </si>
  <si>
    <t>Cooldown -5%</t>
  </si>
  <si>
    <t>Attack +5%</t>
  </si>
  <si>
    <t>Ignore Def +300</t>
  </si>
  <si>
    <t>Max HP +5%</t>
  </si>
  <si>
    <t>True Dmg +300</t>
  </si>
  <si>
    <t>Ignore Def +400</t>
  </si>
  <si>
    <t>Magic Def +1%</t>
  </si>
  <si>
    <t>Spell Power +1%</t>
  </si>
  <si>
    <t>Crit +1%</t>
  </si>
  <si>
    <t>Physical Def +1%</t>
  </si>
  <si>
    <t>Hit +1%</t>
  </si>
  <si>
    <t>Crit Resistance +1%</t>
  </si>
  <si>
    <t>HP +1%</t>
  </si>
  <si>
    <t>Evasion +1%</t>
  </si>
  <si>
    <t>Attack +50</t>
  </si>
  <si>
    <t>Crit Rate +5%</t>
  </si>
  <si>
    <t>Dmg Bonus +5%</t>
  </si>
  <si>
    <t>Hit Rate +5%</t>
  </si>
  <si>
    <t>Attack +120</t>
  </si>
  <si>
    <t>Magic Def +1.5%</t>
  </si>
  <si>
    <t>Spell Power +1.5%</t>
  </si>
  <si>
    <t>Crit +1.5%</t>
  </si>
  <si>
    <t>Crit Resistance +2%</t>
  </si>
  <si>
    <t>HP +2%</t>
  </si>
  <si>
    <t>110301,400</t>
    <phoneticPr fontId="11" type="noConversion"/>
  </si>
  <si>
    <t>True Dmg +400</t>
    <phoneticPr fontId="11" type="noConversion"/>
  </si>
  <si>
    <t>真实伤害提高400点</t>
    <phoneticPr fontId="11" type="noConversion"/>
  </si>
  <si>
    <t>118101,500</t>
    <phoneticPr fontId="11" type="noConversion"/>
  </si>
  <si>
    <t>忽视目标防御值500点</t>
    <phoneticPr fontId="11" type="noConversion"/>
  </si>
  <si>
    <t>Ignore Def +500</t>
    <phoneticPr fontId="11" type="noConversion"/>
  </si>
  <si>
    <t>力量+30</t>
    <phoneticPr fontId="11" type="noConversion"/>
  </si>
  <si>
    <t>敏捷+30</t>
    <phoneticPr fontId="11" type="noConversion"/>
  </si>
  <si>
    <t>体质+30</t>
    <phoneticPr fontId="11" type="noConversion"/>
  </si>
  <si>
    <t>耐力+30</t>
    <phoneticPr fontId="11" type="noConversion"/>
  </si>
  <si>
    <t>智力+30</t>
    <phoneticPr fontId="11" type="noConversion"/>
  </si>
  <si>
    <t>抗暴+3%</t>
    <phoneticPr fontId="11" type="noConversion"/>
  </si>
  <si>
    <t>血量+3%</t>
    <phoneticPr fontId="11" type="noConversion"/>
  </si>
  <si>
    <t>HP +3%</t>
    <phoneticPr fontId="11" type="noConversion"/>
  </si>
  <si>
    <t>105103,30</t>
    <phoneticPr fontId="11" type="noConversion"/>
  </si>
  <si>
    <t>105203,30</t>
    <phoneticPr fontId="11" type="noConversion"/>
  </si>
  <si>
    <t>105503,30</t>
    <phoneticPr fontId="11" type="noConversion"/>
  </si>
  <si>
    <t>105403,30</t>
    <phoneticPr fontId="11" type="noConversion"/>
  </si>
  <si>
    <t>105303,30</t>
    <phoneticPr fontId="11" type="noConversion"/>
  </si>
  <si>
    <t>100202,0.03</t>
    <phoneticPr fontId="11" type="noConversion"/>
  </si>
  <si>
    <t>200403,0.03</t>
    <phoneticPr fontId="11" type="noConversion"/>
  </si>
  <si>
    <t>Hit Rate +5%</t>
    <phoneticPr fontId="11" type="noConversion"/>
  </si>
  <si>
    <t>Hit Rate + 3%</t>
    <phoneticPr fontId="11" type="noConversion"/>
  </si>
  <si>
    <t>Vitality + 30</t>
    <phoneticPr fontId="11" type="noConversion"/>
  </si>
  <si>
    <t>Stamina + 30</t>
    <phoneticPr fontId="11" type="noConversion"/>
  </si>
  <si>
    <t>HP + 3%</t>
    <phoneticPr fontId="11" type="noConversion"/>
  </si>
  <si>
    <t>Intelligence + 30</t>
    <phoneticPr fontId="11" type="noConversion"/>
  </si>
  <si>
    <t>Crit Resistance + 3%</t>
    <phoneticPr fontId="11" type="noConversion"/>
  </si>
  <si>
    <t>Strength + 30</t>
    <phoneticPr fontId="11" type="noConversion"/>
  </si>
  <si>
    <t>Agility + 30</t>
    <phoneticPr fontId="11" type="noConversion"/>
  </si>
  <si>
    <t>Intelligence + 20</t>
    <phoneticPr fontId="11" type="noConversion"/>
  </si>
  <si>
    <t>Stamina + 20</t>
    <phoneticPr fontId="11" type="noConversion"/>
  </si>
  <si>
    <t>Vitality + 20</t>
    <phoneticPr fontId="11" type="noConversion"/>
  </si>
  <si>
    <t>Agility + 20</t>
    <phoneticPr fontId="11" type="noConversion"/>
  </si>
  <si>
    <t>Evasion + 2%</t>
    <phoneticPr fontId="11" type="noConversion"/>
  </si>
  <si>
    <t>Strength + 20</t>
    <phoneticPr fontId="11" type="noConversion"/>
  </si>
  <si>
    <t>HP + 2%</t>
    <phoneticPr fontId="11" type="noConversion"/>
  </si>
  <si>
    <t>Crit Resistance + 2%</t>
    <phoneticPr fontId="11" type="noConversion"/>
  </si>
  <si>
    <t>Hit + 2%</t>
    <phoneticPr fontId="11" type="noConversion"/>
  </si>
  <si>
    <t>Attack + 2%</t>
    <phoneticPr fontId="11" type="noConversion"/>
  </si>
  <si>
    <t>Physical Def + 2%</t>
    <phoneticPr fontId="11" type="noConversion"/>
  </si>
  <si>
    <t>Crit + 2%</t>
    <phoneticPr fontId="11" type="noConversion"/>
  </si>
  <si>
    <t>Spell Power + 2%</t>
    <phoneticPr fontId="11" type="noConversion"/>
  </si>
  <si>
    <t>Magic Def + 2%</t>
    <phoneticPr fontId="11" type="noConversion"/>
  </si>
  <si>
    <t>Evasion + 1.5%</t>
    <phoneticPr fontId="11" type="noConversion"/>
  </si>
  <si>
    <t>HP + 1.5%</t>
    <phoneticPr fontId="11" type="noConversion"/>
  </si>
  <si>
    <t>Crit Resistance + 1.5%</t>
    <phoneticPr fontId="11" type="noConversion"/>
  </si>
  <si>
    <t>Hit + 1.5%</t>
    <phoneticPr fontId="11" type="noConversion"/>
  </si>
  <si>
    <t>Attack + 1.5%</t>
    <phoneticPr fontId="11" type="noConversion"/>
  </si>
  <si>
    <t>Physical Def + 1.5%</t>
    <phoneticPr fontId="11" type="noConversion"/>
  </si>
  <si>
    <t>命中+3%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</si>
</sst>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0" tint="-0.3499862666707357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0" tint="-0.3499862666707357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374370555742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2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hair">
        <color theme="1" tint="0.499984740745262"/>
      </right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0" fillId="2" borderId="0" xfId="0" applyFill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6" borderId="3" xfId="0" quotePrefix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I198"/>
  <sheetViews>
    <sheetView tabSelected="1" workbookViewId="0">
      <pane xSplit="7" ySplit="5" topLeftCell="U172" activePane="bottomRight" state="frozen"/>
      <selection pane="topRight"/>
      <selection pane="bottomLeft"/>
      <selection pane="bottomRight" activeCell="F188" sqref="F188"/>
    </sheetView>
  </sheetViews>
  <sheetFormatPr defaultColWidth="9" defaultRowHeight="13.5" x14ac:dyDescent="0.15"/>
  <cols>
    <col min="3" max="3" width="8.5" customWidth="1"/>
    <col min="4" max="4" width="19" customWidth="1"/>
    <col min="5" max="6" width="31.125" customWidth="1"/>
    <col min="7" max="7" width="19" customWidth="1"/>
    <col min="8" max="8" width="13.5" customWidth="1"/>
    <col min="9" max="9" width="17.875" customWidth="1"/>
    <col min="10" max="10" width="19" customWidth="1"/>
    <col min="11" max="11" width="17.875" customWidth="1"/>
    <col min="12" max="12" width="19" customWidth="1"/>
    <col min="13" max="13" width="17.875" customWidth="1"/>
    <col min="14" max="16" width="19" customWidth="1"/>
    <col min="17" max="18" width="14.5" customWidth="1"/>
    <col min="19" max="19" width="15.5" customWidth="1"/>
    <col min="20" max="20" width="20.125" customWidth="1"/>
    <col min="21" max="21" width="21.25" customWidth="1"/>
    <col min="22" max="22" width="16" customWidth="1"/>
    <col min="23" max="24" width="16.625" customWidth="1"/>
    <col min="25" max="25" width="16.125" customWidth="1"/>
  </cols>
  <sheetData>
    <row r="1" spans="3:35" s="1" customFormat="1" ht="14.25" x14ac:dyDescent="0.3"/>
    <row r="2" spans="3:35" ht="12.75" customHeight="1" x14ac:dyDescent="0.15"/>
    <row r="3" spans="3:35" s="2" customFormat="1" ht="20.100000000000001" customHeight="1" x14ac:dyDescent="0.3">
      <c r="C3" s="5" t="s">
        <v>0</v>
      </c>
      <c r="D3" s="6" t="s">
        <v>1</v>
      </c>
      <c r="E3" s="6" t="s">
        <v>242</v>
      </c>
      <c r="F3" s="6" t="s">
        <v>242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</row>
    <row r="4" spans="3:35" s="2" customFormat="1" ht="20.100000000000001" customHeight="1" x14ac:dyDescent="0.3">
      <c r="C4" s="5" t="s">
        <v>0</v>
      </c>
      <c r="D4" s="6" t="s">
        <v>21</v>
      </c>
      <c r="E4" s="6" t="s">
        <v>22</v>
      </c>
      <c r="F4" s="6" t="s">
        <v>241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32</v>
      </c>
      <c r="Q4" s="6" t="s">
        <v>33</v>
      </c>
      <c r="R4" s="6" t="s">
        <v>34</v>
      </c>
      <c r="S4" s="6" t="s">
        <v>35</v>
      </c>
      <c r="T4" s="6" t="s">
        <v>36</v>
      </c>
      <c r="U4" s="6" t="s">
        <v>37</v>
      </c>
      <c r="V4" s="6" t="s">
        <v>38</v>
      </c>
      <c r="W4" s="6" t="s">
        <v>39</v>
      </c>
      <c r="X4" s="6" t="s">
        <v>40</v>
      </c>
      <c r="Y4" s="6" t="s">
        <v>41</v>
      </c>
    </row>
    <row r="5" spans="3:35" s="2" customFormat="1" ht="20.100000000000001" customHeight="1" x14ac:dyDescent="0.3">
      <c r="C5" s="5" t="s">
        <v>42</v>
      </c>
      <c r="D5" s="6" t="s">
        <v>43</v>
      </c>
      <c r="E5" s="6" t="s">
        <v>243</v>
      </c>
      <c r="F5" s="6" t="s">
        <v>243</v>
      </c>
      <c r="G5" s="6" t="s">
        <v>42</v>
      </c>
      <c r="H5" s="6" t="s">
        <v>42</v>
      </c>
      <c r="I5" s="6" t="s">
        <v>42</v>
      </c>
      <c r="J5" s="6" t="s">
        <v>42</v>
      </c>
      <c r="K5" s="6" t="s">
        <v>42</v>
      </c>
      <c r="L5" s="6" t="s">
        <v>42</v>
      </c>
      <c r="M5" s="6" t="s">
        <v>42</v>
      </c>
      <c r="N5" s="6" t="s">
        <v>42</v>
      </c>
      <c r="O5" s="6" t="s">
        <v>42</v>
      </c>
      <c r="P5" s="6" t="s">
        <v>42</v>
      </c>
      <c r="Q5" s="6" t="s">
        <v>44</v>
      </c>
      <c r="R5" s="6" t="s">
        <v>44</v>
      </c>
      <c r="S5" s="6" t="s">
        <v>44</v>
      </c>
      <c r="T5" s="6" t="s">
        <v>44</v>
      </c>
      <c r="U5" s="6" t="s">
        <v>44</v>
      </c>
      <c r="V5" s="6" t="s">
        <v>44</v>
      </c>
      <c r="W5" s="6" t="s">
        <v>42</v>
      </c>
      <c r="X5" s="6" t="s">
        <v>42</v>
      </c>
      <c r="Y5" s="6" t="s">
        <v>43</v>
      </c>
    </row>
    <row r="6" spans="3:35" s="3" customFormat="1" x14ac:dyDescent="0.15">
      <c r="C6" s="7">
        <v>1001</v>
      </c>
      <c r="D6" s="8" t="s">
        <v>45</v>
      </c>
      <c r="E6" s="8" t="s">
        <v>46</v>
      </c>
      <c r="F6" s="7"/>
      <c r="G6" s="7">
        <v>0</v>
      </c>
      <c r="H6" s="9">
        <v>0</v>
      </c>
      <c r="I6" s="9">
        <v>0</v>
      </c>
      <c r="J6" s="9">
        <v>20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0.02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7">
        <v>0</v>
      </c>
      <c r="Y6" s="15">
        <v>0</v>
      </c>
      <c r="AA6" s="3">
        <f>H6*10</f>
        <v>0</v>
      </c>
      <c r="AB6" s="3">
        <f t="shared" ref="AB6:AI6" si="0">I6*10</f>
        <v>0</v>
      </c>
      <c r="AC6" s="3">
        <f t="shared" si="0"/>
        <v>200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</row>
    <row r="7" spans="3:35" s="3" customFormat="1" x14ac:dyDescent="0.15">
      <c r="C7" s="10">
        <v>1011</v>
      </c>
      <c r="D7" s="8" t="s">
        <v>47</v>
      </c>
      <c r="E7" s="10" t="s">
        <v>48</v>
      </c>
      <c r="F7" s="7"/>
      <c r="G7" s="7">
        <v>0</v>
      </c>
      <c r="H7" s="9">
        <v>0</v>
      </c>
      <c r="I7" s="9">
        <v>0</v>
      </c>
      <c r="J7" s="9">
        <v>20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0.03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7">
        <v>0</v>
      </c>
      <c r="Y7" s="15">
        <v>0</v>
      </c>
      <c r="AA7" s="3">
        <f t="shared" ref="AA7:AA55" si="1">H7*10</f>
        <v>0</v>
      </c>
      <c r="AB7" s="3">
        <f t="shared" ref="AB7:AB55" si="2">I7*10</f>
        <v>0</v>
      </c>
      <c r="AC7" s="3">
        <f t="shared" ref="AC7:AC55" si="3">J7*10</f>
        <v>200</v>
      </c>
      <c r="AD7" s="3">
        <f t="shared" ref="AD7:AD55" si="4">K7*10</f>
        <v>0</v>
      </c>
      <c r="AE7" s="3">
        <f t="shared" ref="AE7:AE55" si="5">L7*10</f>
        <v>0</v>
      </c>
      <c r="AF7" s="3">
        <f t="shared" ref="AF7:AF55" si="6">M7*10</f>
        <v>0</v>
      </c>
      <c r="AG7" s="3">
        <f t="shared" ref="AG7:AG55" si="7">N7*10</f>
        <v>0</v>
      </c>
      <c r="AH7" s="3">
        <f t="shared" ref="AH7:AH55" si="8">O7*10</f>
        <v>0</v>
      </c>
      <c r="AI7" s="3">
        <f t="shared" ref="AI7:AI55" si="9">P7*10</f>
        <v>0</v>
      </c>
    </row>
    <row r="8" spans="3:35" s="3" customFormat="1" x14ac:dyDescent="0.15">
      <c r="C8" s="8">
        <v>1021</v>
      </c>
      <c r="D8" s="8" t="s">
        <v>49</v>
      </c>
      <c r="E8" s="8" t="s">
        <v>50</v>
      </c>
      <c r="F8" s="7"/>
      <c r="G8" s="7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40</v>
      </c>
      <c r="O8" s="9">
        <v>0</v>
      </c>
      <c r="P8" s="9">
        <v>40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7">
        <v>0</v>
      </c>
      <c r="Y8" s="15">
        <v>0</v>
      </c>
      <c r="AA8" s="3">
        <f t="shared" si="1"/>
        <v>0</v>
      </c>
      <c r="AB8" s="3">
        <f t="shared" si="2"/>
        <v>0</v>
      </c>
      <c r="AC8" s="3">
        <f t="shared" si="3"/>
        <v>0</v>
      </c>
      <c r="AD8" s="3">
        <f t="shared" si="4"/>
        <v>0</v>
      </c>
      <c r="AE8" s="3">
        <f t="shared" si="5"/>
        <v>0</v>
      </c>
      <c r="AF8" s="3">
        <f t="shared" si="6"/>
        <v>0</v>
      </c>
      <c r="AG8" s="3">
        <f t="shared" si="7"/>
        <v>400</v>
      </c>
      <c r="AH8" s="3">
        <f t="shared" si="8"/>
        <v>0</v>
      </c>
      <c r="AI8" s="3">
        <f t="shared" si="9"/>
        <v>400</v>
      </c>
    </row>
    <row r="9" spans="3:35" s="3" customFormat="1" x14ac:dyDescent="0.15">
      <c r="C9" s="8">
        <v>1022</v>
      </c>
      <c r="D9" s="8" t="s">
        <v>49</v>
      </c>
      <c r="E9" s="8" t="s">
        <v>51</v>
      </c>
      <c r="F9" s="7"/>
      <c r="G9" s="7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0.05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7">
        <v>0</v>
      </c>
      <c r="Y9" s="15">
        <v>0</v>
      </c>
      <c r="AA9" s="3">
        <f t="shared" si="1"/>
        <v>0</v>
      </c>
      <c r="AB9" s="3">
        <f t="shared" si="2"/>
        <v>0</v>
      </c>
      <c r="AC9" s="3">
        <f t="shared" si="3"/>
        <v>0</v>
      </c>
      <c r="AD9" s="3">
        <f t="shared" si="4"/>
        <v>0</v>
      </c>
      <c r="AE9" s="3">
        <f t="shared" si="5"/>
        <v>0</v>
      </c>
      <c r="AF9" s="3">
        <f t="shared" si="6"/>
        <v>0</v>
      </c>
      <c r="AG9" s="3">
        <f t="shared" si="7"/>
        <v>0</v>
      </c>
      <c r="AH9" s="3">
        <f t="shared" si="8"/>
        <v>0</v>
      </c>
      <c r="AI9" s="3">
        <f t="shared" si="9"/>
        <v>0</v>
      </c>
    </row>
    <row r="10" spans="3:35" s="3" customFormat="1" x14ac:dyDescent="0.15">
      <c r="C10" s="8">
        <v>1023</v>
      </c>
      <c r="D10" s="8" t="s">
        <v>52</v>
      </c>
      <c r="E10" s="8" t="s">
        <v>53</v>
      </c>
      <c r="F10" s="8"/>
      <c r="G10" s="8">
        <v>0</v>
      </c>
      <c r="H10" s="8">
        <v>300</v>
      </c>
      <c r="I10" s="8">
        <v>0</v>
      </c>
      <c r="J10" s="8">
        <v>0</v>
      </c>
      <c r="K10" s="9">
        <v>0</v>
      </c>
      <c r="L10" s="9">
        <v>0</v>
      </c>
      <c r="M10" s="7">
        <v>0</v>
      </c>
      <c r="N10" s="7">
        <v>0</v>
      </c>
      <c r="O10" s="7">
        <v>0</v>
      </c>
      <c r="P10" s="7">
        <v>0</v>
      </c>
      <c r="Q10" s="8">
        <v>0</v>
      </c>
      <c r="R10" s="8">
        <v>0</v>
      </c>
      <c r="S10" s="8">
        <v>0</v>
      </c>
      <c r="T10" s="8">
        <v>0</v>
      </c>
      <c r="U10" s="8">
        <v>0.05</v>
      </c>
      <c r="V10" s="8">
        <v>0</v>
      </c>
      <c r="W10" s="8">
        <v>0</v>
      </c>
      <c r="X10" s="8">
        <v>0</v>
      </c>
      <c r="Y10" s="15">
        <v>0</v>
      </c>
      <c r="AA10" s="3">
        <f t="shared" si="1"/>
        <v>3000</v>
      </c>
      <c r="AB10" s="3">
        <f t="shared" si="2"/>
        <v>0</v>
      </c>
      <c r="AC10" s="3">
        <f t="shared" si="3"/>
        <v>0</v>
      </c>
      <c r="AD10" s="3">
        <f t="shared" si="4"/>
        <v>0</v>
      </c>
      <c r="AE10" s="3">
        <f t="shared" si="5"/>
        <v>0</v>
      </c>
      <c r="AF10" s="3">
        <f t="shared" si="6"/>
        <v>0</v>
      </c>
      <c r="AG10" s="3">
        <f t="shared" si="7"/>
        <v>0</v>
      </c>
      <c r="AH10" s="3">
        <f t="shared" si="8"/>
        <v>0</v>
      </c>
      <c r="AI10" s="3">
        <f t="shared" si="9"/>
        <v>0</v>
      </c>
    </row>
    <row r="11" spans="3:35" s="3" customFormat="1" x14ac:dyDescent="0.15">
      <c r="C11" s="8">
        <v>1024</v>
      </c>
      <c r="D11" s="8" t="s">
        <v>54</v>
      </c>
      <c r="E11" s="8" t="s">
        <v>55</v>
      </c>
      <c r="F11" s="8"/>
      <c r="G11" s="8">
        <v>0</v>
      </c>
      <c r="H11" s="11">
        <v>0</v>
      </c>
      <c r="I11" s="11">
        <v>0</v>
      </c>
      <c r="J11" s="11">
        <v>100</v>
      </c>
      <c r="K11" s="9">
        <v>0</v>
      </c>
      <c r="L11" s="9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6">
        <v>0</v>
      </c>
      <c r="Y11" s="15">
        <v>0</v>
      </c>
      <c r="AA11" s="3">
        <f t="shared" si="1"/>
        <v>0</v>
      </c>
      <c r="AB11" s="3">
        <f t="shared" si="2"/>
        <v>0</v>
      </c>
      <c r="AC11" s="3">
        <f t="shared" si="3"/>
        <v>1000</v>
      </c>
      <c r="AD11" s="3">
        <f t="shared" si="4"/>
        <v>0</v>
      </c>
      <c r="AE11" s="3">
        <f t="shared" si="5"/>
        <v>0</v>
      </c>
      <c r="AF11" s="3">
        <f t="shared" si="6"/>
        <v>0</v>
      </c>
      <c r="AG11" s="3">
        <f t="shared" si="7"/>
        <v>0</v>
      </c>
      <c r="AH11" s="3">
        <f t="shared" si="8"/>
        <v>0</v>
      </c>
      <c r="AI11" s="3">
        <f t="shared" si="9"/>
        <v>0</v>
      </c>
    </row>
    <row r="12" spans="3:35" s="3" customFormat="1" x14ac:dyDescent="0.15">
      <c r="C12" s="8">
        <v>1025</v>
      </c>
      <c r="D12" s="8" t="s">
        <v>56</v>
      </c>
      <c r="E12" s="8" t="s">
        <v>57</v>
      </c>
      <c r="F12" s="8"/>
      <c r="G12" s="8">
        <v>0</v>
      </c>
      <c r="H12" s="11">
        <v>0</v>
      </c>
      <c r="I12" s="11">
        <v>0</v>
      </c>
      <c r="J12" s="11">
        <v>0</v>
      </c>
      <c r="K12" s="9">
        <v>0</v>
      </c>
      <c r="L12" s="9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6">
        <v>60090005</v>
      </c>
      <c r="Y12" s="15">
        <v>0</v>
      </c>
      <c r="AA12" s="3">
        <f t="shared" si="1"/>
        <v>0</v>
      </c>
      <c r="AB12" s="3">
        <f t="shared" si="2"/>
        <v>0</v>
      </c>
      <c r="AC12" s="3">
        <f t="shared" si="3"/>
        <v>0</v>
      </c>
      <c r="AD12" s="3">
        <f t="shared" si="4"/>
        <v>0</v>
      </c>
      <c r="AE12" s="3">
        <f t="shared" si="5"/>
        <v>0</v>
      </c>
      <c r="AF12" s="3">
        <f t="shared" si="6"/>
        <v>0</v>
      </c>
      <c r="AG12" s="3">
        <f t="shared" si="7"/>
        <v>0</v>
      </c>
      <c r="AH12" s="3">
        <f t="shared" si="8"/>
        <v>0</v>
      </c>
      <c r="AI12" s="3">
        <f t="shared" si="9"/>
        <v>0</v>
      </c>
    </row>
    <row r="13" spans="3:35" s="3" customFormat="1" x14ac:dyDescent="0.15">
      <c r="C13" s="8">
        <v>2001</v>
      </c>
      <c r="D13" s="8" t="s">
        <v>58</v>
      </c>
      <c r="E13" s="8" t="s">
        <v>59</v>
      </c>
      <c r="F13" s="8"/>
      <c r="G13" s="8">
        <v>0</v>
      </c>
      <c r="H13" s="11">
        <v>0</v>
      </c>
      <c r="I13" s="11">
        <v>0</v>
      </c>
      <c r="J13" s="11">
        <v>0</v>
      </c>
      <c r="K13" s="9">
        <v>0</v>
      </c>
      <c r="L13" s="9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0.05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6">
        <v>0</v>
      </c>
      <c r="Y13" s="15">
        <v>0</v>
      </c>
      <c r="AA13" s="3">
        <f t="shared" si="1"/>
        <v>0</v>
      </c>
      <c r="AB13" s="3">
        <f t="shared" si="2"/>
        <v>0</v>
      </c>
      <c r="AC13" s="3">
        <f t="shared" si="3"/>
        <v>0</v>
      </c>
      <c r="AD13" s="3">
        <f t="shared" si="4"/>
        <v>0</v>
      </c>
      <c r="AE13" s="3">
        <f t="shared" si="5"/>
        <v>0</v>
      </c>
      <c r="AF13" s="3">
        <f t="shared" si="6"/>
        <v>0</v>
      </c>
      <c r="AG13" s="3">
        <f t="shared" si="7"/>
        <v>0</v>
      </c>
      <c r="AH13" s="3">
        <f t="shared" si="8"/>
        <v>0</v>
      </c>
      <c r="AI13" s="3">
        <f t="shared" si="9"/>
        <v>0</v>
      </c>
    </row>
    <row r="14" spans="3:35" s="3" customFormat="1" x14ac:dyDescent="0.15">
      <c r="C14" s="8">
        <v>2011</v>
      </c>
      <c r="D14" s="8" t="s">
        <v>60</v>
      </c>
      <c r="E14" s="8" t="s">
        <v>61</v>
      </c>
      <c r="F14" s="8"/>
      <c r="G14" s="8">
        <v>0</v>
      </c>
      <c r="H14" s="11">
        <v>0</v>
      </c>
      <c r="I14" s="11">
        <v>0</v>
      </c>
      <c r="J14" s="11">
        <v>50</v>
      </c>
      <c r="K14" s="9">
        <v>0</v>
      </c>
      <c r="L14" s="9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6">
        <v>0</v>
      </c>
      <c r="Y14" s="15">
        <v>0</v>
      </c>
      <c r="AA14" s="3">
        <f t="shared" si="1"/>
        <v>0</v>
      </c>
      <c r="AB14" s="3">
        <f t="shared" si="2"/>
        <v>0</v>
      </c>
      <c r="AC14" s="3">
        <f t="shared" si="3"/>
        <v>500</v>
      </c>
      <c r="AD14" s="3">
        <f t="shared" si="4"/>
        <v>0</v>
      </c>
      <c r="AE14" s="3">
        <f t="shared" si="5"/>
        <v>0</v>
      </c>
      <c r="AF14" s="3">
        <f t="shared" si="6"/>
        <v>0</v>
      </c>
      <c r="AG14" s="3">
        <f t="shared" si="7"/>
        <v>0</v>
      </c>
      <c r="AH14" s="3">
        <f t="shared" si="8"/>
        <v>0</v>
      </c>
      <c r="AI14" s="3">
        <f t="shared" si="9"/>
        <v>0</v>
      </c>
    </row>
    <row r="15" spans="3:35" s="3" customFormat="1" x14ac:dyDescent="0.15">
      <c r="C15" s="8">
        <v>2012</v>
      </c>
      <c r="D15" s="8" t="s">
        <v>62</v>
      </c>
      <c r="E15" s="8" t="s">
        <v>63</v>
      </c>
      <c r="F15" s="8"/>
      <c r="G15" s="8">
        <v>0</v>
      </c>
      <c r="H15" s="11">
        <v>0</v>
      </c>
      <c r="I15" s="11">
        <v>0</v>
      </c>
      <c r="J15" s="11">
        <v>0</v>
      </c>
      <c r="K15" s="9">
        <v>0</v>
      </c>
      <c r="L15" s="9">
        <v>0</v>
      </c>
      <c r="M15" s="11">
        <v>0</v>
      </c>
      <c r="N15" s="11">
        <v>50</v>
      </c>
      <c r="O15" s="11">
        <v>0</v>
      </c>
      <c r="P15" s="11">
        <v>50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6">
        <v>0</v>
      </c>
      <c r="Y15" s="15">
        <v>0</v>
      </c>
      <c r="AA15" s="3">
        <f t="shared" si="1"/>
        <v>0</v>
      </c>
      <c r="AB15" s="3">
        <f t="shared" si="2"/>
        <v>0</v>
      </c>
      <c r="AC15" s="3">
        <f t="shared" si="3"/>
        <v>0</v>
      </c>
      <c r="AD15" s="3">
        <f t="shared" si="4"/>
        <v>0</v>
      </c>
      <c r="AE15" s="3">
        <f t="shared" si="5"/>
        <v>0</v>
      </c>
      <c r="AF15" s="3">
        <f t="shared" si="6"/>
        <v>0</v>
      </c>
      <c r="AG15" s="3">
        <f t="shared" si="7"/>
        <v>500</v>
      </c>
      <c r="AH15" s="3">
        <f t="shared" si="8"/>
        <v>0</v>
      </c>
      <c r="AI15" s="3">
        <f t="shared" si="9"/>
        <v>500</v>
      </c>
    </row>
    <row r="16" spans="3:35" s="3" customFormat="1" x14ac:dyDescent="0.15">
      <c r="C16" s="8">
        <v>2013</v>
      </c>
      <c r="D16" s="8" t="s">
        <v>64</v>
      </c>
      <c r="E16" s="8" t="s">
        <v>65</v>
      </c>
      <c r="F16" s="8"/>
      <c r="G16" s="8">
        <v>0</v>
      </c>
      <c r="H16" s="11">
        <v>0</v>
      </c>
      <c r="I16" s="11">
        <v>0</v>
      </c>
      <c r="J16" s="11">
        <v>0</v>
      </c>
      <c r="K16" s="9">
        <v>0</v>
      </c>
      <c r="L16" s="9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0.05</v>
      </c>
      <c r="U16" s="11">
        <v>0</v>
      </c>
      <c r="V16" s="11">
        <v>0</v>
      </c>
      <c r="W16" s="11">
        <v>0</v>
      </c>
      <c r="X16" s="16">
        <v>0</v>
      </c>
      <c r="Y16" s="15">
        <v>0</v>
      </c>
      <c r="AA16" s="3">
        <f t="shared" si="1"/>
        <v>0</v>
      </c>
      <c r="AB16" s="3">
        <f t="shared" si="2"/>
        <v>0</v>
      </c>
      <c r="AC16" s="3">
        <f t="shared" si="3"/>
        <v>0</v>
      </c>
      <c r="AD16" s="3">
        <f t="shared" si="4"/>
        <v>0</v>
      </c>
      <c r="AE16" s="3">
        <f t="shared" si="5"/>
        <v>0</v>
      </c>
      <c r="AF16" s="3">
        <f t="shared" si="6"/>
        <v>0</v>
      </c>
      <c r="AG16" s="3">
        <f t="shared" si="7"/>
        <v>0</v>
      </c>
      <c r="AH16" s="3">
        <f t="shared" si="8"/>
        <v>0</v>
      </c>
      <c r="AI16" s="3">
        <f t="shared" si="9"/>
        <v>0</v>
      </c>
    </row>
    <row r="17" spans="3:35" s="3" customFormat="1" x14ac:dyDescent="0.15">
      <c r="C17" s="8">
        <v>2014</v>
      </c>
      <c r="D17" s="8" t="s">
        <v>66</v>
      </c>
      <c r="E17" s="8" t="s">
        <v>67</v>
      </c>
      <c r="F17" s="8"/>
      <c r="G17" s="8">
        <v>1</v>
      </c>
      <c r="H17" s="11">
        <v>0</v>
      </c>
      <c r="I17" s="11">
        <v>0</v>
      </c>
      <c r="J17" s="11">
        <v>0</v>
      </c>
      <c r="K17" s="9">
        <v>0</v>
      </c>
      <c r="L17" s="9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0.05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6">
        <v>0</v>
      </c>
      <c r="Y17" s="15">
        <v>0</v>
      </c>
      <c r="AA17" s="3">
        <f t="shared" si="1"/>
        <v>0</v>
      </c>
      <c r="AB17" s="3">
        <f t="shared" si="2"/>
        <v>0</v>
      </c>
      <c r="AC17" s="3">
        <f t="shared" si="3"/>
        <v>0</v>
      </c>
      <c r="AD17" s="3">
        <f t="shared" si="4"/>
        <v>0</v>
      </c>
      <c r="AE17" s="3">
        <f t="shared" si="5"/>
        <v>0</v>
      </c>
      <c r="AF17" s="3">
        <f t="shared" si="6"/>
        <v>0</v>
      </c>
      <c r="AG17" s="3">
        <f t="shared" si="7"/>
        <v>0</v>
      </c>
      <c r="AH17" s="3">
        <f t="shared" si="8"/>
        <v>0</v>
      </c>
      <c r="AI17" s="3">
        <f t="shared" si="9"/>
        <v>0</v>
      </c>
    </row>
    <row r="18" spans="3:35" s="3" customFormat="1" x14ac:dyDescent="0.15">
      <c r="C18" s="8">
        <v>2021</v>
      </c>
      <c r="D18" s="8" t="s">
        <v>68</v>
      </c>
      <c r="E18" s="8" t="s">
        <v>69</v>
      </c>
      <c r="F18" s="8"/>
      <c r="G18" s="8">
        <v>0</v>
      </c>
      <c r="H18" s="11">
        <v>0</v>
      </c>
      <c r="I18" s="11">
        <v>0</v>
      </c>
      <c r="J18" s="11">
        <v>0</v>
      </c>
      <c r="K18" s="9">
        <v>0</v>
      </c>
      <c r="L18" s="9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0.05</v>
      </c>
      <c r="V18" s="11">
        <v>0</v>
      </c>
      <c r="W18" s="11">
        <v>0</v>
      </c>
      <c r="X18" s="16">
        <v>0</v>
      </c>
      <c r="Y18" s="15">
        <v>0</v>
      </c>
      <c r="AA18" s="3">
        <f t="shared" si="1"/>
        <v>0</v>
      </c>
      <c r="AB18" s="3">
        <f t="shared" si="2"/>
        <v>0</v>
      </c>
      <c r="AC18" s="3">
        <f t="shared" si="3"/>
        <v>0</v>
      </c>
      <c r="AD18" s="3">
        <f t="shared" si="4"/>
        <v>0</v>
      </c>
      <c r="AE18" s="3">
        <f t="shared" si="5"/>
        <v>0</v>
      </c>
      <c r="AF18" s="3">
        <f t="shared" si="6"/>
        <v>0</v>
      </c>
      <c r="AG18" s="3">
        <f t="shared" si="7"/>
        <v>0</v>
      </c>
      <c r="AH18" s="3">
        <f t="shared" si="8"/>
        <v>0</v>
      </c>
      <c r="AI18" s="3">
        <f t="shared" si="9"/>
        <v>0</v>
      </c>
    </row>
    <row r="19" spans="3:35" s="3" customFormat="1" x14ac:dyDescent="0.15">
      <c r="C19" s="8">
        <v>2031</v>
      </c>
      <c r="D19" s="8" t="s">
        <v>70</v>
      </c>
      <c r="E19" s="8" t="s">
        <v>71</v>
      </c>
      <c r="F19" s="8"/>
      <c r="G19" s="8">
        <v>0</v>
      </c>
      <c r="H19" s="11">
        <v>500</v>
      </c>
      <c r="I19" s="11">
        <v>0</v>
      </c>
      <c r="J19" s="11">
        <v>0</v>
      </c>
      <c r="K19" s="9">
        <v>0</v>
      </c>
      <c r="L19" s="9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0.05</v>
      </c>
      <c r="T19" s="11">
        <v>0</v>
      </c>
      <c r="U19" s="11">
        <v>0</v>
      </c>
      <c r="V19" s="11">
        <v>0</v>
      </c>
      <c r="W19" s="11">
        <v>0</v>
      </c>
      <c r="X19" s="16">
        <v>0</v>
      </c>
      <c r="Y19" s="15">
        <v>0</v>
      </c>
      <c r="AA19" s="3">
        <f t="shared" si="1"/>
        <v>5000</v>
      </c>
      <c r="AB19" s="3">
        <f t="shared" si="2"/>
        <v>0</v>
      </c>
      <c r="AC19" s="3">
        <f t="shared" si="3"/>
        <v>0</v>
      </c>
      <c r="AD19" s="3">
        <f t="shared" si="4"/>
        <v>0</v>
      </c>
      <c r="AE19" s="3">
        <f t="shared" si="5"/>
        <v>0</v>
      </c>
      <c r="AF19" s="3">
        <f t="shared" si="6"/>
        <v>0</v>
      </c>
      <c r="AG19" s="3">
        <f t="shared" si="7"/>
        <v>0</v>
      </c>
      <c r="AH19" s="3">
        <f t="shared" si="8"/>
        <v>0</v>
      </c>
      <c r="AI19" s="3">
        <f t="shared" si="9"/>
        <v>0</v>
      </c>
    </row>
    <row r="20" spans="3:35" s="3" customFormat="1" x14ac:dyDescent="0.15">
      <c r="C20" s="8">
        <v>2041</v>
      </c>
      <c r="D20" s="8" t="s">
        <v>72</v>
      </c>
      <c r="E20" s="8" t="s">
        <v>73</v>
      </c>
      <c r="F20" s="8"/>
      <c r="G20" s="8">
        <v>0</v>
      </c>
      <c r="H20" s="11">
        <v>0</v>
      </c>
      <c r="I20" s="11">
        <v>0</v>
      </c>
      <c r="J20" s="11">
        <v>30</v>
      </c>
      <c r="K20" s="9">
        <v>0</v>
      </c>
      <c r="L20" s="9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6">
        <v>0</v>
      </c>
      <c r="Y20" s="15">
        <v>0</v>
      </c>
      <c r="AA20" s="3">
        <f t="shared" si="1"/>
        <v>0</v>
      </c>
      <c r="AB20" s="3">
        <f t="shared" si="2"/>
        <v>0</v>
      </c>
      <c r="AC20" s="3">
        <f t="shared" si="3"/>
        <v>300</v>
      </c>
      <c r="AD20" s="3">
        <f t="shared" si="4"/>
        <v>0</v>
      </c>
      <c r="AE20" s="3">
        <f t="shared" si="5"/>
        <v>0</v>
      </c>
      <c r="AF20" s="3">
        <f t="shared" si="6"/>
        <v>0</v>
      </c>
      <c r="AG20" s="3">
        <f t="shared" si="7"/>
        <v>0</v>
      </c>
      <c r="AH20" s="3">
        <f t="shared" si="8"/>
        <v>0</v>
      </c>
      <c r="AI20" s="3">
        <f t="shared" si="9"/>
        <v>0</v>
      </c>
    </row>
    <row r="21" spans="3:35" s="3" customFormat="1" x14ac:dyDescent="0.15">
      <c r="C21" s="8">
        <v>2042</v>
      </c>
      <c r="D21" s="8" t="s">
        <v>72</v>
      </c>
      <c r="E21" s="8" t="s">
        <v>74</v>
      </c>
      <c r="F21" s="8"/>
      <c r="G21" s="8">
        <v>0</v>
      </c>
      <c r="H21" s="11">
        <v>300</v>
      </c>
      <c r="I21" s="11">
        <v>0</v>
      </c>
      <c r="J21" s="11">
        <v>0</v>
      </c>
      <c r="K21" s="9">
        <v>0</v>
      </c>
      <c r="L21" s="9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0.05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6">
        <v>0</v>
      </c>
      <c r="Y21" s="15">
        <v>0</v>
      </c>
      <c r="AA21" s="3">
        <f t="shared" si="1"/>
        <v>3000</v>
      </c>
      <c r="AB21" s="3">
        <f t="shared" si="2"/>
        <v>0</v>
      </c>
      <c r="AC21" s="3">
        <f t="shared" si="3"/>
        <v>0</v>
      </c>
      <c r="AD21" s="3">
        <f t="shared" si="4"/>
        <v>0</v>
      </c>
      <c r="AE21" s="3">
        <f t="shared" si="5"/>
        <v>0</v>
      </c>
      <c r="AF21" s="3">
        <f t="shared" si="6"/>
        <v>0</v>
      </c>
      <c r="AG21" s="3">
        <f t="shared" si="7"/>
        <v>0</v>
      </c>
      <c r="AH21" s="3">
        <f t="shared" si="8"/>
        <v>0</v>
      </c>
      <c r="AI21" s="3">
        <f t="shared" si="9"/>
        <v>0</v>
      </c>
    </row>
    <row r="22" spans="3:35" s="3" customFormat="1" x14ac:dyDescent="0.15">
      <c r="C22" s="8">
        <v>2101</v>
      </c>
      <c r="D22" s="8" t="s">
        <v>75</v>
      </c>
      <c r="E22" s="8" t="s">
        <v>73</v>
      </c>
      <c r="F22" s="8"/>
      <c r="G22" s="8">
        <v>0</v>
      </c>
      <c r="H22" s="11">
        <v>0</v>
      </c>
      <c r="I22" s="11">
        <v>0</v>
      </c>
      <c r="J22" s="11">
        <v>30</v>
      </c>
      <c r="K22" s="9">
        <v>0</v>
      </c>
      <c r="L22" s="9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6">
        <v>0</v>
      </c>
      <c r="Y22" s="15">
        <v>0</v>
      </c>
      <c r="AA22" s="3">
        <f t="shared" si="1"/>
        <v>0</v>
      </c>
      <c r="AB22" s="3">
        <f t="shared" si="2"/>
        <v>0</v>
      </c>
      <c r="AC22" s="3">
        <f t="shared" si="3"/>
        <v>300</v>
      </c>
      <c r="AD22" s="3">
        <f t="shared" si="4"/>
        <v>0</v>
      </c>
      <c r="AE22" s="3">
        <f t="shared" si="5"/>
        <v>0</v>
      </c>
      <c r="AF22" s="3">
        <f t="shared" si="6"/>
        <v>0</v>
      </c>
      <c r="AG22" s="3">
        <f t="shared" si="7"/>
        <v>0</v>
      </c>
      <c r="AH22" s="3">
        <f t="shared" si="8"/>
        <v>0</v>
      </c>
      <c r="AI22" s="3">
        <f t="shared" si="9"/>
        <v>0</v>
      </c>
    </row>
    <row r="23" spans="3:35" s="3" customFormat="1" x14ac:dyDescent="0.15">
      <c r="C23" s="8">
        <v>2102</v>
      </c>
      <c r="D23" s="8" t="s">
        <v>76</v>
      </c>
      <c r="E23" s="8" t="s">
        <v>77</v>
      </c>
      <c r="F23" s="8"/>
      <c r="G23" s="8">
        <v>0</v>
      </c>
      <c r="H23" s="11">
        <v>0</v>
      </c>
      <c r="I23" s="11">
        <v>0</v>
      </c>
      <c r="J23" s="11">
        <v>0</v>
      </c>
      <c r="K23" s="9">
        <v>0</v>
      </c>
      <c r="L23" s="9">
        <v>0</v>
      </c>
      <c r="M23" s="11">
        <v>0</v>
      </c>
      <c r="N23" s="11">
        <v>30</v>
      </c>
      <c r="O23" s="11">
        <v>0</v>
      </c>
      <c r="P23" s="11">
        <v>30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6">
        <v>0</v>
      </c>
      <c r="Y23" s="15">
        <v>0</v>
      </c>
      <c r="AA23" s="3">
        <f t="shared" si="1"/>
        <v>0</v>
      </c>
      <c r="AB23" s="3">
        <f t="shared" si="2"/>
        <v>0</v>
      </c>
      <c r="AC23" s="3">
        <f t="shared" si="3"/>
        <v>0</v>
      </c>
      <c r="AD23" s="3">
        <f t="shared" si="4"/>
        <v>0</v>
      </c>
      <c r="AE23" s="3">
        <f t="shared" si="5"/>
        <v>0</v>
      </c>
      <c r="AF23" s="3">
        <f t="shared" si="6"/>
        <v>0</v>
      </c>
      <c r="AG23" s="3">
        <f t="shared" si="7"/>
        <v>300</v>
      </c>
      <c r="AH23" s="3">
        <f t="shared" si="8"/>
        <v>0</v>
      </c>
      <c r="AI23" s="3">
        <f t="shared" si="9"/>
        <v>300</v>
      </c>
    </row>
    <row r="24" spans="3:35" s="3" customFormat="1" x14ac:dyDescent="0.15">
      <c r="C24" s="8">
        <v>2111</v>
      </c>
      <c r="D24" s="8" t="s">
        <v>78</v>
      </c>
      <c r="E24" s="8" t="s">
        <v>79</v>
      </c>
      <c r="F24" s="8"/>
      <c r="G24" s="8">
        <v>0</v>
      </c>
      <c r="H24" s="11">
        <v>0</v>
      </c>
      <c r="I24" s="11">
        <v>0</v>
      </c>
      <c r="J24" s="11">
        <v>50</v>
      </c>
      <c r="K24" s="9">
        <v>0</v>
      </c>
      <c r="L24" s="9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6">
        <v>0</v>
      </c>
      <c r="Y24" s="15">
        <v>0</v>
      </c>
      <c r="AA24" s="3">
        <f t="shared" si="1"/>
        <v>0</v>
      </c>
      <c r="AB24" s="3">
        <f t="shared" si="2"/>
        <v>0</v>
      </c>
      <c r="AC24" s="3">
        <f t="shared" si="3"/>
        <v>500</v>
      </c>
      <c r="AD24" s="3">
        <f t="shared" si="4"/>
        <v>0</v>
      </c>
      <c r="AE24" s="3">
        <f t="shared" si="5"/>
        <v>0</v>
      </c>
      <c r="AF24" s="3">
        <f t="shared" si="6"/>
        <v>0</v>
      </c>
      <c r="AG24" s="3">
        <f t="shared" si="7"/>
        <v>0</v>
      </c>
      <c r="AH24" s="3">
        <f t="shared" si="8"/>
        <v>0</v>
      </c>
      <c r="AI24" s="3">
        <f t="shared" si="9"/>
        <v>0</v>
      </c>
    </row>
    <row r="25" spans="3:35" s="3" customFormat="1" x14ac:dyDescent="0.15">
      <c r="C25" s="8">
        <v>2121</v>
      </c>
      <c r="D25" s="8" t="s">
        <v>80</v>
      </c>
      <c r="E25" s="8" t="s">
        <v>51</v>
      </c>
      <c r="F25" s="8"/>
      <c r="G25" s="8">
        <v>0</v>
      </c>
      <c r="H25" s="11">
        <v>0</v>
      </c>
      <c r="I25" s="11">
        <v>0</v>
      </c>
      <c r="J25" s="11">
        <v>0</v>
      </c>
      <c r="K25" s="9">
        <v>0</v>
      </c>
      <c r="L25" s="9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0.05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6">
        <v>0</v>
      </c>
      <c r="Y25" s="15">
        <v>0</v>
      </c>
      <c r="AA25" s="3">
        <f t="shared" si="1"/>
        <v>0</v>
      </c>
      <c r="AB25" s="3">
        <f t="shared" si="2"/>
        <v>0</v>
      </c>
      <c r="AC25" s="3">
        <f t="shared" si="3"/>
        <v>0</v>
      </c>
      <c r="AD25" s="3">
        <f t="shared" si="4"/>
        <v>0</v>
      </c>
      <c r="AE25" s="3">
        <f t="shared" si="5"/>
        <v>0</v>
      </c>
      <c r="AF25" s="3">
        <f t="shared" si="6"/>
        <v>0</v>
      </c>
      <c r="AG25" s="3">
        <f t="shared" si="7"/>
        <v>0</v>
      </c>
      <c r="AH25" s="3">
        <f t="shared" si="8"/>
        <v>0</v>
      </c>
      <c r="AI25" s="3">
        <f t="shared" si="9"/>
        <v>0</v>
      </c>
    </row>
    <row r="26" spans="3:35" s="3" customFormat="1" x14ac:dyDescent="0.15">
      <c r="C26" s="8">
        <v>2122</v>
      </c>
      <c r="D26" s="8" t="s">
        <v>81</v>
      </c>
      <c r="E26" s="8" t="s">
        <v>79</v>
      </c>
      <c r="F26" s="8"/>
      <c r="G26" s="8">
        <v>0</v>
      </c>
      <c r="H26" s="11">
        <v>0</v>
      </c>
      <c r="I26" s="11">
        <v>0</v>
      </c>
      <c r="J26" s="11">
        <v>50</v>
      </c>
      <c r="K26" s="9">
        <v>0</v>
      </c>
      <c r="L26" s="9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6">
        <v>0</v>
      </c>
      <c r="Y26" s="15">
        <v>0</v>
      </c>
      <c r="AA26" s="3">
        <f t="shared" si="1"/>
        <v>0</v>
      </c>
      <c r="AB26" s="3">
        <f t="shared" si="2"/>
        <v>0</v>
      </c>
      <c r="AC26" s="3">
        <f t="shared" si="3"/>
        <v>500</v>
      </c>
      <c r="AD26" s="3">
        <f t="shared" si="4"/>
        <v>0</v>
      </c>
      <c r="AE26" s="3">
        <f t="shared" si="5"/>
        <v>0</v>
      </c>
      <c r="AF26" s="3">
        <f t="shared" si="6"/>
        <v>0</v>
      </c>
      <c r="AG26" s="3">
        <f t="shared" si="7"/>
        <v>0</v>
      </c>
      <c r="AH26" s="3">
        <f t="shared" si="8"/>
        <v>0</v>
      </c>
      <c r="AI26" s="3">
        <f t="shared" si="9"/>
        <v>0</v>
      </c>
    </row>
    <row r="27" spans="3:35" s="3" customFormat="1" x14ac:dyDescent="0.15">
      <c r="C27" s="8">
        <v>2123</v>
      </c>
      <c r="D27" s="8" t="s">
        <v>82</v>
      </c>
      <c r="E27" s="8" t="s">
        <v>83</v>
      </c>
      <c r="F27" s="8"/>
      <c r="G27" s="8">
        <v>0</v>
      </c>
      <c r="H27" s="11">
        <v>0</v>
      </c>
      <c r="I27" s="11">
        <v>0</v>
      </c>
      <c r="J27" s="11">
        <v>0</v>
      </c>
      <c r="K27" s="9">
        <v>0</v>
      </c>
      <c r="L27" s="9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0.05</v>
      </c>
      <c r="U27" s="11">
        <v>0</v>
      </c>
      <c r="V27" s="11">
        <v>0</v>
      </c>
      <c r="W27" s="11">
        <v>0</v>
      </c>
      <c r="X27" s="16">
        <v>0</v>
      </c>
      <c r="Y27" s="15">
        <v>0</v>
      </c>
      <c r="AA27" s="3">
        <f t="shared" si="1"/>
        <v>0</v>
      </c>
      <c r="AB27" s="3">
        <f t="shared" si="2"/>
        <v>0</v>
      </c>
      <c r="AC27" s="3">
        <f t="shared" si="3"/>
        <v>0</v>
      </c>
      <c r="AD27" s="3">
        <f t="shared" si="4"/>
        <v>0</v>
      </c>
      <c r="AE27" s="3">
        <f t="shared" si="5"/>
        <v>0</v>
      </c>
      <c r="AF27" s="3">
        <f t="shared" si="6"/>
        <v>0</v>
      </c>
      <c r="AG27" s="3">
        <f t="shared" si="7"/>
        <v>0</v>
      </c>
      <c r="AH27" s="3">
        <f t="shared" si="8"/>
        <v>0</v>
      </c>
      <c r="AI27" s="3">
        <f t="shared" si="9"/>
        <v>0</v>
      </c>
    </row>
    <row r="28" spans="3:35" s="3" customFormat="1" x14ac:dyDescent="0.15">
      <c r="C28" s="8">
        <v>2131</v>
      </c>
      <c r="D28" s="8" t="s">
        <v>84</v>
      </c>
      <c r="E28" s="8" t="s">
        <v>69</v>
      </c>
      <c r="F28" s="8"/>
      <c r="G28" s="8">
        <v>0</v>
      </c>
      <c r="H28" s="11">
        <v>0</v>
      </c>
      <c r="I28" s="11">
        <v>0</v>
      </c>
      <c r="J28" s="11">
        <v>0</v>
      </c>
      <c r="K28" s="9">
        <v>0</v>
      </c>
      <c r="L28" s="9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0.05</v>
      </c>
      <c r="V28" s="11">
        <v>0</v>
      </c>
      <c r="W28" s="11">
        <v>0</v>
      </c>
      <c r="X28" s="16">
        <v>0</v>
      </c>
      <c r="Y28" s="15">
        <v>0</v>
      </c>
      <c r="AA28" s="3">
        <f t="shared" si="1"/>
        <v>0</v>
      </c>
      <c r="AB28" s="3">
        <f t="shared" si="2"/>
        <v>0</v>
      </c>
      <c r="AC28" s="3">
        <f t="shared" si="3"/>
        <v>0</v>
      </c>
      <c r="AD28" s="3">
        <f t="shared" si="4"/>
        <v>0</v>
      </c>
      <c r="AE28" s="3">
        <f t="shared" si="5"/>
        <v>0</v>
      </c>
      <c r="AF28" s="3">
        <f t="shared" si="6"/>
        <v>0</v>
      </c>
      <c r="AG28" s="3">
        <f t="shared" si="7"/>
        <v>0</v>
      </c>
      <c r="AH28" s="3">
        <f t="shared" si="8"/>
        <v>0</v>
      </c>
      <c r="AI28" s="3">
        <f t="shared" si="9"/>
        <v>0</v>
      </c>
    </row>
    <row r="29" spans="3:35" s="3" customFormat="1" x14ac:dyDescent="0.15">
      <c r="C29" s="8">
        <v>2141</v>
      </c>
      <c r="D29" s="8" t="s">
        <v>85</v>
      </c>
      <c r="E29" s="8" t="s">
        <v>86</v>
      </c>
      <c r="F29" s="8"/>
      <c r="G29" s="8">
        <v>0</v>
      </c>
      <c r="H29" s="11">
        <v>1000</v>
      </c>
      <c r="I29" s="11">
        <v>0</v>
      </c>
      <c r="J29" s="11">
        <v>0</v>
      </c>
      <c r="K29" s="9">
        <v>0</v>
      </c>
      <c r="L29" s="9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0.05</v>
      </c>
      <c r="T29" s="11">
        <v>0</v>
      </c>
      <c r="U29" s="11">
        <v>0</v>
      </c>
      <c r="V29" s="11">
        <v>0</v>
      </c>
      <c r="W29" s="11">
        <v>0</v>
      </c>
      <c r="X29" s="16">
        <v>0</v>
      </c>
      <c r="Y29" s="15">
        <v>0</v>
      </c>
      <c r="AA29" s="3">
        <f t="shared" si="1"/>
        <v>10000</v>
      </c>
      <c r="AB29" s="3">
        <f t="shared" si="2"/>
        <v>0</v>
      </c>
      <c r="AC29" s="3">
        <f t="shared" si="3"/>
        <v>0</v>
      </c>
      <c r="AD29" s="3">
        <f t="shared" si="4"/>
        <v>0</v>
      </c>
      <c r="AE29" s="3">
        <f t="shared" si="5"/>
        <v>0</v>
      </c>
      <c r="AF29" s="3">
        <f t="shared" si="6"/>
        <v>0</v>
      </c>
      <c r="AG29" s="3">
        <f t="shared" si="7"/>
        <v>0</v>
      </c>
      <c r="AH29" s="3">
        <f t="shared" si="8"/>
        <v>0</v>
      </c>
      <c r="AI29" s="3">
        <f t="shared" si="9"/>
        <v>0</v>
      </c>
    </row>
    <row r="30" spans="3:35" s="3" customFormat="1" x14ac:dyDescent="0.15">
      <c r="C30" s="8">
        <v>2201</v>
      </c>
      <c r="D30" s="8" t="s">
        <v>87</v>
      </c>
      <c r="E30" s="8" t="s">
        <v>88</v>
      </c>
      <c r="F30" s="8"/>
      <c r="G30" s="8">
        <v>0</v>
      </c>
      <c r="H30" s="11">
        <v>0</v>
      </c>
      <c r="I30" s="11">
        <v>0</v>
      </c>
      <c r="J30" s="11">
        <v>0</v>
      </c>
      <c r="K30" s="9">
        <v>0</v>
      </c>
      <c r="L30" s="9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0.05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6">
        <v>0</v>
      </c>
      <c r="Y30" s="15">
        <v>0</v>
      </c>
      <c r="AA30" s="3">
        <f t="shared" si="1"/>
        <v>0</v>
      </c>
      <c r="AB30" s="3">
        <f t="shared" si="2"/>
        <v>0</v>
      </c>
      <c r="AC30" s="3">
        <f t="shared" si="3"/>
        <v>0</v>
      </c>
      <c r="AD30" s="3">
        <f t="shared" si="4"/>
        <v>0</v>
      </c>
      <c r="AE30" s="3">
        <f t="shared" si="5"/>
        <v>0</v>
      </c>
      <c r="AF30" s="3">
        <f t="shared" si="6"/>
        <v>0</v>
      </c>
      <c r="AG30" s="3">
        <f t="shared" si="7"/>
        <v>0</v>
      </c>
      <c r="AH30" s="3">
        <f t="shared" si="8"/>
        <v>0</v>
      </c>
      <c r="AI30" s="3">
        <f t="shared" si="9"/>
        <v>0</v>
      </c>
    </row>
    <row r="31" spans="3:35" s="3" customFormat="1" x14ac:dyDescent="0.15">
      <c r="C31" s="8">
        <v>2211</v>
      </c>
      <c r="D31" s="8" t="s">
        <v>89</v>
      </c>
      <c r="E31" s="8" t="s">
        <v>79</v>
      </c>
      <c r="F31" s="8"/>
      <c r="G31" s="8">
        <v>0</v>
      </c>
      <c r="H31" s="11">
        <v>0</v>
      </c>
      <c r="I31" s="11">
        <v>0</v>
      </c>
      <c r="J31" s="11">
        <v>50</v>
      </c>
      <c r="K31" s="9">
        <v>0</v>
      </c>
      <c r="L31" s="9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6">
        <v>0</v>
      </c>
      <c r="Y31" s="15">
        <v>0</v>
      </c>
      <c r="AA31" s="3">
        <f t="shared" si="1"/>
        <v>0</v>
      </c>
      <c r="AB31" s="3">
        <f t="shared" si="2"/>
        <v>0</v>
      </c>
      <c r="AC31" s="3">
        <f t="shared" si="3"/>
        <v>500</v>
      </c>
      <c r="AD31" s="3">
        <f t="shared" si="4"/>
        <v>0</v>
      </c>
      <c r="AE31" s="3">
        <f t="shared" si="5"/>
        <v>0</v>
      </c>
      <c r="AF31" s="3">
        <f t="shared" si="6"/>
        <v>0</v>
      </c>
      <c r="AG31" s="3">
        <f t="shared" si="7"/>
        <v>0</v>
      </c>
      <c r="AH31" s="3">
        <f t="shared" si="8"/>
        <v>0</v>
      </c>
      <c r="AI31" s="3">
        <f t="shared" si="9"/>
        <v>0</v>
      </c>
    </row>
    <row r="32" spans="3:35" s="3" customFormat="1" x14ac:dyDescent="0.15">
      <c r="C32" s="8">
        <v>2212</v>
      </c>
      <c r="D32" s="8" t="s">
        <v>90</v>
      </c>
      <c r="E32" s="8" t="s">
        <v>91</v>
      </c>
      <c r="F32" s="8"/>
      <c r="G32" s="8">
        <v>0</v>
      </c>
      <c r="H32" s="11">
        <v>500</v>
      </c>
      <c r="I32" s="11">
        <v>0</v>
      </c>
      <c r="J32" s="11">
        <v>0</v>
      </c>
      <c r="K32" s="9">
        <v>0</v>
      </c>
      <c r="L32" s="9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0.05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6">
        <v>0</v>
      </c>
      <c r="Y32" s="15">
        <v>0</v>
      </c>
      <c r="AA32" s="3">
        <f t="shared" si="1"/>
        <v>5000</v>
      </c>
      <c r="AB32" s="3">
        <f t="shared" si="2"/>
        <v>0</v>
      </c>
      <c r="AC32" s="3">
        <f t="shared" si="3"/>
        <v>0</v>
      </c>
      <c r="AD32" s="3">
        <f t="shared" si="4"/>
        <v>0</v>
      </c>
      <c r="AE32" s="3">
        <f t="shared" si="5"/>
        <v>0</v>
      </c>
      <c r="AF32" s="3">
        <f t="shared" si="6"/>
        <v>0</v>
      </c>
      <c r="AG32" s="3">
        <f t="shared" si="7"/>
        <v>0</v>
      </c>
      <c r="AH32" s="3">
        <f t="shared" si="8"/>
        <v>0</v>
      </c>
      <c r="AI32" s="3">
        <f t="shared" si="9"/>
        <v>0</v>
      </c>
    </row>
    <row r="33" spans="3:35" s="3" customFormat="1" x14ac:dyDescent="0.15">
      <c r="C33" s="8">
        <v>2213</v>
      </c>
      <c r="D33" s="8" t="s">
        <v>92</v>
      </c>
      <c r="E33" s="8" t="s">
        <v>93</v>
      </c>
      <c r="F33" s="8"/>
      <c r="G33" s="8">
        <v>0</v>
      </c>
      <c r="H33" s="11">
        <v>0</v>
      </c>
      <c r="I33" s="11">
        <v>0</v>
      </c>
      <c r="J33" s="11">
        <v>0</v>
      </c>
      <c r="K33" s="9">
        <v>0</v>
      </c>
      <c r="L33" s="9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0.05</v>
      </c>
      <c r="U33" s="11">
        <v>0.05</v>
      </c>
      <c r="V33" s="11">
        <v>0</v>
      </c>
      <c r="W33" s="11">
        <v>0</v>
      </c>
      <c r="X33" s="16">
        <v>0</v>
      </c>
      <c r="Y33" s="15">
        <v>0</v>
      </c>
      <c r="AA33" s="3">
        <f t="shared" si="1"/>
        <v>0</v>
      </c>
      <c r="AB33" s="3">
        <f t="shared" si="2"/>
        <v>0</v>
      </c>
      <c r="AC33" s="3">
        <f t="shared" si="3"/>
        <v>0</v>
      </c>
      <c r="AD33" s="3">
        <f t="shared" si="4"/>
        <v>0</v>
      </c>
      <c r="AE33" s="3">
        <f t="shared" si="5"/>
        <v>0</v>
      </c>
      <c r="AF33" s="3">
        <f t="shared" si="6"/>
        <v>0</v>
      </c>
      <c r="AG33" s="3">
        <f t="shared" si="7"/>
        <v>0</v>
      </c>
      <c r="AH33" s="3">
        <f t="shared" si="8"/>
        <v>0</v>
      </c>
      <c r="AI33" s="3">
        <f t="shared" si="9"/>
        <v>0</v>
      </c>
    </row>
    <row r="34" spans="3:35" s="3" customFormat="1" x14ac:dyDescent="0.15">
      <c r="C34" s="8">
        <v>2221</v>
      </c>
      <c r="D34" s="8" t="s">
        <v>94</v>
      </c>
      <c r="E34" s="8" t="s">
        <v>95</v>
      </c>
      <c r="F34" s="8"/>
      <c r="G34" s="8">
        <v>0</v>
      </c>
      <c r="H34" s="11">
        <v>0</v>
      </c>
      <c r="I34" s="11">
        <v>30</v>
      </c>
      <c r="J34" s="11">
        <v>80</v>
      </c>
      <c r="K34" s="9">
        <v>0</v>
      </c>
      <c r="L34" s="9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6">
        <v>0</v>
      </c>
      <c r="Y34" s="15">
        <v>0</v>
      </c>
      <c r="AA34" s="3">
        <f t="shared" si="1"/>
        <v>0</v>
      </c>
      <c r="AB34" s="3">
        <f t="shared" si="2"/>
        <v>300</v>
      </c>
      <c r="AC34" s="3">
        <f t="shared" si="3"/>
        <v>800</v>
      </c>
      <c r="AD34" s="3">
        <f t="shared" si="4"/>
        <v>0</v>
      </c>
      <c r="AE34" s="3">
        <f t="shared" si="5"/>
        <v>0</v>
      </c>
      <c r="AF34" s="3">
        <f t="shared" si="6"/>
        <v>0</v>
      </c>
      <c r="AG34" s="3">
        <f t="shared" si="7"/>
        <v>0</v>
      </c>
      <c r="AH34" s="3">
        <f t="shared" si="8"/>
        <v>0</v>
      </c>
      <c r="AI34" s="3">
        <f t="shared" si="9"/>
        <v>0</v>
      </c>
    </row>
    <row r="35" spans="3:35" s="3" customFormat="1" x14ac:dyDescent="0.15">
      <c r="C35" s="8">
        <v>2231</v>
      </c>
      <c r="D35" s="8" t="s">
        <v>96</v>
      </c>
      <c r="E35" s="8" t="s">
        <v>88</v>
      </c>
      <c r="F35" s="8"/>
      <c r="G35" s="8">
        <v>0</v>
      </c>
      <c r="H35" s="11">
        <v>0</v>
      </c>
      <c r="I35" s="11">
        <v>0</v>
      </c>
      <c r="J35" s="11">
        <v>0</v>
      </c>
      <c r="K35" s="9">
        <v>0</v>
      </c>
      <c r="L35" s="9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0.05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6">
        <v>0</v>
      </c>
      <c r="Y35" s="15">
        <v>0</v>
      </c>
      <c r="AA35" s="3">
        <f t="shared" si="1"/>
        <v>0</v>
      </c>
      <c r="AB35" s="3">
        <f t="shared" si="2"/>
        <v>0</v>
      </c>
      <c r="AC35" s="3">
        <f t="shared" si="3"/>
        <v>0</v>
      </c>
      <c r="AD35" s="3">
        <f t="shared" si="4"/>
        <v>0</v>
      </c>
      <c r="AE35" s="3">
        <f t="shared" si="5"/>
        <v>0</v>
      </c>
      <c r="AF35" s="3">
        <f t="shared" si="6"/>
        <v>0</v>
      </c>
      <c r="AG35" s="3">
        <f t="shared" si="7"/>
        <v>0</v>
      </c>
      <c r="AH35" s="3">
        <f t="shared" si="8"/>
        <v>0</v>
      </c>
      <c r="AI35" s="3">
        <f t="shared" si="9"/>
        <v>0</v>
      </c>
    </row>
    <row r="36" spans="3:35" s="3" customFormat="1" x14ac:dyDescent="0.15">
      <c r="C36" s="8">
        <v>2232</v>
      </c>
      <c r="D36" s="8" t="s">
        <v>97</v>
      </c>
      <c r="E36" s="8" t="s">
        <v>88</v>
      </c>
      <c r="F36" s="8"/>
      <c r="G36" s="8">
        <v>0</v>
      </c>
      <c r="H36" s="11">
        <v>0</v>
      </c>
      <c r="I36" s="11">
        <v>0</v>
      </c>
      <c r="J36" s="11">
        <v>0</v>
      </c>
      <c r="K36" s="9">
        <v>0</v>
      </c>
      <c r="L36" s="9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0.05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6">
        <v>0</v>
      </c>
      <c r="Y36" s="15">
        <v>0</v>
      </c>
      <c r="AA36" s="3">
        <f t="shared" si="1"/>
        <v>0</v>
      </c>
      <c r="AB36" s="3">
        <f t="shared" si="2"/>
        <v>0</v>
      </c>
      <c r="AC36" s="3">
        <f t="shared" si="3"/>
        <v>0</v>
      </c>
      <c r="AD36" s="3">
        <f t="shared" si="4"/>
        <v>0</v>
      </c>
      <c r="AE36" s="3">
        <f t="shared" si="5"/>
        <v>0</v>
      </c>
      <c r="AF36" s="3">
        <f t="shared" si="6"/>
        <v>0</v>
      </c>
      <c r="AG36" s="3">
        <f t="shared" si="7"/>
        <v>0</v>
      </c>
      <c r="AH36" s="3">
        <f t="shared" si="8"/>
        <v>0</v>
      </c>
      <c r="AI36" s="3">
        <f t="shared" si="9"/>
        <v>0</v>
      </c>
    </row>
    <row r="37" spans="3:35" s="3" customFormat="1" x14ac:dyDescent="0.15">
      <c r="C37" s="8">
        <v>2233</v>
      </c>
      <c r="D37" s="8" t="s">
        <v>98</v>
      </c>
      <c r="E37" s="8" t="s">
        <v>99</v>
      </c>
      <c r="F37" s="8"/>
      <c r="G37" s="8">
        <v>0</v>
      </c>
      <c r="H37" s="11">
        <v>0</v>
      </c>
      <c r="I37" s="11">
        <v>0</v>
      </c>
      <c r="J37" s="11">
        <v>0</v>
      </c>
      <c r="K37" s="9">
        <v>0</v>
      </c>
      <c r="L37" s="9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0.05</v>
      </c>
      <c r="U37" s="11">
        <v>0</v>
      </c>
      <c r="V37" s="11">
        <v>0</v>
      </c>
      <c r="W37" s="11">
        <v>0</v>
      </c>
      <c r="X37" s="16">
        <v>0</v>
      </c>
      <c r="Y37" s="15">
        <v>0</v>
      </c>
      <c r="AA37" s="3">
        <f t="shared" si="1"/>
        <v>0</v>
      </c>
      <c r="AB37" s="3">
        <f t="shared" si="2"/>
        <v>0</v>
      </c>
      <c r="AC37" s="3">
        <f t="shared" si="3"/>
        <v>0</v>
      </c>
      <c r="AD37" s="3">
        <f t="shared" si="4"/>
        <v>0</v>
      </c>
      <c r="AE37" s="3">
        <f t="shared" si="5"/>
        <v>0</v>
      </c>
      <c r="AF37" s="3">
        <f t="shared" si="6"/>
        <v>0</v>
      </c>
      <c r="AG37" s="3">
        <f t="shared" si="7"/>
        <v>0</v>
      </c>
      <c r="AH37" s="3">
        <f t="shared" si="8"/>
        <v>0</v>
      </c>
      <c r="AI37" s="3">
        <f t="shared" si="9"/>
        <v>0</v>
      </c>
    </row>
    <row r="38" spans="3:35" s="3" customFormat="1" x14ac:dyDescent="0.15">
      <c r="C38" s="8">
        <v>2241</v>
      </c>
      <c r="D38" s="8" t="s">
        <v>100</v>
      </c>
      <c r="E38" s="8" t="s">
        <v>101</v>
      </c>
      <c r="F38" s="8"/>
      <c r="G38" s="8">
        <v>0</v>
      </c>
      <c r="H38" s="11">
        <v>0</v>
      </c>
      <c r="I38" s="11">
        <v>0</v>
      </c>
      <c r="J38" s="11">
        <v>0</v>
      </c>
      <c r="K38" s="9">
        <v>0</v>
      </c>
      <c r="L38" s="9">
        <v>0</v>
      </c>
      <c r="M38" s="11">
        <v>50</v>
      </c>
      <c r="N38" s="11">
        <v>50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6">
        <v>0</v>
      </c>
      <c r="Y38" s="15">
        <v>0</v>
      </c>
      <c r="AA38" s="3">
        <f t="shared" si="1"/>
        <v>0</v>
      </c>
      <c r="AB38" s="3">
        <f t="shared" si="2"/>
        <v>0</v>
      </c>
      <c r="AC38" s="3">
        <f t="shared" si="3"/>
        <v>0</v>
      </c>
      <c r="AD38" s="3">
        <f t="shared" si="4"/>
        <v>0</v>
      </c>
      <c r="AE38" s="3">
        <f t="shared" si="5"/>
        <v>0</v>
      </c>
      <c r="AF38" s="3">
        <f t="shared" si="6"/>
        <v>500</v>
      </c>
      <c r="AG38" s="3">
        <f t="shared" si="7"/>
        <v>500</v>
      </c>
      <c r="AH38" s="3">
        <f t="shared" si="8"/>
        <v>0</v>
      </c>
      <c r="AI38" s="3">
        <f t="shared" si="9"/>
        <v>0</v>
      </c>
    </row>
    <row r="39" spans="3:35" s="3" customFormat="1" x14ac:dyDescent="0.15">
      <c r="C39" s="8">
        <v>2251</v>
      </c>
      <c r="D39" s="8" t="s">
        <v>102</v>
      </c>
      <c r="E39" s="8" t="s">
        <v>51</v>
      </c>
      <c r="F39" s="8"/>
      <c r="G39" s="8">
        <v>0</v>
      </c>
      <c r="H39" s="11">
        <v>0</v>
      </c>
      <c r="I39" s="11">
        <v>0</v>
      </c>
      <c r="J39" s="11">
        <v>0</v>
      </c>
      <c r="K39" s="9">
        <v>0</v>
      </c>
      <c r="L39" s="9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0.05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6">
        <v>0</v>
      </c>
      <c r="Y39" s="15">
        <v>0</v>
      </c>
      <c r="AA39" s="3">
        <f t="shared" si="1"/>
        <v>0</v>
      </c>
      <c r="AB39" s="3">
        <f t="shared" si="2"/>
        <v>0</v>
      </c>
      <c r="AC39" s="3">
        <f t="shared" si="3"/>
        <v>0</v>
      </c>
      <c r="AD39" s="3">
        <f t="shared" si="4"/>
        <v>0</v>
      </c>
      <c r="AE39" s="3">
        <f t="shared" si="5"/>
        <v>0</v>
      </c>
      <c r="AF39" s="3">
        <f t="shared" si="6"/>
        <v>0</v>
      </c>
      <c r="AG39" s="3">
        <f t="shared" si="7"/>
        <v>0</v>
      </c>
      <c r="AH39" s="3">
        <f t="shared" si="8"/>
        <v>0</v>
      </c>
      <c r="AI39" s="3">
        <f t="shared" si="9"/>
        <v>0</v>
      </c>
    </row>
    <row r="40" spans="3:35" s="3" customFormat="1" x14ac:dyDescent="0.15">
      <c r="C40" s="8">
        <v>2301</v>
      </c>
      <c r="D40" s="8" t="s">
        <v>103</v>
      </c>
      <c r="E40" s="8" t="s">
        <v>79</v>
      </c>
      <c r="F40" s="8"/>
      <c r="G40" s="8">
        <v>0</v>
      </c>
      <c r="H40" s="11">
        <v>0</v>
      </c>
      <c r="I40" s="11">
        <v>0</v>
      </c>
      <c r="J40" s="11">
        <v>50</v>
      </c>
      <c r="K40" s="9">
        <v>0</v>
      </c>
      <c r="L40" s="9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6">
        <v>0</v>
      </c>
      <c r="Y40" s="15">
        <v>0</v>
      </c>
      <c r="AA40" s="3">
        <f t="shared" si="1"/>
        <v>0</v>
      </c>
      <c r="AB40" s="3">
        <f t="shared" si="2"/>
        <v>0</v>
      </c>
      <c r="AC40" s="3">
        <f t="shared" si="3"/>
        <v>500</v>
      </c>
      <c r="AD40" s="3">
        <f t="shared" si="4"/>
        <v>0</v>
      </c>
      <c r="AE40" s="3">
        <f t="shared" si="5"/>
        <v>0</v>
      </c>
      <c r="AF40" s="3">
        <f t="shared" si="6"/>
        <v>0</v>
      </c>
      <c r="AG40" s="3">
        <f t="shared" si="7"/>
        <v>0</v>
      </c>
      <c r="AH40" s="3">
        <f t="shared" si="8"/>
        <v>0</v>
      </c>
      <c r="AI40" s="3">
        <f t="shared" si="9"/>
        <v>0</v>
      </c>
    </row>
    <row r="41" spans="3:35" s="3" customFormat="1" x14ac:dyDescent="0.15">
      <c r="C41" s="8">
        <v>2311</v>
      </c>
      <c r="D41" s="8" t="s">
        <v>104</v>
      </c>
      <c r="E41" s="8" t="s">
        <v>51</v>
      </c>
      <c r="F41" s="8"/>
      <c r="G41" s="8">
        <v>0</v>
      </c>
      <c r="H41" s="11">
        <v>0</v>
      </c>
      <c r="I41" s="11">
        <v>0</v>
      </c>
      <c r="J41" s="11">
        <v>0</v>
      </c>
      <c r="K41" s="9">
        <v>0</v>
      </c>
      <c r="L41" s="9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0.05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6">
        <v>0</v>
      </c>
      <c r="Y41" s="15">
        <v>0</v>
      </c>
      <c r="AA41" s="3">
        <f t="shared" si="1"/>
        <v>0</v>
      </c>
      <c r="AB41" s="3">
        <f t="shared" si="2"/>
        <v>0</v>
      </c>
      <c r="AC41" s="3">
        <f t="shared" si="3"/>
        <v>0</v>
      </c>
      <c r="AD41" s="3">
        <f t="shared" si="4"/>
        <v>0</v>
      </c>
      <c r="AE41" s="3">
        <f t="shared" si="5"/>
        <v>0</v>
      </c>
      <c r="AF41" s="3">
        <f t="shared" si="6"/>
        <v>0</v>
      </c>
      <c r="AG41" s="3">
        <f t="shared" si="7"/>
        <v>0</v>
      </c>
      <c r="AH41" s="3">
        <f t="shared" si="8"/>
        <v>0</v>
      </c>
      <c r="AI41" s="3">
        <f t="shared" si="9"/>
        <v>0</v>
      </c>
    </row>
    <row r="42" spans="3:35" s="3" customFormat="1" x14ac:dyDescent="0.15">
      <c r="C42" s="8">
        <v>2312</v>
      </c>
      <c r="D42" s="8" t="s">
        <v>105</v>
      </c>
      <c r="E42" s="8" t="s">
        <v>106</v>
      </c>
      <c r="F42" s="8"/>
      <c r="G42" s="8">
        <v>0</v>
      </c>
      <c r="H42" s="11">
        <v>0</v>
      </c>
      <c r="I42" s="11">
        <v>0</v>
      </c>
      <c r="J42" s="11">
        <v>0</v>
      </c>
      <c r="K42" s="9">
        <v>0</v>
      </c>
      <c r="L42" s="9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0.05</v>
      </c>
      <c r="V42" s="11">
        <v>0</v>
      </c>
      <c r="W42" s="11">
        <v>0</v>
      </c>
      <c r="X42" s="16">
        <v>0</v>
      </c>
      <c r="Y42" s="15">
        <v>0</v>
      </c>
      <c r="AA42" s="3">
        <f t="shared" si="1"/>
        <v>0</v>
      </c>
      <c r="AB42" s="3">
        <f t="shared" si="2"/>
        <v>0</v>
      </c>
      <c r="AC42" s="3">
        <f t="shared" si="3"/>
        <v>0</v>
      </c>
      <c r="AD42" s="3">
        <f t="shared" si="4"/>
        <v>0</v>
      </c>
      <c r="AE42" s="3">
        <f t="shared" si="5"/>
        <v>0</v>
      </c>
      <c r="AF42" s="3">
        <f t="shared" si="6"/>
        <v>0</v>
      </c>
      <c r="AG42" s="3">
        <f t="shared" si="7"/>
        <v>0</v>
      </c>
      <c r="AH42" s="3">
        <f t="shared" si="8"/>
        <v>0</v>
      </c>
      <c r="AI42" s="3">
        <f t="shared" si="9"/>
        <v>0</v>
      </c>
    </row>
    <row r="43" spans="3:35" s="3" customFormat="1" x14ac:dyDescent="0.15">
      <c r="C43" s="8">
        <v>2313</v>
      </c>
      <c r="D43" s="8" t="s">
        <v>107</v>
      </c>
      <c r="E43" s="8" t="s">
        <v>88</v>
      </c>
      <c r="F43" s="8"/>
      <c r="G43" s="8">
        <v>0</v>
      </c>
      <c r="H43" s="11">
        <v>0</v>
      </c>
      <c r="I43" s="11">
        <v>0</v>
      </c>
      <c r="J43" s="11">
        <v>0</v>
      </c>
      <c r="K43" s="9">
        <v>0</v>
      </c>
      <c r="L43" s="9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0.05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6">
        <v>0</v>
      </c>
      <c r="Y43" s="15">
        <v>0</v>
      </c>
      <c r="AA43" s="3">
        <f t="shared" si="1"/>
        <v>0</v>
      </c>
      <c r="AB43" s="3">
        <f t="shared" si="2"/>
        <v>0</v>
      </c>
      <c r="AC43" s="3">
        <f t="shared" si="3"/>
        <v>0</v>
      </c>
      <c r="AD43" s="3">
        <f t="shared" si="4"/>
        <v>0</v>
      </c>
      <c r="AE43" s="3">
        <f t="shared" si="5"/>
        <v>0</v>
      </c>
      <c r="AF43" s="3">
        <f t="shared" si="6"/>
        <v>0</v>
      </c>
      <c r="AG43" s="3">
        <f t="shared" si="7"/>
        <v>0</v>
      </c>
      <c r="AH43" s="3">
        <f t="shared" si="8"/>
        <v>0</v>
      </c>
      <c r="AI43" s="3">
        <f t="shared" si="9"/>
        <v>0</v>
      </c>
    </row>
    <row r="44" spans="3:35" s="3" customFormat="1" x14ac:dyDescent="0.15">
      <c r="C44" s="8">
        <v>2321</v>
      </c>
      <c r="D44" s="8" t="s">
        <v>108</v>
      </c>
      <c r="E44" s="8" t="s">
        <v>51</v>
      </c>
      <c r="F44" s="8"/>
      <c r="G44" s="8">
        <v>0</v>
      </c>
      <c r="H44" s="11">
        <v>0</v>
      </c>
      <c r="I44" s="11">
        <v>0</v>
      </c>
      <c r="J44" s="11">
        <v>0</v>
      </c>
      <c r="K44" s="9">
        <v>0</v>
      </c>
      <c r="L44" s="9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0.05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6">
        <v>0</v>
      </c>
      <c r="Y44" s="15">
        <v>0</v>
      </c>
      <c r="AA44" s="3">
        <f t="shared" si="1"/>
        <v>0</v>
      </c>
      <c r="AB44" s="3">
        <f t="shared" si="2"/>
        <v>0</v>
      </c>
      <c r="AC44" s="3">
        <f t="shared" si="3"/>
        <v>0</v>
      </c>
      <c r="AD44" s="3">
        <f t="shared" si="4"/>
        <v>0</v>
      </c>
      <c r="AE44" s="3">
        <f t="shared" si="5"/>
        <v>0</v>
      </c>
      <c r="AF44" s="3">
        <f t="shared" si="6"/>
        <v>0</v>
      </c>
      <c r="AG44" s="3">
        <f t="shared" si="7"/>
        <v>0</v>
      </c>
      <c r="AH44" s="3">
        <f t="shared" si="8"/>
        <v>0</v>
      </c>
      <c r="AI44" s="3">
        <f t="shared" si="9"/>
        <v>0</v>
      </c>
    </row>
    <row r="45" spans="3:35" s="3" customFormat="1" x14ac:dyDescent="0.15">
      <c r="C45" s="8">
        <v>2331</v>
      </c>
      <c r="D45" s="8" t="s">
        <v>109</v>
      </c>
      <c r="E45" s="8" t="s">
        <v>110</v>
      </c>
      <c r="F45" s="8"/>
      <c r="G45" s="8">
        <v>0</v>
      </c>
      <c r="H45" s="11">
        <v>0</v>
      </c>
      <c r="I45" s="11">
        <v>0</v>
      </c>
      <c r="J45" s="11">
        <v>100</v>
      </c>
      <c r="K45" s="9">
        <v>0</v>
      </c>
      <c r="L45" s="9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6">
        <v>0</v>
      </c>
      <c r="Y45" s="15">
        <v>0</v>
      </c>
      <c r="AA45" s="3">
        <f t="shared" si="1"/>
        <v>0</v>
      </c>
      <c r="AB45" s="3">
        <f t="shared" si="2"/>
        <v>0</v>
      </c>
      <c r="AC45" s="3">
        <f t="shared" si="3"/>
        <v>1000</v>
      </c>
      <c r="AD45" s="3">
        <f t="shared" si="4"/>
        <v>0</v>
      </c>
      <c r="AE45" s="3">
        <f t="shared" si="5"/>
        <v>0</v>
      </c>
      <c r="AF45" s="3">
        <f t="shared" si="6"/>
        <v>0</v>
      </c>
      <c r="AG45" s="3">
        <f t="shared" si="7"/>
        <v>0</v>
      </c>
      <c r="AH45" s="3">
        <f t="shared" si="8"/>
        <v>0</v>
      </c>
      <c r="AI45" s="3">
        <f t="shared" si="9"/>
        <v>0</v>
      </c>
    </row>
    <row r="46" spans="3:35" s="3" customFormat="1" x14ac:dyDescent="0.15">
      <c r="C46" s="8">
        <v>2332</v>
      </c>
      <c r="D46" s="8" t="s">
        <v>111</v>
      </c>
      <c r="E46" s="8" t="s">
        <v>88</v>
      </c>
      <c r="F46" s="8"/>
      <c r="G46" s="8">
        <v>0</v>
      </c>
      <c r="H46" s="11">
        <v>0</v>
      </c>
      <c r="I46" s="11">
        <v>0</v>
      </c>
      <c r="J46" s="11">
        <v>0</v>
      </c>
      <c r="K46" s="9">
        <v>0</v>
      </c>
      <c r="L46" s="9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0.05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6">
        <v>0</v>
      </c>
      <c r="Y46" s="15">
        <v>0</v>
      </c>
      <c r="AA46" s="3">
        <f t="shared" si="1"/>
        <v>0</v>
      </c>
      <c r="AB46" s="3">
        <f t="shared" si="2"/>
        <v>0</v>
      </c>
      <c r="AC46" s="3">
        <f t="shared" si="3"/>
        <v>0</v>
      </c>
      <c r="AD46" s="3">
        <f t="shared" si="4"/>
        <v>0</v>
      </c>
      <c r="AE46" s="3">
        <f t="shared" si="5"/>
        <v>0</v>
      </c>
      <c r="AF46" s="3">
        <f t="shared" si="6"/>
        <v>0</v>
      </c>
      <c r="AG46" s="3">
        <f t="shared" si="7"/>
        <v>0</v>
      </c>
      <c r="AH46" s="3">
        <f t="shared" si="8"/>
        <v>0</v>
      </c>
      <c r="AI46" s="3">
        <f t="shared" si="9"/>
        <v>0</v>
      </c>
    </row>
    <row r="47" spans="3:35" s="3" customFormat="1" x14ac:dyDescent="0.15">
      <c r="C47" s="8">
        <v>2333</v>
      </c>
      <c r="D47" s="8" t="s">
        <v>112</v>
      </c>
      <c r="E47" s="8" t="s">
        <v>113</v>
      </c>
      <c r="F47" s="8"/>
      <c r="G47" s="8">
        <v>0</v>
      </c>
      <c r="H47" s="11">
        <v>0</v>
      </c>
      <c r="I47" s="11">
        <v>0</v>
      </c>
      <c r="J47" s="11">
        <v>0</v>
      </c>
      <c r="K47" s="9">
        <v>0</v>
      </c>
      <c r="L47" s="9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0.05</v>
      </c>
      <c r="R47" s="11">
        <v>0</v>
      </c>
      <c r="S47" s="11">
        <v>0</v>
      </c>
      <c r="T47" s="11">
        <v>0.05</v>
      </c>
      <c r="U47" s="11">
        <v>0</v>
      </c>
      <c r="V47" s="11">
        <v>0</v>
      </c>
      <c r="W47" s="11">
        <v>0</v>
      </c>
      <c r="X47" s="16">
        <v>0</v>
      </c>
      <c r="Y47" s="15">
        <v>0</v>
      </c>
      <c r="AA47" s="3">
        <f t="shared" si="1"/>
        <v>0</v>
      </c>
      <c r="AB47" s="3">
        <f t="shared" si="2"/>
        <v>0</v>
      </c>
      <c r="AC47" s="3">
        <f t="shared" si="3"/>
        <v>0</v>
      </c>
      <c r="AD47" s="3">
        <f t="shared" si="4"/>
        <v>0</v>
      </c>
      <c r="AE47" s="3">
        <f t="shared" si="5"/>
        <v>0</v>
      </c>
      <c r="AF47" s="3">
        <f t="shared" si="6"/>
        <v>0</v>
      </c>
      <c r="AG47" s="3">
        <f t="shared" si="7"/>
        <v>0</v>
      </c>
      <c r="AH47" s="3">
        <f t="shared" si="8"/>
        <v>0</v>
      </c>
      <c r="AI47" s="3">
        <f t="shared" si="9"/>
        <v>0</v>
      </c>
    </row>
    <row r="48" spans="3:35" s="3" customFormat="1" x14ac:dyDescent="0.15">
      <c r="C48" s="8">
        <v>2341</v>
      </c>
      <c r="D48" s="8" t="s">
        <v>114</v>
      </c>
      <c r="E48" s="8" t="s">
        <v>115</v>
      </c>
      <c r="F48" s="8"/>
      <c r="G48" s="8">
        <v>0</v>
      </c>
      <c r="H48" s="11">
        <v>0</v>
      </c>
      <c r="I48" s="11">
        <v>0</v>
      </c>
      <c r="J48" s="11">
        <v>0</v>
      </c>
      <c r="K48" s="9">
        <v>0</v>
      </c>
      <c r="L48" s="9">
        <v>0</v>
      </c>
      <c r="M48" s="11">
        <v>30</v>
      </c>
      <c r="N48" s="11">
        <v>60</v>
      </c>
      <c r="O48" s="11">
        <v>30</v>
      </c>
      <c r="P48" s="11">
        <v>60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6">
        <v>0</v>
      </c>
      <c r="Y48" s="15">
        <v>0</v>
      </c>
      <c r="AA48" s="3">
        <f t="shared" si="1"/>
        <v>0</v>
      </c>
      <c r="AB48" s="3">
        <f t="shared" si="2"/>
        <v>0</v>
      </c>
      <c r="AC48" s="3">
        <f t="shared" si="3"/>
        <v>0</v>
      </c>
      <c r="AD48" s="3">
        <f t="shared" si="4"/>
        <v>0</v>
      </c>
      <c r="AE48" s="3">
        <f t="shared" si="5"/>
        <v>0</v>
      </c>
      <c r="AF48" s="3">
        <f t="shared" si="6"/>
        <v>300</v>
      </c>
      <c r="AG48" s="3">
        <f t="shared" si="7"/>
        <v>600</v>
      </c>
      <c r="AH48" s="3">
        <f t="shared" si="8"/>
        <v>300</v>
      </c>
      <c r="AI48" s="3">
        <f t="shared" si="9"/>
        <v>600</v>
      </c>
    </row>
    <row r="49" spans="3:35" s="3" customFormat="1" x14ac:dyDescent="0.15">
      <c r="C49" s="8">
        <v>2351</v>
      </c>
      <c r="D49" s="8" t="s">
        <v>116</v>
      </c>
      <c r="E49" s="8" t="s">
        <v>117</v>
      </c>
      <c r="F49" s="8"/>
      <c r="G49" s="8">
        <v>0</v>
      </c>
      <c r="H49" s="11">
        <v>0</v>
      </c>
      <c r="I49" s="11">
        <v>0</v>
      </c>
      <c r="J49" s="11">
        <v>0</v>
      </c>
      <c r="K49" s="9">
        <v>0</v>
      </c>
      <c r="L49" s="9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0.05</v>
      </c>
      <c r="U49" s="11">
        <v>0.05</v>
      </c>
      <c r="V49" s="11">
        <v>0</v>
      </c>
      <c r="W49" s="11">
        <v>0</v>
      </c>
      <c r="X49" s="16">
        <v>0</v>
      </c>
      <c r="Y49" s="15">
        <v>0</v>
      </c>
      <c r="AA49" s="3">
        <f t="shared" si="1"/>
        <v>0</v>
      </c>
      <c r="AB49" s="3">
        <f t="shared" si="2"/>
        <v>0</v>
      </c>
      <c r="AC49" s="3">
        <f t="shared" si="3"/>
        <v>0</v>
      </c>
      <c r="AD49" s="3">
        <f t="shared" si="4"/>
        <v>0</v>
      </c>
      <c r="AE49" s="3">
        <f t="shared" si="5"/>
        <v>0</v>
      </c>
      <c r="AF49" s="3">
        <f t="shared" si="6"/>
        <v>0</v>
      </c>
      <c r="AG49" s="3">
        <f t="shared" si="7"/>
        <v>0</v>
      </c>
      <c r="AH49" s="3">
        <f t="shared" si="8"/>
        <v>0</v>
      </c>
      <c r="AI49" s="3">
        <f t="shared" si="9"/>
        <v>0</v>
      </c>
    </row>
    <row r="50" spans="3:35" s="3" customFormat="1" x14ac:dyDescent="0.15">
      <c r="C50" s="8">
        <v>2421</v>
      </c>
      <c r="D50" s="8" t="s">
        <v>108</v>
      </c>
      <c r="E50" s="8" t="s">
        <v>118</v>
      </c>
      <c r="F50" s="8"/>
      <c r="G50" s="8">
        <v>0</v>
      </c>
      <c r="H50" s="11">
        <v>0</v>
      </c>
      <c r="I50" s="11">
        <v>0</v>
      </c>
      <c r="J50" s="11">
        <v>0</v>
      </c>
      <c r="K50" s="9">
        <v>0</v>
      </c>
      <c r="L50" s="9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0.1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6">
        <v>0</v>
      </c>
      <c r="Y50" s="15">
        <v>0</v>
      </c>
      <c r="AA50" s="3">
        <f t="shared" si="1"/>
        <v>0</v>
      </c>
      <c r="AB50" s="3">
        <f t="shared" si="2"/>
        <v>0</v>
      </c>
      <c r="AC50" s="3">
        <f t="shared" si="3"/>
        <v>0</v>
      </c>
      <c r="AD50" s="3">
        <f t="shared" si="4"/>
        <v>0</v>
      </c>
      <c r="AE50" s="3">
        <f t="shared" si="5"/>
        <v>0</v>
      </c>
      <c r="AF50" s="3">
        <f t="shared" si="6"/>
        <v>0</v>
      </c>
      <c r="AG50" s="3">
        <f t="shared" si="7"/>
        <v>0</v>
      </c>
      <c r="AH50" s="3">
        <f t="shared" si="8"/>
        <v>0</v>
      </c>
      <c r="AI50" s="3">
        <f t="shared" si="9"/>
        <v>0</v>
      </c>
    </row>
    <row r="51" spans="3:35" s="3" customFormat="1" x14ac:dyDescent="0.15">
      <c r="C51" s="8">
        <v>2431</v>
      </c>
      <c r="D51" s="8" t="s">
        <v>109</v>
      </c>
      <c r="E51" s="8" t="s">
        <v>119</v>
      </c>
      <c r="F51" s="8"/>
      <c r="G51" s="8">
        <v>0</v>
      </c>
      <c r="H51" s="11">
        <v>0</v>
      </c>
      <c r="I51" s="11">
        <v>0</v>
      </c>
      <c r="J51" s="11">
        <v>200</v>
      </c>
      <c r="K51" s="9">
        <v>0</v>
      </c>
      <c r="L51" s="9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6">
        <v>0</v>
      </c>
      <c r="Y51" s="15">
        <v>0</v>
      </c>
      <c r="AA51" s="3">
        <f t="shared" si="1"/>
        <v>0</v>
      </c>
      <c r="AB51" s="3">
        <f t="shared" si="2"/>
        <v>0</v>
      </c>
      <c r="AC51" s="3">
        <f t="shared" si="3"/>
        <v>2000</v>
      </c>
      <c r="AD51" s="3">
        <f t="shared" si="4"/>
        <v>0</v>
      </c>
      <c r="AE51" s="3">
        <f t="shared" si="5"/>
        <v>0</v>
      </c>
      <c r="AF51" s="3">
        <f t="shared" si="6"/>
        <v>0</v>
      </c>
      <c r="AG51" s="3">
        <f t="shared" si="7"/>
        <v>0</v>
      </c>
      <c r="AH51" s="3">
        <f t="shared" si="8"/>
        <v>0</v>
      </c>
      <c r="AI51" s="3">
        <f t="shared" si="9"/>
        <v>0</v>
      </c>
    </row>
    <row r="52" spans="3:35" s="3" customFormat="1" x14ac:dyDescent="0.15">
      <c r="C52" s="8">
        <v>2432</v>
      </c>
      <c r="D52" s="8" t="s">
        <v>111</v>
      </c>
      <c r="E52" s="8" t="s">
        <v>120</v>
      </c>
      <c r="F52" s="8"/>
      <c r="G52" s="8">
        <v>0</v>
      </c>
      <c r="H52" s="11">
        <v>0</v>
      </c>
      <c r="I52" s="11">
        <v>0</v>
      </c>
      <c r="J52" s="11">
        <v>0</v>
      </c>
      <c r="K52" s="9">
        <v>0</v>
      </c>
      <c r="L52" s="9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0.1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6">
        <v>0</v>
      </c>
      <c r="Y52" s="15">
        <v>0</v>
      </c>
      <c r="AA52" s="3">
        <f t="shared" si="1"/>
        <v>0</v>
      </c>
      <c r="AB52" s="3">
        <f t="shared" si="2"/>
        <v>0</v>
      </c>
      <c r="AC52" s="3">
        <f t="shared" si="3"/>
        <v>0</v>
      </c>
      <c r="AD52" s="3">
        <f t="shared" si="4"/>
        <v>0</v>
      </c>
      <c r="AE52" s="3">
        <f t="shared" si="5"/>
        <v>0</v>
      </c>
      <c r="AF52" s="3">
        <f t="shared" si="6"/>
        <v>0</v>
      </c>
      <c r="AG52" s="3">
        <f t="shared" si="7"/>
        <v>0</v>
      </c>
      <c r="AH52" s="3">
        <f t="shared" si="8"/>
        <v>0</v>
      </c>
      <c r="AI52" s="3">
        <f t="shared" si="9"/>
        <v>0</v>
      </c>
    </row>
    <row r="53" spans="3:35" s="3" customFormat="1" x14ac:dyDescent="0.15">
      <c r="C53" s="8">
        <v>2433</v>
      </c>
      <c r="D53" s="8" t="s">
        <v>112</v>
      </c>
      <c r="E53" s="8" t="s">
        <v>121</v>
      </c>
      <c r="F53" s="8"/>
      <c r="G53" s="8">
        <v>0</v>
      </c>
      <c r="H53" s="11">
        <v>0</v>
      </c>
      <c r="I53" s="11">
        <v>0</v>
      </c>
      <c r="J53" s="11">
        <v>0</v>
      </c>
      <c r="K53" s="9">
        <v>0</v>
      </c>
      <c r="L53" s="9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0.1</v>
      </c>
      <c r="R53" s="11">
        <v>0</v>
      </c>
      <c r="S53" s="11">
        <v>0</v>
      </c>
      <c r="T53" s="11">
        <v>0.1</v>
      </c>
      <c r="U53" s="11">
        <v>0</v>
      </c>
      <c r="V53" s="11">
        <v>0</v>
      </c>
      <c r="W53" s="11">
        <v>0</v>
      </c>
      <c r="X53" s="16">
        <v>0</v>
      </c>
      <c r="Y53" s="15">
        <v>0</v>
      </c>
      <c r="AA53" s="3">
        <f t="shared" si="1"/>
        <v>0</v>
      </c>
      <c r="AB53" s="3">
        <f t="shared" si="2"/>
        <v>0</v>
      </c>
      <c r="AC53" s="3">
        <f t="shared" si="3"/>
        <v>0</v>
      </c>
      <c r="AD53" s="3">
        <f t="shared" si="4"/>
        <v>0</v>
      </c>
      <c r="AE53" s="3">
        <f t="shared" si="5"/>
        <v>0</v>
      </c>
      <c r="AF53" s="3">
        <f t="shared" si="6"/>
        <v>0</v>
      </c>
      <c r="AG53" s="3">
        <f t="shared" si="7"/>
        <v>0</v>
      </c>
      <c r="AH53" s="3">
        <f t="shared" si="8"/>
        <v>0</v>
      </c>
      <c r="AI53" s="3">
        <f t="shared" si="9"/>
        <v>0</v>
      </c>
    </row>
    <row r="54" spans="3:35" s="3" customFormat="1" x14ac:dyDescent="0.15">
      <c r="C54" s="8">
        <v>2441</v>
      </c>
      <c r="D54" s="8" t="s">
        <v>114</v>
      </c>
      <c r="E54" s="8" t="s">
        <v>122</v>
      </c>
      <c r="F54" s="8"/>
      <c r="G54" s="8">
        <v>0</v>
      </c>
      <c r="H54" s="11">
        <v>0</v>
      </c>
      <c r="I54" s="11">
        <v>0</v>
      </c>
      <c r="J54" s="11">
        <v>0</v>
      </c>
      <c r="K54" s="9">
        <v>0</v>
      </c>
      <c r="L54" s="9">
        <v>0</v>
      </c>
      <c r="M54" s="11">
        <v>50</v>
      </c>
      <c r="N54" s="11">
        <v>100</v>
      </c>
      <c r="O54" s="11">
        <v>50</v>
      </c>
      <c r="P54" s="11">
        <v>100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6">
        <v>0</v>
      </c>
      <c r="Y54" s="15">
        <v>0</v>
      </c>
      <c r="AA54" s="3">
        <f t="shared" si="1"/>
        <v>0</v>
      </c>
      <c r="AB54" s="3">
        <f t="shared" si="2"/>
        <v>0</v>
      </c>
      <c r="AC54" s="3">
        <f t="shared" si="3"/>
        <v>0</v>
      </c>
      <c r="AD54" s="3">
        <f t="shared" si="4"/>
        <v>0</v>
      </c>
      <c r="AE54" s="3">
        <f t="shared" si="5"/>
        <v>0</v>
      </c>
      <c r="AF54" s="3">
        <f t="shared" si="6"/>
        <v>500</v>
      </c>
      <c r="AG54" s="3">
        <f t="shared" si="7"/>
        <v>1000</v>
      </c>
      <c r="AH54" s="3">
        <f t="shared" si="8"/>
        <v>500</v>
      </c>
      <c r="AI54" s="3">
        <f t="shared" si="9"/>
        <v>1000</v>
      </c>
    </row>
    <row r="55" spans="3:35" s="3" customFormat="1" x14ac:dyDescent="0.15">
      <c r="C55" s="8">
        <v>2451</v>
      </c>
      <c r="D55" s="8" t="s">
        <v>116</v>
      </c>
      <c r="E55" s="8" t="s">
        <v>123</v>
      </c>
      <c r="F55" s="8"/>
      <c r="G55" s="8">
        <v>0</v>
      </c>
      <c r="H55" s="11">
        <v>0</v>
      </c>
      <c r="I55" s="11">
        <v>0</v>
      </c>
      <c r="J55" s="11">
        <v>0</v>
      </c>
      <c r="K55" s="9">
        <v>0</v>
      </c>
      <c r="L55" s="9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0.1</v>
      </c>
      <c r="U55" s="11">
        <v>0.1</v>
      </c>
      <c r="V55" s="11">
        <v>0</v>
      </c>
      <c r="W55" s="11">
        <v>0</v>
      </c>
      <c r="X55" s="16">
        <v>0</v>
      </c>
      <c r="Y55" s="15">
        <v>0</v>
      </c>
      <c r="AA55" s="3">
        <f t="shared" si="1"/>
        <v>0</v>
      </c>
      <c r="AB55" s="3">
        <f t="shared" si="2"/>
        <v>0</v>
      </c>
      <c r="AC55" s="3">
        <f t="shared" si="3"/>
        <v>0</v>
      </c>
      <c r="AD55" s="3">
        <f t="shared" si="4"/>
        <v>0</v>
      </c>
      <c r="AE55" s="3">
        <f t="shared" si="5"/>
        <v>0</v>
      </c>
      <c r="AF55" s="3">
        <f t="shared" si="6"/>
        <v>0</v>
      </c>
      <c r="AG55" s="3">
        <f t="shared" si="7"/>
        <v>0</v>
      </c>
      <c r="AH55" s="3">
        <f t="shared" si="8"/>
        <v>0</v>
      </c>
      <c r="AI55" s="3">
        <f t="shared" si="9"/>
        <v>0</v>
      </c>
    </row>
    <row r="56" spans="3:35" ht="20.100000000000001" customHeight="1" x14ac:dyDescent="0.15">
      <c r="C56" s="12">
        <v>110111</v>
      </c>
      <c r="D56" s="12" t="s">
        <v>124</v>
      </c>
      <c r="E56" s="13" t="s">
        <v>125</v>
      </c>
      <c r="F56" s="22" t="s">
        <v>245</v>
      </c>
      <c r="G56" s="14">
        <v>0</v>
      </c>
      <c r="H56" s="12">
        <v>0</v>
      </c>
      <c r="I56" s="12">
        <v>0</v>
      </c>
      <c r="J56" s="12">
        <v>20</v>
      </c>
      <c r="K56" s="12">
        <v>0</v>
      </c>
      <c r="L56" s="12">
        <v>0</v>
      </c>
      <c r="M56" s="14">
        <v>0</v>
      </c>
      <c r="N56" s="14">
        <v>0</v>
      </c>
      <c r="O56" s="14">
        <v>0</v>
      </c>
      <c r="P56" s="14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</row>
    <row r="57" spans="3:35" ht="20.100000000000001" customHeight="1" x14ac:dyDescent="0.15">
      <c r="C57" s="12">
        <v>110112</v>
      </c>
      <c r="D57" s="12" t="s">
        <v>124</v>
      </c>
      <c r="E57" s="13" t="s">
        <v>126</v>
      </c>
      <c r="F57" s="22" t="s">
        <v>246</v>
      </c>
      <c r="G57" s="14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4">
        <v>0</v>
      </c>
      <c r="N57" s="14">
        <v>0</v>
      </c>
      <c r="O57" s="14">
        <v>0</v>
      </c>
      <c r="P57" s="14">
        <v>0</v>
      </c>
      <c r="Q57" s="12">
        <v>0.03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</row>
    <row r="58" spans="3:35" ht="20.100000000000001" customHeight="1" x14ac:dyDescent="0.15">
      <c r="C58" s="12">
        <v>110121</v>
      </c>
      <c r="D58" s="12" t="s">
        <v>124</v>
      </c>
      <c r="E58" s="13" t="s">
        <v>127</v>
      </c>
      <c r="F58" s="22" t="s">
        <v>247</v>
      </c>
      <c r="G58" s="14">
        <v>0</v>
      </c>
      <c r="H58" s="12">
        <v>0</v>
      </c>
      <c r="I58" s="12">
        <v>0</v>
      </c>
      <c r="J58" s="12">
        <v>30</v>
      </c>
      <c r="K58" s="12">
        <v>0</v>
      </c>
      <c r="L58" s="12">
        <v>0</v>
      </c>
      <c r="M58" s="14">
        <v>0</v>
      </c>
      <c r="N58" s="14">
        <v>0</v>
      </c>
      <c r="O58" s="14">
        <v>0</v>
      </c>
      <c r="P58" s="14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</row>
    <row r="59" spans="3:35" ht="20.100000000000001" customHeight="1" x14ac:dyDescent="0.15">
      <c r="C59" s="12">
        <v>110211</v>
      </c>
      <c r="D59" s="12" t="s">
        <v>128</v>
      </c>
      <c r="E59" s="13" t="s">
        <v>125</v>
      </c>
      <c r="F59" s="22" t="s">
        <v>245</v>
      </c>
      <c r="G59" s="14">
        <v>0</v>
      </c>
      <c r="H59" s="12">
        <v>0</v>
      </c>
      <c r="I59" s="12">
        <v>0</v>
      </c>
      <c r="J59" s="12">
        <v>20</v>
      </c>
      <c r="K59" s="12">
        <v>0</v>
      </c>
      <c r="L59" s="12">
        <v>0</v>
      </c>
      <c r="M59" s="14">
        <v>0</v>
      </c>
      <c r="N59" s="14">
        <v>0</v>
      </c>
      <c r="O59" s="14">
        <v>0</v>
      </c>
      <c r="P59" s="14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</row>
    <row r="60" spans="3:35" ht="20.100000000000001" customHeight="1" x14ac:dyDescent="0.15">
      <c r="C60" s="12">
        <v>110212</v>
      </c>
      <c r="D60" s="12" t="s">
        <v>128</v>
      </c>
      <c r="E60" s="13" t="s">
        <v>126</v>
      </c>
      <c r="F60" s="22" t="s">
        <v>246</v>
      </c>
      <c r="G60" s="14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4">
        <v>0</v>
      </c>
      <c r="N60" s="14">
        <v>0</v>
      </c>
      <c r="O60" s="14">
        <v>0</v>
      </c>
      <c r="P60" s="14">
        <v>0</v>
      </c>
      <c r="Q60" s="12">
        <v>0.03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</row>
    <row r="61" spans="3:35" ht="20.100000000000001" customHeight="1" x14ac:dyDescent="0.15">
      <c r="C61" s="12">
        <v>110221</v>
      </c>
      <c r="D61" s="12" t="s">
        <v>128</v>
      </c>
      <c r="E61" s="13" t="s">
        <v>127</v>
      </c>
      <c r="F61" s="22" t="s">
        <v>247</v>
      </c>
      <c r="G61" s="14">
        <v>0</v>
      </c>
      <c r="H61" s="12">
        <v>0</v>
      </c>
      <c r="I61" s="12">
        <v>0</v>
      </c>
      <c r="J61" s="12">
        <v>30</v>
      </c>
      <c r="K61" s="12">
        <v>0</v>
      </c>
      <c r="L61" s="12">
        <v>0</v>
      </c>
      <c r="M61" s="14">
        <v>0</v>
      </c>
      <c r="N61" s="14">
        <v>0</v>
      </c>
      <c r="O61" s="14">
        <v>0</v>
      </c>
      <c r="P61" s="14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</row>
    <row r="62" spans="3:35" ht="20.100000000000001" customHeight="1" x14ac:dyDescent="0.15">
      <c r="C62" s="12">
        <v>110311</v>
      </c>
      <c r="D62" s="12" t="s">
        <v>129</v>
      </c>
      <c r="E62" s="13" t="s">
        <v>127</v>
      </c>
      <c r="F62" s="22" t="s">
        <v>247</v>
      </c>
      <c r="G62" s="14">
        <v>0</v>
      </c>
      <c r="H62" s="12">
        <v>0</v>
      </c>
      <c r="I62" s="12">
        <v>0</v>
      </c>
      <c r="J62" s="12">
        <v>30</v>
      </c>
      <c r="K62" s="12">
        <v>0</v>
      </c>
      <c r="L62" s="12">
        <v>0</v>
      </c>
      <c r="M62" s="14">
        <v>0</v>
      </c>
      <c r="N62" s="14">
        <v>0</v>
      </c>
      <c r="O62" s="14">
        <v>0</v>
      </c>
      <c r="P62" s="14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</row>
    <row r="63" spans="3:35" ht="20.100000000000001" customHeight="1" x14ac:dyDescent="0.15">
      <c r="C63" s="12">
        <v>110312</v>
      </c>
      <c r="D63" s="12" t="s">
        <v>129</v>
      </c>
      <c r="E63" s="13" t="s">
        <v>126</v>
      </c>
      <c r="F63" s="22" t="s">
        <v>246</v>
      </c>
      <c r="G63" s="14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4">
        <v>0</v>
      </c>
      <c r="N63" s="14">
        <v>0</v>
      </c>
      <c r="O63" s="14">
        <v>0</v>
      </c>
      <c r="P63" s="14">
        <v>0</v>
      </c>
      <c r="Q63" s="12">
        <v>0.03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</row>
    <row r="64" spans="3:35" ht="20.100000000000001" customHeight="1" x14ac:dyDescent="0.15">
      <c r="C64" s="12">
        <v>110321</v>
      </c>
      <c r="D64" s="12" t="s">
        <v>129</v>
      </c>
      <c r="E64" s="13" t="s">
        <v>127</v>
      </c>
      <c r="F64" s="22" t="s">
        <v>247</v>
      </c>
      <c r="G64" s="14">
        <v>0</v>
      </c>
      <c r="H64" s="12">
        <v>0</v>
      </c>
      <c r="I64" s="12">
        <v>0</v>
      </c>
      <c r="J64" s="12">
        <v>30</v>
      </c>
      <c r="K64" s="12">
        <v>0</v>
      </c>
      <c r="L64" s="12">
        <v>0</v>
      </c>
      <c r="M64" s="14">
        <v>0</v>
      </c>
      <c r="N64" s="14">
        <v>0</v>
      </c>
      <c r="O64" s="14">
        <v>0</v>
      </c>
      <c r="P64" s="14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</row>
    <row r="65" spans="3:25" s="4" customFormat="1" ht="20.100000000000001" customHeight="1" x14ac:dyDescent="0.15">
      <c r="C65" s="17">
        <v>110411</v>
      </c>
      <c r="D65" s="17" t="s">
        <v>130</v>
      </c>
      <c r="E65" s="18" t="s">
        <v>131</v>
      </c>
      <c r="F65" s="23" t="s">
        <v>248</v>
      </c>
      <c r="G65" s="19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9">
        <v>0</v>
      </c>
      <c r="N65" s="19">
        <v>0</v>
      </c>
      <c r="O65" s="19">
        <v>30</v>
      </c>
      <c r="P65" s="19">
        <v>30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</row>
    <row r="66" spans="3:25" s="4" customFormat="1" ht="20.100000000000001" customHeight="1" x14ac:dyDescent="0.15">
      <c r="C66" s="17">
        <v>110412</v>
      </c>
      <c r="D66" s="17" t="s">
        <v>130</v>
      </c>
      <c r="E66" s="18" t="s">
        <v>132</v>
      </c>
      <c r="F66" s="23" t="s">
        <v>292</v>
      </c>
      <c r="G66" s="19">
        <v>0</v>
      </c>
      <c r="H66" s="17">
        <v>0</v>
      </c>
      <c r="I66" s="17">
        <v>0</v>
      </c>
      <c r="J66" s="17">
        <v>50</v>
      </c>
      <c r="K66" s="17">
        <v>0</v>
      </c>
      <c r="L66" s="17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</row>
    <row r="67" spans="3:25" s="4" customFormat="1" ht="20.100000000000001" customHeight="1" x14ac:dyDescent="0.15">
      <c r="C67" s="17">
        <v>110413</v>
      </c>
      <c r="D67" s="17" t="s">
        <v>130</v>
      </c>
      <c r="E67" s="18" t="s">
        <v>133</v>
      </c>
      <c r="F67" s="23" t="s">
        <v>249</v>
      </c>
      <c r="G67" s="19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9">
        <v>0</v>
      </c>
      <c r="N67" s="19">
        <v>0</v>
      </c>
      <c r="O67" s="19">
        <v>0</v>
      </c>
      <c r="P67" s="19">
        <v>0</v>
      </c>
      <c r="Q67" s="17">
        <v>0</v>
      </c>
      <c r="R67" s="17">
        <v>0.03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</row>
    <row r="68" spans="3:25" s="4" customFormat="1" ht="20.100000000000001" customHeight="1" x14ac:dyDescent="0.15">
      <c r="C68" s="17">
        <v>110421</v>
      </c>
      <c r="D68" s="17" t="s">
        <v>130</v>
      </c>
      <c r="E68" s="18" t="s">
        <v>134</v>
      </c>
      <c r="F68" s="23" t="s">
        <v>250</v>
      </c>
      <c r="G68" s="19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9">
        <v>30</v>
      </c>
      <c r="N68" s="19">
        <v>30</v>
      </c>
      <c r="O68" s="19">
        <v>0</v>
      </c>
      <c r="P68" s="19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</row>
    <row r="69" spans="3:25" s="4" customFormat="1" ht="20.100000000000001" customHeight="1" x14ac:dyDescent="0.15">
      <c r="C69" s="17">
        <v>110422</v>
      </c>
      <c r="D69" s="17" t="s">
        <v>130</v>
      </c>
      <c r="E69" s="18" t="s">
        <v>132</v>
      </c>
      <c r="F69" s="23" t="s">
        <v>292</v>
      </c>
      <c r="G69" s="19">
        <v>0</v>
      </c>
      <c r="H69" s="17">
        <v>0</v>
      </c>
      <c r="I69" s="17">
        <v>0</v>
      </c>
      <c r="J69" s="17">
        <v>50</v>
      </c>
      <c r="K69" s="17">
        <v>0</v>
      </c>
      <c r="L69" s="17">
        <v>0</v>
      </c>
      <c r="M69" s="19">
        <v>0</v>
      </c>
      <c r="N69" s="19">
        <v>0</v>
      </c>
      <c r="O69" s="19">
        <v>0</v>
      </c>
      <c r="P69" s="19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</row>
    <row r="70" spans="3:25" s="4" customFormat="1" ht="20.100000000000001" customHeight="1" x14ac:dyDescent="0.15">
      <c r="C70" s="17">
        <v>110423</v>
      </c>
      <c r="D70" s="17" t="s">
        <v>130</v>
      </c>
      <c r="E70" s="18" t="s">
        <v>135</v>
      </c>
      <c r="F70" s="23" t="s">
        <v>251</v>
      </c>
      <c r="G70" s="19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9">
        <v>0</v>
      </c>
      <c r="N70" s="19">
        <v>0</v>
      </c>
      <c r="O70" s="19">
        <v>0</v>
      </c>
      <c r="P70" s="19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0.03</v>
      </c>
      <c r="V70" s="17">
        <v>0</v>
      </c>
      <c r="W70" s="17">
        <v>0</v>
      </c>
      <c r="X70" s="17">
        <v>0</v>
      </c>
      <c r="Y70" s="17">
        <v>0</v>
      </c>
    </row>
    <row r="71" spans="3:25" s="4" customFormat="1" ht="20.100000000000001" customHeight="1" x14ac:dyDescent="0.15">
      <c r="C71" s="17">
        <v>110431</v>
      </c>
      <c r="D71" s="17" t="s">
        <v>130</v>
      </c>
      <c r="E71" s="18" t="s">
        <v>136</v>
      </c>
      <c r="F71" s="23" t="s">
        <v>252</v>
      </c>
      <c r="G71" s="19">
        <v>0</v>
      </c>
      <c r="H71" s="17">
        <v>200</v>
      </c>
      <c r="I71" s="17">
        <v>0</v>
      </c>
      <c r="J71" s="17">
        <v>0</v>
      </c>
      <c r="K71" s="17">
        <v>0</v>
      </c>
      <c r="L71" s="17">
        <v>0</v>
      </c>
      <c r="M71" s="19">
        <v>0</v>
      </c>
      <c r="N71" s="19">
        <v>0</v>
      </c>
      <c r="O71" s="19">
        <v>0</v>
      </c>
      <c r="P71" s="19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</row>
    <row r="72" spans="3:25" s="4" customFormat="1" ht="20.100000000000001" customHeight="1" x14ac:dyDescent="0.15">
      <c r="C72" s="17">
        <v>110432</v>
      </c>
      <c r="D72" s="17" t="s">
        <v>130</v>
      </c>
      <c r="E72" s="18" t="s">
        <v>137</v>
      </c>
      <c r="F72" s="23" t="s">
        <v>253</v>
      </c>
      <c r="G72" s="19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9">
        <v>0</v>
      </c>
      <c r="N72" s="19">
        <v>0</v>
      </c>
      <c r="O72" s="19">
        <v>0</v>
      </c>
      <c r="P72" s="19">
        <v>0</v>
      </c>
      <c r="Q72" s="17">
        <v>0</v>
      </c>
      <c r="R72" s="17">
        <v>0</v>
      </c>
      <c r="S72" s="17">
        <v>0</v>
      </c>
      <c r="T72" s="17">
        <v>0.03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</row>
    <row r="73" spans="3:25" s="4" customFormat="1" ht="20.100000000000001" customHeight="1" x14ac:dyDescent="0.15">
      <c r="C73" s="17">
        <v>110433</v>
      </c>
      <c r="D73" s="17" t="s">
        <v>130</v>
      </c>
      <c r="E73" s="18" t="s">
        <v>138</v>
      </c>
      <c r="F73" s="23" t="s">
        <v>254</v>
      </c>
      <c r="G73" s="19">
        <v>0</v>
      </c>
      <c r="H73" s="17">
        <v>0</v>
      </c>
      <c r="I73" s="17">
        <v>0</v>
      </c>
      <c r="J73" s="17">
        <v>300</v>
      </c>
      <c r="K73" s="17">
        <v>0</v>
      </c>
      <c r="L73" s="17">
        <v>0</v>
      </c>
      <c r="M73" s="19">
        <v>0</v>
      </c>
      <c r="N73" s="19">
        <v>0</v>
      </c>
      <c r="O73" s="19">
        <v>0</v>
      </c>
      <c r="P73" s="19">
        <v>0</v>
      </c>
      <c r="Q73" s="17">
        <v>0</v>
      </c>
      <c r="R73" s="17">
        <v>0</v>
      </c>
      <c r="S73" s="17">
        <v>0.03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</row>
    <row r="74" spans="3:25" s="4" customFormat="1" ht="20.100000000000001" customHeight="1" x14ac:dyDescent="0.15">
      <c r="C74" s="17">
        <v>120111</v>
      </c>
      <c r="D74" s="17" t="s">
        <v>130</v>
      </c>
      <c r="E74" s="18" t="s">
        <v>240</v>
      </c>
      <c r="F74" s="23" t="s">
        <v>255</v>
      </c>
      <c r="G74" s="19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9">
        <v>30</v>
      </c>
      <c r="N74" s="19">
        <v>30</v>
      </c>
      <c r="O74" s="19">
        <v>30</v>
      </c>
      <c r="P74" s="19">
        <v>30</v>
      </c>
      <c r="Q74" s="17">
        <v>0</v>
      </c>
      <c r="R74" s="17">
        <v>0.04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</row>
    <row r="75" spans="3:25" s="4" customFormat="1" ht="20.100000000000001" customHeight="1" x14ac:dyDescent="0.15">
      <c r="C75" s="17">
        <v>120112</v>
      </c>
      <c r="D75" s="17" t="s">
        <v>130</v>
      </c>
      <c r="E75" s="18" t="s">
        <v>139</v>
      </c>
      <c r="F75" s="23" t="s">
        <v>256</v>
      </c>
      <c r="G75" s="19">
        <v>0</v>
      </c>
      <c r="H75" s="17">
        <v>0</v>
      </c>
      <c r="I75" s="17">
        <v>0</v>
      </c>
      <c r="J75" s="17">
        <v>75</v>
      </c>
      <c r="K75" s="17">
        <v>0</v>
      </c>
      <c r="L75" s="17">
        <v>0</v>
      </c>
      <c r="M75" s="19">
        <v>0</v>
      </c>
      <c r="N75" s="19">
        <v>0</v>
      </c>
      <c r="O75" s="19">
        <v>0</v>
      </c>
      <c r="P75" s="19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</row>
    <row r="76" spans="3:25" s="4" customFormat="1" ht="20.100000000000001" customHeight="1" x14ac:dyDescent="0.15">
      <c r="C76" s="17">
        <v>120113</v>
      </c>
      <c r="D76" s="17" t="s">
        <v>130</v>
      </c>
      <c r="E76" s="18" t="s">
        <v>140</v>
      </c>
      <c r="F76" s="23" t="s">
        <v>293</v>
      </c>
      <c r="G76" s="19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0.05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</row>
    <row r="77" spans="3:25" s="4" customFormat="1" ht="20.100000000000001" customHeight="1" x14ac:dyDescent="0.15">
      <c r="C77" s="17">
        <v>120121</v>
      </c>
      <c r="D77" s="17" t="s">
        <v>130</v>
      </c>
      <c r="E77" s="18" t="s">
        <v>141</v>
      </c>
      <c r="F77" s="23" t="s">
        <v>257</v>
      </c>
      <c r="G77" s="19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9">
        <v>30</v>
      </c>
      <c r="N77" s="19">
        <v>30</v>
      </c>
      <c r="O77" s="19">
        <v>30</v>
      </c>
      <c r="P77" s="19">
        <v>30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</row>
    <row r="78" spans="3:25" s="4" customFormat="1" ht="20.100000000000001" customHeight="1" x14ac:dyDescent="0.15">
      <c r="C78" s="17">
        <v>120122</v>
      </c>
      <c r="D78" s="17" t="s">
        <v>130</v>
      </c>
      <c r="E78" s="18" t="s">
        <v>142</v>
      </c>
      <c r="F78" s="23" t="s">
        <v>258</v>
      </c>
      <c r="G78" s="19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9">
        <v>0</v>
      </c>
      <c r="N78" s="19">
        <v>0</v>
      </c>
      <c r="O78" s="19">
        <v>0</v>
      </c>
      <c r="P78" s="19">
        <v>0</v>
      </c>
      <c r="Q78" s="17">
        <v>0</v>
      </c>
      <c r="R78" s="17">
        <v>0</v>
      </c>
      <c r="S78" s="17">
        <v>0</v>
      </c>
      <c r="T78" s="17">
        <v>0.04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</row>
    <row r="79" spans="3:25" s="4" customFormat="1" ht="20.100000000000001" customHeight="1" x14ac:dyDescent="0.15">
      <c r="C79" s="17">
        <v>120123</v>
      </c>
      <c r="D79" s="17" t="s">
        <v>130</v>
      </c>
      <c r="E79" s="18" t="s">
        <v>143</v>
      </c>
      <c r="F79" s="23" t="s">
        <v>259</v>
      </c>
      <c r="G79" s="19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9">
        <v>0</v>
      </c>
      <c r="N79" s="19">
        <v>0</v>
      </c>
      <c r="O79" s="19">
        <v>0</v>
      </c>
      <c r="P79" s="19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 t="s">
        <v>144</v>
      </c>
    </row>
    <row r="80" spans="3:25" s="4" customFormat="1" ht="20.100000000000001" customHeight="1" x14ac:dyDescent="0.15">
      <c r="C80" s="17">
        <v>120131</v>
      </c>
      <c r="D80" s="17" t="s">
        <v>130</v>
      </c>
      <c r="E80" s="18" t="s">
        <v>145</v>
      </c>
      <c r="F80" s="23" t="s">
        <v>260</v>
      </c>
      <c r="G80" s="19">
        <v>0</v>
      </c>
      <c r="H80" s="17">
        <v>320</v>
      </c>
      <c r="I80" s="17">
        <v>0</v>
      </c>
      <c r="J80" s="17">
        <v>0</v>
      </c>
      <c r="K80" s="17">
        <v>0</v>
      </c>
      <c r="L80" s="17">
        <v>0</v>
      </c>
      <c r="M80" s="19">
        <v>0</v>
      </c>
      <c r="N80" s="19">
        <v>0</v>
      </c>
      <c r="O80" s="19">
        <v>0</v>
      </c>
      <c r="P80" s="19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</row>
    <row r="81" spans="3:25" s="4" customFormat="1" ht="20.100000000000001" customHeight="1" x14ac:dyDescent="0.15">
      <c r="C81" s="17">
        <v>120132</v>
      </c>
      <c r="D81" s="17" t="s">
        <v>130</v>
      </c>
      <c r="E81" s="18" t="s">
        <v>146</v>
      </c>
      <c r="F81" s="23" t="s">
        <v>261</v>
      </c>
      <c r="G81" s="19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9">
        <v>0</v>
      </c>
      <c r="N81" s="19">
        <v>0</v>
      </c>
      <c r="O81" s="19">
        <v>0</v>
      </c>
      <c r="P81" s="19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 t="s">
        <v>147</v>
      </c>
    </row>
    <row r="82" spans="3:25" s="4" customFormat="1" ht="20.100000000000001" customHeight="1" x14ac:dyDescent="0.15">
      <c r="C82" s="17">
        <v>120133</v>
      </c>
      <c r="D82" s="17" t="s">
        <v>130</v>
      </c>
      <c r="E82" s="18" t="s">
        <v>148</v>
      </c>
      <c r="F82" s="23" t="s">
        <v>262</v>
      </c>
      <c r="G82" s="19">
        <v>0</v>
      </c>
      <c r="H82" s="17">
        <v>0</v>
      </c>
      <c r="I82" s="17">
        <v>0</v>
      </c>
      <c r="J82" s="17">
        <v>100</v>
      </c>
      <c r="K82" s="17">
        <v>0</v>
      </c>
      <c r="L82" s="17">
        <v>0</v>
      </c>
      <c r="M82" s="19">
        <v>0</v>
      </c>
      <c r="N82" s="19">
        <v>0</v>
      </c>
      <c r="O82" s="19">
        <v>0</v>
      </c>
      <c r="P82" s="19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</row>
    <row r="83" spans="3:25" s="4" customFormat="1" ht="20.100000000000001" customHeight="1" x14ac:dyDescent="0.15">
      <c r="C83" s="17">
        <v>130111</v>
      </c>
      <c r="D83" s="17" t="s">
        <v>130</v>
      </c>
      <c r="E83" s="18" t="s">
        <v>149</v>
      </c>
      <c r="F83" s="23" t="s">
        <v>263</v>
      </c>
      <c r="G83" s="19">
        <v>0</v>
      </c>
      <c r="H83" s="17">
        <v>0</v>
      </c>
      <c r="I83" s="17">
        <v>0</v>
      </c>
      <c r="J83" s="17">
        <v>0</v>
      </c>
      <c r="K83" s="17">
        <v>100</v>
      </c>
      <c r="L83" s="17">
        <v>100</v>
      </c>
      <c r="M83" s="19">
        <v>0</v>
      </c>
      <c r="N83" s="19">
        <v>0</v>
      </c>
      <c r="O83" s="19">
        <v>0</v>
      </c>
      <c r="P83" s="19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</row>
    <row r="84" spans="3:25" s="4" customFormat="1" ht="20.100000000000001" customHeight="1" x14ac:dyDescent="0.15">
      <c r="C84" s="17">
        <v>130112</v>
      </c>
      <c r="D84" s="17" t="s">
        <v>130</v>
      </c>
      <c r="E84" s="18" t="s">
        <v>143</v>
      </c>
      <c r="F84" s="23" t="s">
        <v>259</v>
      </c>
      <c r="G84" s="19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9">
        <v>0</v>
      </c>
      <c r="N84" s="19">
        <v>0</v>
      </c>
      <c r="O84" s="19">
        <v>0</v>
      </c>
      <c r="P84" s="19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 t="s">
        <v>144</v>
      </c>
    </row>
    <row r="85" spans="3:25" s="4" customFormat="1" ht="20.100000000000001" customHeight="1" x14ac:dyDescent="0.15">
      <c r="C85" s="17">
        <v>130113</v>
      </c>
      <c r="D85" s="17" t="s">
        <v>130</v>
      </c>
      <c r="E85" s="18" t="s">
        <v>150</v>
      </c>
      <c r="F85" s="23" t="s">
        <v>294</v>
      </c>
      <c r="G85" s="19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9">
        <v>0</v>
      </c>
      <c r="N85" s="19">
        <v>0</v>
      </c>
      <c r="O85" s="19">
        <v>0</v>
      </c>
      <c r="P85" s="19">
        <v>0</v>
      </c>
      <c r="Q85" s="17">
        <v>0</v>
      </c>
      <c r="R85" s="17">
        <v>0</v>
      </c>
      <c r="S85" s="17">
        <v>0</v>
      </c>
      <c r="T85" s="17">
        <v>0.05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</row>
    <row r="86" spans="3:25" s="4" customFormat="1" ht="20.100000000000001" customHeight="1" x14ac:dyDescent="0.15">
      <c r="C86" s="17">
        <v>130121</v>
      </c>
      <c r="D86" s="17" t="s">
        <v>130</v>
      </c>
      <c r="E86" s="18" t="s">
        <v>151</v>
      </c>
      <c r="F86" s="23" t="s">
        <v>323</v>
      </c>
      <c r="G86" s="19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9">
        <v>0</v>
      </c>
      <c r="N86" s="19">
        <v>0</v>
      </c>
      <c r="O86" s="19">
        <v>0</v>
      </c>
      <c r="P86" s="19">
        <v>0</v>
      </c>
      <c r="Q86" s="17">
        <v>0</v>
      </c>
      <c r="R86" s="17">
        <v>0.05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</row>
    <row r="87" spans="3:25" s="4" customFormat="1" ht="20.100000000000001" customHeight="1" x14ac:dyDescent="0.15">
      <c r="C87" s="17">
        <v>130122</v>
      </c>
      <c r="D87" s="17" t="s">
        <v>130</v>
      </c>
      <c r="E87" s="18" t="s">
        <v>152</v>
      </c>
      <c r="F87" s="23" t="s">
        <v>264</v>
      </c>
      <c r="G87" s="19">
        <v>0</v>
      </c>
      <c r="H87" s="17">
        <v>0</v>
      </c>
      <c r="I87" s="17">
        <v>0</v>
      </c>
      <c r="J87" s="17">
        <v>125</v>
      </c>
      <c r="K87" s="17">
        <v>0</v>
      </c>
      <c r="L87" s="17">
        <v>0</v>
      </c>
      <c r="M87" s="19">
        <v>0</v>
      </c>
      <c r="N87" s="19">
        <v>0</v>
      </c>
      <c r="O87" s="19">
        <v>0</v>
      </c>
      <c r="P87" s="19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</row>
    <row r="88" spans="3:25" s="4" customFormat="1" ht="20.100000000000001" customHeight="1" x14ac:dyDescent="0.15">
      <c r="C88" s="17">
        <v>130123</v>
      </c>
      <c r="D88" s="17" t="s">
        <v>130</v>
      </c>
      <c r="E88" s="18" t="s">
        <v>140</v>
      </c>
      <c r="F88" s="23" t="s">
        <v>293</v>
      </c>
      <c r="G88" s="19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9">
        <v>0</v>
      </c>
      <c r="N88" s="19">
        <v>0</v>
      </c>
      <c r="O88" s="19">
        <v>0</v>
      </c>
      <c r="P88" s="19">
        <v>0</v>
      </c>
      <c r="Q88" s="17">
        <v>0.05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</row>
    <row r="89" spans="3:25" s="4" customFormat="1" ht="20.100000000000001" customHeight="1" x14ac:dyDescent="0.15">
      <c r="C89" s="17">
        <v>130131</v>
      </c>
      <c r="D89" s="17" t="s">
        <v>130</v>
      </c>
      <c r="E89" s="18" t="s">
        <v>153</v>
      </c>
      <c r="F89" s="23" t="s">
        <v>265</v>
      </c>
      <c r="G89" s="19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9">
        <v>50</v>
      </c>
      <c r="N89" s="19">
        <v>50</v>
      </c>
      <c r="O89" s="19">
        <v>50</v>
      </c>
      <c r="P89" s="19">
        <v>50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</row>
    <row r="90" spans="3:25" s="4" customFormat="1" ht="20.100000000000001" customHeight="1" x14ac:dyDescent="0.15">
      <c r="C90" s="17">
        <v>130132</v>
      </c>
      <c r="D90" s="17" t="s">
        <v>130</v>
      </c>
      <c r="E90" s="18" t="s">
        <v>154</v>
      </c>
      <c r="F90" s="23" t="s">
        <v>266</v>
      </c>
      <c r="G90" s="19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9">
        <v>0</v>
      </c>
      <c r="N90" s="19">
        <v>0</v>
      </c>
      <c r="O90" s="19">
        <v>0</v>
      </c>
      <c r="P90" s="19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0.03</v>
      </c>
      <c r="V90" s="17">
        <v>0</v>
      </c>
      <c r="W90" s="17">
        <v>0</v>
      </c>
      <c r="X90" s="17">
        <v>0</v>
      </c>
      <c r="Y90" s="17">
        <v>0</v>
      </c>
    </row>
    <row r="91" spans="3:25" s="4" customFormat="1" ht="20.100000000000001" customHeight="1" x14ac:dyDescent="0.15">
      <c r="C91" s="17">
        <v>130133</v>
      </c>
      <c r="D91" s="17" t="s">
        <v>130</v>
      </c>
      <c r="E91" s="18" t="s">
        <v>155</v>
      </c>
      <c r="F91" s="23" t="s">
        <v>267</v>
      </c>
      <c r="G91" s="19">
        <v>0</v>
      </c>
      <c r="H91" s="17">
        <v>0</v>
      </c>
      <c r="I91" s="17">
        <v>0</v>
      </c>
      <c r="J91" s="17">
        <v>300</v>
      </c>
      <c r="K91" s="17">
        <v>0</v>
      </c>
      <c r="L91" s="17">
        <v>0</v>
      </c>
      <c r="M91" s="19">
        <v>0</v>
      </c>
      <c r="N91" s="19">
        <v>0</v>
      </c>
      <c r="O91" s="19">
        <v>0</v>
      </c>
      <c r="P91" s="19">
        <v>0</v>
      </c>
      <c r="Q91" s="17">
        <v>0</v>
      </c>
      <c r="R91" s="17">
        <v>0</v>
      </c>
      <c r="S91" s="17">
        <v>0.05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</row>
    <row r="92" spans="3:25" s="4" customFormat="1" ht="20.100000000000001" customHeight="1" x14ac:dyDescent="0.15">
      <c r="C92" s="17">
        <v>140111</v>
      </c>
      <c r="D92" s="17" t="s">
        <v>130</v>
      </c>
      <c r="E92" s="18" t="s">
        <v>156</v>
      </c>
      <c r="F92" s="23" t="s">
        <v>268</v>
      </c>
      <c r="G92" s="19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9">
        <v>75</v>
      </c>
      <c r="N92" s="19">
        <v>75</v>
      </c>
      <c r="O92" s="19">
        <v>75</v>
      </c>
      <c r="P92" s="19">
        <v>75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</row>
    <row r="93" spans="3:25" s="4" customFormat="1" ht="20.100000000000001" customHeight="1" x14ac:dyDescent="0.15">
      <c r="C93" s="17">
        <v>140112</v>
      </c>
      <c r="D93" s="17" t="s">
        <v>130</v>
      </c>
      <c r="E93" s="18" t="s">
        <v>157</v>
      </c>
      <c r="F93" s="23" t="s">
        <v>269</v>
      </c>
      <c r="G93" s="19">
        <v>0</v>
      </c>
      <c r="H93" s="17">
        <v>0</v>
      </c>
      <c r="I93" s="17">
        <v>0</v>
      </c>
      <c r="J93" s="17">
        <v>75</v>
      </c>
      <c r="K93" s="17">
        <v>0</v>
      </c>
      <c r="L93" s="17">
        <v>0</v>
      </c>
      <c r="M93" s="19">
        <v>0</v>
      </c>
      <c r="N93" s="19">
        <v>0</v>
      </c>
      <c r="O93" s="19">
        <v>0</v>
      </c>
      <c r="P93" s="19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</row>
    <row r="94" spans="3:25" s="4" customFormat="1" ht="20.100000000000001" customHeight="1" x14ac:dyDescent="0.15">
      <c r="C94" s="17">
        <v>140113</v>
      </c>
      <c r="D94" s="17" t="s">
        <v>130</v>
      </c>
      <c r="E94" s="18" t="s">
        <v>158</v>
      </c>
      <c r="F94" s="23" t="s">
        <v>270</v>
      </c>
      <c r="G94" s="19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9">
        <v>0</v>
      </c>
      <c r="N94" s="19">
        <v>0</v>
      </c>
      <c r="O94" s="19">
        <v>0</v>
      </c>
      <c r="P94" s="19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 t="s">
        <v>159</v>
      </c>
    </row>
    <row r="95" spans="3:25" s="4" customFormat="1" ht="20.100000000000001" customHeight="1" x14ac:dyDescent="0.15">
      <c r="C95" s="17">
        <v>140121</v>
      </c>
      <c r="D95" s="17" t="s">
        <v>130</v>
      </c>
      <c r="E95" s="18" t="s">
        <v>160</v>
      </c>
      <c r="F95" s="23" t="s">
        <v>296</v>
      </c>
      <c r="G95" s="19">
        <v>0</v>
      </c>
      <c r="H95" s="17">
        <v>0</v>
      </c>
      <c r="I95" s="17">
        <v>0</v>
      </c>
      <c r="J95" s="17">
        <v>150</v>
      </c>
      <c r="K95" s="17">
        <v>0</v>
      </c>
      <c r="L95" s="17">
        <v>0</v>
      </c>
      <c r="M95" s="19">
        <v>0</v>
      </c>
      <c r="N95" s="19">
        <v>0</v>
      </c>
      <c r="O95" s="19">
        <v>0</v>
      </c>
      <c r="P95" s="19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</row>
    <row r="96" spans="3:25" ht="20.100000000000001" customHeight="1" x14ac:dyDescent="0.15">
      <c r="C96" s="17">
        <v>140122</v>
      </c>
      <c r="D96" s="12" t="s">
        <v>130</v>
      </c>
      <c r="E96" s="13" t="s">
        <v>161</v>
      </c>
      <c r="F96" s="22" t="s">
        <v>271</v>
      </c>
      <c r="G96" s="14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4">
        <v>150</v>
      </c>
      <c r="N96" s="14">
        <v>150</v>
      </c>
      <c r="O96" s="14">
        <v>0</v>
      </c>
      <c r="P96" s="14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</row>
    <row r="97" spans="3:25" s="4" customFormat="1" ht="20.100000000000001" customHeight="1" x14ac:dyDescent="0.15">
      <c r="C97" s="17">
        <v>140123</v>
      </c>
      <c r="D97" s="17" t="s">
        <v>130</v>
      </c>
      <c r="E97" s="18" t="s">
        <v>162</v>
      </c>
      <c r="F97" s="23" t="s">
        <v>272</v>
      </c>
      <c r="G97" s="19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9">
        <v>0</v>
      </c>
      <c r="N97" s="19">
        <v>0</v>
      </c>
      <c r="O97" s="19">
        <v>0</v>
      </c>
      <c r="P97" s="19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 t="s">
        <v>163</v>
      </c>
    </row>
    <row r="98" spans="3:25" s="4" customFormat="1" ht="20.100000000000001" customHeight="1" x14ac:dyDescent="0.15">
      <c r="C98" s="17">
        <v>140131</v>
      </c>
      <c r="D98" s="17" t="s">
        <v>130</v>
      </c>
      <c r="E98" s="18" t="s">
        <v>164</v>
      </c>
      <c r="F98" s="23" t="s">
        <v>273</v>
      </c>
      <c r="G98" s="19">
        <v>0</v>
      </c>
      <c r="H98" s="17">
        <v>750</v>
      </c>
      <c r="I98" s="17">
        <v>0</v>
      </c>
      <c r="J98" s="17">
        <v>0</v>
      </c>
      <c r="K98" s="17">
        <v>0</v>
      </c>
      <c r="L98" s="17">
        <v>0</v>
      </c>
      <c r="M98" s="19">
        <v>0</v>
      </c>
      <c r="N98" s="19">
        <v>0</v>
      </c>
      <c r="O98" s="19">
        <v>0</v>
      </c>
      <c r="P98" s="19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</row>
    <row r="99" spans="3:25" s="4" customFormat="1" ht="20.100000000000001" customHeight="1" x14ac:dyDescent="0.15">
      <c r="C99" s="17">
        <v>140132</v>
      </c>
      <c r="D99" s="17" t="s">
        <v>130</v>
      </c>
      <c r="E99" s="18" t="s">
        <v>154</v>
      </c>
      <c r="F99" s="23" t="s">
        <v>266</v>
      </c>
      <c r="G99" s="19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9">
        <v>0</v>
      </c>
      <c r="N99" s="19">
        <v>0</v>
      </c>
      <c r="O99" s="19">
        <v>0</v>
      </c>
      <c r="P99" s="19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0.05</v>
      </c>
      <c r="V99" s="17">
        <v>0</v>
      </c>
      <c r="W99" s="17">
        <v>0</v>
      </c>
      <c r="X99" s="17">
        <v>0</v>
      </c>
      <c r="Y99" s="17">
        <v>0</v>
      </c>
    </row>
    <row r="100" spans="3:25" s="4" customFormat="1" ht="20.100000000000001" customHeight="1" x14ac:dyDescent="0.15">
      <c r="C100" s="17">
        <v>140133</v>
      </c>
      <c r="D100" s="17" t="s">
        <v>130</v>
      </c>
      <c r="E100" s="18" t="s">
        <v>165</v>
      </c>
      <c r="F100" s="23" t="s">
        <v>274</v>
      </c>
      <c r="G100" s="19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9">
        <v>0</v>
      </c>
      <c r="N100" s="19">
        <v>0</v>
      </c>
      <c r="O100" s="19">
        <v>0</v>
      </c>
      <c r="P100" s="19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 t="s">
        <v>166</v>
      </c>
    </row>
    <row r="101" spans="3:25" ht="20.100000000000001" customHeight="1" x14ac:dyDescent="0.15">
      <c r="C101" s="17">
        <v>150111</v>
      </c>
      <c r="D101" s="12" t="s">
        <v>130</v>
      </c>
      <c r="E101" s="13" t="s">
        <v>157</v>
      </c>
      <c r="F101" s="22" t="s">
        <v>269</v>
      </c>
      <c r="G101" s="14">
        <v>0</v>
      </c>
      <c r="H101" s="12">
        <v>0</v>
      </c>
      <c r="I101" s="12">
        <v>0</v>
      </c>
      <c r="J101" s="12">
        <v>150</v>
      </c>
      <c r="K101" s="12">
        <v>0</v>
      </c>
      <c r="L101" s="12">
        <v>0</v>
      </c>
      <c r="M101" s="14">
        <v>0</v>
      </c>
      <c r="N101" s="14">
        <v>0</v>
      </c>
      <c r="O101" s="14">
        <v>0</v>
      </c>
      <c r="P101" s="14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</row>
    <row r="102" spans="3:25" ht="20.100000000000001" customHeight="1" x14ac:dyDescent="0.15">
      <c r="C102" s="17">
        <v>150112</v>
      </c>
      <c r="D102" s="12" t="s">
        <v>130</v>
      </c>
      <c r="E102" s="13" t="s">
        <v>151</v>
      </c>
      <c r="F102" s="22" t="s">
        <v>295</v>
      </c>
      <c r="G102" s="14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4">
        <v>0</v>
      </c>
      <c r="N102" s="14">
        <v>0</v>
      </c>
      <c r="O102" s="14">
        <v>0</v>
      </c>
      <c r="P102" s="14">
        <v>0</v>
      </c>
      <c r="Q102" s="12">
        <v>0</v>
      </c>
      <c r="R102" s="12">
        <v>0.05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</row>
    <row r="103" spans="3:25" ht="20.100000000000001" customHeight="1" x14ac:dyDescent="0.15">
      <c r="C103" s="17">
        <v>150113</v>
      </c>
      <c r="D103" s="12" t="s">
        <v>130</v>
      </c>
      <c r="E103" s="13" t="s">
        <v>140</v>
      </c>
      <c r="F103" s="22" t="s">
        <v>293</v>
      </c>
      <c r="G103" s="14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4">
        <v>0</v>
      </c>
      <c r="N103" s="14">
        <v>0</v>
      </c>
      <c r="O103" s="14">
        <v>0</v>
      </c>
      <c r="P103" s="14">
        <v>0</v>
      </c>
      <c r="Q103" s="12">
        <v>0.05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</row>
    <row r="104" spans="3:25" ht="20.100000000000001" customHeight="1" x14ac:dyDescent="0.15">
      <c r="C104" s="17">
        <v>150121</v>
      </c>
      <c r="D104" s="12" t="s">
        <v>130</v>
      </c>
      <c r="E104" s="13" t="s">
        <v>157</v>
      </c>
      <c r="F104" s="22" t="s">
        <v>269</v>
      </c>
      <c r="G104" s="14">
        <v>0</v>
      </c>
      <c r="H104" s="12">
        <v>0</v>
      </c>
      <c r="I104" s="12">
        <v>0</v>
      </c>
      <c r="J104" s="12">
        <v>150</v>
      </c>
      <c r="K104" s="12">
        <v>0</v>
      </c>
      <c r="L104" s="12">
        <v>0</v>
      </c>
      <c r="M104" s="14">
        <v>0</v>
      </c>
      <c r="N104" s="14">
        <v>0</v>
      </c>
      <c r="O104" s="14">
        <v>0</v>
      </c>
      <c r="P104" s="14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</row>
    <row r="105" spans="3:25" ht="20.100000000000001" customHeight="1" x14ac:dyDescent="0.15">
      <c r="C105" s="17">
        <v>150122</v>
      </c>
      <c r="D105" s="12" t="s">
        <v>130</v>
      </c>
      <c r="E105" s="13" t="s">
        <v>167</v>
      </c>
      <c r="F105" s="22" t="s">
        <v>275</v>
      </c>
      <c r="G105" s="14">
        <v>0</v>
      </c>
      <c r="H105" s="12">
        <v>0</v>
      </c>
      <c r="I105" s="12">
        <v>0</v>
      </c>
      <c r="J105" s="12">
        <v>200</v>
      </c>
      <c r="K105" s="12">
        <v>0</v>
      </c>
      <c r="L105" s="12">
        <v>0</v>
      </c>
      <c r="M105" s="14">
        <v>0</v>
      </c>
      <c r="N105" s="14">
        <v>0</v>
      </c>
      <c r="O105" s="14">
        <v>0</v>
      </c>
      <c r="P105" s="14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</row>
    <row r="106" spans="3:25" ht="20.100000000000001" customHeight="1" x14ac:dyDescent="0.15">
      <c r="C106" s="17">
        <v>150123</v>
      </c>
      <c r="D106" s="12" t="s">
        <v>130</v>
      </c>
      <c r="E106" s="13" t="s">
        <v>150</v>
      </c>
      <c r="F106" s="22" t="s">
        <v>294</v>
      </c>
      <c r="G106" s="14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4">
        <v>0</v>
      </c>
      <c r="N106" s="14">
        <v>0</v>
      </c>
      <c r="O106" s="14">
        <v>0</v>
      </c>
      <c r="P106" s="14">
        <v>0</v>
      </c>
      <c r="Q106" s="12">
        <v>0</v>
      </c>
      <c r="R106" s="12">
        <v>0</v>
      </c>
      <c r="S106" s="12">
        <v>0</v>
      </c>
      <c r="T106" s="12">
        <v>0.05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</row>
    <row r="107" spans="3:25" ht="20.100000000000001" customHeight="1" x14ac:dyDescent="0.15">
      <c r="C107" s="17">
        <v>150131</v>
      </c>
      <c r="D107" s="12" t="s">
        <v>130</v>
      </c>
      <c r="E107" s="13" t="s">
        <v>168</v>
      </c>
      <c r="F107" s="22" t="s">
        <v>276</v>
      </c>
      <c r="G107" s="14">
        <v>0</v>
      </c>
      <c r="H107" s="12">
        <v>750</v>
      </c>
      <c r="I107" s="12">
        <v>0</v>
      </c>
      <c r="J107" s="12">
        <v>0</v>
      </c>
      <c r="K107" s="12">
        <v>0</v>
      </c>
      <c r="L107" s="12">
        <v>0</v>
      </c>
      <c r="M107" s="14">
        <v>0</v>
      </c>
      <c r="N107" s="14">
        <v>0</v>
      </c>
      <c r="O107" s="14">
        <v>0</v>
      </c>
      <c r="P107" s="14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</row>
    <row r="108" spans="3:25" ht="20.100000000000001" customHeight="1" x14ac:dyDescent="0.15">
      <c r="C108" s="17">
        <v>150132</v>
      </c>
      <c r="D108" s="12" t="s">
        <v>130</v>
      </c>
      <c r="E108" s="13" t="s">
        <v>169</v>
      </c>
      <c r="F108" s="22" t="s">
        <v>267</v>
      </c>
      <c r="G108" s="14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4">
        <v>0</v>
      </c>
      <c r="N108" s="14">
        <v>0</v>
      </c>
      <c r="O108" s="14">
        <v>0</v>
      </c>
      <c r="P108" s="14">
        <v>0</v>
      </c>
      <c r="Q108" s="12">
        <v>0</v>
      </c>
      <c r="R108" s="12">
        <v>0</v>
      </c>
      <c r="S108" s="12">
        <v>0.05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</row>
    <row r="109" spans="3:25" ht="20.100000000000001" customHeight="1" x14ac:dyDescent="0.15">
      <c r="C109" s="17">
        <v>150133</v>
      </c>
      <c r="D109" s="12" t="s">
        <v>130</v>
      </c>
      <c r="E109" s="13" t="s">
        <v>146</v>
      </c>
      <c r="F109" s="22" t="s">
        <v>261</v>
      </c>
      <c r="G109" s="14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4">
        <v>0</v>
      </c>
      <c r="N109" s="14">
        <v>0</v>
      </c>
      <c r="O109" s="14">
        <v>0</v>
      </c>
      <c r="P109" s="14">
        <v>0</v>
      </c>
      <c r="Q109" s="12">
        <v>0</v>
      </c>
      <c r="R109" s="12">
        <v>0.05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 t="s">
        <v>170</v>
      </c>
    </row>
    <row r="110" spans="3:25" ht="20.100000000000001" customHeight="1" x14ac:dyDescent="0.15">
      <c r="C110" s="17">
        <v>160111</v>
      </c>
      <c r="D110" s="12" t="s">
        <v>130</v>
      </c>
      <c r="E110" s="13" t="s">
        <v>171</v>
      </c>
      <c r="F110" s="22" t="s">
        <v>277</v>
      </c>
      <c r="G110" s="14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4">
        <v>0</v>
      </c>
      <c r="N110" s="14">
        <v>0</v>
      </c>
      <c r="O110" s="14">
        <v>0</v>
      </c>
      <c r="P110" s="14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20" t="s">
        <v>172</v>
      </c>
    </row>
    <row r="111" spans="3:25" ht="20.100000000000001" customHeight="1" x14ac:dyDescent="0.15">
      <c r="C111" s="17">
        <v>160112</v>
      </c>
      <c r="D111" s="12" t="s">
        <v>130</v>
      </c>
      <c r="E111" s="13" t="s">
        <v>140</v>
      </c>
      <c r="F111" s="22" t="s">
        <v>293</v>
      </c>
      <c r="G111" s="14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4">
        <v>0</v>
      </c>
      <c r="N111" s="14">
        <v>0</v>
      </c>
      <c r="O111" s="14">
        <v>0</v>
      </c>
      <c r="P111" s="14">
        <v>0</v>
      </c>
      <c r="Q111" s="12">
        <v>0.05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</row>
    <row r="112" spans="3:25" ht="20.100000000000001" customHeight="1" x14ac:dyDescent="0.15">
      <c r="C112" s="17">
        <v>160113</v>
      </c>
      <c r="D112" s="12" t="s">
        <v>130</v>
      </c>
      <c r="E112" s="13" t="s">
        <v>173</v>
      </c>
      <c r="F112" s="22" t="s">
        <v>278</v>
      </c>
      <c r="G112" s="14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4">
        <v>0</v>
      </c>
      <c r="N112" s="14">
        <v>0</v>
      </c>
      <c r="O112" s="14">
        <v>0</v>
      </c>
      <c r="P112" s="14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 t="s">
        <v>174</v>
      </c>
    </row>
    <row r="113" spans="3:25" ht="20.100000000000001" customHeight="1" x14ac:dyDescent="0.15">
      <c r="C113" s="17">
        <v>160121</v>
      </c>
      <c r="D113" s="12" t="s">
        <v>130</v>
      </c>
      <c r="E113" s="13" t="s">
        <v>175</v>
      </c>
      <c r="F113" s="22" t="s">
        <v>279</v>
      </c>
      <c r="G113" s="14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4">
        <v>0</v>
      </c>
      <c r="N113" s="14">
        <v>0</v>
      </c>
      <c r="O113" s="14">
        <v>0</v>
      </c>
      <c r="P113" s="14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20" t="s">
        <v>176</v>
      </c>
    </row>
    <row r="114" spans="3:25" ht="20.100000000000001" customHeight="1" x14ac:dyDescent="0.15">
      <c r="C114" s="17">
        <v>160122</v>
      </c>
      <c r="D114" s="12" t="s">
        <v>130</v>
      </c>
      <c r="E114" s="13" t="s">
        <v>140</v>
      </c>
      <c r="F114" s="22" t="s">
        <v>293</v>
      </c>
      <c r="G114" s="14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4">
        <v>0</v>
      </c>
      <c r="N114" s="14">
        <v>0</v>
      </c>
      <c r="O114" s="14">
        <v>0</v>
      </c>
      <c r="P114" s="14">
        <v>0</v>
      </c>
      <c r="Q114" s="12">
        <v>0.05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</row>
    <row r="115" spans="3:25" ht="20.100000000000001" customHeight="1" x14ac:dyDescent="0.15">
      <c r="C115" s="17">
        <v>160123</v>
      </c>
      <c r="D115" s="12" t="s">
        <v>130</v>
      </c>
      <c r="E115" s="13" t="s">
        <v>150</v>
      </c>
      <c r="F115" s="22" t="s">
        <v>294</v>
      </c>
      <c r="G115" s="14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4">
        <v>0</v>
      </c>
      <c r="N115" s="14">
        <v>0</v>
      </c>
      <c r="O115" s="14">
        <v>0</v>
      </c>
      <c r="P115" s="14">
        <v>0</v>
      </c>
      <c r="Q115" s="12">
        <v>0</v>
      </c>
      <c r="R115" s="12">
        <v>0</v>
      </c>
      <c r="S115" s="12">
        <v>0</v>
      </c>
      <c r="T115" s="12">
        <v>0.05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</row>
    <row r="116" spans="3:25" ht="20.100000000000001" customHeight="1" x14ac:dyDescent="0.15">
      <c r="C116" s="17">
        <v>160131</v>
      </c>
      <c r="D116" s="12" t="s">
        <v>130</v>
      </c>
      <c r="E116" s="13" t="s">
        <v>177</v>
      </c>
      <c r="F116" s="22" t="s">
        <v>280</v>
      </c>
      <c r="G116" s="14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4">
        <v>0</v>
      </c>
      <c r="N116" s="14">
        <v>0</v>
      </c>
      <c r="O116" s="14">
        <v>0</v>
      </c>
      <c r="P116" s="14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20" t="s">
        <v>178</v>
      </c>
    </row>
    <row r="117" spans="3:25" ht="20.100000000000001" customHeight="1" x14ac:dyDescent="0.15">
      <c r="C117" s="17">
        <v>160132</v>
      </c>
      <c r="D117" s="12" t="s">
        <v>130</v>
      </c>
      <c r="E117" s="13" t="s">
        <v>169</v>
      </c>
      <c r="F117" s="22" t="s">
        <v>267</v>
      </c>
      <c r="G117" s="14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4">
        <v>0</v>
      </c>
      <c r="N117" s="14">
        <v>0</v>
      </c>
      <c r="O117" s="14">
        <v>0</v>
      </c>
      <c r="P117" s="14">
        <v>0</v>
      </c>
      <c r="Q117" s="12">
        <v>0</v>
      </c>
      <c r="R117" s="12">
        <v>0</v>
      </c>
      <c r="S117" s="12">
        <v>0.05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</row>
    <row r="118" spans="3:25" ht="20.100000000000001" customHeight="1" x14ac:dyDescent="0.15">
      <c r="C118" s="17">
        <v>160133</v>
      </c>
      <c r="D118" s="12" t="s">
        <v>130</v>
      </c>
      <c r="E118" s="13" t="s">
        <v>179</v>
      </c>
      <c r="F118" s="22" t="s">
        <v>281</v>
      </c>
      <c r="G118" s="14">
        <v>0</v>
      </c>
      <c r="H118" s="12">
        <v>0</v>
      </c>
      <c r="I118" s="12">
        <v>0</v>
      </c>
      <c r="J118" s="12">
        <v>300</v>
      </c>
      <c r="K118" s="12">
        <v>0</v>
      </c>
      <c r="L118" s="12">
        <v>0</v>
      </c>
      <c r="M118" s="14">
        <v>0</v>
      </c>
      <c r="N118" s="14">
        <v>0</v>
      </c>
      <c r="O118" s="14">
        <v>0</v>
      </c>
      <c r="P118" s="14">
        <v>0</v>
      </c>
      <c r="Q118" s="12">
        <v>0</v>
      </c>
      <c r="R118" s="12">
        <v>0.05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 t="s">
        <v>180</v>
      </c>
    </row>
    <row r="119" spans="3:25" ht="20.100000000000001" customHeight="1" x14ac:dyDescent="0.15">
      <c r="C119" s="17">
        <v>170111</v>
      </c>
      <c r="D119" s="12" t="s">
        <v>130</v>
      </c>
      <c r="E119" s="13" t="s">
        <v>225</v>
      </c>
      <c r="F119" s="22" t="s">
        <v>282</v>
      </c>
      <c r="G119" s="14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4">
        <v>0</v>
      </c>
      <c r="N119" s="14">
        <v>0</v>
      </c>
      <c r="O119" s="14">
        <v>0</v>
      </c>
      <c r="P119" s="14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20" t="s">
        <v>228</v>
      </c>
    </row>
    <row r="120" spans="3:25" ht="20.100000000000001" customHeight="1" x14ac:dyDescent="0.15">
      <c r="C120" s="17">
        <v>170112</v>
      </c>
      <c r="D120" s="12" t="s">
        <v>130</v>
      </c>
      <c r="E120" s="13" t="s">
        <v>140</v>
      </c>
      <c r="F120" s="22" t="s">
        <v>293</v>
      </c>
      <c r="G120" s="14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4">
        <v>0</v>
      </c>
      <c r="N120" s="14">
        <v>0</v>
      </c>
      <c r="O120" s="14">
        <v>0</v>
      </c>
      <c r="P120" s="14">
        <v>0</v>
      </c>
      <c r="Q120" s="12">
        <v>0.05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</row>
    <row r="121" spans="3:25" ht="20.100000000000001" customHeight="1" x14ac:dyDescent="0.15">
      <c r="C121" s="17">
        <v>170113</v>
      </c>
      <c r="D121" s="12" t="s">
        <v>130</v>
      </c>
      <c r="E121" s="13" t="s">
        <v>173</v>
      </c>
      <c r="F121" s="22" t="s">
        <v>278</v>
      </c>
      <c r="G121" s="14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4">
        <v>0</v>
      </c>
      <c r="N121" s="14">
        <v>0</v>
      </c>
      <c r="O121" s="14">
        <v>0</v>
      </c>
      <c r="P121" s="14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 t="s">
        <v>174</v>
      </c>
    </row>
    <row r="122" spans="3:25" ht="20.100000000000001" customHeight="1" x14ac:dyDescent="0.15">
      <c r="C122" s="17">
        <v>170121</v>
      </c>
      <c r="D122" s="12" t="s">
        <v>130</v>
      </c>
      <c r="E122" s="13" t="s">
        <v>175</v>
      </c>
      <c r="F122" s="22" t="s">
        <v>279</v>
      </c>
      <c r="G122" s="14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4">
        <v>0</v>
      </c>
      <c r="N122" s="14">
        <v>0</v>
      </c>
      <c r="O122" s="14">
        <v>0</v>
      </c>
      <c r="P122" s="14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20" t="s">
        <v>176</v>
      </c>
    </row>
    <row r="123" spans="3:25" ht="20.100000000000001" customHeight="1" x14ac:dyDescent="0.15">
      <c r="C123" s="17">
        <v>170122</v>
      </c>
      <c r="D123" s="12" t="s">
        <v>130</v>
      </c>
      <c r="E123" s="13" t="s">
        <v>140</v>
      </c>
      <c r="F123" s="22" t="s">
        <v>293</v>
      </c>
      <c r="G123" s="14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4">
        <v>0</v>
      </c>
      <c r="N123" s="14">
        <v>0</v>
      </c>
      <c r="O123" s="14">
        <v>0</v>
      </c>
      <c r="P123" s="14">
        <v>0</v>
      </c>
      <c r="Q123" s="12">
        <v>0.05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</row>
    <row r="124" spans="3:25" ht="20.100000000000001" customHeight="1" x14ac:dyDescent="0.15">
      <c r="C124" s="17">
        <v>170123</v>
      </c>
      <c r="D124" s="12" t="s">
        <v>130</v>
      </c>
      <c r="E124" s="13" t="s">
        <v>150</v>
      </c>
      <c r="F124" s="22" t="s">
        <v>294</v>
      </c>
      <c r="G124" s="14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4">
        <v>0</v>
      </c>
      <c r="N124" s="14">
        <v>0</v>
      </c>
      <c r="O124" s="14">
        <v>0</v>
      </c>
      <c r="P124" s="14">
        <v>0</v>
      </c>
      <c r="Q124" s="12">
        <v>0</v>
      </c>
      <c r="R124" s="12">
        <v>0</v>
      </c>
      <c r="S124" s="12">
        <v>0</v>
      </c>
      <c r="T124" s="12">
        <v>0.05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</row>
    <row r="125" spans="3:25" ht="20.100000000000001" customHeight="1" x14ac:dyDescent="0.15">
      <c r="C125" s="17">
        <v>170131</v>
      </c>
      <c r="D125" s="12" t="s">
        <v>130</v>
      </c>
      <c r="E125" s="13" t="s">
        <v>226</v>
      </c>
      <c r="F125" s="22" t="s">
        <v>283</v>
      </c>
      <c r="G125" s="14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4">
        <v>0</v>
      </c>
      <c r="N125" s="14">
        <v>0</v>
      </c>
      <c r="O125" s="14">
        <v>0</v>
      </c>
      <c r="P125" s="14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20" t="s">
        <v>227</v>
      </c>
    </row>
    <row r="126" spans="3:25" ht="20.100000000000001" customHeight="1" x14ac:dyDescent="0.15">
      <c r="C126" s="17">
        <v>170132</v>
      </c>
      <c r="D126" s="12" t="s">
        <v>130</v>
      </c>
      <c r="E126" s="13" t="s">
        <v>169</v>
      </c>
      <c r="F126" s="22" t="s">
        <v>267</v>
      </c>
      <c r="G126" s="14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4">
        <v>0</v>
      </c>
      <c r="N126" s="14">
        <v>0</v>
      </c>
      <c r="O126" s="14">
        <v>0</v>
      </c>
      <c r="P126" s="14">
        <v>0</v>
      </c>
      <c r="Q126" s="12">
        <v>0</v>
      </c>
      <c r="R126" s="12">
        <v>0</v>
      </c>
      <c r="S126" s="12">
        <v>0.05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</row>
    <row r="127" spans="3:25" ht="20.100000000000001" customHeight="1" x14ac:dyDescent="0.15">
      <c r="C127" s="17">
        <v>170133</v>
      </c>
      <c r="D127" s="12" t="s">
        <v>130</v>
      </c>
      <c r="E127" s="13" t="s">
        <v>179</v>
      </c>
      <c r="F127" s="22" t="s">
        <v>281</v>
      </c>
      <c r="G127" s="14">
        <v>0</v>
      </c>
      <c r="H127" s="12">
        <v>0</v>
      </c>
      <c r="I127" s="12">
        <v>0</v>
      </c>
      <c r="J127" s="12">
        <v>300</v>
      </c>
      <c r="K127" s="12">
        <v>0</v>
      </c>
      <c r="L127" s="12">
        <v>0</v>
      </c>
      <c r="M127" s="14">
        <v>0</v>
      </c>
      <c r="N127" s="14">
        <v>0</v>
      </c>
      <c r="O127" s="14">
        <v>0</v>
      </c>
      <c r="P127" s="14">
        <v>0</v>
      </c>
      <c r="Q127" s="12">
        <v>0</v>
      </c>
      <c r="R127" s="12">
        <v>0.05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 t="s">
        <v>180</v>
      </c>
    </row>
    <row r="128" spans="3:25" ht="20.100000000000001" customHeight="1" x14ac:dyDescent="0.15">
      <c r="C128" s="17">
        <v>180111</v>
      </c>
      <c r="D128" s="12" t="s">
        <v>130</v>
      </c>
      <c r="E128" s="13" t="s">
        <v>225</v>
      </c>
      <c r="F128" s="22" t="s">
        <v>282</v>
      </c>
      <c r="G128" s="14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4">
        <v>0</v>
      </c>
      <c r="N128" s="14">
        <v>0</v>
      </c>
      <c r="O128" s="14">
        <v>0</v>
      </c>
      <c r="P128" s="14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20" t="s">
        <v>228</v>
      </c>
    </row>
    <row r="129" spans="3:25" ht="20.100000000000001" customHeight="1" x14ac:dyDescent="0.15">
      <c r="C129" s="17">
        <v>180112</v>
      </c>
      <c r="D129" s="12" t="s">
        <v>130</v>
      </c>
      <c r="E129" s="13" t="s">
        <v>140</v>
      </c>
      <c r="F129" s="22" t="s">
        <v>293</v>
      </c>
      <c r="G129" s="14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4">
        <v>0</v>
      </c>
      <c r="N129" s="14">
        <v>0</v>
      </c>
      <c r="O129" s="14">
        <v>0</v>
      </c>
      <c r="P129" s="14">
        <v>0</v>
      </c>
      <c r="Q129" s="12">
        <v>0.05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</row>
    <row r="130" spans="3:25" ht="20.100000000000001" customHeight="1" x14ac:dyDescent="0.15">
      <c r="C130" s="17">
        <v>180113</v>
      </c>
      <c r="D130" s="12" t="s">
        <v>130</v>
      </c>
      <c r="E130" s="13" t="s">
        <v>173</v>
      </c>
      <c r="F130" s="22" t="s">
        <v>278</v>
      </c>
      <c r="G130" s="14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4">
        <v>0</v>
      </c>
      <c r="N130" s="14">
        <v>0</v>
      </c>
      <c r="O130" s="14">
        <v>0</v>
      </c>
      <c r="P130" s="14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 t="s">
        <v>174</v>
      </c>
    </row>
    <row r="131" spans="3:25" ht="20.100000000000001" customHeight="1" x14ac:dyDescent="0.15">
      <c r="C131" s="17">
        <v>180121</v>
      </c>
      <c r="D131" s="12" t="s">
        <v>130</v>
      </c>
      <c r="E131" s="13" t="s">
        <v>175</v>
      </c>
      <c r="F131" s="22" t="s">
        <v>279</v>
      </c>
      <c r="G131" s="14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4">
        <v>0</v>
      </c>
      <c r="N131" s="14">
        <v>0</v>
      </c>
      <c r="O131" s="14">
        <v>0</v>
      </c>
      <c r="P131" s="14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20" t="s">
        <v>176</v>
      </c>
    </row>
    <row r="132" spans="3:25" ht="20.100000000000001" customHeight="1" x14ac:dyDescent="0.15">
      <c r="C132" s="17">
        <v>180122</v>
      </c>
      <c r="D132" s="12" t="s">
        <v>130</v>
      </c>
      <c r="E132" s="13" t="s">
        <v>140</v>
      </c>
      <c r="F132" s="22" t="s">
        <v>293</v>
      </c>
      <c r="G132" s="14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4">
        <v>0</v>
      </c>
      <c r="N132" s="14">
        <v>0</v>
      </c>
      <c r="O132" s="14">
        <v>0</v>
      </c>
      <c r="P132" s="14">
        <v>0</v>
      </c>
      <c r="Q132" s="12">
        <v>0.05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</row>
    <row r="133" spans="3:25" ht="20.100000000000001" customHeight="1" x14ac:dyDescent="0.15">
      <c r="C133" s="17">
        <v>180123</v>
      </c>
      <c r="D133" s="12" t="s">
        <v>130</v>
      </c>
      <c r="E133" s="13" t="s">
        <v>150</v>
      </c>
      <c r="F133" s="22" t="s">
        <v>294</v>
      </c>
      <c r="G133" s="14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4">
        <v>0</v>
      </c>
      <c r="N133" s="14">
        <v>0</v>
      </c>
      <c r="O133" s="14">
        <v>0</v>
      </c>
      <c r="P133" s="14">
        <v>0</v>
      </c>
      <c r="Q133" s="12">
        <v>0</v>
      </c>
      <c r="R133" s="12">
        <v>0</v>
      </c>
      <c r="S133" s="12">
        <v>0</v>
      </c>
      <c r="T133" s="12">
        <v>0.05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</row>
    <row r="134" spans="3:25" ht="20.100000000000001" customHeight="1" x14ac:dyDescent="0.15">
      <c r="C134" s="17">
        <v>180131</v>
      </c>
      <c r="D134" s="12" t="s">
        <v>130</v>
      </c>
      <c r="E134" s="13" t="s">
        <v>226</v>
      </c>
      <c r="F134" s="22" t="s">
        <v>283</v>
      </c>
      <c r="G134" s="14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4">
        <v>0</v>
      </c>
      <c r="N134" s="14">
        <v>0</v>
      </c>
      <c r="O134" s="14">
        <v>0</v>
      </c>
      <c r="P134" s="14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20" t="s">
        <v>305</v>
      </c>
    </row>
    <row r="135" spans="3:25" ht="20.100000000000001" customHeight="1" x14ac:dyDescent="0.15">
      <c r="C135" s="17">
        <v>180132</v>
      </c>
      <c r="D135" s="12" t="s">
        <v>130</v>
      </c>
      <c r="E135" s="13" t="s">
        <v>169</v>
      </c>
      <c r="F135" s="22" t="s">
        <v>267</v>
      </c>
      <c r="G135" s="14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4">
        <v>0</v>
      </c>
      <c r="N135" s="14">
        <v>0</v>
      </c>
      <c r="O135" s="14">
        <v>0</v>
      </c>
      <c r="P135" s="14">
        <v>0</v>
      </c>
      <c r="Q135" s="12">
        <v>0</v>
      </c>
      <c r="R135" s="12">
        <v>0</v>
      </c>
      <c r="S135" s="12">
        <v>0.05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</row>
    <row r="136" spans="3:25" ht="20.100000000000001" customHeight="1" x14ac:dyDescent="0.15">
      <c r="C136" s="17">
        <v>180133</v>
      </c>
      <c r="D136" s="12" t="s">
        <v>130</v>
      </c>
      <c r="E136" s="13" t="s">
        <v>179</v>
      </c>
      <c r="F136" s="22" t="s">
        <v>281</v>
      </c>
      <c r="G136" s="14">
        <v>0</v>
      </c>
      <c r="H136" s="12">
        <v>0</v>
      </c>
      <c r="I136" s="12">
        <v>0</v>
      </c>
      <c r="J136" s="12">
        <v>300</v>
      </c>
      <c r="K136" s="12">
        <v>0</v>
      </c>
      <c r="L136" s="12">
        <v>0</v>
      </c>
      <c r="M136" s="14">
        <v>0</v>
      </c>
      <c r="N136" s="14">
        <v>0</v>
      </c>
      <c r="O136" s="14">
        <v>0</v>
      </c>
      <c r="P136" s="14">
        <v>0</v>
      </c>
      <c r="Q136" s="12">
        <v>0</v>
      </c>
      <c r="R136" s="12">
        <v>0.05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 t="s">
        <v>180</v>
      </c>
    </row>
    <row r="137" spans="3:25" ht="20.100000000000001" customHeight="1" x14ac:dyDescent="0.15">
      <c r="C137" s="17">
        <v>190111</v>
      </c>
      <c r="D137" s="12" t="s">
        <v>130</v>
      </c>
      <c r="E137" s="13" t="s">
        <v>304</v>
      </c>
      <c r="F137" s="22" t="s">
        <v>303</v>
      </c>
      <c r="G137" s="14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4">
        <v>0</v>
      </c>
      <c r="N137" s="14">
        <v>0</v>
      </c>
      <c r="O137" s="14">
        <v>0</v>
      </c>
      <c r="P137" s="14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20" t="s">
        <v>302</v>
      </c>
    </row>
    <row r="138" spans="3:25" ht="20.100000000000001" customHeight="1" x14ac:dyDescent="0.15">
      <c r="C138" s="17">
        <v>190112</v>
      </c>
      <c r="D138" s="12" t="s">
        <v>130</v>
      </c>
      <c r="E138" s="13" t="s">
        <v>140</v>
      </c>
      <c r="F138" s="22" t="s">
        <v>293</v>
      </c>
      <c r="G138" s="14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4">
        <v>0</v>
      </c>
      <c r="N138" s="14">
        <v>0</v>
      </c>
      <c r="O138" s="14">
        <v>0</v>
      </c>
      <c r="P138" s="14">
        <v>0</v>
      </c>
      <c r="Q138" s="12">
        <v>0.05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</row>
    <row r="139" spans="3:25" ht="20.100000000000001" customHeight="1" x14ac:dyDescent="0.15">
      <c r="C139" s="17">
        <v>190113</v>
      </c>
      <c r="D139" s="12" t="s">
        <v>130</v>
      </c>
      <c r="E139" s="13" t="s">
        <v>173</v>
      </c>
      <c r="F139" s="22" t="s">
        <v>278</v>
      </c>
      <c r="G139" s="14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4">
        <v>0</v>
      </c>
      <c r="N139" s="14">
        <v>0</v>
      </c>
      <c r="O139" s="14">
        <v>0</v>
      </c>
      <c r="P139" s="14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 t="s">
        <v>174</v>
      </c>
    </row>
    <row r="140" spans="3:25" ht="20.100000000000001" customHeight="1" x14ac:dyDescent="0.15">
      <c r="C140" s="17">
        <v>190121</v>
      </c>
      <c r="D140" s="12" t="s">
        <v>130</v>
      </c>
      <c r="E140" s="13" t="s">
        <v>175</v>
      </c>
      <c r="F140" s="22" t="s">
        <v>279</v>
      </c>
      <c r="G140" s="14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4">
        <v>0</v>
      </c>
      <c r="N140" s="14">
        <v>0</v>
      </c>
      <c r="O140" s="14">
        <v>0</v>
      </c>
      <c r="P140" s="14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20" t="s">
        <v>176</v>
      </c>
    </row>
    <row r="141" spans="3:25" ht="20.100000000000001" customHeight="1" x14ac:dyDescent="0.15">
      <c r="C141" s="17">
        <v>190122</v>
      </c>
      <c r="D141" s="12" t="s">
        <v>130</v>
      </c>
      <c r="E141" s="13" t="s">
        <v>140</v>
      </c>
      <c r="F141" s="22" t="s">
        <v>293</v>
      </c>
      <c r="G141" s="14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4">
        <v>0</v>
      </c>
      <c r="N141" s="14">
        <v>0</v>
      </c>
      <c r="O141" s="14">
        <v>0</v>
      </c>
      <c r="P141" s="14">
        <v>0</v>
      </c>
      <c r="Q141" s="12">
        <v>0.05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</row>
    <row r="142" spans="3:25" ht="20.100000000000001" customHeight="1" x14ac:dyDescent="0.15">
      <c r="C142" s="17">
        <v>190123</v>
      </c>
      <c r="D142" s="12" t="s">
        <v>130</v>
      </c>
      <c r="E142" s="13" t="s">
        <v>150</v>
      </c>
      <c r="F142" s="22" t="s">
        <v>294</v>
      </c>
      <c r="G142" s="14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4">
        <v>0</v>
      </c>
      <c r="N142" s="14">
        <v>0</v>
      </c>
      <c r="O142" s="14">
        <v>0</v>
      </c>
      <c r="P142" s="14">
        <v>0</v>
      </c>
      <c r="Q142" s="12">
        <v>0</v>
      </c>
      <c r="R142" s="12">
        <v>0</v>
      </c>
      <c r="S142" s="12">
        <v>0</v>
      </c>
      <c r="T142" s="12">
        <v>0.05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</row>
    <row r="143" spans="3:25" ht="20.100000000000001" customHeight="1" x14ac:dyDescent="0.15">
      <c r="C143" s="17">
        <v>190131</v>
      </c>
      <c r="D143" s="12" t="s">
        <v>130</v>
      </c>
      <c r="E143" s="13" t="s">
        <v>306</v>
      </c>
      <c r="F143" s="22" t="s">
        <v>307</v>
      </c>
      <c r="G143" s="14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4">
        <v>0</v>
      </c>
      <c r="N143" s="14">
        <v>0</v>
      </c>
      <c r="O143" s="14">
        <v>0</v>
      </c>
      <c r="P143" s="14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20" t="s">
        <v>305</v>
      </c>
    </row>
    <row r="144" spans="3:25" ht="20.100000000000001" customHeight="1" x14ac:dyDescent="0.15">
      <c r="C144" s="17">
        <v>190132</v>
      </c>
      <c r="D144" s="12" t="s">
        <v>130</v>
      </c>
      <c r="E144" s="13" t="s">
        <v>169</v>
      </c>
      <c r="F144" s="22" t="s">
        <v>267</v>
      </c>
      <c r="G144" s="14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4">
        <v>0</v>
      </c>
      <c r="N144" s="14">
        <v>0</v>
      </c>
      <c r="O144" s="14">
        <v>0</v>
      </c>
      <c r="P144" s="14">
        <v>0</v>
      </c>
      <c r="Q144" s="12">
        <v>0</v>
      </c>
      <c r="R144" s="12">
        <v>0</v>
      </c>
      <c r="S144" s="12">
        <v>0.05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</row>
    <row r="145" spans="3:25" ht="20.100000000000001" customHeight="1" x14ac:dyDescent="0.15">
      <c r="C145" s="17">
        <v>190133</v>
      </c>
      <c r="D145" s="12" t="s">
        <v>130</v>
      </c>
      <c r="E145" s="13" t="s">
        <v>179</v>
      </c>
      <c r="F145" s="22" t="s">
        <v>281</v>
      </c>
      <c r="G145" s="14">
        <v>0</v>
      </c>
      <c r="H145" s="12">
        <v>0</v>
      </c>
      <c r="I145" s="12">
        <v>0</v>
      </c>
      <c r="J145" s="12">
        <v>300</v>
      </c>
      <c r="K145" s="12">
        <v>0</v>
      </c>
      <c r="L145" s="12">
        <v>0</v>
      </c>
      <c r="M145" s="14">
        <v>0</v>
      </c>
      <c r="N145" s="14">
        <v>0</v>
      </c>
      <c r="O145" s="14">
        <v>0</v>
      </c>
      <c r="P145" s="14">
        <v>0</v>
      </c>
      <c r="Q145" s="12">
        <v>0</v>
      </c>
      <c r="R145" s="12">
        <v>0.05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 t="s">
        <v>180</v>
      </c>
    </row>
    <row r="146" spans="3:25" ht="20.100000000000001" customHeight="1" x14ac:dyDescent="0.15">
      <c r="C146" s="12">
        <v>200001</v>
      </c>
      <c r="D146" s="12" t="s">
        <v>181</v>
      </c>
      <c r="E146" s="13" t="s">
        <v>140</v>
      </c>
      <c r="F146" s="22" t="s">
        <v>293</v>
      </c>
      <c r="G146" s="14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4">
        <v>0</v>
      </c>
      <c r="N146" s="14">
        <v>0</v>
      </c>
      <c r="O146" s="14">
        <v>0</v>
      </c>
      <c r="P146" s="14">
        <v>0</v>
      </c>
      <c r="Q146" s="12">
        <v>0.05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</row>
    <row r="147" spans="3:25" ht="20.100000000000001" customHeight="1" x14ac:dyDescent="0.15">
      <c r="C147" s="12">
        <v>300011</v>
      </c>
      <c r="D147" s="21" t="s">
        <v>182</v>
      </c>
      <c r="E147" s="13" t="s">
        <v>184</v>
      </c>
      <c r="F147" s="22" t="s">
        <v>284</v>
      </c>
      <c r="G147" s="14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4">
        <v>0</v>
      </c>
      <c r="N147" s="14">
        <v>0</v>
      </c>
      <c r="O147" s="14">
        <v>0</v>
      </c>
      <c r="P147" s="14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 t="s">
        <v>194</v>
      </c>
    </row>
    <row r="148" spans="3:25" ht="20.100000000000001" customHeight="1" x14ac:dyDescent="0.15">
      <c r="C148" s="12">
        <v>300012</v>
      </c>
      <c r="D148" s="21" t="s">
        <v>182</v>
      </c>
      <c r="E148" s="13" t="s">
        <v>185</v>
      </c>
      <c r="F148" s="22" t="s">
        <v>285</v>
      </c>
      <c r="G148" s="14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4">
        <v>0</v>
      </c>
      <c r="N148" s="14">
        <v>0</v>
      </c>
      <c r="O148" s="14">
        <v>0</v>
      </c>
      <c r="P148" s="14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 t="s">
        <v>195</v>
      </c>
    </row>
    <row r="149" spans="3:25" ht="20.100000000000001" customHeight="1" x14ac:dyDescent="0.15">
      <c r="C149" s="12">
        <v>300013</v>
      </c>
      <c r="D149" s="21" t="s">
        <v>182</v>
      </c>
      <c r="E149" s="13" t="s">
        <v>183</v>
      </c>
      <c r="F149" s="22" t="s">
        <v>286</v>
      </c>
      <c r="G149" s="14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4">
        <v>0</v>
      </c>
      <c r="N149" s="14">
        <v>0</v>
      </c>
      <c r="O149" s="14">
        <v>0</v>
      </c>
      <c r="P149" s="14">
        <v>0</v>
      </c>
      <c r="Q149" s="12">
        <v>0.01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</row>
    <row r="150" spans="3:25" ht="20.100000000000001" customHeight="1" x14ac:dyDescent="0.15">
      <c r="C150" s="12">
        <v>300021</v>
      </c>
      <c r="D150" s="21" t="s">
        <v>182</v>
      </c>
      <c r="E150" s="13" t="s">
        <v>187</v>
      </c>
      <c r="F150" s="22" t="s">
        <v>287</v>
      </c>
      <c r="G150" s="14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4">
        <v>0</v>
      </c>
      <c r="N150" s="14">
        <v>0</v>
      </c>
      <c r="O150" s="14">
        <v>0</v>
      </c>
      <c r="P150" s="14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 t="s">
        <v>193</v>
      </c>
    </row>
    <row r="151" spans="3:25" ht="20.100000000000001" customHeight="1" x14ac:dyDescent="0.15">
      <c r="C151" s="12">
        <v>300022</v>
      </c>
      <c r="D151" s="21" t="s">
        <v>182</v>
      </c>
      <c r="E151" s="13" t="s">
        <v>188</v>
      </c>
      <c r="F151" s="22" t="s">
        <v>244</v>
      </c>
      <c r="G151" s="14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4">
        <v>0</v>
      </c>
      <c r="N151" s="14">
        <v>0</v>
      </c>
      <c r="O151" s="14">
        <v>0</v>
      </c>
      <c r="P151" s="14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 t="s">
        <v>192</v>
      </c>
    </row>
    <row r="152" spans="3:25" ht="20.100000000000001" customHeight="1" x14ac:dyDescent="0.15">
      <c r="C152" s="12">
        <v>300023</v>
      </c>
      <c r="D152" s="21" t="s">
        <v>182</v>
      </c>
      <c r="E152" s="13" t="s">
        <v>186</v>
      </c>
      <c r="F152" s="22" t="s">
        <v>288</v>
      </c>
      <c r="G152" s="14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4">
        <v>0</v>
      </c>
      <c r="N152" s="14">
        <v>0</v>
      </c>
      <c r="O152" s="14">
        <v>0</v>
      </c>
      <c r="P152" s="14">
        <v>0</v>
      </c>
      <c r="Q152" s="12">
        <v>0</v>
      </c>
      <c r="R152" s="12">
        <v>0.01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</row>
    <row r="153" spans="3:25" ht="20.100000000000001" customHeight="1" x14ac:dyDescent="0.15">
      <c r="C153" s="12">
        <v>300031</v>
      </c>
      <c r="D153" s="21" t="s">
        <v>182</v>
      </c>
      <c r="E153" s="13" t="s">
        <v>190</v>
      </c>
      <c r="F153" s="22" t="s">
        <v>289</v>
      </c>
      <c r="G153" s="14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4">
        <v>0</v>
      </c>
      <c r="N153" s="14">
        <v>0</v>
      </c>
      <c r="O153" s="14">
        <v>0</v>
      </c>
      <c r="P153" s="14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</row>
    <row r="154" spans="3:25" ht="20.100000000000001" customHeight="1" x14ac:dyDescent="0.15">
      <c r="C154" s="12">
        <v>300032</v>
      </c>
      <c r="D154" s="21" t="s">
        <v>182</v>
      </c>
      <c r="E154" s="13" t="s">
        <v>191</v>
      </c>
      <c r="F154" s="22" t="s">
        <v>290</v>
      </c>
      <c r="G154" s="14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4">
        <v>0</v>
      </c>
      <c r="N154" s="14">
        <v>0</v>
      </c>
      <c r="O154" s="14">
        <v>0</v>
      </c>
      <c r="P154" s="14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 t="s">
        <v>196</v>
      </c>
    </row>
    <row r="155" spans="3:25" ht="20.100000000000001" customHeight="1" x14ac:dyDescent="0.15">
      <c r="C155" s="12">
        <v>300033</v>
      </c>
      <c r="D155" s="21" t="s">
        <v>182</v>
      </c>
      <c r="E155" s="13" t="s">
        <v>189</v>
      </c>
      <c r="F155" s="22" t="s">
        <v>291</v>
      </c>
      <c r="G155" s="14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4">
        <v>0</v>
      </c>
      <c r="N155" s="14">
        <v>0</v>
      </c>
      <c r="O155" s="14">
        <v>0</v>
      </c>
      <c r="P155" s="14">
        <v>0</v>
      </c>
      <c r="Q155" s="12">
        <v>0</v>
      </c>
      <c r="R155" s="12">
        <v>0</v>
      </c>
      <c r="S155" s="12">
        <v>0.01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</row>
    <row r="156" spans="3:25" ht="20.100000000000001" customHeight="1" x14ac:dyDescent="0.15">
      <c r="C156" s="12">
        <v>300111</v>
      </c>
      <c r="D156" s="21" t="s">
        <v>182</v>
      </c>
      <c r="E156" s="13" t="s">
        <v>202</v>
      </c>
      <c r="F156" s="22" t="s">
        <v>297</v>
      </c>
      <c r="G156" s="14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4">
        <v>0</v>
      </c>
      <c r="N156" s="14">
        <v>0</v>
      </c>
      <c r="O156" s="14">
        <v>0</v>
      </c>
      <c r="P156" s="14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 t="s">
        <v>197</v>
      </c>
    </row>
    <row r="157" spans="3:25" ht="20.100000000000001" customHeight="1" x14ac:dyDescent="0.15">
      <c r="C157" s="12">
        <v>300112</v>
      </c>
      <c r="D157" s="21" t="s">
        <v>182</v>
      </c>
      <c r="E157" s="13" t="s">
        <v>203</v>
      </c>
      <c r="F157" s="22" t="s">
        <v>298</v>
      </c>
      <c r="G157" s="14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4">
        <v>0</v>
      </c>
      <c r="N157" s="14">
        <v>0</v>
      </c>
      <c r="O157" s="14">
        <v>0</v>
      </c>
      <c r="P157" s="14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 t="s">
        <v>198</v>
      </c>
    </row>
    <row r="158" spans="3:25" ht="20.100000000000001" customHeight="1" x14ac:dyDescent="0.15">
      <c r="C158" s="12">
        <v>300113</v>
      </c>
      <c r="D158" s="21" t="s">
        <v>182</v>
      </c>
      <c r="E158" s="13" t="s">
        <v>204</v>
      </c>
      <c r="F158" s="22" t="s">
        <v>299</v>
      </c>
      <c r="G158" s="14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4">
        <v>0</v>
      </c>
      <c r="N158" s="14">
        <v>0</v>
      </c>
      <c r="O158" s="14">
        <v>0</v>
      </c>
      <c r="P158" s="14">
        <v>0</v>
      </c>
      <c r="Q158" s="12">
        <v>1.4999999999999999E-2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</row>
    <row r="159" spans="3:25" ht="20.100000000000001" customHeight="1" x14ac:dyDescent="0.15">
      <c r="C159" s="12">
        <v>300121</v>
      </c>
      <c r="D159" s="21" t="s">
        <v>182</v>
      </c>
      <c r="E159" s="13" t="s">
        <v>205</v>
      </c>
      <c r="F159" s="22" t="s">
        <v>351</v>
      </c>
      <c r="G159" s="14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4">
        <v>0</v>
      </c>
      <c r="N159" s="14">
        <v>0</v>
      </c>
      <c r="O159" s="14">
        <v>0</v>
      </c>
      <c r="P159" s="14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 t="s">
        <v>199</v>
      </c>
    </row>
    <row r="160" spans="3:25" ht="20.100000000000001" customHeight="1" x14ac:dyDescent="0.15">
      <c r="C160" s="12">
        <v>300122</v>
      </c>
      <c r="D160" s="21" t="s">
        <v>182</v>
      </c>
      <c r="E160" s="13" t="s">
        <v>206</v>
      </c>
      <c r="F160" s="22" t="s">
        <v>350</v>
      </c>
      <c r="G160" s="14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4">
        <v>0</v>
      </c>
      <c r="N160" s="14">
        <v>0</v>
      </c>
      <c r="O160" s="14">
        <v>0</v>
      </c>
      <c r="P160" s="14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 t="s">
        <v>200</v>
      </c>
    </row>
    <row r="161" spans="3:25" ht="20.100000000000001" customHeight="1" x14ac:dyDescent="0.15">
      <c r="C161" s="12">
        <v>300123</v>
      </c>
      <c r="D161" s="21" t="s">
        <v>182</v>
      </c>
      <c r="E161" s="13" t="s">
        <v>207</v>
      </c>
      <c r="F161" s="22" t="s">
        <v>349</v>
      </c>
      <c r="G161" s="14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4">
        <v>0</v>
      </c>
      <c r="N161" s="14">
        <v>0</v>
      </c>
      <c r="O161" s="14">
        <v>0</v>
      </c>
      <c r="P161" s="14">
        <v>0</v>
      </c>
      <c r="Q161" s="12">
        <v>0</v>
      </c>
      <c r="R161" s="12">
        <v>1.4999999999999999E-2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</row>
    <row r="162" spans="3:25" ht="20.100000000000001" customHeight="1" x14ac:dyDescent="0.15">
      <c r="C162" s="12">
        <v>300131</v>
      </c>
      <c r="D162" s="21" t="s">
        <v>182</v>
      </c>
      <c r="E162" s="13" t="s">
        <v>208</v>
      </c>
      <c r="F162" s="22" t="s">
        <v>348</v>
      </c>
      <c r="G162" s="14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4">
        <v>0</v>
      </c>
      <c r="N162" s="14">
        <v>0</v>
      </c>
      <c r="O162" s="14">
        <v>0</v>
      </c>
      <c r="P162" s="14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</row>
    <row r="163" spans="3:25" ht="20.100000000000001" customHeight="1" x14ac:dyDescent="0.15">
      <c r="C163" s="12">
        <v>300132</v>
      </c>
      <c r="D163" s="21" t="s">
        <v>182</v>
      </c>
      <c r="E163" s="13" t="s">
        <v>209</v>
      </c>
      <c r="F163" s="22" t="s">
        <v>347</v>
      </c>
      <c r="G163" s="14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4">
        <v>0</v>
      </c>
      <c r="N163" s="14">
        <v>0</v>
      </c>
      <c r="O163" s="14">
        <v>0</v>
      </c>
      <c r="P163" s="14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 t="s">
        <v>201</v>
      </c>
    </row>
    <row r="164" spans="3:25" ht="20.100000000000001" customHeight="1" x14ac:dyDescent="0.15">
      <c r="C164" s="12">
        <v>300133</v>
      </c>
      <c r="D164" s="21" t="s">
        <v>182</v>
      </c>
      <c r="E164" s="13" t="s">
        <v>210</v>
      </c>
      <c r="F164" s="22" t="s">
        <v>346</v>
      </c>
      <c r="G164" s="14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4">
        <v>0</v>
      </c>
      <c r="N164" s="14">
        <v>0</v>
      </c>
      <c r="O164" s="14">
        <v>0</v>
      </c>
      <c r="P164" s="14">
        <v>0</v>
      </c>
      <c r="Q164" s="12">
        <v>0</v>
      </c>
      <c r="R164" s="12">
        <v>0</v>
      </c>
      <c r="S164" s="12">
        <v>1.4999999999999999E-2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</row>
    <row r="165" spans="3:25" ht="20.100000000000001" customHeight="1" x14ac:dyDescent="0.15">
      <c r="C165" s="12">
        <v>300211</v>
      </c>
      <c r="D165" s="21" t="s">
        <v>182</v>
      </c>
      <c r="E165" s="13" t="s">
        <v>211</v>
      </c>
      <c r="F165" s="22" t="s">
        <v>345</v>
      </c>
      <c r="G165" s="14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4">
        <v>0</v>
      </c>
      <c r="N165" s="14">
        <v>0</v>
      </c>
      <c r="O165" s="14">
        <v>0</v>
      </c>
      <c r="P165" s="14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 t="s">
        <v>220</v>
      </c>
    </row>
    <row r="166" spans="3:25" ht="20.100000000000001" customHeight="1" x14ac:dyDescent="0.15">
      <c r="C166" s="12">
        <v>300212</v>
      </c>
      <c r="D166" s="21" t="s">
        <v>182</v>
      </c>
      <c r="E166" s="13" t="s">
        <v>212</v>
      </c>
      <c r="F166" s="22" t="s">
        <v>344</v>
      </c>
      <c r="G166" s="14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4">
        <v>0</v>
      </c>
      <c r="N166" s="14">
        <v>0</v>
      </c>
      <c r="O166" s="14">
        <v>0</v>
      </c>
      <c r="P166" s="14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 t="s">
        <v>221</v>
      </c>
    </row>
    <row r="167" spans="3:25" ht="20.100000000000001" customHeight="1" x14ac:dyDescent="0.15">
      <c r="C167" s="12">
        <v>300213</v>
      </c>
      <c r="D167" s="21" t="s">
        <v>182</v>
      </c>
      <c r="E167" s="13" t="s">
        <v>213</v>
      </c>
      <c r="F167" s="22" t="s">
        <v>343</v>
      </c>
      <c r="G167" s="14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4">
        <v>0</v>
      </c>
      <c r="N167" s="14">
        <v>0</v>
      </c>
      <c r="O167" s="14">
        <v>0</v>
      </c>
      <c r="P167" s="14">
        <v>0</v>
      </c>
      <c r="Q167" s="12">
        <v>0.02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</row>
    <row r="168" spans="3:25" ht="20.100000000000001" customHeight="1" x14ac:dyDescent="0.15">
      <c r="C168" s="12">
        <v>300221</v>
      </c>
      <c r="D168" s="21" t="s">
        <v>182</v>
      </c>
      <c r="E168" s="13" t="s">
        <v>214</v>
      </c>
      <c r="F168" s="22" t="s">
        <v>342</v>
      </c>
      <c r="G168" s="14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4">
        <v>0</v>
      </c>
      <c r="N168" s="14">
        <v>0</v>
      </c>
      <c r="O168" s="14">
        <v>0</v>
      </c>
      <c r="P168" s="14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 t="s">
        <v>222</v>
      </c>
    </row>
    <row r="169" spans="3:25" ht="20.100000000000001" customHeight="1" x14ac:dyDescent="0.15">
      <c r="C169" s="12">
        <v>300222</v>
      </c>
      <c r="D169" s="21" t="s">
        <v>182</v>
      </c>
      <c r="E169" s="13" t="s">
        <v>215</v>
      </c>
      <c r="F169" s="22" t="s">
        <v>341</v>
      </c>
      <c r="G169" s="14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4">
        <v>0</v>
      </c>
      <c r="N169" s="14">
        <v>0</v>
      </c>
      <c r="O169" s="14">
        <v>0</v>
      </c>
      <c r="P169" s="14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 t="s">
        <v>223</v>
      </c>
    </row>
    <row r="170" spans="3:25" ht="20.100000000000001" customHeight="1" x14ac:dyDescent="0.15">
      <c r="C170" s="12">
        <v>300223</v>
      </c>
      <c r="D170" s="21" t="s">
        <v>182</v>
      </c>
      <c r="E170" s="13" t="s">
        <v>216</v>
      </c>
      <c r="F170" s="22" t="s">
        <v>340</v>
      </c>
      <c r="G170" s="14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4">
        <v>0</v>
      </c>
      <c r="N170" s="14">
        <v>0</v>
      </c>
      <c r="O170" s="14">
        <v>0</v>
      </c>
      <c r="P170" s="14">
        <v>0</v>
      </c>
      <c r="Q170" s="12">
        <v>0</v>
      </c>
      <c r="R170" s="12">
        <v>0.02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</row>
    <row r="171" spans="3:25" ht="20.100000000000001" customHeight="1" x14ac:dyDescent="0.15">
      <c r="C171" s="12">
        <v>300231</v>
      </c>
      <c r="D171" s="21" t="s">
        <v>182</v>
      </c>
      <c r="E171" s="13" t="s">
        <v>217</v>
      </c>
      <c r="F171" s="22" t="s">
        <v>339</v>
      </c>
      <c r="G171" s="14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4">
        <v>0</v>
      </c>
      <c r="N171" s="14">
        <v>0</v>
      </c>
      <c r="O171" s="14">
        <v>0</v>
      </c>
      <c r="P171" s="14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</row>
    <row r="172" spans="3:25" ht="20.100000000000001" customHeight="1" x14ac:dyDescent="0.15">
      <c r="C172" s="12">
        <v>300232</v>
      </c>
      <c r="D172" s="21" t="s">
        <v>182</v>
      </c>
      <c r="E172" s="13" t="s">
        <v>218</v>
      </c>
      <c r="F172" s="22" t="s">
        <v>338</v>
      </c>
      <c r="G172" s="14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4">
        <v>0</v>
      </c>
      <c r="N172" s="14">
        <v>0</v>
      </c>
      <c r="O172" s="14">
        <v>0</v>
      </c>
      <c r="P172" s="14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 t="s">
        <v>224</v>
      </c>
    </row>
    <row r="173" spans="3:25" ht="20.100000000000001" customHeight="1" x14ac:dyDescent="0.15">
      <c r="C173" s="12">
        <v>300233</v>
      </c>
      <c r="D173" s="21" t="s">
        <v>182</v>
      </c>
      <c r="E173" s="13" t="s">
        <v>219</v>
      </c>
      <c r="F173" s="22" t="s">
        <v>336</v>
      </c>
      <c r="G173" s="14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4">
        <v>0</v>
      </c>
      <c r="N173" s="14">
        <v>0</v>
      </c>
      <c r="O173" s="14">
        <v>0</v>
      </c>
      <c r="P173" s="14">
        <v>0</v>
      </c>
      <c r="Q173" s="12">
        <v>0</v>
      </c>
      <c r="R173" s="12">
        <v>0</v>
      </c>
      <c r="S173" s="12">
        <v>0.02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</row>
    <row r="174" spans="3:25" ht="20.100000000000001" customHeight="1" x14ac:dyDescent="0.15">
      <c r="C174" s="12">
        <v>300311</v>
      </c>
      <c r="D174" s="21" t="s">
        <v>182</v>
      </c>
      <c r="E174" s="13" t="s">
        <v>229</v>
      </c>
      <c r="F174" s="22" t="s">
        <v>337</v>
      </c>
      <c r="G174" s="14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4">
        <v>0</v>
      </c>
      <c r="N174" s="14">
        <v>0</v>
      </c>
      <c r="O174" s="14">
        <v>0</v>
      </c>
      <c r="P174" s="14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 t="s">
        <v>233</v>
      </c>
    </row>
    <row r="175" spans="3:25" ht="20.100000000000001" customHeight="1" x14ac:dyDescent="0.15">
      <c r="C175" s="12">
        <v>300312</v>
      </c>
      <c r="D175" s="21" t="s">
        <v>182</v>
      </c>
      <c r="E175" s="13" t="s">
        <v>230</v>
      </c>
      <c r="F175" s="22" t="s">
        <v>335</v>
      </c>
      <c r="G175" s="14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4">
        <v>0</v>
      </c>
      <c r="N175" s="14">
        <v>0</v>
      </c>
      <c r="O175" s="14">
        <v>0</v>
      </c>
      <c r="P175" s="14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 t="s">
        <v>234</v>
      </c>
    </row>
    <row r="176" spans="3:25" ht="20.100000000000001" customHeight="1" x14ac:dyDescent="0.15">
      <c r="C176" s="12">
        <v>300313</v>
      </c>
      <c r="D176" s="21" t="s">
        <v>182</v>
      </c>
      <c r="E176" s="13" t="s">
        <v>219</v>
      </c>
      <c r="F176" s="22" t="s">
        <v>336</v>
      </c>
      <c r="G176" s="14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4">
        <v>0</v>
      </c>
      <c r="N176" s="14">
        <v>0</v>
      </c>
      <c r="O176" s="14">
        <v>0</v>
      </c>
      <c r="P176" s="14">
        <v>0</v>
      </c>
      <c r="Q176" s="12">
        <v>0</v>
      </c>
      <c r="R176" s="12">
        <v>0</v>
      </c>
      <c r="S176" s="12">
        <v>0.02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</row>
    <row r="177" spans="3:25" ht="20.100000000000001" customHeight="1" x14ac:dyDescent="0.15">
      <c r="C177" s="12">
        <v>300321</v>
      </c>
      <c r="D177" s="21" t="s">
        <v>182</v>
      </c>
      <c r="E177" s="13" t="s">
        <v>238</v>
      </c>
      <c r="F177" s="22" t="s">
        <v>334</v>
      </c>
      <c r="G177" s="14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4">
        <v>0</v>
      </c>
      <c r="N177" s="14">
        <v>0</v>
      </c>
      <c r="O177" s="14">
        <v>0</v>
      </c>
      <c r="P177" s="14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 t="s">
        <v>235</v>
      </c>
    </row>
    <row r="178" spans="3:25" ht="20.100000000000001" customHeight="1" x14ac:dyDescent="0.15">
      <c r="C178" s="12">
        <v>300322</v>
      </c>
      <c r="D178" s="21" t="s">
        <v>182</v>
      </c>
      <c r="E178" s="13" t="s">
        <v>231</v>
      </c>
      <c r="F178" s="22" t="s">
        <v>333</v>
      </c>
      <c r="G178" s="14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4">
        <v>0</v>
      </c>
      <c r="N178" s="14">
        <v>0</v>
      </c>
      <c r="O178" s="14">
        <v>0</v>
      </c>
      <c r="P178" s="14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 t="s">
        <v>236</v>
      </c>
    </row>
    <row r="179" spans="3:25" ht="20.100000000000001" customHeight="1" x14ac:dyDescent="0.15">
      <c r="C179" s="12">
        <v>300323</v>
      </c>
      <c r="D179" s="21" t="s">
        <v>182</v>
      </c>
      <c r="E179" s="13" t="s">
        <v>218</v>
      </c>
      <c r="F179" s="22" t="s">
        <v>301</v>
      </c>
      <c r="G179" s="14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4">
        <v>0</v>
      </c>
      <c r="N179" s="14">
        <v>0</v>
      </c>
      <c r="O179" s="14">
        <v>0</v>
      </c>
      <c r="P179" s="14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 t="s">
        <v>224</v>
      </c>
    </row>
    <row r="180" spans="3:25" ht="20.100000000000001" customHeight="1" x14ac:dyDescent="0.15">
      <c r="C180" s="12">
        <v>300331</v>
      </c>
      <c r="D180" s="21" t="s">
        <v>182</v>
      </c>
      <c r="E180" s="13" t="s">
        <v>232</v>
      </c>
      <c r="F180" s="22" t="s">
        <v>332</v>
      </c>
      <c r="G180" s="14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4">
        <v>0</v>
      </c>
      <c r="N180" s="14">
        <v>0</v>
      </c>
      <c r="O180" s="14">
        <v>0</v>
      </c>
      <c r="P180" s="14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 t="s">
        <v>239</v>
      </c>
    </row>
    <row r="181" spans="3:25" ht="20.100000000000001" customHeight="1" x14ac:dyDescent="0.15">
      <c r="C181" s="12">
        <v>300332</v>
      </c>
      <c r="D181" s="21" t="s">
        <v>182</v>
      </c>
      <c r="E181" s="13" t="s">
        <v>217</v>
      </c>
      <c r="F181" s="22" t="s">
        <v>300</v>
      </c>
      <c r="G181" s="14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4">
        <v>0</v>
      </c>
      <c r="N181" s="14">
        <v>0</v>
      </c>
      <c r="O181" s="14">
        <v>0</v>
      </c>
      <c r="P181" s="14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 t="s">
        <v>237</v>
      </c>
    </row>
    <row r="182" spans="3:25" ht="20.100000000000001" customHeight="1" x14ac:dyDescent="0.15">
      <c r="C182" s="12">
        <v>300333</v>
      </c>
      <c r="D182" s="21" t="s">
        <v>182</v>
      </c>
      <c r="E182" s="13" t="s">
        <v>218</v>
      </c>
      <c r="F182" s="22" t="s">
        <v>301</v>
      </c>
      <c r="G182" s="14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4">
        <v>0</v>
      </c>
      <c r="N182" s="14">
        <v>0</v>
      </c>
      <c r="O182" s="14">
        <v>0</v>
      </c>
      <c r="P182" s="14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 t="s">
        <v>224</v>
      </c>
    </row>
    <row r="183" spans="3:25" ht="20.100000000000001" customHeight="1" x14ac:dyDescent="0.15">
      <c r="C183" s="12">
        <v>300411</v>
      </c>
      <c r="D183" s="21" t="s">
        <v>182</v>
      </c>
      <c r="E183" s="13" t="s">
        <v>308</v>
      </c>
      <c r="F183" s="22" t="s">
        <v>330</v>
      </c>
      <c r="G183" s="14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4">
        <v>0</v>
      </c>
      <c r="N183" s="14">
        <v>0</v>
      </c>
      <c r="O183" s="14">
        <v>0</v>
      </c>
      <c r="P183" s="14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 t="s">
        <v>316</v>
      </c>
    </row>
    <row r="184" spans="3:25" ht="20.100000000000001" customHeight="1" x14ac:dyDescent="0.15">
      <c r="C184" s="12">
        <v>300412</v>
      </c>
      <c r="D184" s="21" t="s">
        <v>182</v>
      </c>
      <c r="E184" s="13" t="s">
        <v>309</v>
      </c>
      <c r="F184" s="22" t="s">
        <v>331</v>
      </c>
      <c r="G184" s="14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4">
        <v>0</v>
      </c>
      <c r="N184" s="14">
        <v>0</v>
      </c>
      <c r="O184" s="14">
        <v>0</v>
      </c>
      <c r="P184" s="14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 t="s">
        <v>317</v>
      </c>
    </row>
    <row r="185" spans="3:25" ht="20.100000000000001" customHeight="1" x14ac:dyDescent="0.15">
      <c r="C185" s="12">
        <v>300413</v>
      </c>
      <c r="D185" s="21" t="s">
        <v>182</v>
      </c>
      <c r="E185" s="13" t="s">
        <v>352</v>
      </c>
      <c r="F185" s="22" t="s">
        <v>324</v>
      </c>
      <c r="G185" s="14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4">
        <v>0</v>
      </c>
      <c r="N185" s="14">
        <v>0</v>
      </c>
      <c r="O185" s="14">
        <v>0</v>
      </c>
      <c r="P185" s="14">
        <v>0</v>
      </c>
      <c r="Q185" s="12">
        <v>0</v>
      </c>
      <c r="R185" s="12">
        <v>0.03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</row>
    <row r="186" spans="3:25" ht="20.100000000000001" customHeight="1" x14ac:dyDescent="0.15">
      <c r="C186" s="12">
        <v>300421</v>
      </c>
      <c r="D186" s="21" t="s">
        <v>182</v>
      </c>
      <c r="E186" s="13" t="s">
        <v>310</v>
      </c>
      <c r="F186" s="22" t="s">
        <v>325</v>
      </c>
      <c r="G186" s="14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4">
        <v>0</v>
      </c>
      <c r="N186" s="14">
        <v>0</v>
      </c>
      <c r="O186" s="14">
        <v>0</v>
      </c>
      <c r="P186" s="14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 t="s">
        <v>318</v>
      </c>
    </row>
    <row r="187" spans="3:25" ht="20.100000000000001" customHeight="1" x14ac:dyDescent="0.15">
      <c r="C187" s="12">
        <v>300422</v>
      </c>
      <c r="D187" s="21" t="s">
        <v>182</v>
      </c>
      <c r="E187" s="13" t="s">
        <v>311</v>
      </c>
      <c r="F187" s="22" t="s">
        <v>326</v>
      </c>
      <c r="G187" s="14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4">
        <v>0</v>
      </c>
      <c r="N187" s="14">
        <v>0</v>
      </c>
      <c r="O187" s="14">
        <v>0</v>
      </c>
      <c r="P187" s="14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 t="s">
        <v>319</v>
      </c>
    </row>
    <row r="188" spans="3:25" ht="20.100000000000001" customHeight="1" x14ac:dyDescent="0.15">
      <c r="C188" s="12">
        <v>300423</v>
      </c>
      <c r="D188" s="21" t="s">
        <v>182</v>
      </c>
      <c r="E188" s="13" t="s">
        <v>314</v>
      </c>
      <c r="F188" s="22" t="s">
        <v>327</v>
      </c>
      <c r="G188" s="14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4">
        <v>0</v>
      </c>
      <c r="N188" s="14">
        <v>0</v>
      </c>
      <c r="O188" s="14">
        <v>0</v>
      </c>
      <c r="P188" s="14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 t="s">
        <v>321</v>
      </c>
    </row>
    <row r="189" spans="3:25" ht="20.100000000000001" customHeight="1" x14ac:dyDescent="0.15">
      <c r="C189" s="12">
        <v>300431</v>
      </c>
      <c r="D189" s="21" t="s">
        <v>182</v>
      </c>
      <c r="E189" s="13" t="s">
        <v>312</v>
      </c>
      <c r="F189" s="22" t="s">
        <v>328</v>
      </c>
      <c r="G189" s="14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4">
        <v>0</v>
      </c>
      <c r="N189" s="14">
        <v>0</v>
      </c>
      <c r="O189" s="14">
        <v>0</v>
      </c>
      <c r="P189" s="14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 t="s">
        <v>320</v>
      </c>
    </row>
    <row r="190" spans="3:25" ht="20.100000000000001" customHeight="1" x14ac:dyDescent="0.15">
      <c r="C190" s="12">
        <v>300432</v>
      </c>
      <c r="D190" s="21" t="s">
        <v>182</v>
      </c>
      <c r="E190" s="13" t="s">
        <v>313</v>
      </c>
      <c r="F190" s="22" t="s">
        <v>329</v>
      </c>
      <c r="G190" s="14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4">
        <v>0</v>
      </c>
      <c r="N190" s="14">
        <v>0</v>
      </c>
      <c r="O190" s="14">
        <v>0</v>
      </c>
      <c r="P190" s="14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 t="s">
        <v>322</v>
      </c>
    </row>
    <row r="191" spans="3:25" ht="20.100000000000001" customHeight="1" x14ac:dyDescent="0.15">
      <c r="C191" s="12">
        <v>300433</v>
      </c>
      <c r="D191" s="21" t="s">
        <v>182</v>
      </c>
      <c r="E191" s="13" t="s">
        <v>314</v>
      </c>
      <c r="F191" s="22" t="s">
        <v>315</v>
      </c>
      <c r="G191" s="14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4">
        <v>0</v>
      </c>
      <c r="N191" s="14">
        <v>0</v>
      </c>
      <c r="O191" s="14">
        <v>0</v>
      </c>
      <c r="P191" s="14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 t="s">
        <v>321</v>
      </c>
    </row>
    <row r="192" spans="3:25" ht="20.100000000000001" customHeight="1" x14ac:dyDescent="0.15"/>
    <row r="193" ht="20.100000000000001" customHeight="1" x14ac:dyDescent="0.15"/>
    <row r="194" ht="20.100000000000001" customHeight="1" x14ac:dyDescent="0.15"/>
    <row r="195" ht="20.100000000000001" customHeight="1" x14ac:dyDescent="0.15"/>
    <row r="196" ht="20.100000000000001" customHeight="1" x14ac:dyDescent="0.15"/>
    <row r="197" ht="20.100000000000001" customHeight="1" x14ac:dyDescent="0.15"/>
    <row r="198" ht="20.100000000000001" customHeight="1" x14ac:dyDescent="0.15"/>
  </sheetData>
  <phoneticPr fontId="11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EquipSuitPropertyProto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2006-09-16T08:00:00Z</dcterms:created>
  <dcterms:modified xsi:type="dcterms:W3CDTF">2026-09-07T10:35:05Z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