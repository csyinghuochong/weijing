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F9955739-6BF2-4776-8549-5026CC5C13B6}" xr6:coauthVersionLast="47" xr6:coauthVersionMax="47" xr10:uidLastSave="{00000000-0000-0000-0000-000000000000}"/>
  <bookViews>
    <workbookView xWindow="-120" yWindow="-120" windowWidth="29040" windowHeight="15840" firstSheet="9" activeTab="10" xr2:uid="{00000000-000D-0000-FFFF-FFFF00000000}"/>
  </bookViews>
  <sheets>
    <sheet name="经济总表" sheetId="1" r:id="rId1"/>
    <sheet name="任务" sheetId="2" r:id="rId2"/>
    <sheet name="装备分解和强化" sheetId="3" r:id="rId3"/>
    <sheet name="掉落" sheetId="4" r:id="rId4"/>
    <sheet name="怪物掉落" sheetId="5" r:id="rId5"/>
    <sheet name="掉落配置" sheetId="6" r:id="rId6"/>
    <sheet name="Sheet1" sheetId="7" r:id="rId7"/>
    <sheet name="成就" sheetId="8" r:id="rId8"/>
    <sheet name="赛季" sheetId="36" r:id="rId9"/>
    <sheet name="血石系统" sheetId="37" r:id="rId10"/>
    <sheet name="活动掉落" sheetId="9" r:id="rId11"/>
    <sheet name="节日活动" sheetId="10" r:id="rId12"/>
    <sheet name="神秘商店" sheetId="11" r:id="rId13"/>
    <sheet name="战场" sheetId="12" r:id="rId14"/>
    <sheet name="洗练" sheetId="13" r:id="rId15"/>
    <sheet name="生活技能" sheetId="14" r:id="rId16"/>
    <sheet name="宠物装备" sheetId="38" r:id="rId17"/>
    <sheet name="签到" sheetId="15" r:id="rId18"/>
    <sheet name="场景宝箱" sheetId="16" r:id="rId19"/>
    <sheet name="副本" sheetId="17" r:id="rId20"/>
    <sheet name="十连抽掉落" sheetId="18" r:id="rId21"/>
    <sheet name="奖励系统" sheetId="19" r:id="rId22"/>
    <sheet name="箱子掉率" sheetId="20" r:id="rId23"/>
    <sheet name="令牌系统" sheetId="21" r:id="rId24"/>
    <sheet name="宠物兑换和抽取" sheetId="22" r:id="rId25"/>
    <sheet name="收集奖励" sheetId="23" r:id="rId26"/>
    <sheet name="拍卖行出售道具" sheetId="24" r:id="rId27"/>
    <sheet name="宠物战斗" sheetId="25" r:id="rId28"/>
    <sheet name="首胜奖励" sheetId="26" r:id="rId29"/>
    <sheet name="每日礼包" sheetId="27" r:id="rId30"/>
    <sheet name="装备洗练" sheetId="28" r:id="rId31"/>
    <sheet name="挑战之地" sheetId="29" r:id="rId32"/>
    <sheet name="排行" sheetId="30" r:id="rId33"/>
    <sheet name="其他" sheetId="31" r:id="rId34"/>
    <sheet name="家园" sheetId="32" r:id="rId35"/>
    <sheet name="家园属性配置" sheetId="33" r:id="rId36"/>
    <sheet name="竞技场" sheetId="34" r:id="rId37"/>
    <sheet name="家族" sheetId="35" r:id="rId38"/>
  </sheets>
  <externalReferences>
    <externalReference r:id="rId39"/>
    <externalReference r:id="rId40"/>
  </externalReferences>
  <calcPr calcId="191029"/>
</workbook>
</file>

<file path=xl/calcChain.xml><?xml version="1.0" encoding="utf-8"?>
<calcChain xmlns="http://schemas.openxmlformats.org/spreadsheetml/2006/main">
  <c r="AY419" i="14" l="1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J3" i="1"/>
  <c r="G3" i="1"/>
  <c r="H3" i="1" s="1"/>
  <c r="F3" i="1"/>
  <c r="C3" i="2" s="1"/>
  <c r="B3" i="1"/>
  <c r="O2" i="1"/>
  <c r="N2" i="1"/>
  <c r="L2" i="1"/>
  <c r="J2" i="1"/>
  <c r="G2" i="1"/>
  <c r="H2" i="1" s="1"/>
  <c r="E2" i="1" s="1"/>
  <c r="C2" i="1" s="1"/>
  <c r="B2" i="1"/>
  <c r="BA238" i="14" l="1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G175" i="32"/>
  <c r="AG177" i="32"/>
  <c r="AG180" i="32"/>
  <c r="AL180" i="32" s="1"/>
  <c r="AG151" i="32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AL154" i="32" s="1"/>
  <c r="D2" i="1"/>
  <c r="D3" i="1"/>
  <c r="D4" i="1"/>
  <c r="E3" i="1"/>
  <c r="C3" i="1" s="1"/>
  <c r="M4" i="3"/>
  <c r="L5" i="3"/>
  <c r="M5" i="3" s="1"/>
  <c r="K6" i="3"/>
  <c r="G4" i="1"/>
  <c r="H4" i="1" s="1"/>
  <c r="E4" i="1" s="1"/>
  <c r="C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K172" i="32"/>
  <c r="AL175" i="32"/>
  <c r="AK175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K154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L148" i="32"/>
  <c r="AK148" i="32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AL177" i="32"/>
  <c r="AK177" i="32"/>
  <c r="AK180" i="32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L151" i="32"/>
  <c r="AK151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BA478" i="14" l="1"/>
  <c r="BA507" i="14"/>
  <c r="BA488" i="14"/>
  <c r="BA481" i="14"/>
  <c r="AK163" i="32"/>
  <c r="AN163" i="32" s="1"/>
  <c r="AK182" i="32"/>
  <c r="AK150" i="32"/>
  <c r="AN150" i="32" s="1"/>
  <c r="AN175" i="32"/>
  <c r="AK160" i="32"/>
  <c r="AN160" i="32" s="1"/>
  <c r="AK157" i="32"/>
  <c r="AN157" i="32" s="1"/>
  <c r="AK174" i="32"/>
  <c r="AK152" i="32"/>
  <c r="AN152" i="32" s="1"/>
  <c r="AN151" i="32"/>
  <c r="AL166" i="32"/>
  <c r="AN166" i="32" s="1"/>
  <c r="AN177" i="32"/>
  <c r="AK169" i="32"/>
  <c r="AN169" i="32" s="1"/>
  <c r="AN148" i="32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N182" i="32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1" i="32" l="1"/>
  <c r="AN161" i="32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T6" i="24" l="1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C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AB66" i="32" l="1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D7" i="1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C11" i="1" s="1"/>
  <c r="F12" i="1"/>
  <c r="N11" i="1"/>
  <c r="O11" i="1" s="1"/>
  <c r="C11" i="2"/>
  <c r="J11" i="1" s="1"/>
  <c r="L11" i="1"/>
  <c r="AB72" i="32"/>
  <c r="M36" i="32"/>
  <c r="S35" i="32"/>
  <c r="D11" i="1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K106" i="32" l="1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C12" i="1" s="1"/>
  <c r="D12" i="1" s="1"/>
  <c r="F13" i="1"/>
  <c r="AB73" i="32"/>
  <c r="M71" i="32"/>
  <c r="P70" i="32"/>
  <c r="C12" i="4"/>
  <c r="B13" i="4"/>
  <c r="F12" i="4"/>
  <c r="AK74" i="32"/>
  <c r="K109" i="32"/>
  <c r="P109" i="32" s="1"/>
  <c r="K110" i="32" l="1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C17" i="1" s="1"/>
  <c r="D17" i="1" s="1"/>
  <c r="F18" i="1"/>
  <c r="E16" i="1"/>
  <c r="C16" i="1" s="1"/>
  <c r="D16" i="1" s="1"/>
  <c r="C18" i="4" l="1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C20" i="1" s="1"/>
  <c r="D20" i="1" s="1"/>
  <c r="E19" i="1"/>
  <c r="C19" i="1" s="1"/>
  <c r="D19" i="1" s="1"/>
  <c r="P79" i="32"/>
  <c r="O80" i="32"/>
  <c r="AH79" i="32"/>
  <c r="N79" i="32"/>
  <c r="AQ145" i="4" l="1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1" s="1"/>
  <c r="D21" i="1" s="1"/>
  <c r="C21" i="2"/>
  <c r="J21" i="1" s="1"/>
  <c r="P80" i="32"/>
  <c r="N80" i="32"/>
  <c r="O81" i="32"/>
  <c r="AH80" i="32"/>
  <c r="O82" i="32" l="1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C22" i="1" s="1"/>
  <c r="D22" i="1" s="1"/>
  <c r="E21" i="4"/>
  <c r="H21" i="4" s="1"/>
  <c r="C22" i="4"/>
  <c r="F22" i="4"/>
  <c r="B23" i="4"/>
  <c r="E22" i="4" l="1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C25" i="1" s="1"/>
  <c r="D25" i="1" s="1"/>
  <c r="L25" i="1"/>
  <c r="F26" i="1"/>
  <c r="N84" i="32"/>
  <c r="AH84" i="32"/>
  <c r="O85" i="32"/>
  <c r="P84" i="32"/>
  <c r="F27" i="1" l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1" s="1"/>
  <c r="D27" i="1" s="1"/>
  <c r="C27" i="2"/>
  <c r="J27" i="1" s="1"/>
  <c r="F28" i="1"/>
  <c r="G28" i="1" l="1"/>
  <c r="H28" i="1" s="1"/>
  <c r="E28" i="1" s="1"/>
  <c r="C28" i="1" s="1"/>
  <c r="D28" i="1" s="1"/>
  <c r="F29" i="1"/>
  <c r="N28" i="1"/>
  <c r="O28" i="1" s="1"/>
  <c r="C28" i="2"/>
  <c r="J28" i="1" s="1"/>
  <c r="L28" i="1"/>
  <c r="F28" i="4"/>
  <c r="B29" i="4"/>
  <c r="C28" i="4"/>
  <c r="E27" i="4"/>
  <c r="H27" i="4" s="1"/>
  <c r="E28" i="4" l="1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C32" i="1" s="1"/>
  <c r="D32" i="1" s="1"/>
  <c r="F33" i="1"/>
  <c r="E31" i="1"/>
  <c r="C31" i="1" s="1"/>
  <c r="D31" i="1" s="1"/>
  <c r="L33" i="1" l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1" s="1"/>
  <c r="D34" i="1" s="1"/>
  <c r="C34" i="2"/>
  <c r="J34" i="1" s="1"/>
  <c r="C35" i="2" l="1"/>
  <c r="J35" i="1" s="1"/>
  <c r="N35" i="1"/>
  <c r="O35" i="1" s="1"/>
  <c r="G35" i="1"/>
  <c r="H35" i="1" s="1"/>
  <c r="E35" i="1" s="1"/>
  <c r="C35" i="1" s="1"/>
  <c r="D35" i="1" s="1"/>
  <c r="F36" i="1"/>
  <c r="L35" i="1"/>
  <c r="E34" i="4"/>
  <c r="H34" i="4" s="1"/>
  <c r="F35" i="4"/>
  <c r="B36" i="4"/>
  <c r="C35" i="4"/>
  <c r="F36" i="4" l="1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1" s="1"/>
  <c r="D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E37" i="4" l="1"/>
  <c r="H37" i="4" s="1"/>
  <c r="C38" i="2"/>
  <c r="J38" i="1" s="1"/>
  <c r="F39" i="1"/>
  <c r="L38" i="1"/>
  <c r="G38" i="1"/>
  <c r="H38" i="1" s="1"/>
  <c r="E38" i="1" s="1"/>
  <c r="C38" i="1" s="1"/>
  <c r="D38" i="1" s="1"/>
  <c r="N38" i="1"/>
  <c r="O38" i="1" s="1"/>
  <c r="B39" i="4"/>
  <c r="C38" i="4"/>
  <c r="F38" i="4"/>
  <c r="E38" i="4" l="1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C44" i="1" s="1"/>
  <c r="D44" i="1" s="1"/>
  <c r="L44" i="1"/>
  <c r="E43" i="4"/>
  <c r="H43" i="4"/>
  <c r="E43" i="1"/>
  <c r="C43" i="1" s="1"/>
  <c r="D43" i="1" s="1"/>
  <c r="L45" i="1" l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s="1"/>
  <c r="D46" i="1" s="1"/>
  <c r="N47" i="1" l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C48" i="1" s="1"/>
  <c r="D48" i="1" s="1"/>
  <c r="N48" i="1"/>
  <c r="O48" i="1" s="1"/>
  <c r="F49" i="1"/>
  <c r="C47" i="1"/>
  <c r="D47" i="1" s="1"/>
  <c r="C48" i="4"/>
  <c r="B49" i="4"/>
  <c r="F48" i="4"/>
  <c r="E48" i="4" l="1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C56" i="1" s="1"/>
  <c r="D56" i="1" s="1"/>
  <c r="H55" i="4"/>
  <c r="E55" i="4"/>
  <c r="E55" i="1"/>
  <c r="C55" i="1" s="1"/>
  <c r="D55" i="1" s="1"/>
  <c r="L57" i="1" l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1" s="1"/>
  <c r="D58" i="1" s="1"/>
  <c r="C58" i="2"/>
  <c r="J58" i="1" s="1"/>
  <c r="E57" i="1"/>
  <c r="C57" i="1" s="1"/>
  <c r="D57" i="1" s="1"/>
  <c r="F58" i="4"/>
  <c r="B59" i="4"/>
  <c r="C58" i="4"/>
  <c r="F59" i="4" l="1"/>
  <c r="C59" i="4"/>
  <c r="B60" i="4"/>
  <c r="N59" i="1"/>
  <c r="O59" i="1" s="1"/>
  <c r="C59" i="2"/>
  <c r="J59" i="1" s="1"/>
  <c r="G59" i="1"/>
  <c r="H59" i="1" s="1"/>
  <c r="E59" i="1" s="1"/>
  <c r="C59" i="1" s="1"/>
  <c r="D59" i="1" s="1"/>
  <c r="F60" i="1"/>
  <c r="L59" i="1"/>
  <c r="E58" i="4"/>
  <c r="H58" i="4" s="1"/>
  <c r="L60" i="1" l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C61" i="1" s="1"/>
  <c r="D61" i="1" s="1"/>
  <c r="F62" i="1"/>
  <c r="L61" i="1"/>
  <c r="E60" i="1"/>
  <c r="C60" i="1" s="1"/>
  <c r="D60" i="1" s="1"/>
  <c r="E60" i="4"/>
  <c r="H60" i="4" s="1"/>
  <c r="F63" i="1" l="1"/>
  <c r="C62" i="2"/>
  <c r="J62" i="1" s="1"/>
  <c r="L62" i="1"/>
  <c r="N62" i="1"/>
  <c r="O62" i="1" s="1"/>
  <c r="G62" i="1"/>
  <c r="H62" i="1" s="1"/>
  <c r="E62" i="1" s="1"/>
  <c r="C62" i="1" s="1"/>
  <c r="D62" i="1" s="1"/>
  <c r="E61" i="4"/>
  <c r="H61" i="4" s="1"/>
  <c r="F62" i="4"/>
  <c r="C62" i="4"/>
  <c r="B63" i="4"/>
  <c r="E62" i="4" l="1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s="1"/>
  <c r="D63" i="1" s="1"/>
  <c r="C64" i="2" l="1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<sst xmlns="http://schemas.openxmlformats.org/spreadsheetml/2006/main" count="9112" uniqueCount="2264">
  <si>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</si>
  <si>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</si>
  <si>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</si>
  <si>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</si>
  <si>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</si>
  <si>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</si>
  <si>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</si>
  <si>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</si>
  <si>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</si>
  <si>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</si>
  <si>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</si>
  <si>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</si>
  <si>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</si>
  <si>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</si>
  <si>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</si>
  <si>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</si>
  <si>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</si>
  <si>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</si>
  <si>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</si>
  <si>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</si>
  <si>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</si>
  <si>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</si>
  <si>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</si>
  <si>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</si>
  <si>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</si>
  <si>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</si>
  <si>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</si>
  <si>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</si>
  <si>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</si>
  <si>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</si>
  <si>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</si>
  <si>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</si>
  <si>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</si>
  <si>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</si>
  <si>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</si>
  <si>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</si>
  <si>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</si>
  <si>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</si>
  <si>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</si>
  <si>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</si>
  <si>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</si>
  <si>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</si>
  <si>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</si>
  <si>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</si>
  <si>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</si>
  <si>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</si>
  <si>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</si>
  <si>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</si>
  <si>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</si>
  <si>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</si>
  <si>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</si>
  <si>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</si>
  <si>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</si>
  <si>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</si>
  <si>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</si>
  <si>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</si>
  <si>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</si>
  <si>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</si>
  <si>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</si>
  <si>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</si>
  <si>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</si>
  <si>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</si>
  <si>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</si>
  <si>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</si>
  <si>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</si>
  <si>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</si>
  <si>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</si>
  <si>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</si>
  <si>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</si>
  <si>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</si>
  <si>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</si>
  <si>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</si>
  <si>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</si>
  <si>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</si>
  <si>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</si>
  <si>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</si>
  <si>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</si>
  <si>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</si>
  <si>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</si>
  <si>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</si>
  <si>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</si>
  <si>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</si>
  <si>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</si>
  <si>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</si>
  <si>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</si>
  <si>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</si>
  <si>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</si>
  <si>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</si>
  <si>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</si>
  <si>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</si>
  <si>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</si>
  <si>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</si>
  <si>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</si>
  <si>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</si>
  <si>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</si>
  <si>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</si>
  <si>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</si>
  <si>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</si>
  <si>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</si>
  <si>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</si>
  <si>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</si>
  <si>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</si>
  <si>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</si>
  <si>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</si>
  <si>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</si>
  <si>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</si>
  <si>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</si>
  <si>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</si>
  <si>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</si>
  <si>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</si>
  <si>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</si>
  <si>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</si>
  <si>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</si>
  <si>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</si>
  <si>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</si>
  <si>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</si>
  <si>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</si>
  <si>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</si>
  <si>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</si>
  <si>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</si>
  <si>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</si>
  <si>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</si>
  <si>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</si>
  <si>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</si>
  <si>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</si>
  <si>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</si>
  <si>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</si>
  <si>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</si>
  <si>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</si>
  <si>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</si>
  <si>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</si>
  <si>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</si>
  <si>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</si>
  <si>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</si>
  <si>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</si>
  <si>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</si>
  <si>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</si>
  <si>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</si>
  <si>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</si>
  <si>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</si>
  <si>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</si>
  <si>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</si>
  <si>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</si>
  <si>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</si>
  <si>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</si>
  <si>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</si>
  <si>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</si>
  <si>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</si>
  <si>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</si>
  <si>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</si>
  <si>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</si>
  <si>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</si>
  <si>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</si>
  <si>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</si>
  <si>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</si>
  <si>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</si>
  <si>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</si>
  <si>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</si>
  <si>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</si>
  <si>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</si>
  <si>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</si>
  <si>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</si>
  <si>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</si>
  <si>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</si>
  <si>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</si>
  <si>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</si>
  <si>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</si>
  <si>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</si>
  <si>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</si>
  <si>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</si>
  <si>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</si>
  <si>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</si>
  <si>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</si>
  <si>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</si>
  <si>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</si>
  <si>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</si>
  <si>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</si>
  <si>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</si>
  <si>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</si>
  <si>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</si>
  <si>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</si>
  <si>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</si>
  <si>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</si>
  <si>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</si>
  <si>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</si>
  <si>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</si>
  <si>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</si>
  <si>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</si>
  <si>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</si>
  <si>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</si>
  <si>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</si>
  <si>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</si>
  <si>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</si>
  <si>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</si>
  <si>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</si>
  <si>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</si>
  <si>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</si>
  <si>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</si>
  <si>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</si>
  <si>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</si>
  <si>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</si>
  <si>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</si>
  <si>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</si>
  <si>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</si>
  <si>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</si>
  <si>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</si>
  <si>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</si>
  <si>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</si>
  <si>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</si>
  <si>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</si>
  <si>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</si>
  <si>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</si>
  <si>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</si>
  <si>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</si>
  <si>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</si>
  <si>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</si>
  <si>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</si>
  <si>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</si>
  <si>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</si>
  <si>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</si>
  <si>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</si>
  <si>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</si>
  <si>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</si>
  <si>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</si>
  <si>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</si>
  <si>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</si>
  <si>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</si>
  <si>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</si>
  <si>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</si>
  <si>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</si>
  <si>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</si>
  <si>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</si>
  <si>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</si>
  <si>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</si>
  <si>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</si>
  <si>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</si>
  <si>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</si>
  <si>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</si>
  <si>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</si>
  <si>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</si>
  <si>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</si>
  <si>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</si>
  <si>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</si>
  <si>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</si>
  <si>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</si>
  <si>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</si>
  <si>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</si>
  <si>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</si>
  <si>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</si>
  <si>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</si>
  <si>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</si>
  <si>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</si>
  <si>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</si>
  <si>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</si>
  <si>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</si>
  <si>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</si>
  <si>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</si>
  <si>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</si>
  <si>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</si>
  <si>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</si>
  <si>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</si>
  <si>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</si>
  <si>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</si>
  <si>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</si>
  <si>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</si>
  <si>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</si>
  <si>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</si>
  <si>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</si>
  <si>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</si>
  <si>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</si>
  <si>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</si>
  <si>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</si>
  <si>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</si>
  <si>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</si>
  <si>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</si>
  <si>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</si>
  <si>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</si>
  <si>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</si>
  <si>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</si>
  <si>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</si>
  <si>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</si>
  <si>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</si>
  <si>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</si>
  <si>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</si>
  <si>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</si>
  <si>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</si>
  <si>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</si>
  <si>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</si>
  <si>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</si>
  <si>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</si>
  <si>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</si>
  <si>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</si>
  <si>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</si>
  <si>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</si>
  <si>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</si>
  <si>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</si>
  <si>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</si>
  <si>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</si>
  <si>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</si>
  <si>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</si>
  <si>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</si>
  <si>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</si>
  <si>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</si>
  <si>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</si>
  <si>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</si>
  <si>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</si>
  <si>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</si>
  <si>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</si>
  <si>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</si>
  <si>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</si>
  <si>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</si>
  <si>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</si>
  <si>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</si>
  <si>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</si>
  <si>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</si>
  <si>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</si>
  <si>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</si>
  <si>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</si>
  <si>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</si>
  <si>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</si>
  <si>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</si>
  <si>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</si>
  <si>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</si>
  <si>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</si>
  <si>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</si>
  <si>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</si>
  <si>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</si>
  <si>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</si>
  <si>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</si>
  <si>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</si>
  <si>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</si>
  <si>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</si>
  <si>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</si>
  <si>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</si>
  <si>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</si>
  <si>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</si>
  <si>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</si>
  <si>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</si>
  <si>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</si>
  <si>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</si>
  <si>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</si>
  <si>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</si>
  <si>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</si>
  <si>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</si>
  <si>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</si>
  <si>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</si>
  <si>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</si>
  <si>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</si>
  <si>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</si>
  <si>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</si>
  <si>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</si>
  <si>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</si>
  <si>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</si>
  <si>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</si>
  <si>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</si>
  <si>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</si>
  <si>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</si>
  <si>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</si>
  <si>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</si>
  <si>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</si>
  <si>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</si>
  <si>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</si>
  <si>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</si>
  <si>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</si>
  <si>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</si>
  <si>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</si>
  <si>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</si>
  <si>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</si>
  <si>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</si>
  <si>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</si>
  <si>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</si>
  <si>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</si>
  <si>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</si>
  <si>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</si>
  <si>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</si>
  <si>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</si>
  <si>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</si>
  <si>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</si>
  <si>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</si>
  <si>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</si>
  <si>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</si>
  <si>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</si>
  <si>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</si>
  <si>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</si>
  <si>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</si>
  <si>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</si>
  <si>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</si>
  <si>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</si>
  <si>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</si>
  <si>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</si>
  <si>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</si>
  <si>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</si>
  <si>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</si>
  <si>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</si>
  <si>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</si>
  <si>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</si>
  <si>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</si>
  <si>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</si>
  <si>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</si>
  <si>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</si>
  <si>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</si>
  <si>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</si>
  <si>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</si>
  <si>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</si>
  <si>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</si>
  <si>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</si>
  <si>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</si>
  <si>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</si>
  <si>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</si>
  <si>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</si>
  <si>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</si>
  <si>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</si>
  <si>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</si>
  <si>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</si>
  <si>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</si>
  <si>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</si>
  <si>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</si>
  <si>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</si>
  <si>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</si>
  <si>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</si>
  <si>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</si>
  <si>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</si>
  <si>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</si>
  <si>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</si>
  <si>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</si>
  <si>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</si>
  <si>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</si>
  <si>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</si>
  <si>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</si>
  <si>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</si>
  <si>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</si>
  <si>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</si>
  <si>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</si>
  <si>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</si>
  <si>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</si>
  <si>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</si>
  <si>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</si>
  <si>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</si>
  <si>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</si>
  <si>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</si>
  <si>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</si>
  <si>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</si>
  <si>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</si>
  <si>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</si>
  <si>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</si>
  <si>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</si>
  <si>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</si>
  <si>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</si>
  <si>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</si>
  <si>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</si>
  <si>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</si>
  <si>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</si>
  <si>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</si>
  <si>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</si>
  <si>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</si>
  <si>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</si>
  <si>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</si>
  <si>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</si>
  <si>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</si>
  <si>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</si>
  <si>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</si>
  <si>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</si>
  <si>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</si>
  <si>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</si>
  <si>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</si>
  <si>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</si>
  <si>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</si>
  <si>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</si>
  <si>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</si>
  <si>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</si>
  <si>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</si>
  <si>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</si>
  <si>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</si>
  <si>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</si>
  <si>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</si>
  <si>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</si>
  <si>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</si>
  <si>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</si>
  <si>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</si>
  <si>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</si>
  <si>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</si>
  <si>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</si>
  <si>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</si>
  <si>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</si>
  <si>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</si>
  <si>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</si>
  <si>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</si>
  <si>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</si>
  <si>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</si>
  <si>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</si>
  <si>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</si>
  <si>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</si>
  <si>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</si>
  <si>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</si>
  <si>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</si>
  <si>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</si>
  <si>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</si>
  <si>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</si>
  <si>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</si>
  <si>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</si>
  <si>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</si>
  <si>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</si>
  <si>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</si>
  <si>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</si>
  <si>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</si>
  <si>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</si>
  <si>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</si>
  <si>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</si>
  <si>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</si>
  <si>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</si>
  <si>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</si>
  <si>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</si>
  <si>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</si>
  <si>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</si>
  <si>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</si>
  <si>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</si>
  <si>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</si>
  <si>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</si>
  <si>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</si>
  <si>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</si>
  <si>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</si>
  <si>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</si>
  <si>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</si>
  <si>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</si>
  <si>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</si>
  <si>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</si>
  <si>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</si>
  <si>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</si>
  <si>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</si>
  <si>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</si>
  <si>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</si>
  <si>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</si>
  <si>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</si>
  <si>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</si>
  <si>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</si>
  <si>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</si>
  <si>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</si>
  <si>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</si>
  <si>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</si>
  <si>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</si>
  <si>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</si>
  <si>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</si>
  <si>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</si>
  <si>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</si>
  <si>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</si>
  <si>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</si>
  <si>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</si>
  <si>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</si>
  <si>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</si>
  <si>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</si>
  <si>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</si>
  <si>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</si>
  <si>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</si>
  <si>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</si>
  <si>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</si>
  <si>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</si>
  <si>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</si>
  <si>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</si>
  <si>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</si>
  <si>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</si>
  <si>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</si>
  <si>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</si>
  <si>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</si>
  <si>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</si>
  <si>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</si>
  <si>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</si>
  <si>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</si>
  <si>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</si>
  <si>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</si>
  <si>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</si>
  <si>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</si>
  <si>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</si>
  <si>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</si>
  <si>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</si>
  <si>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</si>
  <si>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</si>
  <si>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</si>
  <si>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</si>
  <si>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</si>
  <si>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</si>
  <si>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</si>
  <si>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</si>
  <si>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</si>
  <si>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</si>
  <si>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</si>
  <si>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</si>
  <si>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</si>
  <si>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</si>
  <si>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</si>
  <si>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</si>
  <si>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</si>
  <si>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</si>
  <si>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</si>
  <si>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</si>
  <si>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</si>
  <si>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</si>
  <si>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</si>
  <si>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</si>
  <si>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</si>
  <si>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</si>
  <si>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</si>
  <si>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</si>
  <si>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</si>
  <si>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</si>
  <si>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</si>
  <si>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</si>
  <si>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</si>
  <si>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</si>
  <si>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</si>
  <si>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</si>
  <si>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</si>
  <si>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</si>
  <si>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</si>
  <si>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</si>
  <si>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</si>
  <si>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</si>
  <si>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</si>
  <si>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</si>
  <si>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</si>
  <si>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</si>
  <si>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</si>
  <si>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</si>
  <si>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</si>
  <si>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</si>
  <si>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</si>
  <si>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</si>
  <si>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</si>
  <si>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</si>
  <si>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</si>
  <si>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</si>
  <si>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</si>
  <si>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</si>
  <si>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</si>
  <si>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</si>
  <si>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</si>
  <si>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</si>
  <si>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</si>
  <si>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</si>
  <si>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</si>
  <si>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</si>
  <si>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</si>
  <si>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</si>
  <si>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</si>
  <si>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</si>
  <si>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</si>
  <si>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</si>
  <si>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</si>
  <si>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</si>
  <si>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</si>
  <si>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</si>
  <si>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</si>
  <si>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</si>
  <si>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</si>
  <si>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</si>
  <si>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</si>
  <si>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</si>
  <si>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</si>
  <si>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</si>
  <si>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</si>
  <si>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</si>
  <si>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</si>
  <si>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</si>
  <si>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</si>
  <si>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</si>
  <si>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</si>
  <si>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</si>
  <si>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</si>
  <si>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</si>
  <si>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</si>
  <si>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</si>
  <si>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</si>
  <si>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</si>
  <si>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</si>
  <si>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</si>
  <si>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</si>
  <si>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</si>
  <si>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</si>
  <si>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</si>
  <si>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</si>
  <si>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</si>
  <si>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</si>
  <si>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</si>
  <si>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</si>
  <si>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</si>
  <si>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</si>
  <si>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</si>
  <si>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</si>
  <si>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</si>
  <si>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</si>
  <si>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</si>
  <si>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</si>
  <si>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</si>
  <si>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</si>
  <si>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</si>
  <si>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</si>
  <si>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</si>
  <si>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</si>
  <si>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</si>
  <si>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</si>
  <si>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</si>
  <si>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</si>
  <si>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</si>
  <si>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</si>
  <si>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</si>
  <si>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</si>
  <si>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</si>
  <si>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</si>
  <si>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</si>
  <si>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</si>
  <si>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</si>
  <si>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</si>
  <si>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</si>
  <si>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</si>
  <si>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</si>
  <si>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</si>
  <si>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</si>
  <si>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</si>
  <si>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</si>
  <si>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</si>
  <si>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</si>
  <si>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</si>
  <si>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</si>
  <si>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</si>
  <si>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</si>
  <si>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</si>
  <si>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</si>
  <si>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</si>
  <si>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</si>
  <si>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</si>
  <si>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</si>
  <si>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</si>
  <si>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</si>
  <si>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</si>
  <si>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</si>
  <si>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</si>
  <si>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</si>
  <si>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</si>
  <si>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</si>
  <si>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</si>
  <si>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</si>
  <si>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</si>
  <si>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</si>
  <si>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</si>
  <si>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</si>
  <si>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</si>
  <si>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</si>
  <si>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</si>
  <si>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</si>
  <si>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</si>
  <si>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</si>
  <si>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</si>
  <si>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</si>
  <si>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</si>
  <si>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</si>
  <si>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</si>
  <si>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</si>
  <si>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</si>
  <si>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</si>
  <si>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</si>
  <si>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</si>
  <si>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</si>
  <si>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</si>
  <si>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</si>
  <si>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</si>
  <si>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</si>
  <si>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</si>
  <si>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</si>
  <si>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</si>
  <si>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</si>
  <si>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</si>
  <si>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</si>
  <si>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</si>
  <si>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</si>
  <si>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</si>
  <si>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</si>
  <si>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</si>
  <si>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</si>
  <si>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</si>
  <si>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</si>
  <si>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</si>
  <si>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</si>
  <si>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</si>
  <si>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</si>
  <si>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</si>
  <si>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</si>
  <si>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</si>
  <si>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</si>
  <si>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</si>
  <si>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</si>
  <si>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</si>
  <si>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</si>
  <si>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</si>
  <si>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</si>
  <si>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</si>
  <si>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</si>
  <si>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</si>
  <si>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</si>
  <si>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</si>
  <si>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</si>
  <si>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</si>
  <si>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</si>
  <si>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</si>
  <si>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</si>
  <si>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</si>
  <si>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</si>
  <si>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</si>
  <si>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</si>
  <si>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</si>
  <si>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</si>
  <si>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</si>
  <si>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</si>
  <si>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</si>
  <si>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</si>
  <si>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</si>
  <si>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</si>
  <si>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</si>
  <si>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</si>
  <si>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</si>
  <si>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</si>
  <si>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</si>
  <si>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</si>
  <si>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</si>
  <si>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</si>
  <si>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</si>
  <si>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</si>
  <si>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</si>
  <si>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</si>
  <si>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</si>
  <si>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</si>
  <si>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</si>
  <si>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</si>
  <si>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</si>
  <si>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</si>
  <si>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</si>
  <si>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</si>
  <si>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</si>
  <si>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</si>
  <si>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</si>
  <si>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</si>
  <si>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</si>
  <si>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</si>
  <si>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</si>
  <si>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</si>
  <si>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</si>
  <si>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</si>
  <si>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</si>
  <si>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</si>
  <si>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</si>
  <si>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</si>
  <si>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</si>
  <si>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</si>
  <si>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</si>
  <si>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</si>
  <si>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</si>
  <si>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</si>
  <si>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</si>
  <si>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</si>
  <si>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</si>
  <si>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</si>
  <si>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</si>
  <si>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</si>
  <si>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</si>
  <si>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</si>
  <si>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</si>
  <si>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</si>
  <si>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</si>
  <si>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</si>
  <si>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</si>
  <si>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</si>
  <si>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</si>
  <si>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</si>
  <si>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</si>
  <si>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</si>
  <si>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</si>
  <si>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</si>
  <si>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</si>
  <si>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</si>
  <si>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</si>
  <si>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</si>
  <si>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</si>
  <si>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</si>
  <si>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</si>
  <si>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</si>
  <si>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</si>
  <si>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</si>
  <si>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</si>
  <si>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</si>
  <si>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</si>
  <si>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</si>
  <si>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</si>
  <si>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</si>
  <si>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</si>
  <si>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</si>
  <si>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</si>
  <si>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</si>
  <si>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</si>
  <si>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</si>
  <si>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</si>
  <si>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</si>
  <si>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</si>
  <si>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</si>
  <si>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</si>
  <si>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</si>
  <si>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</si>
  <si>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</si>
  <si>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</si>
  <si>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</si>
  <si>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</si>
  <si>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</si>
  <si>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</si>
  <si>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</si>
  <si>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</si>
  <si>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</si>
  <si>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</si>
  <si>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</si>
  <si>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</si>
  <si>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</si>
  <si>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</si>
  <si>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</si>
  <si>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</si>
  <si>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</si>
  <si>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</si>
  <si>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</si>
  <si>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</si>
  <si>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</si>
  <si>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</si>
  <si>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</si>
  <si>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</si>
  <si>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</si>
  <si>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</si>
  <si>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</si>
  <si>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</si>
  <si>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</si>
  <si>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</si>
  <si>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</si>
  <si>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</si>
  <si>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</si>
  <si>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</si>
  <si>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</si>
  <si>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</si>
  <si>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</si>
  <si>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</si>
  <si>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</si>
  <si>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</si>
  <si>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</si>
  <si>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</si>
  <si>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</si>
  <si>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</si>
  <si>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</si>
  <si>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</si>
  <si>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</si>
  <si>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</si>
  <si>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</si>
  <si>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</si>
  <si>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</si>
  <si>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</si>
  <si>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</si>
  <si>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</si>
  <si>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</si>
  <si>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</si>
  <si>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</si>
  <si>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</si>
  <si>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</si>
  <si>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</si>
  <si>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</si>
  <si>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</si>
  <si>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</si>
  <si>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</si>
  <si>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</si>
  <si>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</si>
  <si>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</si>
  <si>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</si>
  <si>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</si>
  <si>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</si>
  <si>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</si>
  <si>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</si>
  <si>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</si>
  <si>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</si>
  <si>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</si>
  <si>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</si>
  <si>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</si>
  <si>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</si>
  <si>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</si>
  <si>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</si>
  <si>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</si>
  <si>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</si>
  <si>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</si>
  <si>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</si>
  <si>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</si>
  <si>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</si>
  <si>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</si>
  <si>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</si>
  <si>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</si>
  <si>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</si>
  <si>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</si>
  <si>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</si>
  <si>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</si>
  <si>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</si>
  <si>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</si>
  <si>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</si>
  <si>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</si>
  <si>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</si>
  <si>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</si>
  <si>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</si>
  <si>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</si>
  <si>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</si>
  <si>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</si>
  <si>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</si>
  <si>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</si>
  <si>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</si>
  <si>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</si>
  <si>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</si>
  <si>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</si>
  <si>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</si>
  <si>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</si>
  <si>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</si>
  <si>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</si>
  <si>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</si>
  <si>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</si>
  <si>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</si>
  <si>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</si>
  <si>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</si>
  <si>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</si>
  <si>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</si>
  <si>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</si>
  <si>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</si>
  <si>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</si>
  <si>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</si>
  <si>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</si>
  <si>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</si>
  <si>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</si>
  <si>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</si>
  <si>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</si>
  <si>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</si>
  <si>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</si>
  <si>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</si>
  <si>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</si>
  <si>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</si>
  <si>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</si>
  <si>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</si>
  <si>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</si>
  <si>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</si>
  <si>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</si>
  <si>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</si>
  <si>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</si>
  <si>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</si>
  <si>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</si>
  <si>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</si>
  <si>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</si>
  <si>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</si>
  <si>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</si>
  <si>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</si>
  <si>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</si>
  <si>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</si>
  <si>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</si>
  <si>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</si>
  <si>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</si>
  <si>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</si>
  <si>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</si>
  <si>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</si>
  <si>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</si>
  <si>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</si>
  <si>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</si>
  <si>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</si>
  <si>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</si>
  <si>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</si>
  <si>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</si>
  <si>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</si>
  <si>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</si>
  <si>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</si>
  <si>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</si>
  <si>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</si>
  <si>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</si>
  <si>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</si>
  <si>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</si>
  <si>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</si>
  <si>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</si>
  <si>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</si>
  <si>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</si>
  <si>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</si>
  <si>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</si>
  <si>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</si>
  <si>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</si>
  <si>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</si>
  <si>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</si>
  <si>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</si>
  <si>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</si>
  <si>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</si>
  <si>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</si>
  <si>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</si>
  <si>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</si>
  <si>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</si>
  <si>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</si>
  <si>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</si>
  <si>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</si>
  <si>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</si>
  <si>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</si>
  <si>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</si>
  <si>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</si>
  <si>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</si>
  <si>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</si>
  <si>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</si>
  <si>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</si>
  <si>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</si>
  <si>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</si>
  <si>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</si>
  <si>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</si>
  <si>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</si>
  <si>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</si>
  <si>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</si>
  <si>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</si>
  <si>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</si>
  <si>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</si>
  <si>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</si>
  <si>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</si>
  <si>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</si>
  <si>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</si>
  <si>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</si>
  <si>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</si>
  <si>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</si>
  <si>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</si>
  <si>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</si>
  <si>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</si>
  <si>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</si>
  <si>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</si>
  <si>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</si>
  <si>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</si>
  <si>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</si>
  <si>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</si>
  <si>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</si>
  <si>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</si>
  <si>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</si>
  <si>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</si>
  <si>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</si>
  <si>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</si>
  <si>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</si>
  <si>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</si>
  <si>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</si>
  <si>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</si>
  <si>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</si>
  <si>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</si>
  <si>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</si>
  <si>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</si>
  <si>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</si>
  <si>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</si>
  <si>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</si>
  <si>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</si>
  <si>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</si>
  <si>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</si>
  <si>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</si>
  <si>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</si>
  <si>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</si>
  <si>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</si>
  <si>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</si>
  <si>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</si>
  <si>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</si>
  <si>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</si>
  <si>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</si>
  <si>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</si>
  <si>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</si>
  <si>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</si>
  <si>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</si>
  <si>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</si>
  <si>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</si>
  <si>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</si>
  <si>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</si>
  <si>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</si>
  <si>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</si>
  <si>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</si>
  <si>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</si>
  <si>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</si>
  <si>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</si>
  <si>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</si>
  <si>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</si>
  <si>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</si>
  <si>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</si>
  <si>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</si>
  <si>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</si>
  <si>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</si>
  <si>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</si>
  <si>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</si>
  <si>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</si>
  <si>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</si>
  <si>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</si>
  <si>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</si>
  <si>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</si>
  <si>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</si>
  <si>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</si>
  <si>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</si>
  <si>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</si>
  <si>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</si>
  <si>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</si>
  <si>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</si>
  <si>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</si>
  <si>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</si>
  <si>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</si>
  <si>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</si>
  <si>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</si>
  <si>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</si>
  <si>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</si>
  <si>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</si>
  <si>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</si>
  <si>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</si>
  <si>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</si>
  <si>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</si>
  <si>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</si>
  <si>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</si>
  <si>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</si>
  <si>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</si>
  <si>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</si>
  <si>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</si>
  <si>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</si>
  <si>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</si>
  <si>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</si>
  <si>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</si>
  <si>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</si>
  <si>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</si>
  <si>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</si>
  <si>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</si>
  <si>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</si>
  <si>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</si>
  <si>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</si>
  <si>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</si>
  <si>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</si>
  <si>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</si>
  <si>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</si>
  <si>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</si>
  <si>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</si>
  <si>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</si>
  <si>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</si>
  <si>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</si>
  <si>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</si>
  <si>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</si>
  <si>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</si>
  <si>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</si>
  <si>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</si>
  <si>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</si>
  <si>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</si>
  <si>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</si>
  <si>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</si>
  <si>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</si>
  <si>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</si>
  <si>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</si>
  <si>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</si>
  <si>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</si>
  <si>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</si>
  <si>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</si>
  <si>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</si>
  <si>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</si>
  <si>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</si>
  <si>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</si>
  <si>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</si>
  <si>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</si>
  <si>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</si>
  <si>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</si>
  <si>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</si>
  <si>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</si>
  <si>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</si>
  <si>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</si>
  <si>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</si>
  <si>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</si>
  <si>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</si>
  <si>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</si>
  <si>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</si>
  <si>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</si>
  <si>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</si>
  <si>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</si>
  <si>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</si>
  <si>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</si>
  <si>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</si>
  <si>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</si>
  <si>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</si>
  <si>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</si>
  <si>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</si>
  <si>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</si>
  <si>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</si>
  <si>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</si>
  <si>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</si>
  <si>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</si>
  <si>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</si>
  <si>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</si>
  <si>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</si>
  <si>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</si>
  <si>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</si>
  <si>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</si>
  <si>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</si>
  <si>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</si>
  <si>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</si>
  <si>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</si>
  <si>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</si>
  <si>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</si>
  <si>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</si>
  <si>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</si>
  <si>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</si>
  <si>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</si>
  <si>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</si>
  <si>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</si>
  <si>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</si>
  <si>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</si>
  <si>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</si>
  <si>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</si>
  <si>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</si>
  <si>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</si>
  <si>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</si>
  <si>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</si>
  <si>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</si>
  <si>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</si>
  <si>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</si>
  <si>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</si>
  <si>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</si>
  <si>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</si>
  <si>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</si>
  <si>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</si>
  <si>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</si>
  <si>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</si>
  <si>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</si>
  <si>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</si>
  <si>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</si>
  <si>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</si>
  <si>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</si>
  <si>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</si>
  <si>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</si>
  <si>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</si>
  <si>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</si>
  <si>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</si>
  <si>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</si>
  <si>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</si>
  <si>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</si>
  <si>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</si>
  <si>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</si>
  <si>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</si>
  <si>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</si>
  <si>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</si>
  <si>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</si>
  <si>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</si>
  <si>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</si>
  <si>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</si>
  <si>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</si>
  <si>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</si>
  <si>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</si>
  <si>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</si>
  <si>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</si>
  <si>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</si>
  <si>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</si>
  <si>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</si>
  <si>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</si>
  <si>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</si>
  <si>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</si>
  <si>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</si>
  <si>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</si>
  <si>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</si>
  <si>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</si>
  <si>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</si>
  <si>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</si>
  <si>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</si>
  <si>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</si>
  <si>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</si>
  <si>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</si>
  <si>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</si>
  <si>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</si>
  <si>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</si>
  <si>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</si>
  <si>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</si>
  <si>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</si>
  <si>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</si>
  <si>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</si>
  <si>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</si>
  <si>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</si>
  <si>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</si>
  <si>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</si>
  <si>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</si>
  <si>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</si>
  <si>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</si>
  <si>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</si>
  <si>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</si>
  <si>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</si>
  <si>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</si>
  <si>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</si>
  <si>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</si>
  <si>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</si>
  <si>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</si>
  <si>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</si>
  <si>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</si>
  <si>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</si>
  <si>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</si>
  <si>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</si>
  <si>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</si>
  <si>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</si>
  <si>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</si>
  <si>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</si>
  <si>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</si>
  <si>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</si>
  <si>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</si>
  <si>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</si>
  <si>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</si>
  <si>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</si>
  <si>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</si>
  <si>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</si>
  <si>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</si>
  <si>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</si>
  <si>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</si>
  <si>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</si>
  <si>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</si>
  <si>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</si>
  <si>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</si>
  <si>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</si>
  <si>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</si>
  <si>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</si>
  <si>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</si>
  <si>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</si>
  <si>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</si>
  <si>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</si>
  <si>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</si>
  <si>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</si>
  <si>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</si>
  <si>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</si>
  <si>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</si>
  <si>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</si>
  <si>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</si>
  <si>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</si>
  <si>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</si>
  <si>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</si>
  <si>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</si>
  <si>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</si>
  <si>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</si>
  <si>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</si>
  <si>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</si>
  <si>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</si>
  <si>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</si>
  <si>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</si>
  <si>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</si>
  <si>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</si>
  <si>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</si>
  <si>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</si>
  <si>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</si>
  <si>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</si>
  <si>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</si>
  <si>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</si>
  <si>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</si>
  <si>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</si>
  <si>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</si>
  <si>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</si>
  <si>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</si>
  <si>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</si>
  <si>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</si>
  <si>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</si>
  <si>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</si>
  <si>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</si>
  <si>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</si>
  <si>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</si>
  <si>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</si>
  <si>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</si>
  <si>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</si>
  <si>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</si>
  <si>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</si>
  <si>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</si>
  <si>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</si>
  <si>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</si>
  <si>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</si>
  <si>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</si>
  <si>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</si>
  <si>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</si>
  <si>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</si>
  <si>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</si>
  <si>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</si>
  <si>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</si>
  <si>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</si>
  <si>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</si>
  <si>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</si>
  <si>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</si>
  <si>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</si>
  <si>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</si>
  <si>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</si>
  <si>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</si>
  <si>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</si>
  <si>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</si>
  <si>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</si>
  <si>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</si>
  <si>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</si>
  <si>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</si>
  <si>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</si>
  <si>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</si>
  <si>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</si>
  <si>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</si>
  <si>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</si>
  <si>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</si>
  <si>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</si>
  <si>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</si>
  <si>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</si>
  <si>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</si>
  <si>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</si>
  <si>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</si>
  <si>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</si>
  <si>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</si>
  <si>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</si>
  <si>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</si>
  <si>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</si>
  <si>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</si>
  <si>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</si>
  <si>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</si>
  <si>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</si>
  <si>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</si>
  <si>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</si>
  <si>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</si>
  <si>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</si>
  <si>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</si>
  <si>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</si>
  <si>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</si>
  <si>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</si>
  <si>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</si>
  <si>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</si>
  <si>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</si>
  <si>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</si>
  <si>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</si>
  <si>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</si>
  <si>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</si>
  <si>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</si>
  <si>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</si>
  <si>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</si>
  <si>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</si>
  <si>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</si>
  <si>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</si>
  <si>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</si>
  <si>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</si>
  <si>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</si>
  <si>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</si>
  <si>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</si>
  <si>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</si>
  <si>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</si>
  <si>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</si>
  <si>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</si>
  <si>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</si>
  <si>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</si>
  <si>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</si>
  <si>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</si>
  <si>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</si>
  <si>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</si>
  <si>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</si>
  <si>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</si>
  <si>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</si>
  <si>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</si>
  <si>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</si>
  <si>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</si>
  <si>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</si>
  <si>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</si>
  <si>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</si>
  <si>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</si>
  <si>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</si>
  <si>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</si>
  <si>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</si>
  <si>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</si>
  <si>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</si>
  <si>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</si>
  <si>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</si>
  <si>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</si>
  <si>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</si>
  <si>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</si>
  <si>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</si>
  <si>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</si>
  <si>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</si>
  <si>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</si>
  <si>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</si>
  <si>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</si>
  <si>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</si>
  <si>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</si>
  <si>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</si>
  <si>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</si>
  <si>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</si>
  <si>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</si>
  <si>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</si>
  <si>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</si>
  <si>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</si>
  <si>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</si>
  <si>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</si>
  <si>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</si>
  <si>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</si>
  <si>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</si>
  <si>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</si>
  <si>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</si>
  <si>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</si>
  <si>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</si>
  <si>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</si>
  <si>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</si>
  <si>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</si>
  <si>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</si>
  <si>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</si>
  <si>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</si>
  <si>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</si>
  <si>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</si>
  <si>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</si>
  <si>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</si>
  <si>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</si>
  <si>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</si>
  <si>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</si>
  <si>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</si>
  <si>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</si>
  <si>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</si>
  <si>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</si>
  <si>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</si>
  <si>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</si>
  <si>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</si>
  <si>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</si>
  <si>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</si>
  <si>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</si>
  <si>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</si>
  <si>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</si>
  <si>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</si>
  <si>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</si>
  <si>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</si>
  <si>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</si>
  <si>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</si>
  <si>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</si>
  <si>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</si>
  <si>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</si>
  <si>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</si>
  <si>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</si>
  <si>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</si>
  <si>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</si>
  <si>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</si>
  <si>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</si>
  <si>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</si>
  <si>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</si>
  <si>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</si>
  <si>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</si>
  <si>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</si>
  <si>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</si>
  <si>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</si>
  <si>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</si>
  <si>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</si>
  <si>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</si>
  <si>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</si>
  <si>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</si>
  <si>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</si>
  <si>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</si>
  <si>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</si>
  <si>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</si>
  <si>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</si>
  <si>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</si>
  <si>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</si>
  <si>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</si>
  <si>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</si>
  <si>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</si>
  <si>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</si>
  <si>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</si>
  <si>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</si>
  <si>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</si>
  <si>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</si>
  <si>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</si>
  <si>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</si>
  <si>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</si>
  <si>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</si>
  <si>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</si>
  <si>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</si>
  <si>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</si>
  <si>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</si>
  <si>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</si>
  <si>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</si>
  <si>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</si>
  <si>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</si>
  <si>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</si>
  <si>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</si>
  <si>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</si>
  <si>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</si>
  <si>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</si>
  <si>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</si>
  <si>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</si>
  <si>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</si>
  <si>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</si>
  <si>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</si>
  <si>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</si>
  <si>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</si>
  <si>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</si>
  <si>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</si>
  <si>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</si>
  <si>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</si>
  <si>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</si>
  <si>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</si>
  <si>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</si>
  <si>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</si>
  <si>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</si>
  <si>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</si>
  <si>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</si>
  <si>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</si>
  <si>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</si>
  <si>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</si>
  <si>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</si>
  <si>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</si>
  <si>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</si>
  <si>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</si>
  <si>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</si>
  <si>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</si>
  <si>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</si>
  <si>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</si>
  <si>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</si>
  <si>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</si>
  <si>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</si>
  <si>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</si>
  <si>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</si>
  <si>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</si>
  <si>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</si>
  <si>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</si>
  <si>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</si>
  <si>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</si>
  <si>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</si>
  <si>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</si>
  <si>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</si>
  <si>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</si>
  <si>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</si>
  <si>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</si>
  <si>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</si>
  <si>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</si>
  <si>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</si>
  <si>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</si>
  <si>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</si>
  <si>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</si>
  <si>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</si>
  <si>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</si>
  <si>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</si>
  <si>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</si>
  <si>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</si>
  <si>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</si>
  <si>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</si>
  <si>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</si>
  <si>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</si>
  <si>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</si>
  <si>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</si>
  <si>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</si>
  <si>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</si>
  <si>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</si>
  <si>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</si>
  <si>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</si>
  <si>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</si>
  <si>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</si>
  <si>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</si>
  <si>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</si>
  <si>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</si>
  <si>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</si>
  <si>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</si>
  <si>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</si>
  <si>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</si>
  <si>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</si>
  <si>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</si>
  <si>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</si>
  <si>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</si>
  <si>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</si>
  <si>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</si>
  <si>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</si>
  <si>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</si>
  <si>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</si>
  <si>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</si>
  <si>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</si>
  <si>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</si>
  <si>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</si>
  <si>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</si>
  <si>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</si>
  <si>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</si>
  <si>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</si>
  <si>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</si>
  <si>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</si>
  <si>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</si>
  <si>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</si>
  <si>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</si>
  <si>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</si>
  <si>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</si>
  <si>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</si>
  <si>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</si>
  <si>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</si>
  <si>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</si>
  <si>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</si>
  <si>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</si>
  <si>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</si>
  <si>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</si>
  <si>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</si>
  <si>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</si>
  <si>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</si>
  <si>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</si>
  <si>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</si>
  <si>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</si>
  <si>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</si>
  <si>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</si>
  <si>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</si>
  <si>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</si>
  <si>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</si>
  <si>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</si>
  <si>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</si>
  <si>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</si>
  <si>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</si>
  <si>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</si>
  <si>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</si>
  <si>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</si>
  <si>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</si>
  <si>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</si>
  <si>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</si>
  <si>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</si>
  <si>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</si>
  <si>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</si>
  <si>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</si>
  <si>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</si>
  <si>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</si>
  <si>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</si>
  <si>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</si>
  <si>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</si>
  <si>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</si>
  <si>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</si>
  <si>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</si>
  <si>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</si>
  <si>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</si>
  <si>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</si>
  <si>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</si>
  <si>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</si>
  <si>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</si>
  <si>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</si>
  <si>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</si>
  <si>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</si>
  <si>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</si>
  <si>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</si>
  <si>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</si>
  <si>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</si>
  <si>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</si>
  <si>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</si>
  <si>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</si>
  <si>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</si>
  <si>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</si>
  <si>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</si>
  <si>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</si>
  <si>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</si>
  <si>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</si>
  <si>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</si>
  <si>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</si>
  <si>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</si>
  <si>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</si>
  <si>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</si>
  <si>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</si>
  <si>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</si>
  <si>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</si>
  <si>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</si>
  <si>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</si>
  <si>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</si>
  <si>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</si>
  <si>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</si>
  <si>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</si>
  <si>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</si>
  <si>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</si>
  <si>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</si>
  <si>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</si>
  <si>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</si>
  <si>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</si>
  <si>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</si>
  <si>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</si>
  <si>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</si>
  <si>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</si>
  <si>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</si>
  <si>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</si>
  <si>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</si>
  <si>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</si>
  <si>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</si>
  <si>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</si>
  <si>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</si>
  <si>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</si>
  <si>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</si>
  <si>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</si>
  <si>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</si>
  <si>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</si>
  <si>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</si>
  <si>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</si>
  <si>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</si>
  <si>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</si>
  <si>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</si>
  <si>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</si>
  <si>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</si>
  <si>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</si>
  <si>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</si>
  <si>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</si>
  <si>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</si>
  <si>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</si>
  <si>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</si>
  <si>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</si>
  <si>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</si>
  <si>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</si>
  <si>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</si>
  <si>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</si>
  <si>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</si>
  <si>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</si>
  <si>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</si>
  <si>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</si>
  <si>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</si>
  <si>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</si>
  <si>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</si>
  <si>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</si>
  <si>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</si>
  <si>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</si>
  <si>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</si>
  <si>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</si>
  <si>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</si>
  <si>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</si>
  <si>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</si>
  <si>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</si>
  <si>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</si>
  <si>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</si>
  <si>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</si>
  <si>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</si>
  <si>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</si>
  <si>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</si>
  <si>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</si>
  <si>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</si>
  <si>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</si>
  <si>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</si>
  <si>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</si>
  <si>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</si>
  <si>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</si>
  <si>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</si>
  <si>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</si>
  <si>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</si>
  <si>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</si>
  <si>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</si>
  <si>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</si>
  <si>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</si>
  <si>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</si>
  <si>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</si>
  <si>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</si>
  <si>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</si>
  <si>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</si>
  <si>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</si>
  <si>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</si>
  <si>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</si>
  <si>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</si>
  <si>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</si>
  <si>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</si>
  <si>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</si>
  <si>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</si>
  <si>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</si>
  <si>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</si>
  <si>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</si>
  <si>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</si>
  <si>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</si>
  <si>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</si>
  <si>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</si>
  <si>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</si>
  <si>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</si>
  <si>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</si>
  <si>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</si>
  <si>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</si>
  <si>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</si>
  <si>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</si>
  <si>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</si>
  <si>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</si>
  <si>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</si>
  <si>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</si>
  <si>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</si>
  <si>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</si>
  <si>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</si>
  <si>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</si>
  <si>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</si>
  <si>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</si>
  <si>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</si>
  <si>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</si>
  <si>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</si>
  <si>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</si>
  <si>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</si>
  <si>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</si>
  <si>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</si>
  <si>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</si>
  <si>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</si>
  <si>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</si>
  <si>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</si>
  <si>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</si>
  <si>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</si>
  <si>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</si>
  <si>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</si>
  <si>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</si>
  <si>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</si>
  <si>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</si>
  <si>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</si>
  <si>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</si>
  <si>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</si>
  <si>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</si>
  <si>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</si>
  <si>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</si>
  <si>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</si>
  <si>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</si>
  <si>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</si>
  <si>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</si>
  <si>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</si>
  <si>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</si>
  <si>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</si>
  <si>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</si>
  <si>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</si>
  <si>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</si>
  <si>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</si>
  <si>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</si>
  <si>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</si>
  <si>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</si>
  <si>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</si>
  <si>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</si>
  <si>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</si>
  <si>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</si>
  <si>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</si>
  <si>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</si>
  <si>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</si>
  <si>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</si>
  <si>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</si>
  <si>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</si>
  <si>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</si>
  <si>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</si>
  <si>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</si>
  <si>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</si>
  <si>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</si>
  <si>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</si>
  <si>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</si>
  <si>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</si>
  <si>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</si>
  <si>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</si>
  <si>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</si>
  <si>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</si>
  <si>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</si>
  <si>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</si>
  <si>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</si>
  <si>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</si>
  <si>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</si>
  <si>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</si>
  <si>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</si>
  <si>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</si>
  <si>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</si>
  <si>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</si>
  <si>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</si>
  <si>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</si>
  <si>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</si>
  <si>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</si>
  <si>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</si>
  <si>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</si>
  <si>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</si>
  <si>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</si>
  <si>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</si>
  <si>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</si>
  <si>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</si>
  <si>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</si>
  <si>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</si>
  <si>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</si>
  <si>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</si>
  <si>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</si>
  <si>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</si>
  <si>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</si>
  <si>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</si>
  <si>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</si>
  <si>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</si>
  <si>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</si>
  <si>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</si>
  <si>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</si>
  <si>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</si>
  <si>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</si>
  <si>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</si>
  <si>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</si>
  <si>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</si>
  <si>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</si>
  <si>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</si>
  <si>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</si>
  <si>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</si>
  <si>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</si>
  <si>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</si>
  <si>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</si>
  <si>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</si>
  <si>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</si>
  <si>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</si>
  <si>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</si>
  <si>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</si>
  <si>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</si>
  <si>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</si>
  <si>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</si>
  <si>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</si>
  <si>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</si>
  <si>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</si>
  <si>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</si>
  <si>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</si>
  <si>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</si>
  <si>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</si>
  <si>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</si>
  <si>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</si>
  <si>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</si>
  <si>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</si>
  <si>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</si>
  <si>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</si>
  <si>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</si>
  <si>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</si>
  <si>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</si>
  <si>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</si>
  <si>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</si>
  <si>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</si>
  <si>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</si>
  <si>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</si>
  <si>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</si>
  <si>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</si>
  <si>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</si>
  <si>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</si>
  <si>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</si>
  <si>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</si>
  <si>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</si>
  <si>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</si>
  <si>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</si>
  <si>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</si>
  <si>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</si>
  <si>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</si>
  <si>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</si>
  <si>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</si>
  <si>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</si>
  <si>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</si>
  <si>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</si>
  <si>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</si>
  <si>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</si>
  <si>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</si>
  <si>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</si>
  <si>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</si>
  <si>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</si>
  <si>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</si>
  <si>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</si>
  <si>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</si>
  <si>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</si>
  <si>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</si>
  <si>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</si>
  <si>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</si>
  <si>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</si>
  <si>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</si>
  <si>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</si>
  <si>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</si>
  <si>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</si>
  <si>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</si>
  <si>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</si>
  <si>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</si>
  <si>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</si>
  <si>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</si>
  <si>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</si>
  <si>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</si>
  <si>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</si>
  <si>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</si>
  <si>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</si>
  <si>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</si>
  <si>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</si>
  <si>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</si>
  <si>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</si>
  <si>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</si>
  <si>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</si>
  <si>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</si>
  <si>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</si>
  <si>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</si>
  <si>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</si>
  <si>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</si>
  <si>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</si>
  <si>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</si>
  <si>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</si>
  <si>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</si>
  <si>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</si>
  <si>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</si>
  <si>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</si>
  <si>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</si>
  <si>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</si>
  <si>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</si>
  <si>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</si>
  <si>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</si>
  <si>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</si>
  <si>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</si>
  <si>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</si>
  <si>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</si>
  <si>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</si>
  <si>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</si>
  <si>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</si>
  <si>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</si>
  <si>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</si>
  <si>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</si>
  <si>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</si>
  <si>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</si>
  <si>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</si>
  <si>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</si>
  <si>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</si>
  <si>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</si>
  <si>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</si>
  <si>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</si>
  <si>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</si>
  <si>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</si>
  <si>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</si>
  <si>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</si>
  <si>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</si>
  <si>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</si>
  <si>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</si>
  <si>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</si>
  <si>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</si>
  <si>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</si>
  <si>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</si>
  <si>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</si>
  <si>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</si>
  <si>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</si>
  <si>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</si>
  <si>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</si>
  <si>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</si>
  <si>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</si>
  <si>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</si>
  <si>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</si>
  <si>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</si>
  <si>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</si>
  <si>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</si>
  <si>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</si>
  <si>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</si>
  <si>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</si>
  <si>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</si>
  <si>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</si>
  <si>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</si>
  <si>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</si>
  <si>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</si>
  <si>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</si>
  <si>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</si>
  <si>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</si>
  <si>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</si>
  <si>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</si>
  <si>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</si>
  <si>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</si>
  <si>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</si>
  <si>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</si>
  <si>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</si>
  <si>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</si>
  <si>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</si>
  <si>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</si>
  <si>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</si>
  <si>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</si>
  <si>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</si>
  <si>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</si>
  <si>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</si>
  <si>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</si>
  <si>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</si>
  <si>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</si>
  <si>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</si>
  <si>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</si>
  <si>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</si>
  <si>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</si>
  <si>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</si>
  <si>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</si>
  <si>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</si>
  <si>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</si>
  <si>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</si>
  <si>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</si>
  <si>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</si>
  <si>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</si>
  <si>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</si>
  <si>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</si>
  <si>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</si>
  <si>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</si>
  <si>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</si>
  <si>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</si>
  <si>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</si>
  <si>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</si>
  <si>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</si>
  <si>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</si>
  <si>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</si>
  <si>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</si>
  <si>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</si>
  <si>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</si>
  <si>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</si>
  <si>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</si>
  <si>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</si>
  <si>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</si>
  <si>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</si>
  <si>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</si>
  <si>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</si>
  <si>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</si>
  <si>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</si>
  <si>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</si>
  <si>
    <t>远古之核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</si>
</sst>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6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0" borderId="0" xfId="0" applyFont="1"/>
    <xf numFmtId="0" fontId="1" fillId="0" borderId="0" xfId="0" applyFont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4">
          <cell r="C264">
            <v>10014023</v>
          </cell>
          <cell r="O264">
            <v>1</v>
          </cell>
        </row>
        <row r="265">
          <cell r="C265">
            <v>10014024</v>
          </cell>
          <cell r="O265">
            <v>1</v>
          </cell>
        </row>
        <row r="266">
          <cell r="C266">
            <v>10014025</v>
          </cell>
          <cell r="O266">
            <v>1</v>
          </cell>
        </row>
        <row r="267">
          <cell r="C267">
            <v>10014026</v>
          </cell>
          <cell r="O267">
            <v>1</v>
          </cell>
        </row>
        <row r="268">
          <cell r="C268">
            <v>10014027</v>
          </cell>
          <cell r="O268">
            <v>1</v>
          </cell>
        </row>
        <row r="269">
          <cell r="C269">
            <v>10020003</v>
          </cell>
          <cell r="O269">
            <v>1</v>
          </cell>
        </row>
        <row r="270">
          <cell r="C270">
            <v>10020004</v>
          </cell>
          <cell r="O270">
            <v>1</v>
          </cell>
        </row>
        <row r="271">
          <cell r="C271">
            <v>10020006</v>
          </cell>
          <cell r="O271">
            <v>1</v>
          </cell>
        </row>
        <row r="272">
          <cell r="C272">
            <v>10020007</v>
          </cell>
          <cell r="O272">
            <v>1</v>
          </cell>
        </row>
        <row r="273">
          <cell r="C273">
            <v>10020051</v>
          </cell>
          <cell r="O273">
            <v>1</v>
          </cell>
        </row>
        <row r="274">
          <cell r="C274">
            <v>10020060</v>
          </cell>
          <cell r="O274">
            <v>1</v>
          </cell>
        </row>
        <row r="275">
          <cell r="C275">
            <v>10020001</v>
          </cell>
          <cell r="O275">
            <v>1</v>
          </cell>
        </row>
        <row r="276">
          <cell r="C276">
            <v>10021001</v>
          </cell>
          <cell r="O276">
            <v>1</v>
          </cell>
        </row>
        <row r="277">
          <cell r="C277">
            <v>10021002</v>
          </cell>
          <cell r="O277">
            <v>1</v>
          </cell>
        </row>
        <row r="278">
          <cell r="C278">
            <v>10021003</v>
          </cell>
          <cell r="O278">
            <v>1</v>
          </cell>
        </row>
        <row r="279">
          <cell r="C279">
            <v>10021004</v>
          </cell>
          <cell r="O279">
            <v>1</v>
          </cell>
        </row>
        <row r="280">
          <cell r="C280">
            <v>10021005</v>
          </cell>
          <cell r="O280">
            <v>1</v>
          </cell>
        </row>
        <row r="281">
          <cell r="C281">
            <v>10021006</v>
          </cell>
          <cell r="O281">
            <v>1</v>
          </cell>
        </row>
        <row r="282">
          <cell r="C282">
            <v>10021007</v>
          </cell>
          <cell r="O282">
            <v>1</v>
          </cell>
        </row>
        <row r="283">
          <cell r="C283">
            <v>10021008</v>
          </cell>
          <cell r="O283">
            <v>1</v>
          </cell>
        </row>
        <row r="284">
          <cell r="C284">
            <v>10021009</v>
          </cell>
          <cell r="O284">
            <v>1</v>
          </cell>
        </row>
        <row r="285">
          <cell r="C285">
            <v>10021010</v>
          </cell>
          <cell r="O285">
            <v>1</v>
          </cell>
        </row>
        <row r="286">
          <cell r="C286">
            <v>10022001</v>
          </cell>
          <cell r="O286">
            <v>1</v>
          </cell>
        </row>
        <row r="287">
          <cell r="C287">
            <v>10022002</v>
          </cell>
          <cell r="O287">
            <v>1</v>
          </cell>
        </row>
        <row r="288">
          <cell r="C288">
            <v>10022003</v>
          </cell>
          <cell r="O288">
            <v>1</v>
          </cell>
        </row>
        <row r="289">
          <cell r="C289">
            <v>10022004</v>
          </cell>
          <cell r="O289">
            <v>1</v>
          </cell>
        </row>
        <row r="290">
          <cell r="C290">
            <v>10022005</v>
          </cell>
          <cell r="O290">
            <v>1</v>
          </cell>
        </row>
        <row r="291">
          <cell r="C291">
            <v>10022006</v>
          </cell>
          <cell r="O291">
            <v>1</v>
          </cell>
        </row>
        <row r="292">
          <cell r="C292">
            <v>10022007</v>
          </cell>
          <cell r="O292">
            <v>1</v>
          </cell>
        </row>
        <row r="293">
          <cell r="C293">
            <v>10022008</v>
          </cell>
          <cell r="O293">
            <v>1</v>
          </cell>
        </row>
        <row r="294">
          <cell r="C294">
            <v>10022009</v>
          </cell>
          <cell r="O294">
            <v>1</v>
          </cell>
        </row>
        <row r="295">
          <cell r="C295">
            <v>10022010</v>
          </cell>
          <cell r="O295">
            <v>1</v>
          </cell>
        </row>
        <row r="296">
          <cell r="C296">
            <v>10023001</v>
          </cell>
          <cell r="O296">
            <v>1</v>
          </cell>
        </row>
        <row r="297">
          <cell r="C297">
            <v>10023002</v>
          </cell>
          <cell r="O297">
            <v>1</v>
          </cell>
        </row>
        <row r="298">
          <cell r="C298">
            <v>10023003</v>
          </cell>
          <cell r="O298">
            <v>1</v>
          </cell>
        </row>
        <row r="299">
          <cell r="C299">
            <v>10023004</v>
          </cell>
          <cell r="O299">
            <v>1</v>
          </cell>
        </row>
        <row r="300">
          <cell r="C300">
            <v>10023005</v>
          </cell>
          <cell r="O300">
            <v>1</v>
          </cell>
        </row>
        <row r="301">
          <cell r="C301">
            <v>10023006</v>
          </cell>
          <cell r="O301">
            <v>1</v>
          </cell>
        </row>
        <row r="302">
          <cell r="C302">
            <v>10023007</v>
          </cell>
          <cell r="O302">
            <v>1</v>
          </cell>
        </row>
        <row r="303">
          <cell r="C303">
            <v>10023008</v>
          </cell>
          <cell r="O303">
            <v>1</v>
          </cell>
        </row>
        <row r="304">
          <cell r="C304">
            <v>10023009</v>
          </cell>
          <cell r="O304">
            <v>1</v>
          </cell>
        </row>
        <row r="305">
          <cell r="C305">
            <v>10023010</v>
          </cell>
          <cell r="O305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"/>
  <sheetViews>
    <sheetView workbookViewId="0">
      <selection activeCell="H8" sqref="H8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8" max="8" width="13" customWidth="1"/>
  </cols>
  <sheetData>
    <row r="1" spans="1:18" s="84" customFormat="1" ht="24.95" customHeight="1" x14ac:dyDescent="0.2">
      <c r="A1" s="148" t="s">
        <v>0</v>
      </c>
      <c r="B1" s="148" t="s">
        <v>37</v>
      </c>
      <c r="C1" s="148" t="s">
        <v>38</v>
      </c>
    </row>
    <row r="2" spans="1:18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18" ht="20.100000000000001" customHeight="1" x14ac:dyDescent="0.2">
      <c r="A3" s="149">
        <v>2</v>
      </c>
      <c r="B3" s="150">
        <v>5</v>
      </c>
      <c r="C3" s="150">
        <f>经济总表!F3*B3</f>
        <v>65</v>
      </c>
    </row>
    <row r="4" spans="1:18" ht="20.100000000000001" customHeight="1" x14ac:dyDescent="0.2">
      <c r="A4" s="149">
        <v>3</v>
      </c>
      <c r="B4" s="150">
        <v>5</v>
      </c>
      <c r="C4" s="150">
        <f>经济总表!F4*B4</f>
        <v>80</v>
      </c>
    </row>
    <row r="5" spans="1:18" ht="20.100000000000001" customHeight="1" x14ac:dyDescent="0.2">
      <c r="A5" s="149">
        <v>4</v>
      </c>
      <c r="B5" s="150">
        <v>10</v>
      </c>
      <c r="C5" s="150">
        <f>经济总表!F5*B5</f>
        <v>190</v>
      </c>
    </row>
    <row r="6" spans="1:18" ht="20.100000000000001" customHeight="1" x14ac:dyDescent="0.2">
      <c r="A6" s="149">
        <v>5</v>
      </c>
      <c r="B6" s="150">
        <v>10</v>
      </c>
      <c r="C6" s="150">
        <f>经济总表!F6*B6</f>
        <v>220</v>
      </c>
    </row>
    <row r="7" spans="1:18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18" ht="20.100000000000001" customHeight="1" x14ac:dyDescent="0.2">
      <c r="A8" s="149">
        <v>7</v>
      </c>
      <c r="B8" s="150">
        <v>15</v>
      </c>
      <c r="C8" s="150">
        <f>经济总表!F8*B8</f>
        <v>420</v>
      </c>
    </row>
    <row r="9" spans="1:18" ht="20.100000000000001" customHeight="1" x14ac:dyDescent="0.2">
      <c r="A9" s="149">
        <v>8</v>
      </c>
      <c r="B9" s="150">
        <v>15</v>
      </c>
      <c r="C9" s="150">
        <f>经济总表!F9*B9</f>
        <v>465</v>
      </c>
    </row>
    <row r="10" spans="1:18" ht="20.100000000000001" customHeight="1" x14ac:dyDescent="0.2">
      <c r="A10" s="149">
        <v>9</v>
      </c>
      <c r="B10" s="150">
        <v>15</v>
      </c>
      <c r="C10" s="150">
        <f>经济总表!F10*B10</f>
        <v>510</v>
      </c>
    </row>
    <row r="11" spans="1:18" ht="20.100000000000001" customHeight="1" x14ac:dyDescent="0.2">
      <c r="A11" s="149">
        <v>10</v>
      </c>
      <c r="B11" s="150">
        <v>20</v>
      </c>
      <c r="C11" s="150">
        <f>经济总表!F11*B11</f>
        <v>740</v>
      </c>
    </row>
    <row r="12" spans="1:18" ht="20.100000000000001" customHeight="1" x14ac:dyDescent="0.2">
      <c r="A12" s="149">
        <v>11</v>
      </c>
      <c r="B12" s="150">
        <v>20</v>
      </c>
      <c r="C12" s="150">
        <f>经济总表!F12*B12</f>
        <v>800</v>
      </c>
    </row>
    <row r="13" spans="1:18" ht="20.100000000000001" customHeight="1" x14ac:dyDescent="0.2">
      <c r="A13" s="149">
        <v>12</v>
      </c>
      <c r="B13" s="150">
        <v>20</v>
      </c>
      <c r="C13" s="150">
        <f>经济总表!F13*B13</f>
        <v>860</v>
      </c>
    </row>
    <row r="14" spans="1:18" ht="20.100000000000001" customHeight="1" x14ac:dyDescent="0.2">
      <c r="A14" s="149">
        <v>13</v>
      </c>
      <c r="B14" s="150">
        <v>20</v>
      </c>
      <c r="C14" s="150">
        <f>经济总表!F14*B14</f>
        <v>920</v>
      </c>
    </row>
    <row r="15" spans="1:18" ht="20.100000000000001" customHeight="1" x14ac:dyDescent="0.2">
      <c r="A15" s="149">
        <v>14</v>
      </c>
      <c r="B15" s="150">
        <v>20</v>
      </c>
      <c r="C15" s="150">
        <f>经济总表!F15*B15</f>
        <v>980</v>
      </c>
    </row>
    <row r="16" spans="1:18" ht="20.100000000000001" customHeight="1" x14ac:dyDescent="0.2">
      <c r="A16" s="149">
        <v>15</v>
      </c>
      <c r="B16" s="150">
        <v>20</v>
      </c>
      <c r="C16" s="150">
        <f>经济总表!F16*B16</f>
        <v>1040</v>
      </c>
    </row>
    <row r="17" spans="1:3" ht="20.100000000000001" customHeight="1" x14ac:dyDescent="0.2">
      <c r="A17" s="149">
        <v>16</v>
      </c>
      <c r="B17" s="150">
        <v>20</v>
      </c>
      <c r="C17" s="150">
        <f>经济总表!F17*B17</f>
        <v>1100</v>
      </c>
    </row>
    <row r="18" spans="1:3" ht="20.100000000000001" customHeight="1" x14ac:dyDescent="0.2">
      <c r="A18" s="149">
        <v>17</v>
      </c>
      <c r="B18" s="150">
        <v>20</v>
      </c>
      <c r="C18" s="150">
        <f>经济总表!F18*B18</f>
        <v>1160</v>
      </c>
    </row>
    <row r="19" spans="1:3" ht="20.100000000000001" customHeight="1" x14ac:dyDescent="0.2">
      <c r="A19" s="149">
        <v>18</v>
      </c>
      <c r="B19" s="150">
        <v>20</v>
      </c>
      <c r="C19" s="150">
        <f>经济总表!F19*B19</f>
        <v>1220</v>
      </c>
    </row>
    <row r="20" spans="1:3" ht="20.100000000000001" customHeight="1" x14ac:dyDescent="0.2">
      <c r="A20" s="149">
        <v>19</v>
      </c>
      <c r="B20" s="150">
        <v>20</v>
      </c>
      <c r="C20" s="150">
        <f>经济总表!F20*B20</f>
        <v>1280</v>
      </c>
    </row>
    <row r="21" spans="1:3" ht="20.100000000000001" customHeight="1" x14ac:dyDescent="0.2">
      <c r="A21" s="149">
        <v>20</v>
      </c>
      <c r="B21" s="150">
        <v>20</v>
      </c>
      <c r="C21" s="150">
        <f>经济总表!F21*B21</f>
        <v>1340</v>
      </c>
    </row>
    <row r="22" spans="1:3" ht="20.100000000000001" customHeight="1" x14ac:dyDescent="0.2">
      <c r="A22" s="149">
        <v>21</v>
      </c>
      <c r="B22" s="150">
        <v>20</v>
      </c>
      <c r="C22" s="150">
        <f>经济总表!F22*B22</f>
        <v>1400</v>
      </c>
    </row>
    <row r="23" spans="1:3" ht="20.100000000000001" customHeight="1" x14ac:dyDescent="0.2">
      <c r="A23" s="149">
        <v>22</v>
      </c>
      <c r="B23" s="150">
        <v>20</v>
      </c>
      <c r="C23" s="150">
        <f>经济总表!F23*B23</f>
        <v>1460</v>
      </c>
    </row>
    <row r="24" spans="1:3" ht="20.100000000000001" customHeight="1" x14ac:dyDescent="0.2">
      <c r="A24" s="149">
        <v>23</v>
      </c>
      <c r="B24" s="150">
        <v>20</v>
      </c>
      <c r="C24" s="150">
        <f>经济总表!F24*B24</f>
        <v>1520</v>
      </c>
    </row>
    <row r="25" spans="1:3" ht="20.100000000000001" customHeight="1" x14ac:dyDescent="0.2">
      <c r="A25" s="149">
        <v>24</v>
      </c>
      <c r="B25" s="150">
        <v>20</v>
      </c>
      <c r="C25" s="150">
        <f>经济总表!F25*B25</f>
        <v>1580</v>
      </c>
    </row>
    <row r="26" spans="1:3" ht="20.100000000000001" customHeight="1" x14ac:dyDescent="0.2">
      <c r="A26" s="149">
        <v>25</v>
      </c>
      <c r="B26" s="150">
        <v>20</v>
      </c>
      <c r="C26" s="150">
        <f>经济总表!F26*B26</f>
        <v>1640</v>
      </c>
    </row>
    <row r="27" spans="1:3" ht="20.100000000000001" customHeight="1" x14ac:dyDescent="0.2">
      <c r="A27" s="149">
        <v>26</v>
      </c>
      <c r="B27" s="150">
        <v>20</v>
      </c>
      <c r="C27" s="150">
        <f>经济总表!F27*B27</f>
        <v>1700</v>
      </c>
    </row>
    <row r="28" spans="1:3" ht="20.100000000000001" customHeight="1" x14ac:dyDescent="0.2">
      <c r="A28" s="149">
        <v>27</v>
      </c>
      <c r="B28" s="150">
        <v>20</v>
      </c>
      <c r="C28" s="150">
        <f>经济总表!F28*B28</f>
        <v>1760</v>
      </c>
    </row>
    <row r="29" spans="1:3" ht="20.100000000000001" customHeight="1" x14ac:dyDescent="0.2">
      <c r="A29" s="149">
        <v>28</v>
      </c>
      <c r="B29" s="150">
        <v>20</v>
      </c>
      <c r="C29" s="150">
        <f>经济总表!F29*B29</f>
        <v>1820</v>
      </c>
    </row>
    <row r="30" spans="1:3" ht="20.100000000000001" customHeight="1" x14ac:dyDescent="0.2">
      <c r="A30" s="149">
        <v>29</v>
      </c>
      <c r="B30" s="150">
        <v>20</v>
      </c>
      <c r="C30" s="150">
        <f>经济总表!F30*B30</f>
        <v>1880</v>
      </c>
    </row>
    <row r="31" spans="1: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67" t="s">
        <v>90</v>
      </c>
      <c r="AW2" s="167"/>
      <c r="AX2" s="167"/>
      <c r="AY2" s="167"/>
      <c r="AZ2" s="167"/>
      <c r="BA2" s="167"/>
      <c r="BB2" s="167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abSelected="1" topLeftCell="A40" workbookViewId="0">
      <selection activeCell="R64" sqref="R64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opLeftCell="D396" workbookViewId="0">
      <selection activeCell="X400" sqref="X400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6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2234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2261</v>
      </c>
      <c r="S367" s="66">
        <f>BZ367</f>
        <v>30</v>
      </c>
      <c r="T367" s="2"/>
      <c r="U367" s="105">
        <v>15701001</v>
      </c>
      <c r="V367" s="106" t="s">
        <v>1135</v>
      </c>
      <c r="W367" s="66">
        <v>1</v>
      </c>
      <c r="X367" s="2"/>
      <c r="Y367" s="103">
        <f>CC367</f>
        <v>10010085</v>
      </c>
      <c r="Z367" s="104" t="s">
        <v>2262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2235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2261</v>
      </c>
      <c r="S368" s="66">
        <f t="shared" ref="S368:S392" si="169">BZ368</f>
        <v>30</v>
      </c>
      <c r="T368" s="2"/>
      <c r="U368" s="105">
        <v>15701002</v>
      </c>
      <c r="V368" s="106" t="s">
        <v>1136</v>
      </c>
      <c r="W368" s="66">
        <v>1</v>
      </c>
      <c r="X368" s="2"/>
      <c r="Y368" s="103">
        <f t="shared" ref="Y368:Y392" si="170">CC368</f>
        <v>10010085</v>
      </c>
      <c r="Z368" s="104" t="s">
        <v>2262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2236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2261</v>
      </c>
      <c r="S369" s="66">
        <f t="shared" si="169"/>
        <v>30</v>
      </c>
      <c r="T369" s="2"/>
      <c r="U369" s="105">
        <v>15701003</v>
      </c>
      <c r="V369" s="106" t="s">
        <v>1137</v>
      </c>
      <c r="W369" s="66">
        <v>1</v>
      </c>
      <c r="X369" s="2"/>
      <c r="Y369" s="103">
        <f t="shared" si="170"/>
        <v>10010085</v>
      </c>
      <c r="Z369" s="104" t="s">
        <v>2262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2237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2261</v>
      </c>
      <c r="S370" s="66">
        <f t="shared" si="169"/>
        <v>30</v>
      </c>
      <c r="T370" s="2"/>
      <c r="U370" s="105">
        <v>15702001</v>
      </c>
      <c r="V370" s="106" t="s">
        <v>1138</v>
      </c>
      <c r="W370" s="66">
        <v>1</v>
      </c>
      <c r="X370" s="2"/>
      <c r="Y370" s="103">
        <f t="shared" si="170"/>
        <v>10010085</v>
      </c>
      <c r="Z370" s="104" t="s">
        <v>2262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2238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2261</v>
      </c>
      <c r="S371" s="66">
        <f t="shared" si="169"/>
        <v>30</v>
      </c>
      <c r="T371" s="2"/>
      <c r="U371" s="105">
        <v>15702002</v>
      </c>
      <c r="V371" s="106" t="s">
        <v>1139</v>
      </c>
      <c r="W371" s="66">
        <v>1</v>
      </c>
      <c r="X371" s="2"/>
      <c r="Y371" s="103">
        <f t="shared" si="170"/>
        <v>10010085</v>
      </c>
      <c r="Z371" s="104" t="s">
        <v>2262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2239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2261</v>
      </c>
      <c r="S372" s="66">
        <f t="shared" si="169"/>
        <v>30</v>
      </c>
      <c r="T372" s="2"/>
      <c r="U372" s="105">
        <v>15702003</v>
      </c>
      <c r="V372" s="106" t="s">
        <v>1140</v>
      </c>
      <c r="W372" s="66">
        <v>1</v>
      </c>
      <c r="X372" s="2"/>
      <c r="Y372" s="103">
        <f t="shared" si="170"/>
        <v>10010085</v>
      </c>
      <c r="Z372" s="104" t="s">
        <v>2262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2240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2261</v>
      </c>
      <c r="S373" s="66">
        <f t="shared" si="169"/>
        <v>30</v>
      </c>
      <c r="T373" s="2"/>
      <c r="U373" s="105">
        <v>15703001</v>
      </c>
      <c r="V373" s="106" t="s">
        <v>1141</v>
      </c>
      <c r="W373" s="66">
        <v>1</v>
      </c>
      <c r="X373" s="2"/>
      <c r="Y373" s="103">
        <f t="shared" si="170"/>
        <v>10010085</v>
      </c>
      <c r="Z373" s="104" t="s">
        <v>2262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2241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2261</v>
      </c>
      <c r="S374" s="66">
        <f t="shared" si="169"/>
        <v>30</v>
      </c>
      <c r="T374" s="2"/>
      <c r="U374" s="105">
        <v>15703002</v>
      </c>
      <c r="V374" s="106" t="s">
        <v>1142</v>
      </c>
      <c r="W374" s="66">
        <v>1</v>
      </c>
      <c r="X374" s="2"/>
      <c r="Y374" s="103">
        <f t="shared" si="170"/>
        <v>10010085</v>
      </c>
      <c r="Z374" s="104" t="s">
        <v>2262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2242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2261</v>
      </c>
      <c r="S375" s="66">
        <f t="shared" si="169"/>
        <v>30</v>
      </c>
      <c r="T375" s="2"/>
      <c r="U375" s="105">
        <v>15703003</v>
      </c>
      <c r="V375" s="106" t="s">
        <v>1143</v>
      </c>
      <c r="W375" s="66">
        <v>1</v>
      </c>
      <c r="X375" s="2"/>
      <c r="Y375" s="103">
        <f t="shared" si="170"/>
        <v>10010085</v>
      </c>
      <c r="Z375" s="104" t="s">
        <v>2262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2243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2261</v>
      </c>
      <c r="S376" s="66">
        <f t="shared" si="169"/>
        <v>30</v>
      </c>
      <c r="T376" s="2"/>
      <c r="U376" s="105">
        <v>15704001</v>
      </c>
      <c r="V376" s="106" t="s">
        <v>1144</v>
      </c>
      <c r="W376" s="66">
        <v>1</v>
      </c>
      <c r="X376" s="2"/>
      <c r="Y376" s="103">
        <f t="shared" si="170"/>
        <v>10010085</v>
      </c>
      <c r="Z376" s="104" t="s">
        <v>2262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2244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2261</v>
      </c>
      <c r="S377" s="66">
        <f t="shared" si="169"/>
        <v>30</v>
      </c>
      <c r="T377" s="2"/>
      <c r="U377" s="105">
        <v>15704002</v>
      </c>
      <c r="V377" s="106" t="s">
        <v>1145</v>
      </c>
      <c r="W377" s="66">
        <v>1</v>
      </c>
      <c r="X377" s="2"/>
      <c r="Y377" s="103">
        <f t="shared" si="170"/>
        <v>10010085</v>
      </c>
      <c r="Z377" s="104" t="s">
        <v>2262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2245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2261</v>
      </c>
      <c r="S378" s="66">
        <f t="shared" si="169"/>
        <v>30</v>
      </c>
      <c r="T378" s="2"/>
      <c r="U378" s="105">
        <v>15704003</v>
      </c>
      <c r="V378" s="106" t="s">
        <v>1146</v>
      </c>
      <c r="W378" s="66">
        <v>1</v>
      </c>
      <c r="X378" s="2"/>
      <c r="Y378" s="103">
        <f t="shared" si="170"/>
        <v>10010085</v>
      </c>
      <c r="Z378" s="104" t="s">
        <v>2262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2246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2261</v>
      </c>
      <c r="S379" s="66">
        <f t="shared" si="169"/>
        <v>30</v>
      </c>
      <c r="T379" s="2"/>
      <c r="U379" s="105">
        <v>15705001</v>
      </c>
      <c r="V379" s="106" t="s">
        <v>1147</v>
      </c>
      <c r="W379" s="66">
        <v>1</v>
      </c>
      <c r="X379" s="2"/>
      <c r="Y379" s="103">
        <f t="shared" si="170"/>
        <v>10010085</v>
      </c>
      <c r="Z379" s="104" t="s">
        <v>2262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2247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2261</v>
      </c>
      <c r="S380" s="66">
        <f t="shared" si="169"/>
        <v>30</v>
      </c>
      <c r="T380" s="2"/>
      <c r="U380" s="105">
        <v>15705002</v>
      </c>
      <c r="V380" s="106" t="s">
        <v>1148</v>
      </c>
      <c r="W380" s="66">
        <v>1</v>
      </c>
      <c r="X380" s="2"/>
      <c r="Y380" s="103">
        <f t="shared" si="170"/>
        <v>10010085</v>
      </c>
      <c r="Z380" s="104" t="s">
        <v>2262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2248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2261</v>
      </c>
      <c r="S381" s="66">
        <f t="shared" si="169"/>
        <v>30</v>
      </c>
      <c r="T381" s="2"/>
      <c r="U381" s="105">
        <v>15705003</v>
      </c>
      <c r="V381" s="106" t="s">
        <v>1149</v>
      </c>
      <c r="W381" s="66">
        <v>1</v>
      </c>
      <c r="X381" s="2"/>
      <c r="Y381" s="103">
        <f t="shared" si="170"/>
        <v>10010085</v>
      </c>
      <c r="Z381" s="104" t="s">
        <v>2262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2249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2261</v>
      </c>
      <c r="S382" s="66">
        <f t="shared" si="169"/>
        <v>40</v>
      </c>
      <c r="T382" s="2"/>
      <c r="U382" s="105">
        <v>15706001</v>
      </c>
      <c r="V382" s="106" t="s">
        <v>1150</v>
      </c>
      <c r="W382" s="66">
        <v>1</v>
      </c>
      <c r="X382" s="2"/>
      <c r="Y382" s="103">
        <f t="shared" si="170"/>
        <v>10010085</v>
      </c>
      <c r="Z382" s="104" t="s">
        <v>2262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2250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2261</v>
      </c>
      <c r="S383" s="66">
        <f t="shared" si="169"/>
        <v>40</v>
      </c>
      <c r="T383" s="2"/>
      <c r="U383" s="105">
        <v>15707001</v>
      </c>
      <c r="V383" s="106" t="s">
        <v>1151</v>
      </c>
      <c r="W383" s="66">
        <v>1</v>
      </c>
      <c r="X383" s="2"/>
      <c r="Y383" s="103">
        <f t="shared" si="170"/>
        <v>10010085</v>
      </c>
      <c r="Z383" s="104" t="s">
        <v>2262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2251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2261</v>
      </c>
      <c r="S384" s="66">
        <f t="shared" si="169"/>
        <v>40</v>
      </c>
      <c r="T384" s="2"/>
      <c r="U384" s="105">
        <v>15708001</v>
      </c>
      <c r="V384" s="106" t="s">
        <v>1152</v>
      </c>
      <c r="W384" s="66">
        <v>1</v>
      </c>
      <c r="X384" s="2"/>
      <c r="Y384" s="103">
        <f t="shared" si="170"/>
        <v>10010085</v>
      </c>
      <c r="Z384" s="104" t="s">
        <v>2262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2252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2261</v>
      </c>
      <c r="S385" s="66">
        <f t="shared" si="169"/>
        <v>40</v>
      </c>
      <c r="T385" s="2"/>
      <c r="U385" s="105">
        <v>15709001</v>
      </c>
      <c r="V385" s="106" t="s">
        <v>1153</v>
      </c>
      <c r="W385" s="66">
        <v>1</v>
      </c>
      <c r="X385" s="2"/>
      <c r="Y385" s="103">
        <f t="shared" si="170"/>
        <v>10010085</v>
      </c>
      <c r="Z385" s="104" t="s">
        <v>2262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2253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2261</v>
      </c>
      <c r="S386" s="66">
        <f t="shared" si="169"/>
        <v>80</v>
      </c>
      <c r="T386" s="2"/>
      <c r="U386" s="105">
        <v>15710001</v>
      </c>
      <c r="V386" s="106" t="s">
        <v>1154</v>
      </c>
      <c r="W386" s="66">
        <v>1</v>
      </c>
      <c r="X386" s="2"/>
      <c r="Y386" s="103">
        <f t="shared" si="170"/>
        <v>10010085</v>
      </c>
      <c r="Z386" s="104" t="s">
        <v>2262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2254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2261</v>
      </c>
      <c r="S387" s="66">
        <f t="shared" si="169"/>
        <v>80</v>
      </c>
      <c r="T387" s="2"/>
      <c r="U387" s="105">
        <v>15710002</v>
      </c>
      <c r="V387" s="106" t="s">
        <v>1155</v>
      </c>
      <c r="W387" s="66">
        <v>1</v>
      </c>
      <c r="X387" s="2"/>
      <c r="Y387" s="103">
        <f t="shared" si="170"/>
        <v>10010085</v>
      </c>
      <c r="Z387" s="104" t="s">
        <v>2262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2255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2261</v>
      </c>
      <c r="S388" s="66">
        <f t="shared" si="169"/>
        <v>80</v>
      </c>
      <c r="T388" s="2"/>
      <c r="U388" s="105">
        <v>15710101</v>
      </c>
      <c r="V388" s="106" t="s">
        <v>1156</v>
      </c>
      <c r="W388" s="66">
        <v>1</v>
      </c>
      <c r="X388" s="2"/>
      <c r="Y388" s="103">
        <f t="shared" si="170"/>
        <v>10010085</v>
      </c>
      <c r="Z388" s="104" t="s">
        <v>2262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2256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2261</v>
      </c>
      <c r="S389" s="66">
        <f t="shared" si="169"/>
        <v>80</v>
      </c>
      <c r="T389" s="2"/>
      <c r="U389" s="105">
        <v>15710102</v>
      </c>
      <c r="V389" s="106" t="s">
        <v>1157</v>
      </c>
      <c r="W389" s="66">
        <v>1</v>
      </c>
      <c r="X389" s="2"/>
      <c r="Y389" s="103">
        <f t="shared" si="170"/>
        <v>10010085</v>
      </c>
      <c r="Z389" s="104" t="s">
        <v>2262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2257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2261</v>
      </c>
      <c r="S390" s="66">
        <f t="shared" si="169"/>
        <v>60</v>
      </c>
      <c r="T390" s="2"/>
      <c r="U390" s="105">
        <v>15711001</v>
      </c>
      <c r="V390" s="106" t="s">
        <v>1158</v>
      </c>
      <c r="W390" s="66">
        <v>1</v>
      </c>
      <c r="X390" s="2"/>
      <c r="Y390" s="103">
        <f t="shared" si="170"/>
        <v>10010085</v>
      </c>
      <c r="Z390" s="104" t="s">
        <v>2262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2258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2261</v>
      </c>
      <c r="S391" s="66">
        <f t="shared" si="169"/>
        <v>60</v>
      </c>
      <c r="T391" s="2"/>
      <c r="U391" s="105">
        <v>15711002</v>
      </c>
      <c r="V391" s="106" t="s">
        <v>1159</v>
      </c>
      <c r="W391" s="66">
        <v>1</v>
      </c>
      <c r="X391" s="2"/>
      <c r="Y391" s="103">
        <f t="shared" si="170"/>
        <v>10010085</v>
      </c>
      <c r="Z391" s="104" t="s">
        <v>2262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2259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2261</v>
      </c>
      <c r="S392" s="66">
        <f t="shared" si="169"/>
        <v>60</v>
      </c>
      <c r="T392" s="2"/>
      <c r="U392" s="105">
        <v>15711003</v>
      </c>
      <c r="V392" s="106" t="s">
        <v>1160</v>
      </c>
      <c r="W392" s="66">
        <v>1</v>
      </c>
      <c r="X392" s="2"/>
      <c r="Y392" s="103">
        <f t="shared" si="170"/>
        <v>10010085</v>
      </c>
      <c r="Z392" s="104" t="s">
        <v>2262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6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2208</v>
      </c>
      <c r="M395" s="2">
        <v>10000165</v>
      </c>
      <c r="N395" s="2" t="s">
        <v>2260</v>
      </c>
      <c r="O395" s="66">
        <v>30</v>
      </c>
      <c r="P395" s="2"/>
      <c r="Q395" s="3">
        <v>10000182</v>
      </c>
      <c r="R395" s="5" t="s">
        <v>2263</v>
      </c>
      <c r="S395" s="66">
        <v>30</v>
      </c>
      <c r="T395" s="2"/>
      <c r="U395" s="105">
        <v>15801001</v>
      </c>
      <c r="V395" s="106" t="s">
        <v>1135</v>
      </c>
      <c r="W395" s="66">
        <v>1</v>
      </c>
      <c r="X395" s="2"/>
      <c r="Y395" s="103">
        <v>10010085</v>
      </c>
      <c r="Z395" s="104" t="s">
        <v>833</v>
      </c>
      <c r="AA395" s="66">
        <v>10000</v>
      </c>
      <c r="AB395" s="66"/>
      <c r="AC395" s="103">
        <v>10000152</v>
      </c>
      <c r="AD395" s="104" t="s">
        <v>143</v>
      </c>
      <c r="AE395" s="2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10000165;30</v>
      </c>
      <c r="AM395" t="str">
        <f t="shared" ref="AM395:AM420" si="178">Q395&amp;";"&amp;S395</f>
        <v>10000182;30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10000165;30@10000182;30@15801001;1@10010085;10000@10000152;50@10000143;50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2209</v>
      </c>
      <c r="M396" s="2">
        <v>10000165</v>
      </c>
      <c r="N396" s="2" t="s">
        <v>2260</v>
      </c>
      <c r="O396" s="66">
        <v>30</v>
      </c>
      <c r="P396" s="2"/>
      <c r="Q396" s="3">
        <v>10000182</v>
      </c>
      <c r="R396" s="5" t="s">
        <v>2263</v>
      </c>
      <c r="S396" s="66">
        <v>30</v>
      </c>
      <c r="T396" s="2"/>
      <c r="U396" s="105">
        <v>15801002</v>
      </c>
      <c r="V396" s="106" t="s">
        <v>1136</v>
      </c>
      <c r="W396" s="66">
        <v>1</v>
      </c>
      <c r="X396" s="2"/>
      <c r="Y396" s="103">
        <v>10010085</v>
      </c>
      <c r="Z396" s="104" t="s">
        <v>833</v>
      </c>
      <c r="AA396" s="66">
        <v>10000</v>
      </c>
      <c r="AB396" s="66"/>
      <c r="AC396" s="103">
        <v>10000152</v>
      </c>
      <c r="AD396" s="104" t="s">
        <v>143</v>
      </c>
      <c r="AE396" s="2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10000165;30</v>
      </c>
      <c r="AM396" t="str">
        <f t="shared" si="178"/>
        <v>10000182;30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10000165;30@10000182;30@15801002;1@10010085;10000@10000152;50@10000143;50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2210</v>
      </c>
      <c r="M397" s="2">
        <v>10000165</v>
      </c>
      <c r="N397" s="2" t="s">
        <v>2260</v>
      </c>
      <c r="O397" s="66">
        <v>30</v>
      </c>
      <c r="P397" s="2"/>
      <c r="Q397" s="3">
        <v>10000182</v>
      </c>
      <c r="R397" s="5" t="s">
        <v>2263</v>
      </c>
      <c r="S397" s="66">
        <v>30</v>
      </c>
      <c r="T397" s="2"/>
      <c r="U397" s="105">
        <v>15801003</v>
      </c>
      <c r="V397" s="106" t="s">
        <v>1137</v>
      </c>
      <c r="W397" s="66">
        <v>1</v>
      </c>
      <c r="X397" s="2"/>
      <c r="Y397" s="103">
        <v>10010085</v>
      </c>
      <c r="Z397" s="104" t="s">
        <v>833</v>
      </c>
      <c r="AA397" s="66">
        <v>10000</v>
      </c>
      <c r="AB397" s="66"/>
      <c r="AC397" s="103">
        <v>10000152</v>
      </c>
      <c r="AD397" s="104" t="s">
        <v>143</v>
      </c>
      <c r="AE397" s="2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10000165;30</v>
      </c>
      <c r="AM397" t="str">
        <f t="shared" si="178"/>
        <v>10000182;30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10000165;30@10000182;30@15801003;1@10010085;10000@10000152;50@10000143;50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2211</v>
      </c>
      <c r="M398" s="2">
        <v>10000165</v>
      </c>
      <c r="N398" s="2" t="s">
        <v>2260</v>
      </c>
      <c r="O398" s="66">
        <v>30</v>
      </c>
      <c r="P398" s="2"/>
      <c r="Q398" s="3">
        <v>10000182</v>
      </c>
      <c r="R398" s="5" t="s">
        <v>2263</v>
      </c>
      <c r="S398" s="66">
        <v>30</v>
      </c>
      <c r="T398" s="2"/>
      <c r="U398" s="105">
        <v>15802001</v>
      </c>
      <c r="V398" s="106" t="s">
        <v>1138</v>
      </c>
      <c r="W398" s="66">
        <v>1</v>
      </c>
      <c r="X398" s="2"/>
      <c r="Y398" s="103">
        <v>10010085</v>
      </c>
      <c r="Z398" s="104" t="s">
        <v>833</v>
      </c>
      <c r="AA398" s="66">
        <v>10000</v>
      </c>
      <c r="AB398" s="66"/>
      <c r="AC398" s="103">
        <v>10000152</v>
      </c>
      <c r="AD398" s="104" t="s">
        <v>143</v>
      </c>
      <c r="AE398" s="2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10000165;30</v>
      </c>
      <c r="AM398" t="str">
        <f t="shared" si="178"/>
        <v>10000182;30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10000165;30@10000182;30@15802001;1@10010085;10000@10000152;50@10000143;50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2212</v>
      </c>
      <c r="M399" s="2">
        <v>10000165</v>
      </c>
      <c r="N399" s="2" t="s">
        <v>2260</v>
      </c>
      <c r="O399" s="66">
        <v>30</v>
      </c>
      <c r="P399" s="2"/>
      <c r="Q399" s="3">
        <v>10000182</v>
      </c>
      <c r="R399" s="5" t="s">
        <v>2263</v>
      </c>
      <c r="S399" s="66">
        <v>30</v>
      </c>
      <c r="T399" s="2"/>
      <c r="U399" s="105">
        <v>15802002</v>
      </c>
      <c r="V399" s="106" t="s">
        <v>1139</v>
      </c>
      <c r="W399" s="66">
        <v>1</v>
      </c>
      <c r="X399" s="2"/>
      <c r="Y399" s="103">
        <v>10010085</v>
      </c>
      <c r="Z399" s="104" t="s">
        <v>833</v>
      </c>
      <c r="AA399" s="66">
        <v>10000</v>
      </c>
      <c r="AB399" s="66"/>
      <c r="AC399" s="103">
        <v>10000152</v>
      </c>
      <c r="AD399" s="104" t="s">
        <v>143</v>
      </c>
      <c r="AE399" s="2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10000165;30</v>
      </c>
      <c r="AM399" t="str">
        <f t="shared" si="178"/>
        <v>10000182;30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10000165;30@10000182;30@15802002;1@10010085;10000@10000152;50@10000143;50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2213</v>
      </c>
      <c r="M400" s="2">
        <v>10000165</v>
      </c>
      <c r="N400" s="2" t="s">
        <v>2260</v>
      </c>
      <c r="O400" s="66">
        <v>30</v>
      </c>
      <c r="P400" s="2"/>
      <c r="Q400" s="3">
        <v>10000182</v>
      </c>
      <c r="R400" s="5" t="s">
        <v>2263</v>
      </c>
      <c r="S400" s="66">
        <v>30</v>
      </c>
      <c r="T400" s="2"/>
      <c r="U400" s="105">
        <v>15802003</v>
      </c>
      <c r="V400" s="106" t="s">
        <v>1140</v>
      </c>
      <c r="W400" s="66">
        <v>1</v>
      </c>
      <c r="X400" s="2"/>
      <c r="Y400" s="103">
        <v>10010085</v>
      </c>
      <c r="Z400" s="104" t="s">
        <v>833</v>
      </c>
      <c r="AA400" s="66">
        <v>10000</v>
      </c>
      <c r="AB400" s="66"/>
      <c r="AC400" s="103">
        <v>10000152</v>
      </c>
      <c r="AD400" s="104" t="s">
        <v>143</v>
      </c>
      <c r="AE400" s="2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10000165;30</v>
      </c>
      <c r="AM400" t="str">
        <f t="shared" si="178"/>
        <v>10000182;30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10000165;30@10000182;30@15802003;1@10010085;10000@10000152;50@10000143;50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2214</v>
      </c>
      <c r="M401" s="2">
        <v>10000165</v>
      </c>
      <c r="N401" s="2" t="s">
        <v>2260</v>
      </c>
      <c r="O401" s="66">
        <v>30</v>
      </c>
      <c r="P401" s="2"/>
      <c r="Q401" s="3">
        <v>10000182</v>
      </c>
      <c r="R401" s="5" t="s">
        <v>2263</v>
      </c>
      <c r="S401" s="66">
        <v>30</v>
      </c>
      <c r="T401" s="2"/>
      <c r="U401" s="105">
        <v>15803001</v>
      </c>
      <c r="V401" s="106" t="s">
        <v>1141</v>
      </c>
      <c r="W401" s="66">
        <v>1</v>
      </c>
      <c r="X401" s="2"/>
      <c r="Y401" s="103">
        <v>10010085</v>
      </c>
      <c r="Z401" s="104" t="s">
        <v>833</v>
      </c>
      <c r="AA401" s="66">
        <v>10000</v>
      </c>
      <c r="AB401" s="66"/>
      <c r="AC401" s="103">
        <v>10000152</v>
      </c>
      <c r="AD401" s="104" t="s">
        <v>143</v>
      </c>
      <c r="AE401" s="2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10000165;30</v>
      </c>
      <c r="AM401" t="str">
        <f t="shared" si="178"/>
        <v>10000182;30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10000165;30@10000182;30@15803001;1@10010085;10000@10000152;50@10000143;50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2215</v>
      </c>
      <c r="M402" s="2">
        <v>10000165</v>
      </c>
      <c r="N402" s="2" t="s">
        <v>2260</v>
      </c>
      <c r="O402" s="66">
        <v>30</v>
      </c>
      <c r="P402" s="2"/>
      <c r="Q402" s="3">
        <v>10000182</v>
      </c>
      <c r="R402" s="5" t="s">
        <v>2263</v>
      </c>
      <c r="S402" s="66">
        <v>30</v>
      </c>
      <c r="T402" s="2"/>
      <c r="U402" s="105">
        <v>15803002</v>
      </c>
      <c r="V402" s="106" t="s">
        <v>1142</v>
      </c>
      <c r="W402" s="66">
        <v>1</v>
      </c>
      <c r="X402" s="2"/>
      <c r="Y402" s="103">
        <v>10010085</v>
      </c>
      <c r="Z402" s="104" t="s">
        <v>833</v>
      </c>
      <c r="AA402" s="66">
        <v>10000</v>
      </c>
      <c r="AB402" s="66"/>
      <c r="AC402" s="103">
        <v>10000152</v>
      </c>
      <c r="AD402" s="104" t="s">
        <v>143</v>
      </c>
      <c r="AE402" s="2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10000165;30</v>
      </c>
      <c r="AM402" t="str">
        <f t="shared" si="178"/>
        <v>10000182;30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10000165;30@10000182;30@15803002;1@10010085;10000@10000152;50@10000143;50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2216</v>
      </c>
      <c r="M403" s="2">
        <v>10000165</v>
      </c>
      <c r="N403" s="2" t="s">
        <v>2260</v>
      </c>
      <c r="O403" s="66">
        <v>30</v>
      </c>
      <c r="P403" s="2"/>
      <c r="Q403" s="3">
        <v>10000182</v>
      </c>
      <c r="R403" s="5" t="s">
        <v>2263</v>
      </c>
      <c r="S403" s="66">
        <v>30</v>
      </c>
      <c r="T403" s="2"/>
      <c r="U403" s="105">
        <v>15803003</v>
      </c>
      <c r="V403" s="106" t="s">
        <v>1143</v>
      </c>
      <c r="W403" s="66">
        <v>1</v>
      </c>
      <c r="X403" s="2"/>
      <c r="Y403" s="103">
        <v>10010085</v>
      </c>
      <c r="Z403" s="104" t="s">
        <v>833</v>
      </c>
      <c r="AA403" s="66">
        <v>10000</v>
      </c>
      <c r="AB403" s="66"/>
      <c r="AC403" s="103">
        <v>10000152</v>
      </c>
      <c r="AD403" s="104" t="s">
        <v>143</v>
      </c>
      <c r="AE403" s="2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10000165;30</v>
      </c>
      <c r="AM403" t="str">
        <f t="shared" si="178"/>
        <v>10000182;30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10000165;30@10000182;30@15803003;1@10010085;10000@10000152;50@10000143;50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2217</v>
      </c>
      <c r="M404" s="2">
        <v>10000165</v>
      </c>
      <c r="N404" s="2" t="s">
        <v>2260</v>
      </c>
      <c r="O404" s="66">
        <v>30</v>
      </c>
      <c r="P404" s="2"/>
      <c r="Q404" s="3">
        <v>10000182</v>
      </c>
      <c r="R404" s="5" t="s">
        <v>2263</v>
      </c>
      <c r="S404" s="66">
        <v>30</v>
      </c>
      <c r="T404" s="2"/>
      <c r="U404" s="105">
        <v>15804001</v>
      </c>
      <c r="V404" s="106" t="s">
        <v>1144</v>
      </c>
      <c r="W404" s="66">
        <v>1</v>
      </c>
      <c r="X404" s="2"/>
      <c r="Y404" s="103">
        <v>10010085</v>
      </c>
      <c r="Z404" s="104" t="s">
        <v>833</v>
      </c>
      <c r="AA404" s="66">
        <v>10000</v>
      </c>
      <c r="AB404" s="66"/>
      <c r="AC404" s="103">
        <v>10000152</v>
      </c>
      <c r="AD404" s="104" t="s">
        <v>143</v>
      </c>
      <c r="AE404" s="2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10000165;30</v>
      </c>
      <c r="AM404" t="str">
        <f t="shared" si="178"/>
        <v>10000182;30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10000165;30@10000182;30@15804001;1@10010085;10000@10000152;50@10000143;50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2218</v>
      </c>
      <c r="M405" s="2">
        <v>10000165</v>
      </c>
      <c r="N405" s="2" t="s">
        <v>2260</v>
      </c>
      <c r="O405" s="66">
        <v>30</v>
      </c>
      <c r="P405" s="2"/>
      <c r="Q405" s="3">
        <v>10000182</v>
      </c>
      <c r="R405" s="5" t="s">
        <v>2263</v>
      </c>
      <c r="S405" s="66">
        <v>30</v>
      </c>
      <c r="T405" s="2"/>
      <c r="U405" s="105">
        <v>15804002</v>
      </c>
      <c r="V405" s="106" t="s">
        <v>1145</v>
      </c>
      <c r="W405" s="66">
        <v>1</v>
      </c>
      <c r="X405" s="2"/>
      <c r="Y405" s="103">
        <v>10010085</v>
      </c>
      <c r="Z405" s="104" t="s">
        <v>833</v>
      </c>
      <c r="AA405" s="66">
        <v>10000</v>
      </c>
      <c r="AB405" s="66"/>
      <c r="AC405" s="103">
        <v>10000152</v>
      </c>
      <c r="AD405" s="104" t="s">
        <v>143</v>
      </c>
      <c r="AE405" s="2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10000165;30</v>
      </c>
      <c r="AM405" t="str">
        <f t="shared" si="178"/>
        <v>10000182;30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10000165;30@10000182;30@15804002;1@10010085;10000@10000152;50@10000143;50</v>
      </c>
    </row>
    <row r="406" spans="7:53" ht="20.100000000000001" customHeight="1" x14ac:dyDescent="0.2">
      <c r="J406" s="100"/>
      <c r="K406" s="6" t="s">
        <v>2219</v>
      </c>
      <c r="M406" s="2">
        <v>10000165</v>
      </c>
      <c r="N406" s="2" t="s">
        <v>2260</v>
      </c>
      <c r="O406" s="66">
        <v>30</v>
      </c>
      <c r="P406" s="2"/>
      <c r="Q406" s="3">
        <v>10000182</v>
      </c>
      <c r="R406" s="5" t="s">
        <v>2263</v>
      </c>
      <c r="S406" s="66">
        <v>30</v>
      </c>
      <c r="T406" s="2"/>
      <c r="U406" s="105">
        <v>15804003</v>
      </c>
      <c r="V406" s="106" t="s">
        <v>1146</v>
      </c>
      <c r="W406" s="66">
        <v>1</v>
      </c>
      <c r="X406" s="2"/>
      <c r="Y406" s="103">
        <v>10010085</v>
      </c>
      <c r="Z406" s="104" t="s">
        <v>833</v>
      </c>
      <c r="AA406" s="66">
        <v>10000</v>
      </c>
      <c r="AB406" s="66"/>
      <c r="AC406" s="103">
        <v>10000152</v>
      </c>
      <c r="AD406" s="104" t="s">
        <v>143</v>
      </c>
      <c r="AE406" s="2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10000165;30</v>
      </c>
      <c r="AM406" t="str">
        <f t="shared" si="178"/>
        <v>10000182;30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10000165;30@10000182;30@15804003;1@10010085;10000@10000152;50@10000143;50</v>
      </c>
    </row>
    <row r="407" spans="7:53" ht="20.100000000000001" customHeight="1" x14ac:dyDescent="0.2">
      <c r="J407" s="100"/>
      <c r="K407" s="6" t="s">
        <v>2220</v>
      </c>
      <c r="M407" s="2">
        <v>10000165</v>
      </c>
      <c r="N407" s="2" t="s">
        <v>2260</v>
      </c>
      <c r="O407" s="66">
        <v>30</v>
      </c>
      <c r="P407" s="2"/>
      <c r="Q407" s="3">
        <v>10000182</v>
      </c>
      <c r="R407" s="5" t="s">
        <v>2263</v>
      </c>
      <c r="S407" s="66">
        <v>30</v>
      </c>
      <c r="T407" s="2"/>
      <c r="U407" s="105">
        <v>15805001</v>
      </c>
      <c r="V407" s="106" t="s">
        <v>1147</v>
      </c>
      <c r="W407" s="66">
        <v>1</v>
      </c>
      <c r="X407" s="2"/>
      <c r="Y407" s="103">
        <v>10010085</v>
      </c>
      <c r="Z407" s="104" t="s">
        <v>833</v>
      </c>
      <c r="AA407" s="66">
        <v>10000</v>
      </c>
      <c r="AB407" s="66"/>
      <c r="AC407" s="103">
        <v>10000152</v>
      </c>
      <c r="AD407" s="104" t="s">
        <v>143</v>
      </c>
      <c r="AE407" s="2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10000165;30</v>
      </c>
      <c r="AM407" t="str">
        <f t="shared" si="178"/>
        <v>10000182;30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10000165;30@10000182;30@15805001;1@10010085;10000@10000152;50@10000143;50</v>
      </c>
    </row>
    <row r="408" spans="7:53" ht="20.100000000000001" customHeight="1" x14ac:dyDescent="0.2">
      <c r="J408" s="100"/>
      <c r="K408" s="6" t="s">
        <v>2221</v>
      </c>
      <c r="M408" s="2">
        <v>10000165</v>
      </c>
      <c r="N408" s="2" t="s">
        <v>2260</v>
      </c>
      <c r="O408" s="66">
        <v>30</v>
      </c>
      <c r="P408" s="2"/>
      <c r="Q408" s="3">
        <v>10000182</v>
      </c>
      <c r="R408" s="5" t="s">
        <v>2263</v>
      </c>
      <c r="S408" s="66">
        <v>30</v>
      </c>
      <c r="T408" s="2"/>
      <c r="U408" s="105">
        <v>15805002</v>
      </c>
      <c r="V408" s="106" t="s">
        <v>1148</v>
      </c>
      <c r="W408" s="66">
        <v>1</v>
      </c>
      <c r="X408" s="2"/>
      <c r="Y408" s="103">
        <v>10010085</v>
      </c>
      <c r="Z408" s="104" t="s">
        <v>833</v>
      </c>
      <c r="AA408" s="66">
        <v>10000</v>
      </c>
      <c r="AB408" s="66"/>
      <c r="AC408" s="103">
        <v>10000152</v>
      </c>
      <c r="AD408" s="104" t="s">
        <v>143</v>
      </c>
      <c r="AE408" s="2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10000165;30</v>
      </c>
      <c r="AM408" t="str">
        <f t="shared" si="178"/>
        <v>10000182;30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10000165;30@10000182;30@15805002;1@10010085;10000@10000152;50@10000143;50</v>
      </c>
    </row>
    <row r="409" spans="7:53" ht="20.100000000000001" customHeight="1" x14ac:dyDescent="0.2">
      <c r="J409" s="100"/>
      <c r="K409" s="6" t="s">
        <v>2222</v>
      </c>
      <c r="M409" s="2">
        <v>10000165</v>
      </c>
      <c r="N409" s="2" t="s">
        <v>2260</v>
      </c>
      <c r="O409" s="66">
        <v>30</v>
      </c>
      <c r="P409" s="2"/>
      <c r="Q409" s="3">
        <v>10000182</v>
      </c>
      <c r="R409" s="5" t="s">
        <v>2263</v>
      </c>
      <c r="S409" s="66">
        <v>30</v>
      </c>
      <c r="T409" s="2"/>
      <c r="U409" s="105">
        <v>15805003</v>
      </c>
      <c r="V409" s="106" t="s">
        <v>1149</v>
      </c>
      <c r="W409" s="66">
        <v>1</v>
      </c>
      <c r="X409" s="2"/>
      <c r="Y409" s="103">
        <v>10010085</v>
      </c>
      <c r="Z409" s="104" t="s">
        <v>833</v>
      </c>
      <c r="AA409" s="66">
        <v>10000</v>
      </c>
      <c r="AB409" s="66"/>
      <c r="AC409" s="103">
        <v>10000152</v>
      </c>
      <c r="AD409" s="104" t="s">
        <v>143</v>
      </c>
      <c r="AE409" s="2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10000165;30</v>
      </c>
      <c r="AM409" t="str">
        <f t="shared" si="178"/>
        <v>10000182;30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10000165;30@10000182;30@15805003;1@10010085;10000@10000152;50@10000143;50</v>
      </c>
    </row>
    <row r="410" spans="7:53" ht="20.100000000000001" customHeight="1" x14ac:dyDescent="0.2">
      <c r="J410" s="100"/>
      <c r="K410" s="6" t="s">
        <v>2223</v>
      </c>
      <c r="M410" s="2">
        <v>10000165</v>
      </c>
      <c r="N410" s="2" t="s">
        <v>2260</v>
      </c>
      <c r="O410" s="66">
        <v>40</v>
      </c>
      <c r="P410" s="2"/>
      <c r="Q410" s="3">
        <v>10000182</v>
      </c>
      <c r="R410" s="5" t="s">
        <v>2263</v>
      </c>
      <c r="S410" s="66">
        <v>40</v>
      </c>
      <c r="T410" s="2"/>
      <c r="U410" s="105">
        <v>15806001</v>
      </c>
      <c r="V410" s="106" t="s">
        <v>1150</v>
      </c>
      <c r="W410" s="66">
        <v>1</v>
      </c>
      <c r="X410" s="2"/>
      <c r="Y410" s="103">
        <v>10010085</v>
      </c>
      <c r="Z410" s="104" t="s">
        <v>833</v>
      </c>
      <c r="AA410" s="66">
        <v>10000</v>
      </c>
      <c r="AB410" s="66"/>
      <c r="AC410" s="103">
        <v>10000152</v>
      </c>
      <c r="AD410" s="104" t="s">
        <v>143</v>
      </c>
      <c r="AE410" s="2">
        <v>75</v>
      </c>
      <c r="AF410" s="2">
        <v>10000143</v>
      </c>
      <c r="AG410" s="2" t="s">
        <v>122</v>
      </c>
      <c r="AH410" s="2">
        <v>75</v>
      </c>
      <c r="AJ410" t="str">
        <f t="shared" si="177"/>
        <v>10000165;40</v>
      </c>
      <c r="AM410" t="str">
        <f t="shared" si="178"/>
        <v>10000182;40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10000152;75</v>
      </c>
      <c r="AY410" t="str">
        <f t="shared" si="181"/>
        <v>10000143;75</v>
      </c>
      <c r="BA410" t="str">
        <f t="shared" si="182"/>
        <v>10000165;40@10000182;40@15806001;1@10010085;10000@10000152;75@10000143;75</v>
      </c>
    </row>
    <row r="411" spans="7:53" ht="20.100000000000001" customHeight="1" x14ac:dyDescent="0.2">
      <c r="J411" s="100"/>
      <c r="K411" s="6" t="s">
        <v>2224</v>
      </c>
      <c r="M411" s="2">
        <v>10000165</v>
      </c>
      <c r="N411" s="2" t="s">
        <v>2260</v>
      </c>
      <c r="O411" s="66">
        <v>40</v>
      </c>
      <c r="P411" s="2"/>
      <c r="Q411" s="3">
        <v>10000182</v>
      </c>
      <c r="R411" s="5" t="s">
        <v>2263</v>
      </c>
      <c r="S411" s="66">
        <v>40</v>
      </c>
      <c r="T411" s="2"/>
      <c r="U411" s="105">
        <v>15807001</v>
      </c>
      <c r="V411" s="106" t="s">
        <v>1151</v>
      </c>
      <c r="W411" s="66">
        <v>1</v>
      </c>
      <c r="X411" s="2"/>
      <c r="Y411" s="103">
        <v>10010085</v>
      </c>
      <c r="Z411" s="104" t="s">
        <v>833</v>
      </c>
      <c r="AA411" s="66">
        <v>10000</v>
      </c>
      <c r="AB411" s="66"/>
      <c r="AC411" s="103">
        <v>10000152</v>
      </c>
      <c r="AD411" s="104" t="s">
        <v>143</v>
      </c>
      <c r="AE411" s="2">
        <v>75</v>
      </c>
      <c r="AF411" s="2">
        <v>10000143</v>
      </c>
      <c r="AG411" s="2" t="s">
        <v>122</v>
      </c>
      <c r="AH411" s="2">
        <v>75</v>
      </c>
      <c r="AJ411" t="str">
        <f t="shared" si="177"/>
        <v>10000165;40</v>
      </c>
      <c r="AM411" t="str">
        <f t="shared" si="178"/>
        <v>10000182;40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10000152;75</v>
      </c>
      <c r="AY411" t="str">
        <f t="shared" si="181"/>
        <v>10000143;75</v>
      </c>
      <c r="BA411" t="str">
        <f t="shared" si="182"/>
        <v>10000165;40@10000182;40@15807001;1@10010085;10000@10000152;75@10000143;75</v>
      </c>
    </row>
    <row r="412" spans="7:53" ht="20.100000000000001" customHeight="1" x14ac:dyDescent="0.2">
      <c r="J412" s="100"/>
      <c r="K412" s="6" t="s">
        <v>2225</v>
      </c>
      <c r="M412" s="2">
        <v>10000165</v>
      </c>
      <c r="N412" s="2" t="s">
        <v>2260</v>
      </c>
      <c r="O412" s="66">
        <v>40</v>
      </c>
      <c r="P412" s="2"/>
      <c r="Q412" s="3">
        <v>10000182</v>
      </c>
      <c r="R412" s="5" t="s">
        <v>2263</v>
      </c>
      <c r="S412" s="66">
        <v>40</v>
      </c>
      <c r="T412" s="2"/>
      <c r="U412" s="105">
        <v>15808001</v>
      </c>
      <c r="V412" s="106" t="s">
        <v>1152</v>
      </c>
      <c r="W412" s="66">
        <v>1</v>
      </c>
      <c r="X412" s="2"/>
      <c r="Y412" s="103">
        <v>10010085</v>
      </c>
      <c r="Z412" s="104" t="s">
        <v>833</v>
      </c>
      <c r="AA412" s="66">
        <v>10000</v>
      </c>
      <c r="AB412" s="66"/>
      <c r="AC412" s="103">
        <v>10000152</v>
      </c>
      <c r="AD412" s="104" t="s">
        <v>143</v>
      </c>
      <c r="AE412" s="2">
        <v>75</v>
      </c>
      <c r="AF412" s="2">
        <v>10000143</v>
      </c>
      <c r="AG412" s="2" t="s">
        <v>122</v>
      </c>
      <c r="AH412" s="2">
        <v>75</v>
      </c>
      <c r="AJ412" t="str">
        <f t="shared" si="177"/>
        <v>10000165;40</v>
      </c>
      <c r="AM412" t="str">
        <f t="shared" si="178"/>
        <v>10000182;40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10000152;75</v>
      </c>
      <c r="AY412" t="str">
        <f t="shared" si="181"/>
        <v>10000143;75</v>
      </c>
      <c r="BA412" t="str">
        <f t="shared" si="182"/>
        <v>10000165;40@10000182;40@15808001;1@10010085;10000@10000152;75@10000143;75</v>
      </c>
    </row>
    <row r="413" spans="7:53" ht="20.100000000000001" customHeight="1" x14ac:dyDescent="0.2">
      <c r="J413" s="100"/>
      <c r="K413" s="6" t="s">
        <v>2226</v>
      </c>
      <c r="M413" s="2">
        <v>10000165</v>
      </c>
      <c r="N413" s="2" t="s">
        <v>2260</v>
      </c>
      <c r="O413" s="66">
        <v>40</v>
      </c>
      <c r="P413" s="2"/>
      <c r="Q413" s="3">
        <v>10000182</v>
      </c>
      <c r="R413" s="5" t="s">
        <v>2263</v>
      </c>
      <c r="S413" s="66">
        <v>40</v>
      </c>
      <c r="T413" s="2"/>
      <c r="U413" s="105">
        <v>15809001</v>
      </c>
      <c r="V413" s="106" t="s">
        <v>1153</v>
      </c>
      <c r="W413" s="66">
        <v>1</v>
      </c>
      <c r="X413" s="2"/>
      <c r="Y413" s="103">
        <v>10010085</v>
      </c>
      <c r="Z413" s="104" t="s">
        <v>833</v>
      </c>
      <c r="AA413" s="66">
        <v>10000</v>
      </c>
      <c r="AB413" s="66"/>
      <c r="AC413" s="103">
        <v>10000152</v>
      </c>
      <c r="AD413" s="104" t="s">
        <v>143</v>
      </c>
      <c r="AE413" s="2">
        <v>75</v>
      </c>
      <c r="AF413" s="2">
        <v>10000143</v>
      </c>
      <c r="AG413" s="2" t="s">
        <v>122</v>
      </c>
      <c r="AH413" s="2">
        <v>75</v>
      </c>
      <c r="AJ413" t="str">
        <f t="shared" si="177"/>
        <v>10000165;40</v>
      </c>
      <c r="AM413" t="str">
        <f t="shared" si="178"/>
        <v>10000182;40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10000152;75</v>
      </c>
      <c r="AY413" t="str">
        <f t="shared" si="181"/>
        <v>10000143;75</v>
      </c>
      <c r="BA413" t="str">
        <f t="shared" si="182"/>
        <v>10000165;40@10000182;40@15809001;1@10010085;10000@10000152;75@10000143;75</v>
      </c>
    </row>
    <row r="414" spans="7:53" ht="20.100000000000001" customHeight="1" x14ac:dyDescent="0.2">
      <c r="J414" s="100"/>
      <c r="K414" s="6" t="s">
        <v>2227</v>
      </c>
      <c r="M414" s="2">
        <v>10000165</v>
      </c>
      <c r="N414" s="2" t="s">
        <v>2260</v>
      </c>
      <c r="O414" s="66">
        <v>80</v>
      </c>
      <c r="P414" s="2"/>
      <c r="Q414" s="3">
        <v>10000182</v>
      </c>
      <c r="R414" s="5" t="s">
        <v>2263</v>
      </c>
      <c r="S414" s="66">
        <v>80</v>
      </c>
      <c r="T414" s="2"/>
      <c r="U414" s="105">
        <v>15810001</v>
      </c>
      <c r="V414" s="106" t="s">
        <v>1154</v>
      </c>
      <c r="W414" s="66">
        <v>1</v>
      </c>
      <c r="X414" s="2"/>
      <c r="Y414" s="103">
        <v>10010085</v>
      </c>
      <c r="Z414" s="104" t="s">
        <v>833</v>
      </c>
      <c r="AA414" s="66">
        <v>10000</v>
      </c>
      <c r="AB414" s="66"/>
      <c r="AC414" s="103">
        <v>10000152</v>
      </c>
      <c r="AD414" s="104" t="s">
        <v>143</v>
      </c>
      <c r="AE414" s="2">
        <v>150</v>
      </c>
      <c r="AF414" s="2">
        <v>10000143</v>
      </c>
      <c r="AG414" s="2" t="s">
        <v>122</v>
      </c>
      <c r="AH414" s="2">
        <v>150</v>
      </c>
      <c r="AJ414" t="str">
        <f t="shared" si="177"/>
        <v>10000165;80</v>
      </c>
      <c r="AM414" t="str">
        <f t="shared" si="178"/>
        <v>10000182;80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10000152;150</v>
      </c>
      <c r="AY414" t="str">
        <f t="shared" si="181"/>
        <v>10000143;150</v>
      </c>
      <c r="BA414" t="str">
        <f t="shared" si="182"/>
        <v>10000165;80@10000182;80@15810001;1@10010085;10000@10000152;150@10000143;150</v>
      </c>
    </row>
    <row r="415" spans="7:53" ht="20.100000000000001" customHeight="1" x14ac:dyDescent="0.2">
      <c r="J415" s="100"/>
      <c r="K415" s="6" t="s">
        <v>2228</v>
      </c>
      <c r="M415" s="2">
        <v>10000165</v>
      </c>
      <c r="N415" s="2" t="s">
        <v>2260</v>
      </c>
      <c r="O415" s="66">
        <v>80</v>
      </c>
      <c r="P415" s="2"/>
      <c r="Q415" s="3">
        <v>10000182</v>
      </c>
      <c r="R415" s="5" t="s">
        <v>2263</v>
      </c>
      <c r="S415" s="66">
        <v>80</v>
      </c>
      <c r="T415" s="2"/>
      <c r="U415" s="105">
        <v>15810002</v>
      </c>
      <c r="V415" s="106" t="s">
        <v>1155</v>
      </c>
      <c r="W415" s="66">
        <v>1</v>
      </c>
      <c r="X415" s="2"/>
      <c r="Y415" s="103">
        <v>10010085</v>
      </c>
      <c r="Z415" s="104" t="s">
        <v>833</v>
      </c>
      <c r="AA415" s="66">
        <v>10000</v>
      </c>
      <c r="AB415" s="66"/>
      <c r="AC415" s="103">
        <v>10000152</v>
      </c>
      <c r="AD415" s="104" t="s">
        <v>143</v>
      </c>
      <c r="AE415" s="2">
        <v>150</v>
      </c>
      <c r="AF415" s="2">
        <v>10000143</v>
      </c>
      <c r="AG415" s="2" t="s">
        <v>122</v>
      </c>
      <c r="AH415" s="2">
        <v>150</v>
      </c>
      <c r="AJ415" t="str">
        <f t="shared" si="177"/>
        <v>10000165;80</v>
      </c>
      <c r="AM415" t="str">
        <f t="shared" si="178"/>
        <v>10000182;80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10000152;150</v>
      </c>
      <c r="AY415" t="str">
        <f t="shared" si="181"/>
        <v>10000143;150</v>
      </c>
      <c r="BA415" t="str">
        <f t="shared" si="182"/>
        <v>10000165;80@10000182;80@15810002;1@10010085;10000@10000152;150@10000143;150</v>
      </c>
    </row>
    <row r="416" spans="7:53" ht="20.100000000000001" customHeight="1" x14ac:dyDescent="0.2">
      <c r="J416" s="100"/>
      <c r="K416" s="6" t="s">
        <v>2229</v>
      </c>
      <c r="M416" s="2">
        <v>10000165</v>
      </c>
      <c r="N416" s="2" t="s">
        <v>2260</v>
      </c>
      <c r="O416" s="66">
        <v>80</v>
      </c>
      <c r="P416" s="2"/>
      <c r="Q416" s="3">
        <v>10000182</v>
      </c>
      <c r="R416" s="5" t="s">
        <v>2263</v>
      </c>
      <c r="S416" s="66">
        <v>80</v>
      </c>
      <c r="T416" s="2"/>
      <c r="U416" s="105">
        <v>15810101</v>
      </c>
      <c r="V416" s="106" t="s">
        <v>1156</v>
      </c>
      <c r="W416" s="66">
        <v>1</v>
      </c>
      <c r="X416" s="2"/>
      <c r="Y416" s="103">
        <v>10010085</v>
      </c>
      <c r="Z416" s="104" t="s">
        <v>833</v>
      </c>
      <c r="AA416" s="66">
        <v>10000</v>
      </c>
      <c r="AB416" s="66"/>
      <c r="AC416" s="103">
        <v>10000152</v>
      </c>
      <c r="AD416" s="104" t="s">
        <v>143</v>
      </c>
      <c r="AE416" s="2">
        <v>150</v>
      </c>
      <c r="AF416" s="2">
        <v>10000143</v>
      </c>
      <c r="AG416" s="2" t="s">
        <v>122</v>
      </c>
      <c r="AH416" s="2">
        <v>150</v>
      </c>
      <c r="AJ416" t="str">
        <f t="shared" si="177"/>
        <v>10000165;80</v>
      </c>
      <c r="AM416" t="str">
        <f t="shared" si="178"/>
        <v>10000182;80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10000152;150</v>
      </c>
      <c r="AY416" t="str">
        <f t="shared" si="181"/>
        <v>10000143;150</v>
      </c>
      <c r="BA416" t="str">
        <f t="shared" si="182"/>
        <v>10000165;80@10000182;80@15810101;1@10010085;10000@10000152;150@10000143;150</v>
      </c>
    </row>
    <row r="417" spans="7:61" ht="20.100000000000001" customHeight="1" x14ac:dyDescent="0.2">
      <c r="J417" s="100"/>
      <c r="K417" s="6" t="s">
        <v>2230</v>
      </c>
      <c r="M417" s="2">
        <v>10000165</v>
      </c>
      <c r="N417" s="2" t="s">
        <v>2260</v>
      </c>
      <c r="O417" s="66">
        <v>80</v>
      </c>
      <c r="P417" s="2"/>
      <c r="Q417" s="3">
        <v>10000182</v>
      </c>
      <c r="R417" s="5" t="s">
        <v>2263</v>
      </c>
      <c r="S417" s="66">
        <v>80</v>
      </c>
      <c r="T417" s="2"/>
      <c r="U417" s="105">
        <v>15810102</v>
      </c>
      <c r="V417" s="106" t="s">
        <v>1157</v>
      </c>
      <c r="W417" s="66">
        <v>1</v>
      </c>
      <c r="X417" s="2"/>
      <c r="Y417" s="103">
        <v>10010085</v>
      </c>
      <c r="Z417" s="104" t="s">
        <v>833</v>
      </c>
      <c r="AA417" s="66">
        <v>10000</v>
      </c>
      <c r="AB417" s="66"/>
      <c r="AC417" s="103">
        <v>10000152</v>
      </c>
      <c r="AD417" s="104" t="s">
        <v>143</v>
      </c>
      <c r="AE417" s="2">
        <v>150</v>
      </c>
      <c r="AF417" s="2">
        <v>10000143</v>
      </c>
      <c r="AG417" s="2" t="s">
        <v>122</v>
      </c>
      <c r="AH417" s="2">
        <v>150</v>
      </c>
      <c r="AJ417" t="str">
        <f t="shared" si="177"/>
        <v>10000165;80</v>
      </c>
      <c r="AM417" t="str">
        <f t="shared" si="178"/>
        <v>10000182;80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10000152;150</v>
      </c>
      <c r="AY417" t="str">
        <f t="shared" si="181"/>
        <v>10000143;150</v>
      </c>
      <c r="BA417" t="str">
        <f t="shared" si="182"/>
        <v>10000165;80@10000182;80@15810102;1@10010085;10000@10000152;150@10000143;150</v>
      </c>
    </row>
    <row r="418" spans="7:61" ht="20.100000000000001" customHeight="1" x14ac:dyDescent="0.2">
      <c r="J418" s="100"/>
      <c r="K418" s="6" t="s">
        <v>2231</v>
      </c>
      <c r="M418" s="2">
        <v>10000165</v>
      </c>
      <c r="N418" s="2" t="s">
        <v>2260</v>
      </c>
      <c r="O418" s="66">
        <v>60</v>
      </c>
      <c r="P418" s="2"/>
      <c r="Q418" s="3">
        <v>10000182</v>
      </c>
      <c r="R418" s="5" t="s">
        <v>2263</v>
      </c>
      <c r="S418" s="66">
        <v>60</v>
      </c>
      <c r="T418" s="2"/>
      <c r="U418" s="105">
        <v>15811001</v>
      </c>
      <c r="V418" s="106" t="s">
        <v>1158</v>
      </c>
      <c r="W418" s="66">
        <v>1</v>
      </c>
      <c r="X418" s="2"/>
      <c r="Y418" s="103">
        <v>10010085</v>
      </c>
      <c r="Z418" s="104" t="s">
        <v>833</v>
      </c>
      <c r="AA418" s="66">
        <v>10000</v>
      </c>
      <c r="AB418" s="66"/>
      <c r="AC418" s="103">
        <v>10000152</v>
      </c>
      <c r="AD418" s="104" t="s">
        <v>143</v>
      </c>
      <c r="AE418" s="2">
        <v>100</v>
      </c>
      <c r="AF418" s="2">
        <v>10000143</v>
      </c>
      <c r="AG418" s="2" t="s">
        <v>122</v>
      </c>
      <c r="AH418" s="2">
        <v>100</v>
      </c>
      <c r="AJ418" t="str">
        <f t="shared" si="177"/>
        <v>10000165;60</v>
      </c>
      <c r="AM418" t="str">
        <f t="shared" si="178"/>
        <v>10000182;60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10000152;100</v>
      </c>
      <c r="AY418" t="str">
        <f t="shared" si="181"/>
        <v>10000143;100</v>
      </c>
      <c r="BA418" t="str">
        <f t="shared" si="182"/>
        <v>10000165;60@10000182;60@15811001;1@10010085;10000@10000152;100@10000143;100</v>
      </c>
    </row>
    <row r="419" spans="7:61" ht="20.100000000000001" customHeight="1" x14ac:dyDescent="0.2">
      <c r="J419" s="100"/>
      <c r="K419" s="6" t="s">
        <v>2232</v>
      </c>
      <c r="M419" s="2">
        <v>10000165</v>
      </c>
      <c r="N419" s="2" t="s">
        <v>2260</v>
      </c>
      <c r="O419" s="66">
        <v>60</v>
      </c>
      <c r="P419" s="2"/>
      <c r="Q419" s="3">
        <v>10000182</v>
      </c>
      <c r="R419" s="5" t="s">
        <v>2263</v>
      </c>
      <c r="S419" s="66">
        <v>60</v>
      </c>
      <c r="T419" s="2"/>
      <c r="U419" s="105">
        <v>15811002</v>
      </c>
      <c r="V419" s="106" t="s">
        <v>1159</v>
      </c>
      <c r="W419" s="66">
        <v>1</v>
      </c>
      <c r="X419" s="2"/>
      <c r="Y419" s="103">
        <v>10010085</v>
      </c>
      <c r="Z419" s="104" t="s">
        <v>833</v>
      </c>
      <c r="AA419" s="66">
        <v>10000</v>
      </c>
      <c r="AB419" s="66"/>
      <c r="AC419" s="103">
        <v>10000152</v>
      </c>
      <c r="AD419" s="104" t="s">
        <v>143</v>
      </c>
      <c r="AE419" s="2">
        <v>100</v>
      </c>
      <c r="AF419" s="2">
        <v>10000143</v>
      </c>
      <c r="AG419" s="2" t="s">
        <v>122</v>
      </c>
      <c r="AH419" s="2">
        <v>100</v>
      </c>
      <c r="AJ419" t="str">
        <f t="shared" si="177"/>
        <v>10000165;60</v>
      </c>
      <c r="AM419" t="str">
        <f t="shared" si="178"/>
        <v>10000182;60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10000152;100</v>
      </c>
      <c r="AY419" t="str">
        <f t="shared" si="181"/>
        <v>10000143;100</v>
      </c>
      <c r="BA419" t="str">
        <f t="shared" si="182"/>
        <v>10000165;60@10000182;60@15811002;1@10010085;10000@10000152;100@10000143;100</v>
      </c>
    </row>
    <row r="420" spans="7:61" ht="20.100000000000001" customHeight="1" x14ac:dyDescent="0.2">
      <c r="J420" s="100"/>
      <c r="K420" s="6" t="s">
        <v>2233</v>
      </c>
      <c r="M420" s="2">
        <v>10000165</v>
      </c>
      <c r="N420" s="2" t="s">
        <v>2260</v>
      </c>
      <c r="O420" s="66">
        <v>60</v>
      </c>
      <c r="P420" s="2"/>
      <c r="Q420" s="3">
        <v>10000182</v>
      </c>
      <c r="R420" s="5" t="s">
        <v>2263</v>
      </c>
      <c r="S420" s="66">
        <v>60</v>
      </c>
      <c r="T420" s="2"/>
      <c r="U420" s="105">
        <v>15811003</v>
      </c>
      <c r="V420" s="106" t="s">
        <v>1160</v>
      </c>
      <c r="W420" s="66">
        <v>1</v>
      </c>
      <c r="X420" s="2"/>
      <c r="Y420" s="103">
        <v>10010085</v>
      </c>
      <c r="Z420" s="104" t="s">
        <v>833</v>
      </c>
      <c r="AA420" s="66">
        <v>10000</v>
      </c>
      <c r="AB420" s="66"/>
      <c r="AC420" s="103">
        <v>10000152</v>
      </c>
      <c r="AD420" s="104" t="s">
        <v>143</v>
      </c>
      <c r="AE420" s="2">
        <v>100</v>
      </c>
      <c r="AF420" s="2">
        <v>10000143</v>
      </c>
      <c r="AG420" s="2" t="s">
        <v>122</v>
      </c>
      <c r="AH420" s="2">
        <v>100</v>
      </c>
      <c r="AJ420" t="str">
        <f t="shared" si="177"/>
        <v>10000165;60</v>
      </c>
      <c r="AM420" t="str">
        <f t="shared" si="178"/>
        <v>10000182;60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10000152;100</v>
      </c>
      <c r="AY420" t="str">
        <f t="shared" si="181"/>
        <v>10000143;100</v>
      </c>
      <c r="BA420" t="str">
        <f t="shared" si="182"/>
        <v>10000165;60@10000182;60@15811003;1@10010085;10000@10000152;100@10000143;100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814</v>
      </c>
      <c r="K423" s="2" t="s">
        <v>1187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814</v>
      </c>
      <c r="S423" s="2">
        <v>1</v>
      </c>
      <c r="U423" s="103">
        <v>10021010</v>
      </c>
      <c r="V423" s="104" t="s">
        <v>837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1188</v>
      </c>
    </row>
    <row r="424" spans="7:61" ht="20.100000000000001" customHeight="1" x14ac:dyDescent="0.2">
      <c r="G424" s="3">
        <v>10000145</v>
      </c>
      <c r="H424" s="3" t="s">
        <v>815</v>
      </c>
      <c r="K424" s="2" t="s">
        <v>1187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814</v>
      </c>
      <c r="S424" s="2">
        <v>1</v>
      </c>
      <c r="U424" s="103">
        <v>10021010</v>
      </c>
      <c r="V424" s="104" t="s">
        <v>837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1188</v>
      </c>
    </row>
    <row r="425" spans="7:61" ht="20.100000000000001" customHeight="1" x14ac:dyDescent="0.2">
      <c r="G425" s="3">
        <v>10000146</v>
      </c>
      <c r="H425" s="3" t="s">
        <v>816</v>
      </c>
      <c r="K425" s="2" t="s">
        <v>1187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814</v>
      </c>
      <c r="S425" s="2">
        <v>1</v>
      </c>
      <c r="U425" s="103">
        <v>10021010</v>
      </c>
      <c r="V425" s="104" t="s">
        <v>837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1188</v>
      </c>
    </row>
    <row r="426" spans="7:61" ht="20.100000000000001" customHeight="1" x14ac:dyDescent="0.2">
      <c r="G426" s="3">
        <v>10000147</v>
      </c>
      <c r="H426" s="3" t="s">
        <v>817</v>
      </c>
      <c r="K426" s="2" t="s">
        <v>1187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814</v>
      </c>
      <c r="S426" s="2">
        <v>1</v>
      </c>
      <c r="U426" s="103">
        <v>10021010</v>
      </c>
      <c r="V426" s="104" t="s">
        <v>837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1188</v>
      </c>
    </row>
    <row r="427" spans="7:61" ht="20.100000000000001" customHeight="1" x14ac:dyDescent="0.2">
      <c r="K427" s="2" t="s">
        <v>1189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814</v>
      </c>
      <c r="S427" s="2">
        <v>2</v>
      </c>
      <c r="U427" s="103">
        <v>10023010</v>
      </c>
      <c r="V427" s="107" t="s">
        <v>841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1190</v>
      </c>
    </row>
    <row r="428" spans="7:61" ht="20.100000000000001" customHeight="1" x14ac:dyDescent="0.2">
      <c r="K428" s="2" t="s">
        <v>1189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814</v>
      </c>
      <c r="S428" s="2">
        <v>2</v>
      </c>
      <c r="U428" s="103">
        <v>10023010</v>
      </c>
      <c r="V428" s="107" t="s">
        <v>841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1190</v>
      </c>
    </row>
    <row r="429" spans="7:61" ht="20.100000000000001" customHeight="1" x14ac:dyDescent="0.2">
      <c r="K429" s="2" t="s">
        <v>1189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814</v>
      </c>
      <c r="S429" s="2">
        <v>2</v>
      </c>
      <c r="U429" s="103">
        <v>10023010</v>
      </c>
      <c r="V429" s="107" t="s">
        <v>841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1190</v>
      </c>
    </row>
    <row r="430" spans="7:61" ht="20.100000000000001" customHeight="1" x14ac:dyDescent="0.2">
      <c r="K430" s="2" t="s">
        <v>1189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814</v>
      </c>
      <c r="S430" s="2">
        <v>2</v>
      </c>
      <c r="U430" s="103">
        <v>10023010</v>
      </c>
      <c r="V430" s="107" t="s">
        <v>841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1190</v>
      </c>
    </row>
    <row r="431" spans="7:61" ht="20.100000000000001" customHeight="1" x14ac:dyDescent="0.2">
      <c r="K431" s="2" t="s">
        <v>1191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814</v>
      </c>
      <c r="S431" s="2">
        <v>3</v>
      </c>
      <c r="U431" s="103">
        <v>10025010</v>
      </c>
      <c r="V431" s="104" t="s">
        <v>860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1192</v>
      </c>
    </row>
    <row r="432" spans="7:61" ht="20.100000000000001" customHeight="1" x14ac:dyDescent="0.2">
      <c r="K432" s="2" t="s">
        <v>1191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814</v>
      </c>
      <c r="S432" s="2">
        <v>3</v>
      </c>
      <c r="U432" s="103">
        <v>10025010</v>
      </c>
      <c r="V432" s="104" t="s">
        <v>860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1192</v>
      </c>
    </row>
    <row r="433" spans="11:61" ht="20.100000000000001" customHeight="1" x14ac:dyDescent="0.2">
      <c r="K433" s="2" t="s">
        <v>1191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814</v>
      </c>
      <c r="S433" s="2">
        <v>3</v>
      </c>
      <c r="U433" s="103">
        <v>10025010</v>
      </c>
      <c r="V433" s="104" t="s">
        <v>860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1192</v>
      </c>
    </row>
    <row r="434" spans="11:61" ht="20.100000000000001" customHeight="1" x14ac:dyDescent="0.2">
      <c r="K434" s="2" t="s">
        <v>1191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814</v>
      </c>
      <c r="S434" s="2">
        <v>3</v>
      </c>
      <c r="U434" s="103">
        <v>10025010</v>
      </c>
      <c r="V434" s="104" t="s">
        <v>860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1192</v>
      </c>
    </row>
    <row r="435" spans="11:61" ht="20.100000000000001" customHeight="1" x14ac:dyDescent="0.2">
      <c r="K435" s="2" t="s">
        <v>1193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815</v>
      </c>
      <c r="S435" s="2">
        <v>2</v>
      </c>
      <c r="U435" s="103">
        <v>10021010</v>
      </c>
      <c r="V435" s="104" t="s">
        <v>837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1194</v>
      </c>
    </row>
    <row r="436" spans="11:61" ht="20.100000000000001" customHeight="1" x14ac:dyDescent="0.2">
      <c r="K436" s="2" t="s">
        <v>1195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815</v>
      </c>
      <c r="S436" s="2">
        <v>2</v>
      </c>
      <c r="U436" s="103">
        <v>10021010</v>
      </c>
      <c r="V436" s="104" t="s">
        <v>837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1194</v>
      </c>
    </row>
    <row r="437" spans="11:61" ht="20.100000000000001" customHeight="1" x14ac:dyDescent="0.2">
      <c r="K437" s="2" t="s">
        <v>1196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815</v>
      </c>
      <c r="S437" s="2">
        <v>2</v>
      </c>
      <c r="U437" s="103">
        <v>10021010</v>
      </c>
      <c r="V437" s="104" t="s">
        <v>837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1194</v>
      </c>
    </row>
    <row r="438" spans="11:61" ht="20.100000000000001" customHeight="1" x14ac:dyDescent="0.2">
      <c r="K438" s="2" t="s">
        <v>1197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815</v>
      </c>
      <c r="S438" s="2">
        <v>2</v>
      </c>
      <c r="U438" s="103">
        <v>10021010</v>
      </c>
      <c r="V438" s="104" t="s">
        <v>837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1194</v>
      </c>
    </row>
    <row r="439" spans="11:61" ht="20.100000000000001" customHeight="1" x14ac:dyDescent="0.2">
      <c r="K439" s="2" t="s">
        <v>1198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815</v>
      </c>
      <c r="S439" s="2">
        <v>4</v>
      </c>
      <c r="U439" s="103">
        <v>10023010</v>
      </c>
      <c r="V439" s="107" t="s">
        <v>841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1199</v>
      </c>
    </row>
    <row r="440" spans="11:61" ht="20.100000000000001" customHeight="1" x14ac:dyDescent="0.2">
      <c r="K440" s="2" t="s">
        <v>1200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815</v>
      </c>
      <c r="S440" s="2">
        <v>4</v>
      </c>
      <c r="U440" s="103">
        <v>10023010</v>
      </c>
      <c r="V440" s="107" t="s">
        <v>841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1199</v>
      </c>
    </row>
    <row r="441" spans="11:61" ht="20.100000000000001" customHeight="1" x14ac:dyDescent="0.2">
      <c r="K441" s="2" t="s">
        <v>1201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815</v>
      </c>
      <c r="S441" s="2">
        <v>4</v>
      </c>
      <c r="U441" s="103">
        <v>10023010</v>
      </c>
      <c r="V441" s="107" t="s">
        <v>841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1199</v>
      </c>
    </row>
    <row r="442" spans="11:61" ht="20.100000000000001" customHeight="1" x14ac:dyDescent="0.2">
      <c r="K442" s="2" t="s">
        <v>1202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815</v>
      </c>
      <c r="S442" s="2">
        <v>4</v>
      </c>
      <c r="U442" s="103">
        <v>10023010</v>
      </c>
      <c r="V442" s="107" t="s">
        <v>841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1199</v>
      </c>
    </row>
    <row r="443" spans="11:61" ht="20.100000000000001" customHeight="1" x14ac:dyDescent="0.2">
      <c r="K443" s="2" t="s">
        <v>1203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815</v>
      </c>
      <c r="S443" s="2">
        <v>6</v>
      </c>
      <c r="U443" s="103">
        <v>10025010</v>
      </c>
      <c r="V443" s="104" t="s">
        <v>860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1204</v>
      </c>
    </row>
    <row r="444" spans="11:61" ht="20.100000000000001" customHeight="1" x14ac:dyDescent="0.2">
      <c r="K444" s="2" t="s">
        <v>1205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815</v>
      </c>
      <c r="S444" s="2">
        <v>6</v>
      </c>
      <c r="U444" s="103">
        <v>10025010</v>
      </c>
      <c r="V444" s="104" t="s">
        <v>860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1204</v>
      </c>
    </row>
    <row r="445" spans="11:61" ht="20.100000000000001" customHeight="1" x14ac:dyDescent="0.2">
      <c r="K445" s="2" t="s">
        <v>1206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815</v>
      </c>
      <c r="S445" s="2">
        <v>6</v>
      </c>
      <c r="U445" s="103">
        <v>10025010</v>
      </c>
      <c r="V445" s="104" t="s">
        <v>860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1204</v>
      </c>
    </row>
    <row r="446" spans="11:61" ht="20.100000000000001" customHeight="1" x14ac:dyDescent="0.2">
      <c r="K446" s="2" t="s">
        <v>1207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815</v>
      </c>
      <c r="S446" s="2">
        <v>6</v>
      </c>
      <c r="U446" s="103">
        <v>10025010</v>
      </c>
      <c r="V446" s="104" t="s">
        <v>860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1204</v>
      </c>
    </row>
    <row r="447" spans="11:61" ht="20.100000000000001" customHeight="1" x14ac:dyDescent="0.2">
      <c r="K447" s="2" t="s">
        <v>1208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816</v>
      </c>
      <c r="S447" s="2">
        <v>4</v>
      </c>
      <c r="U447" s="103">
        <v>10021010</v>
      </c>
      <c r="V447" s="104" t="s">
        <v>837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1209</v>
      </c>
    </row>
    <row r="448" spans="11:61" ht="20.100000000000001" customHeight="1" x14ac:dyDescent="0.2">
      <c r="K448" s="2" t="s">
        <v>1210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816</v>
      </c>
      <c r="S448" s="2">
        <v>4</v>
      </c>
      <c r="U448" s="103">
        <v>10021010</v>
      </c>
      <c r="V448" s="104" t="s">
        <v>837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1209</v>
      </c>
    </row>
    <row r="449" spans="11:61" ht="20.100000000000001" customHeight="1" x14ac:dyDescent="0.2">
      <c r="K449" s="2" t="s">
        <v>1211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816</v>
      </c>
      <c r="S449" s="2">
        <v>6</v>
      </c>
      <c r="U449" s="103">
        <v>10023010</v>
      </c>
      <c r="V449" s="107" t="s">
        <v>841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1212</v>
      </c>
    </row>
    <row r="450" spans="11:61" ht="20.100000000000001" customHeight="1" x14ac:dyDescent="0.2">
      <c r="K450" s="2" t="s">
        <v>1213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816</v>
      </c>
      <c r="S450" s="2">
        <v>6</v>
      </c>
      <c r="U450" s="103">
        <v>10023010</v>
      </c>
      <c r="V450" s="107" t="s">
        <v>841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1212</v>
      </c>
    </row>
    <row r="451" spans="11:61" ht="20.100000000000001" customHeight="1" x14ac:dyDescent="0.2">
      <c r="K451" s="2" t="s">
        <v>1214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816</v>
      </c>
      <c r="S451" s="2">
        <v>12</v>
      </c>
      <c r="U451" s="103">
        <v>10025010</v>
      </c>
      <c r="V451" s="104" t="s">
        <v>860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1215</v>
      </c>
    </row>
    <row r="452" spans="11:61" ht="20.100000000000001" customHeight="1" x14ac:dyDescent="0.2">
      <c r="K452" s="2" t="s">
        <v>1216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816</v>
      </c>
      <c r="S452" s="2">
        <v>12</v>
      </c>
      <c r="U452" s="103">
        <v>10025010</v>
      </c>
      <c r="V452" s="104" t="s">
        <v>860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1215</v>
      </c>
    </row>
    <row r="453" spans="11:61" ht="20.100000000000001" customHeight="1" x14ac:dyDescent="0.2">
      <c r="K453" s="9" t="s">
        <v>1217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817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1218</v>
      </c>
    </row>
    <row r="454" spans="11:61" ht="20.100000000000001" customHeight="1" x14ac:dyDescent="0.2">
      <c r="K454" s="9" t="s">
        <v>1219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817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1220</v>
      </c>
    </row>
    <row r="455" spans="11:61" ht="20.100000000000001" customHeight="1" x14ac:dyDescent="0.2">
      <c r="K455" s="108" t="s">
        <v>1221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817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1222</v>
      </c>
    </row>
    <row r="456" spans="11:61" ht="20.100000000000001" customHeight="1" x14ac:dyDescent="0.2">
      <c r="K456" s="9" t="s">
        <v>1223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817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1218</v>
      </c>
    </row>
    <row r="457" spans="11:61" ht="20.100000000000001" customHeight="1" x14ac:dyDescent="0.2">
      <c r="K457" s="9" t="s">
        <v>1224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817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1225</v>
      </c>
    </row>
    <row r="458" spans="11:61" ht="20.100000000000001" customHeight="1" x14ac:dyDescent="0.2">
      <c r="K458" s="108" t="s">
        <v>1226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1227</v>
      </c>
    </row>
    <row r="459" spans="11:61" ht="20.100000000000001" customHeight="1" x14ac:dyDescent="0.2">
      <c r="K459" s="9" t="s">
        <v>1228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817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1220</v>
      </c>
    </row>
    <row r="460" spans="11:61" ht="20.100000000000001" customHeight="1" x14ac:dyDescent="0.2">
      <c r="K460" s="9" t="s">
        <v>1229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817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1230</v>
      </c>
    </row>
    <row r="461" spans="11:61" ht="20.100000000000001" customHeight="1" x14ac:dyDescent="0.2">
      <c r="K461" s="108" t="s">
        <v>1231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817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1232</v>
      </c>
    </row>
    <row r="462" spans="11:61" ht="20.100000000000001" customHeight="1" x14ac:dyDescent="0.2">
      <c r="K462" s="9" t="s">
        <v>1233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817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1234</v>
      </c>
    </row>
    <row r="463" spans="11:61" ht="20.100000000000001" customHeight="1" x14ac:dyDescent="0.2">
      <c r="K463" s="9" t="s">
        <v>1235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817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1225</v>
      </c>
    </row>
    <row r="464" spans="11:61" ht="20.100000000000001" customHeight="1" x14ac:dyDescent="0.2">
      <c r="K464" s="9" t="s">
        <v>1236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817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1230</v>
      </c>
    </row>
    <row r="465" spans="11:61" ht="20.100000000000001" customHeight="1" x14ac:dyDescent="0.2">
      <c r="K465" s="108" t="s">
        <v>1237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817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1238</v>
      </c>
    </row>
    <row r="466" spans="11:61" ht="20.100000000000001" customHeight="1" x14ac:dyDescent="0.2">
      <c r="K466" s="9" t="s">
        <v>1239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817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1234</v>
      </c>
    </row>
    <row r="467" spans="11:61" ht="20.100000000000001" customHeight="1" x14ac:dyDescent="0.2">
      <c r="K467" s="9" t="s">
        <v>1240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817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1225</v>
      </c>
    </row>
    <row r="468" spans="11:61" ht="20.100000000000001" customHeight="1" x14ac:dyDescent="0.2">
      <c r="K468" s="9" t="s">
        <v>1236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817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1230</v>
      </c>
    </row>
    <row r="469" spans="11:61" ht="20.100000000000001" customHeight="1" x14ac:dyDescent="0.2">
      <c r="K469" s="108" t="s">
        <v>1241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817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1238</v>
      </c>
    </row>
    <row r="470" spans="11:61" ht="20.100000000000001" customHeight="1" x14ac:dyDescent="0.2">
      <c r="K470" s="9" t="s">
        <v>1242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817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1243</v>
      </c>
    </row>
    <row r="471" spans="11:61" ht="20.100000000000001" customHeight="1" x14ac:dyDescent="0.2">
      <c r="K471" s="9" t="s">
        <v>1244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817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1230</v>
      </c>
    </row>
    <row r="472" spans="11:61" ht="20.100000000000001" customHeight="1" x14ac:dyDescent="0.2">
      <c r="K472" s="108" t="s">
        <v>1245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817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1238</v>
      </c>
    </row>
    <row r="473" spans="11:61" ht="20.100000000000001" customHeight="1" x14ac:dyDescent="0.2">
      <c r="K473" s="9" t="s">
        <v>1246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817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1247</v>
      </c>
    </row>
    <row r="474" spans="11:61" ht="20.100000000000001" customHeight="1" x14ac:dyDescent="0.2">
      <c r="K474" s="9" t="s">
        <v>1248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817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1249</v>
      </c>
    </row>
    <row r="475" spans="11:61" ht="20.100000000000001" customHeight="1" x14ac:dyDescent="0.2">
      <c r="K475" s="108" t="s">
        <v>1250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817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1251</v>
      </c>
    </row>
    <row r="476" spans="11:61" ht="20.100000000000001" customHeight="1" x14ac:dyDescent="0.2">
      <c r="K476" s="9" t="s">
        <v>1252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817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1247</v>
      </c>
    </row>
    <row r="477" spans="11:61" ht="20.100000000000001" customHeight="1" x14ac:dyDescent="0.2">
      <c r="K477" s="9" t="s">
        <v>1253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817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1254</v>
      </c>
    </row>
    <row r="478" spans="11:61" ht="20.100000000000001" customHeight="1" x14ac:dyDescent="0.2">
      <c r="K478" s="108" t="s">
        <v>1255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817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1256</v>
      </c>
    </row>
    <row r="479" spans="11:61" ht="20.100000000000001" customHeight="1" x14ac:dyDescent="0.2">
      <c r="K479" s="9" t="s">
        <v>1257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817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1249</v>
      </c>
    </row>
    <row r="480" spans="11:61" ht="20.100000000000001" customHeight="1" x14ac:dyDescent="0.2">
      <c r="K480" s="9" t="s">
        <v>1258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817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1259</v>
      </c>
    </row>
    <row r="481" spans="11:61" ht="20.100000000000001" customHeight="1" x14ac:dyDescent="0.2">
      <c r="K481" s="108" t="s">
        <v>1260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817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1261</v>
      </c>
    </row>
    <row r="482" spans="11:61" ht="20.100000000000001" customHeight="1" x14ac:dyDescent="0.2">
      <c r="K482" s="9" t="s">
        <v>1262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817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1263</v>
      </c>
    </row>
    <row r="483" spans="11:61" ht="20.100000000000001" customHeight="1" x14ac:dyDescent="0.2">
      <c r="K483" s="9" t="s">
        <v>1264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817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1254</v>
      </c>
    </row>
    <row r="484" spans="11:61" ht="20.100000000000001" customHeight="1" x14ac:dyDescent="0.2">
      <c r="K484" s="9" t="s">
        <v>1265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817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1259</v>
      </c>
    </row>
    <row r="485" spans="11:61" ht="20.100000000000001" customHeight="1" x14ac:dyDescent="0.2">
      <c r="K485" s="108" t="s">
        <v>1231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817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1261</v>
      </c>
    </row>
    <row r="486" spans="11:61" ht="20.100000000000001" customHeight="1" x14ac:dyDescent="0.2">
      <c r="K486" s="9" t="s">
        <v>1266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817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1263</v>
      </c>
    </row>
    <row r="487" spans="11:61" ht="20.100000000000001" customHeight="1" x14ac:dyDescent="0.2">
      <c r="K487" s="9" t="s">
        <v>1267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817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1254</v>
      </c>
    </row>
    <row r="488" spans="11:61" ht="20.100000000000001" customHeight="1" x14ac:dyDescent="0.2">
      <c r="K488" s="9" t="s">
        <v>1265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817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1259</v>
      </c>
    </row>
    <row r="489" spans="11:61" ht="20.100000000000001" customHeight="1" x14ac:dyDescent="0.2">
      <c r="K489" s="108" t="s">
        <v>1268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817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1261</v>
      </c>
    </row>
    <row r="490" spans="11:61" ht="20.100000000000001" customHeight="1" x14ac:dyDescent="0.2">
      <c r="K490" s="9" t="s">
        <v>1269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817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1270</v>
      </c>
    </row>
    <row r="491" spans="11:61" ht="20.100000000000001" customHeight="1" x14ac:dyDescent="0.2">
      <c r="K491" s="9" t="s">
        <v>1271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817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1259</v>
      </c>
    </row>
    <row r="492" spans="11:61" ht="20.100000000000001" customHeight="1" x14ac:dyDescent="0.2">
      <c r="K492" s="108" t="s">
        <v>1272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817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1261</v>
      </c>
    </row>
    <row r="493" spans="11:61" ht="20.100000000000001" customHeight="1" x14ac:dyDescent="0.2">
      <c r="K493" s="9" t="s">
        <v>1273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817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1274</v>
      </c>
    </row>
    <row r="494" spans="11:61" ht="20.100000000000001" customHeight="1" x14ac:dyDescent="0.2">
      <c r="K494" s="9" t="s">
        <v>1275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817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1276</v>
      </c>
    </row>
    <row r="495" spans="11:61" ht="20.100000000000001" customHeight="1" x14ac:dyDescent="0.2">
      <c r="K495" s="108" t="s">
        <v>1277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817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1278</v>
      </c>
    </row>
    <row r="496" spans="11:61" ht="20.100000000000001" customHeight="1" x14ac:dyDescent="0.2">
      <c r="K496" s="9" t="s">
        <v>1279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817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1274</v>
      </c>
    </row>
    <row r="497" spans="11:61" ht="20.100000000000001" customHeight="1" x14ac:dyDescent="0.2">
      <c r="K497" s="9" t="s">
        <v>1280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817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1281</v>
      </c>
    </row>
    <row r="498" spans="11:61" ht="20.100000000000001" customHeight="1" x14ac:dyDescent="0.2">
      <c r="K498" s="108" t="s">
        <v>1282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817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1283</v>
      </c>
    </row>
    <row r="499" spans="11:61" ht="20.100000000000001" customHeight="1" x14ac:dyDescent="0.2">
      <c r="K499" s="9" t="s">
        <v>1284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817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1276</v>
      </c>
    </row>
    <row r="500" spans="11:61" ht="20.100000000000001" customHeight="1" x14ac:dyDescent="0.2">
      <c r="K500" s="9" t="s">
        <v>1285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817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1286</v>
      </c>
    </row>
    <row r="501" spans="11:61" ht="20.100000000000001" customHeight="1" x14ac:dyDescent="0.2">
      <c r="K501" s="108" t="s">
        <v>1287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817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1288</v>
      </c>
    </row>
    <row r="502" spans="11:61" ht="20.100000000000001" customHeight="1" x14ac:dyDescent="0.2">
      <c r="K502" s="9" t="s">
        <v>1289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817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1290</v>
      </c>
    </row>
    <row r="503" spans="11:61" ht="20.100000000000001" customHeight="1" x14ac:dyDescent="0.2">
      <c r="K503" s="9" t="s">
        <v>1291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817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1281</v>
      </c>
    </row>
    <row r="504" spans="11:61" ht="20.100000000000001" customHeight="1" x14ac:dyDescent="0.2">
      <c r="K504" s="9" t="s">
        <v>1292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817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1286</v>
      </c>
    </row>
    <row r="505" spans="11:61" ht="20.100000000000001" customHeight="1" x14ac:dyDescent="0.2">
      <c r="K505" s="108" t="s">
        <v>1293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817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1288</v>
      </c>
    </row>
    <row r="506" spans="11:61" ht="20.100000000000001" customHeight="1" x14ac:dyDescent="0.2">
      <c r="K506" s="9" t="s">
        <v>1294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817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1290</v>
      </c>
    </row>
    <row r="507" spans="11:61" ht="20.100000000000001" customHeight="1" x14ac:dyDescent="0.2">
      <c r="K507" s="9" t="s">
        <v>1295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817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1281</v>
      </c>
    </row>
    <row r="508" spans="11:61" ht="20.100000000000001" customHeight="1" x14ac:dyDescent="0.2">
      <c r="K508" s="9" t="s">
        <v>1292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817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1286</v>
      </c>
    </row>
    <row r="509" spans="11:61" ht="20.100000000000001" customHeight="1" x14ac:dyDescent="0.2">
      <c r="K509" s="108" t="s">
        <v>1296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817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1288</v>
      </c>
    </row>
    <row r="510" spans="11:61" ht="20.100000000000001" customHeight="1" x14ac:dyDescent="0.2">
      <c r="K510" s="9" t="s">
        <v>1297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817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1298</v>
      </c>
    </row>
    <row r="511" spans="11:61" ht="20.100000000000001" customHeight="1" x14ac:dyDescent="0.2">
      <c r="K511" s="9" t="s">
        <v>1299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817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1286</v>
      </c>
    </row>
    <row r="512" spans="11:61" ht="20.100000000000001" customHeight="1" x14ac:dyDescent="0.2">
      <c r="K512" s="108" t="s">
        <v>1300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817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1288</v>
      </c>
    </row>
    <row r="513" spans="11:61" ht="20.100000000000001" customHeight="1" x14ac:dyDescent="0.2"/>
    <row r="514" spans="11:61" ht="20.100000000000001" customHeight="1" x14ac:dyDescent="0.2">
      <c r="K514" s="108" t="s">
        <v>1221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817</v>
      </c>
      <c r="S514" s="2">
        <v>4</v>
      </c>
      <c r="U514" s="77">
        <v>10021010</v>
      </c>
      <c r="V514" s="79" t="s">
        <v>837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1222</v>
      </c>
    </row>
    <row r="515" spans="11:61" ht="20.100000000000001" customHeight="1" x14ac:dyDescent="0.2">
      <c r="K515" s="108" t="s">
        <v>1231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817</v>
      </c>
      <c r="S515" s="2">
        <v>6</v>
      </c>
      <c r="U515" s="77">
        <v>10023010</v>
      </c>
      <c r="V515" s="109" t="s">
        <v>841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1261</v>
      </c>
    </row>
    <row r="516" spans="11:61" ht="20.100000000000001" customHeight="1" x14ac:dyDescent="0.2">
      <c r="K516" s="108" t="s">
        <v>1296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817</v>
      </c>
      <c r="S516" s="2">
        <v>8</v>
      </c>
      <c r="U516" s="77">
        <v>10025010</v>
      </c>
      <c r="V516" s="79" t="s">
        <v>860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1288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opLeftCell="A94" workbookViewId="0">
      <selection activeCell="H110" sqref="H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LOOKUP(L148,[2]ItemProto!$C$264:$C$305,[2]ItemProto!$O$264:$O$305)</f>
        <v>1</v>
      </c>
      <c r="Z148" s="2"/>
      <c r="AA148" s="2">
        <f>LOOKUP(N148,[2]ItemProto!$C$264:$C$305,[2]ItemProto!$O$264:$O$305)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LOOKUP(L149,[2]ItemProto!$C$264:$C$305,[2]ItemProto!$O$264:$O$305)</f>
        <v>1</v>
      </c>
      <c r="Z149" s="2"/>
      <c r="AA149" s="2">
        <f>LOOKUP(N149,[2]ItemProto!$C$264:$C$305,[2]ItemProto!$O$264:$O$305)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LOOKUP(L150,[2]ItemProto!$C$264:$C$305,[2]ItemProto!$O$264:$O$305)</f>
        <v>1</v>
      </c>
      <c r="Z150" s="2"/>
      <c r="AA150" s="2">
        <f>LOOKUP(N150,[2]ItemProto!$C$264:$C$305,[2]ItemProto!$O$264:$O$305)</f>
        <v>1</v>
      </c>
      <c r="AB150" s="2"/>
      <c r="AC150" s="2">
        <f>LOOKUP(P150,[2]ItemProto!$C$264:$C$305,[2]ItemProto!$O$264:$O$305)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LOOKUP(L151,[2]ItemProto!$C$264:$C$305,[2]ItemProto!$O$264:$O$305)</f>
        <v>1</v>
      </c>
      <c r="Z151" s="2"/>
      <c r="AA151" s="2">
        <f>LOOKUP(N151,[2]ItemProto!$C$264:$C$305,[2]ItemProto!$O$264:$O$305)</f>
        <v>1</v>
      </c>
      <c r="AB151" s="2"/>
      <c r="AC151" s="2">
        <f>LOOKUP(P151,[2]ItemProto!$C$264:$C$305,[2]ItemProto!$O$264:$O$305)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LOOKUP(L152,[2]ItemProto!$C$264:$C$305,[2]ItemProto!$O$264:$O$305)</f>
        <v>1</v>
      </c>
      <c r="Z152" s="2"/>
      <c r="AA152" s="2">
        <f>LOOKUP(N152,[2]ItemProto!$C$264:$C$305,[2]ItemProto!$O$264:$O$305)</f>
        <v>1</v>
      </c>
      <c r="AB152" s="2"/>
      <c r="AC152" s="2">
        <f>LOOKUP(P152,[2]ItemProto!$C$264:$C$305,[2]ItemProto!$O$264:$O$305)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LOOKUP(L153,[2]ItemProto!$C$264:$C$305,[2]ItemProto!$O$264:$O$305)</f>
        <v>1</v>
      </c>
      <c r="Z153" s="2"/>
      <c r="AA153" s="2">
        <f>LOOKUP(N153,[2]ItemProto!$C$264:$C$305,[2]ItemProto!$O$264:$O$305)</f>
        <v>1</v>
      </c>
      <c r="AB153" s="2"/>
      <c r="AC153" s="2">
        <f>LOOKUP(P153,[2]ItemProto!$C$264:$C$305,[2]ItemProto!$O$264:$O$305)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LOOKUP(L154,[2]ItemProto!$C$264:$C$305,[2]ItemProto!$O$264:$O$305)</f>
        <v>1</v>
      </c>
      <c r="Z154" s="2"/>
      <c r="AA154" s="2">
        <f>LOOKUP(N154,[2]ItemProto!$C$264:$C$305,[2]ItemProto!$O$264:$O$305)</f>
        <v>1</v>
      </c>
      <c r="AB154" s="2"/>
      <c r="AC154" s="2">
        <f>LOOKUP(P154,[2]ItemProto!$C$264:$C$305,[2]ItemProto!$O$264:$O$305)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LOOKUP(L155,[2]ItemProto!$C$264:$C$305,[2]ItemProto!$O$264:$O$305)</f>
        <v>1</v>
      </c>
      <c r="Z155" s="2"/>
      <c r="AA155" s="2">
        <f>LOOKUP(N155,[2]ItemProto!$C$264:$C$305,[2]ItemProto!$O$264:$O$305)</f>
        <v>1</v>
      </c>
      <c r="AB155" s="2"/>
      <c r="AC155" s="2">
        <f>LOOKUP(P155,[2]ItemProto!$C$264:$C$305,[2]ItemProto!$O$264:$O$305)</f>
        <v>1</v>
      </c>
      <c r="AD155" s="2"/>
      <c r="AE155" s="2">
        <f>LOOKUP(R155,[2]ItemProto!$C$264:$C$305,[2]ItemProto!$O$264:$O$305)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LOOKUP(L156,[2]ItemProto!$C$264:$C$305,[2]ItemProto!$O$264:$O$305)</f>
        <v>1</v>
      </c>
      <c r="Z156" s="2"/>
      <c r="AA156" s="2">
        <f>LOOKUP(N156,[2]ItemProto!$C$264:$C$305,[2]ItemProto!$O$264:$O$305)</f>
        <v>1</v>
      </c>
      <c r="AB156" s="2"/>
      <c r="AC156" s="2">
        <f>LOOKUP(P156,[2]ItemProto!$C$264:$C$305,[2]ItemProto!$O$264:$O$305)</f>
        <v>1</v>
      </c>
      <c r="AD156" s="2"/>
      <c r="AE156" s="2">
        <f>LOOKUP(R156,[2]ItemProto!$C$264:$C$305,[2]ItemProto!$O$264:$O$305)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LOOKUP(L157,[2]ItemProto!$C$264:$C$305,[2]ItemProto!$O$264:$O$305)</f>
        <v>1</v>
      </c>
      <c r="Z157" s="2"/>
      <c r="AA157" s="2">
        <f>LOOKUP(N157,[2]ItemProto!$C$264:$C$305,[2]ItemProto!$O$264:$O$305)</f>
        <v>1</v>
      </c>
      <c r="AB157" s="2"/>
      <c r="AC157" s="2">
        <f>LOOKUP(P157,[2]ItemProto!$C$264:$C$305,[2]ItemProto!$O$264:$O$305)</f>
        <v>1</v>
      </c>
      <c r="AD157" s="2"/>
      <c r="AE157" s="2">
        <f>LOOKUP(R157,[2]ItemProto!$C$264:$C$305,[2]ItemProto!$O$264:$O$305)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LOOKUP(L158,[2]ItemProto!$C$264:$C$305,[2]ItemProto!$O$264:$O$305)</f>
        <v>1</v>
      </c>
      <c r="Z158" s="13"/>
      <c r="AA158" s="2">
        <f>LOOKUP(N158,[2]ItemProto!$C$264:$C$305,[2]ItemProto!$O$264:$O$305)</f>
        <v>1</v>
      </c>
      <c r="AB158" s="13"/>
      <c r="AC158" s="2">
        <f>LOOKUP(P158,[2]ItemProto!$C$264:$C$305,[2]ItemProto!$O$264:$O$305)</f>
        <v>1</v>
      </c>
      <c r="AD158" s="13"/>
      <c r="AE158" s="2">
        <f>LOOKUP(R158,[2]ItemProto!$C$264:$C$305,[2]ItemProto!$O$264:$O$305)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LOOKUP(L159,[2]ItemProto!$C$264:$C$305,[2]ItemProto!$O$264:$O$305)</f>
        <v>1</v>
      </c>
      <c r="Z159" s="13"/>
      <c r="AA159" s="2">
        <f>LOOKUP(N159,[2]ItemProto!$C$264:$C$305,[2]ItemProto!$O$264:$O$305)</f>
        <v>1</v>
      </c>
      <c r="AB159" s="13"/>
      <c r="AC159" s="2">
        <f>LOOKUP(P159,[2]ItemProto!$C$264:$C$305,[2]ItemProto!$O$264:$O$305)</f>
        <v>1</v>
      </c>
      <c r="AD159" s="13"/>
      <c r="AE159" s="2">
        <f>LOOKUP(R159,[2]ItemProto!$C$264:$C$305,[2]ItemProto!$O$264:$O$305)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LOOKUP(L160,[2]ItemProto!$C$264:$C$305,[2]ItemProto!$O$264:$O$305)</f>
        <v>1</v>
      </c>
      <c r="Z160" s="13"/>
      <c r="AA160" s="2">
        <f>LOOKUP(N160,[2]ItemProto!$C$264:$C$305,[2]ItemProto!$O$264:$O$305)</f>
        <v>1</v>
      </c>
      <c r="AB160" s="13"/>
      <c r="AC160" s="2">
        <f>LOOKUP(P160,[2]ItemProto!$C$264:$C$305,[2]ItemProto!$O$264:$O$305)</f>
        <v>1</v>
      </c>
      <c r="AD160" s="13"/>
      <c r="AE160" s="2">
        <f>LOOKUP(R160,[2]ItemProto!$C$264:$C$305,[2]ItemProto!$O$264:$O$305)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LOOKUP(L161,[2]ItemProto!$C$264:$C$305,[2]ItemProto!$O$264:$O$305)</f>
        <v>1</v>
      </c>
      <c r="Z161" s="13"/>
      <c r="AA161" s="2">
        <f>LOOKUP(N161,[2]ItemProto!$C$264:$C$305,[2]ItemProto!$O$264:$O$305)</f>
        <v>1</v>
      </c>
      <c r="AB161" s="13"/>
      <c r="AC161" s="2">
        <f>LOOKUP(P161,[2]ItemProto!$C$264:$C$305,[2]ItemProto!$O$264:$O$305)</f>
        <v>1</v>
      </c>
      <c r="AD161" s="13"/>
      <c r="AE161" s="2">
        <f>LOOKUP(R161,[2]ItemProto!$C$264:$C$305,[2]ItemProto!$O$264:$O$305)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LOOKUP(L162,[2]ItemProto!$C$264:$C$305,[2]ItemProto!$O$264:$O$305)</f>
        <v>1</v>
      </c>
      <c r="Z162" s="13"/>
      <c r="AA162" s="2">
        <f>LOOKUP(N162,[2]ItemProto!$C$264:$C$305,[2]ItemProto!$O$264:$O$305)</f>
        <v>1</v>
      </c>
      <c r="AB162" s="13"/>
      <c r="AC162" s="2">
        <f>LOOKUP(P162,[2]ItemProto!$C$264:$C$305,[2]ItemProto!$O$264:$O$305)</f>
        <v>1</v>
      </c>
      <c r="AD162" s="13"/>
      <c r="AE162" s="2">
        <f>LOOKUP(R162,[2]ItemProto!$C$264:$C$305,[2]ItemProto!$O$264:$O$305)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LOOKUP(L163,[2]ItemProto!$C$264:$C$305,[2]ItemProto!$O$264:$O$305)</f>
        <v>1</v>
      </c>
      <c r="Z163" s="13"/>
      <c r="AA163" s="2">
        <f>LOOKUP(N163,[2]ItemProto!$C$264:$C$305,[2]ItemProto!$O$264:$O$305)</f>
        <v>1</v>
      </c>
      <c r="AB163" s="13"/>
      <c r="AC163" s="2">
        <f>LOOKUP(P163,[2]ItemProto!$C$264:$C$305,[2]ItemProto!$O$264:$O$305)</f>
        <v>1</v>
      </c>
      <c r="AD163" s="13"/>
      <c r="AE163" s="2">
        <f>LOOKUP(R163,[2]ItemProto!$C$264:$C$305,[2]ItemProto!$O$264:$O$305)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LOOKUP(L164,[2]ItemProto!$C$264:$C$305,[2]ItemProto!$O$264:$O$305)</f>
        <v>1</v>
      </c>
      <c r="Z164" s="13"/>
      <c r="AA164" s="2">
        <f>LOOKUP(N164,[2]ItemProto!$C$264:$C$305,[2]ItemProto!$O$264:$O$305)</f>
        <v>1</v>
      </c>
      <c r="AB164" s="13"/>
      <c r="AC164" s="2">
        <f>LOOKUP(P164,[2]ItemProto!$C$264:$C$305,[2]ItemProto!$O$264:$O$305)</f>
        <v>1</v>
      </c>
      <c r="AD164" s="13"/>
      <c r="AE164" s="2">
        <f>LOOKUP(R164,[2]ItemProto!$C$264:$C$305,[2]ItemProto!$O$264:$O$305)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LOOKUP(L165,[2]ItemProto!$C$264:$C$305,[2]ItemProto!$O$264:$O$305)</f>
        <v>1</v>
      </c>
      <c r="Z165" s="13"/>
      <c r="AA165" s="2">
        <f>LOOKUP(N165,[2]ItemProto!$C$264:$C$305,[2]ItemProto!$O$264:$O$305)</f>
        <v>1</v>
      </c>
      <c r="AB165" s="13"/>
      <c r="AC165" s="2">
        <f>LOOKUP(P165,[2]ItemProto!$C$264:$C$305,[2]ItemProto!$O$264:$O$305)</f>
        <v>1</v>
      </c>
      <c r="AD165" s="13"/>
      <c r="AE165" s="2">
        <f>LOOKUP(R165,[2]ItemProto!$C$264:$C$305,[2]ItemProto!$O$264:$O$305)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LOOKUP(L166,[2]ItemProto!$C$264:$C$305,[2]ItemProto!$O$264:$O$305)</f>
        <v>1</v>
      </c>
      <c r="Z166" s="13"/>
      <c r="AA166" s="2">
        <f>LOOKUP(N166,[2]ItemProto!$C$264:$C$305,[2]ItemProto!$O$264:$O$305)</f>
        <v>1</v>
      </c>
      <c r="AB166" s="13"/>
      <c r="AC166" s="2">
        <f>LOOKUP(P166,[2]ItemProto!$C$264:$C$305,[2]ItemProto!$O$264:$O$305)</f>
        <v>1</v>
      </c>
      <c r="AD166" s="13"/>
      <c r="AE166" s="2">
        <f>LOOKUP(R166,[2]ItemProto!$C$264:$C$305,[2]ItemProto!$O$264:$O$305)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LOOKUP(L167,[2]ItemProto!$C$264:$C$305,[2]ItemProto!$O$264:$O$305)</f>
        <v>1</v>
      </c>
      <c r="Z167" s="13"/>
      <c r="AA167" s="2">
        <f>LOOKUP(N167,[2]ItemProto!$C$264:$C$305,[2]ItemProto!$O$264:$O$305)</f>
        <v>1</v>
      </c>
      <c r="AB167" s="13"/>
      <c r="AC167" s="2">
        <f>LOOKUP(P167,[2]ItemProto!$C$264:$C$305,[2]ItemProto!$O$264:$O$305)</f>
        <v>1</v>
      </c>
      <c r="AD167" s="13"/>
      <c r="AE167" s="2">
        <f>LOOKUP(R167,[2]ItemProto!$C$264:$C$305,[2]ItemProto!$O$264:$O$305)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LOOKUP(L168,[2]ItemProto!$C$264:$C$305,[2]ItemProto!$O$264:$O$305)</f>
        <v>1</v>
      </c>
      <c r="Z168" s="13"/>
      <c r="AA168" s="2">
        <f>LOOKUP(N168,[2]ItemProto!$C$264:$C$305,[2]ItemProto!$O$264:$O$305)</f>
        <v>1</v>
      </c>
      <c r="AB168" s="13"/>
      <c r="AC168" s="2">
        <f>LOOKUP(P168,[2]ItemProto!$C$264:$C$305,[2]ItemProto!$O$264:$O$305)</f>
        <v>1</v>
      </c>
      <c r="AD168" s="13"/>
      <c r="AE168" s="2">
        <f>LOOKUP(R168,[2]ItemProto!$C$264:$C$305,[2]ItemProto!$O$264:$O$305)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LOOKUP(L169,[2]ItemProto!$C$264:$C$305,[2]ItemProto!$O$264:$O$305)</f>
        <v>1</v>
      </c>
      <c r="Z169" s="13"/>
      <c r="AA169" s="2">
        <f>LOOKUP(N169,[2]ItemProto!$C$264:$C$305,[2]ItemProto!$O$264:$O$305)</f>
        <v>1</v>
      </c>
      <c r="AB169" s="13"/>
      <c r="AC169" s="2">
        <f>LOOKUP(P169,[2]ItemProto!$C$264:$C$305,[2]ItemProto!$O$264:$O$305)</f>
        <v>1</v>
      </c>
      <c r="AD169" s="13"/>
      <c r="AE169" s="2">
        <f>LOOKUP(R169,[2]ItemProto!$C$264:$C$305,[2]ItemProto!$O$264:$O$305)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LOOKUP(L170,[2]ItemProto!$C$264:$C$305,[2]ItemProto!$O$264:$O$305)</f>
        <v>1</v>
      </c>
      <c r="Z170" s="13"/>
      <c r="AA170" s="2">
        <f>LOOKUP(N170,[2]ItemProto!$C$264:$C$305,[2]ItemProto!$O$264:$O$305)</f>
        <v>1</v>
      </c>
      <c r="AB170" s="13"/>
      <c r="AC170" s="2">
        <f>LOOKUP(P170,[2]ItemProto!$C$264:$C$305,[2]ItemProto!$O$264:$O$305)</f>
        <v>1</v>
      </c>
      <c r="AD170" s="13"/>
      <c r="AE170" s="2">
        <f>LOOKUP(R170,[2]ItemProto!$C$264:$C$305,[2]ItemProto!$O$264:$O$305)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LOOKUP(L171,[2]ItemProto!$C$264:$C$305,[2]ItemProto!$O$264:$O$305)</f>
        <v>1</v>
      </c>
      <c r="Z171" s="13"/>
      <c r="AA171" s="2">
        <f>LOOKUP(N171,[2]ItemProto!$C$264:$C$305,[2]ItemProto!$O$264:$O$305)</f>
        <v>1</v>
      </c>
      <c r="AB171" s="13"/>
      <c r="AC171" s="2">
        <f>LOOKUP(P171,[2]ItemProto!$C$264:$C$305,[2]ItemProto!$O$264:$O$305)</f>
        <v>1</v>
      </c>
      <c r="AD171" s="13"/>
      <c r="AE171" s="2">
        <f>LOOKUP(R171,[2]ItemProto!$C$264:$C$305,[2]ItemProto!$O$264:$O$305)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LOOKUP(L172,[2]ItemProto!$C$264:$C$305,[2]ItemProto!$O$264:$O$305)</f>
        <v>1</v>
      </c>
      <c r="Z172" s="13"/>
      <c r="AA172" s="2">
        <f>LOOKUP(N172,[2]ItemProto!$C$264:$C$305,[2]ItemProto!$O$264:$O$305)</f>
        <v>1</v>
      </c>
      <c r="AB172" s="13"/>
      <c r="AC172" s="2">
        <f>LOOKUP(P172,[2]ItemProto!$C$264:$C$305,[2]ItemProto!$O$264:$O$305)</f>
        <v>1</v>
      </c>
      <c r="AD172" s="13"/>
      <c r="AE172" s="2">
        <f>LOOKUP(R172,[2]ItemProto!$C$264:$C$305,[2]ItemProto!$O$264:$O$305)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LOOKUP(L173,[2]ItemProto!$C$264:$C$305,[2]ItemProto!$O$264:$O$305)</f>
        <v>1</v>
      </c>
      <c r="Z173" s="13"/>
      <c r="AA173" s="2">
        <f>LOOKUP(N173,[2]ItemProto!$C$264:$C$305,[2]ItemProto!$O$264:$O$305)</f>
        <v>1</v>
      </c>
      <c r="AB173" s="13"/>
      <c r="AC173" s="2">
        <f>LOOKUP(P173,[2]ItemProto!$C$264:$C$305,[2]ItemProto!$O$264:$O$305)</f>
        <v>1</v>
      </c>
      <c r="AD173" s="13"/>
      <c r="AE173" s="2">
        <f>LOOKUP(R173,[2]ItemProto!$C$264:$C$305,[2]ItemProto!$O$264:$O$305)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LOOKUP(L174,[2]ItemProto!$C$264:$C$305,[2]ItemProto!$O$264:$O$305)</f>
        <v>1</v>
      </c>
      <c r="Z174" s="13"/>
      <c r="AA174" s="2">
        <f>LOOKUP(N174,[2]ItemProto!$C$264:$C$305,[2]ItemProto!$O$264:$O$305)</f>
        <v>1</v>
      </c>
      <c r="AB174" s="13"/>
      <c r="AC174" s="2">
        <f>LOOKUP(P174,[2]ItemProto!$C$264:$C$305,[2]ItemProto!$O$264:$O$305)</f>
        <v>1</v>
      </c>
      <c r="AD174" s="13"/>
      <c r="AE174" s="2">
        <f>LOOKUP(R174,[2]ItemProto!$C$264:$C$305,[2]ItemProto!$O$264:$O$305)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LOOKUP(L175,[2]ItemProto!$C$264:$C$305,[2]ItemProto!$O$264:$O$305)</f>
        <v>1</v>
      </c>
      <c r="Z175" s="13"/>
      <c r="AA175" s="2">
        <f>LOOKUP(N175,[2]ItemProto!$C$264:$C$305,[2]ItemProto!$O$264:$O$305)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LOOKUP(L176,[2]ItemProto!$C$264:$C$305,[2]ItemProto!$O$264:$O$305)</f>
        <v>1</v>
      </c>
      <c r="Z176" s="13"/>
      <c r="AA176" s="2">
        <f>LOOKUP(N176,[2]ItemProto!$C$264:$C$305,[2]ItemProto!$O$264:$O$305)</f>
        <v>1</v>
      </c>
      <c r="AB176" s="13"/>
      <c r="AC176" s="2">
        <f>LOOKUP(P176,[2]ItemProto!$C$264:$C$305,[2]ItemProto!$O$264:$O$305)</f>
        <v>1</v>
      </c>
      <c r="AD176" s="13"/>
      <c r="AE176" s="2">
        <f>LOOKUP(R176,[2]ItemProto!$C$264:$C$305,[2]ItemProto!$O$264:$O$305)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LOOKUP(L177,[2]ItemProto!$C$264:$C$305,[2]ItemProto!$O$264:$O$305)</f>
        <v>1</v>
      </c>
      <c r="Z177" s="13"/>
      <c r="AA177" s="2">
        <f>LOOKUP(N177,[2]ItemProto!$C$264:$C$305,[2]ItemProto!$O$264:$O$305)</f>
        <v>1</v>
      </c>
      <c r="AB177" s="13"/>
      <c r="AC177" s="2">
        <f>LOOKUP(P177,[2]ItemProto!$C$264:$C$305,[2]ItemProto!$O$264:$O$305)</f>
        <v>1</v>
      </c>
      <c r="AD177" s="13"/>
      <c r="AE177" s="2">
        <f>LOOKUP(R177,[2]ItemProto!$C$264:$C$305,[2]ItemProto!$O$264:$O$305)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LOOKUP(L178,[2]ItemProto!$C$264:$C$305,[2]ItemProto!$O$264:$O$305)</f>
        <v>1</v>
      </c>
      <c r="Z178" s="13"/>
      <c r="AA178" s="2">
        <f>LOOKUP(N178,[2]ItemProto!$C$264:$C$305,[2]ItemProto!$O$264:$O$305)</f>
        <v>1</v>
      </c>
      <c r="AB178" s="13"/>
      <c r="AC178" s="2">
        <f>LOOKUP(P178,[2]ItemProto!$C$264:$C$305,[2]ItemProto!$O$264:$O$305)</f>
        <v>1</v>
      </c>
      <c r="AD178" s="13"/>
      <c r="AE178" s="2">
        <f>LOOKUP(R178,[2]ItemProto!$C$264:$C$305,[2]ItemProto!$O$264:$O$305)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LOOKUP(L179,[2]ItemProto!$C$264:$C$305,[2]ItemProto!$O$264:$O$305)</f>
        <v>1</v>
      </c>
      <c r="Z179" s="13"/>
      <c r="AA179" s="2">
        <f>LOOKUP(N179,[2]ItemProto!$C$264:$C$305,[2]ItemProto!$O$264:$O$305)</f>
        <v>1</v>
      </c>
      <c r="AB179" s="13"/>
      <c r="AC179" s="2">
        <f>LOOKUP(P179,[2]ItemProto!$C$264:$C$305,[2]ItemProto!$O$264:$O$305)</f>
        <v>1</v>
      </c>
      <c r="AD179" s="13"/>
      <c r="AE179" s="2">
        <f>LOOKUP(R179,[2]ItemProto!$C$264:$C$305,[2]ItemProto!$O$264:$O$305)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LOOKUP(L180,[2]ItemProto!$C$264:$C$305,[2]ItemProto!$O$264:$O$305)</f>
        <v>1</v>
      </c>
      <c r="Z180" s="13"/>
      <c r="AA180" s="2">
        <f>LOOKUP(N180,[2]ItemProto!$C$264:$C$305,[2]ItemProto!$O$264:$O$305)</f>
        <v>1</v>
      </c>
      <c r="AB180" s="13"/>
      <c r="AC180" s="2">
        <f>LOOKUP(P180,[2]ItemProto!$C$264:$C$305,[2]ItemProto!$O$264:$O$305)</f>
        <v>1</v>
      </c>
      <c r="AD180" s="13"/>
      <c r="AE180" s="2">
        <f>LOOKUP(R180,[2]ItemProto!$C$264:$C$305,[2]ItemProto!$O$264:$O$305)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LOOKUP(L181,[2]ItemProto!$C$264:$C$305,[2]ItemProto!$O$264:$O$305)</f>
        <v>1</v>
      </c>
      <c r="Z181" s="13"/>
      <c r="AA181" s="2">
        <f>LOOKUP(N181,[2]ItemProto!$C$264:$C$305,[2]ItemProto!$O$264:$O$305)</f>
        <v>1</v>
      </c>
      <c r="AB181" s="13"/>
      <c r="AC181" s="2">
        <f>LOOKUP(P181,[2]ItemProto!$C$264:$C$305,[2]ItemProto!$O$264:$O$305)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LOOKUP(L182,[2]ItemProto!$C$264:$C$305,[2]ItemProto!$O$264:$O$305)</f>
        <v>1</v>
      </c>
      <c r="Z182" s="13"/>
      <c r="AA182" s="2">
        <f>LOOKUP(N182,[2]ItemProto!$C$264:$C$305,[2]ItemProto!$O$264:$O$305)</f>
        <v>1</v>
      </c>
      <c r="AB182" s="13"/>
      <c r="AC182" s="2">
        <f>LOOKUP(P182,[2]ItemProto!$C$264:$C$305,[2]ItemProto!$O$264:$O$305)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经济总表</vt:lpstr>
      <vt:lpstr>任务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2025-11-21T10:20:00Z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