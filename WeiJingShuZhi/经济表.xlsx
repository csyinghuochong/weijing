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9ED545C5-3C8D-49F8-87EF-167F8EA492CC}" xr6:coauthVersionLast="47" xr6:coauthVersionMax="47" xr10:uidLastSave="{00000000-0000-0000-0000-000000000000}"/>
  <bookViews>
    <workbookView xWindow="-120" yWindow="-120" windowWidth="29040" windowHeight="15840" firstSheet="9" activeTab="15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AY419" i="14" l="1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J3" i="1"/>
  <c r="G3" i="1"/>
  <c r="H3" i="1" s="1"/>
  <c r="F3" i="1"/>
  <c r="C3" i="2" s="1"/>
  <c r="B3" i="1"/>
  <c r="O2" i="1"/>
  <c r="N2" i="1"/>
  <c r="L2" i="1"/>
  <c r="J2" i="1"/>
  <c r="G2" i="1"/>
  <c r="H2" i="1" s="1"/>
  <c r="E2" i="1" s="1"/>
  <c r="C2" i="1" s="1"/>
  <c r="B2" i="1"/>
  <c r="BA238" i="14" l="1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G175" i="32"/>
  <c r="AG177" i="32"/>
  <c r="AG180" i="32"/>
  <c r="AG151" i="32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D2" i="1"/>
  <c r="D3" i="1"/>
  <c r="D4" i="1"/>
  <c r="E3" i="1"/>
  <c r="C3" i="1" s="1"/>
  <c r="M4" i="3"/>
  <c r="L5" i="3"/>
  <c r="M5" i="3" s="1"/>
  <c r="K6" i="3"/>
  <c r="G4" i="1"/>
  <c r="H4" i="1" s="1"/>
  <c r="E4" i="1" s="1"/>
  <c r="C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K172" i="32"/>
  <c r="AL175" i="32"/>
  <c r="AK175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L154" i="32"/>
  <c r="AK154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AL177" i="32"/>
  <c r="AK177" i="32"/>
  <c r="AL180" i="32"/>
  <c r="AK180" i="32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L151" i="32"/>
  <c r="AK151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BA478" i="14" l="1"/>
  <c r="BA507" i="14"/>
  <c r="BA488" i="14"/>
  <c r="BA481" i="14"/>
  <c r="AK163" i="32"/>
  <c r="AN163" i="32" s="1"/>
  <c r="AK182" i="32"/>
  <c r="AK150" i="32"/>
  <c r="AN150" i="32" s="1"/>
  <c r="AN175" i="32"/>
  <c r="AK160" i="32"/>
  <c r="AN160" i="32" s="1"/>
  <c r="AK157" i="32"/>
  <c r="AN157" i="32" s="1"/>
  <c r="AK174" i="32"/>
  <c r="AK152" i="32"/>
  <c r="AN152" i="32" s="1"/>
  <c r="AN151" i="32"/>
  <c r="AL166" i="32"/>
  <c r="AN166" i="32" s="1"/>
  <c r="AN177" i="32"/>
  <c r="AK169" i="32"/>
  <c r="AN169" i="32" s="1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N182" i="32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T6" i="24" l="1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C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AB66" i="32" l="1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D7" i="1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C11" i="1" s="1"/>
  <c r="F12" i="1"/>
  <c r="N11" i="1"/>
  <c r="O11" i="1" s="1"/>
  <c r="C11" i="2"/>
  <c r="J11" i="1" s="1"/>
  <c r="L11" i="1"/>
  <c r="AB72" i="32"/>
  <c r="M36" i="32"/>
  <c r="S35" i="32"/>
  <c r="D11" i="1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K106" i="32" l="1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C12" i="1" s="1"/>
  <c r="D12" i="1" s="1"/>
  <c r="F13" i="1"/>
  <c r="AB73" i="32"/>
  <c r="M71" i="32"/>
  <c r="P70" i="32"/>
  <c r="C12" i="4"/>
  <c r="B13" i="4"/>
  <c r="F12" i="4"/>
  <c r="AK74" i="32"/>
  <c r="K109" i="32"/>
  <c r="P109" i="32" s="1"/>
  <c r="K110" i="32" l="1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C17" i="1" s="1"/>
  <c r="D17" i="1" s="1"/>
  <c r="F18" i="1"/>
  <c r="E16" i="1"/>
  <c r="C16" i="1" s="1"/>
  <c r="D16" i="1" s="1"/>
  <c r="C18" i="4" l="1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C20" i="1" s="1"/>
  <c r="D20" i="1" s="1"/>
  <c r="E19" i="1"/>
  <c r="C19" i="1" s="1"/>
  <c r="D19" i="1" s="1"/>
  <c r="P79" i="32"/>
  <c r="O80" i="32"/>
  <c r="AH79" i="32"/>
  <c r="N79" i="32"/>
  <c r="AQ145" i="4" l="1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1" s="1"/>
  <c r="D21" i="1" s="1"/>
  <c r="C21" i="2"/>
  <c r="J21" i="1" s="1"/>
  <c r="P80" i="32"/>
  <c r="N80" i="32"/>
  <c r="O81" i="32"/>
  <c r="AH80" i="32"/>
  <c r="O82" i="32" l="1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C22" i="1" s="1"/>
  <c r="D22" i="1" s="1"/>
  <c r="E21" i="4"/>
  <c r="H21" i="4" s="1"/>
  <c r="C22" i="4"/>
  <c r="F22" i="4"/>
  <c r="B23" i="4"/>
  <c r="E22" i="4" l="1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C25" i="1" s="1"/>
  <c r="D25" i="1" s="1"/>
  <c r="L25" i="1"/>
  <c r="F26" i="1"/>
  <c r="N84" i="32"/>
  <c r="AH84" i="32"/>
  <c r="O85" i="32"/>
  <c r="P84" i="32"/>
  <c r="F27" i="1" l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1" s="1"/>
  <c r="D27" i="1" s="1"/>
  <c r="C27" i="2"/>
  <c r="J27" i="1" s="1"/>
  <c r="F28" i="1"/>
  <c r="G28" i="1" l="1"/>
  <c r="H28" i="1" s="1"/>
  <c r="E28" i="1" s="1"/>
  <c r="C28" i="1" s="1"/>
  <c r="D28" i="1" s="1"/>
  <c r="F29" i="1"/>
  <c r="N28" i="1"/>
  <c r="O28" i="1" s="1"/>
  <c r="C28" i="2"/>
  <c r="J28" i="1" s="1"/>
  <c r="L28" i="1"/>
  <c r="F28" i="4"/>
  <c r="B29" i="4"/>
  <c r="C28" i="4"/>
  <c r="E27" i="4"/>
  <c r="H27" i="4" s="1"/>
  <c r="E28" i="4" l="1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C32" i="1" s="1"/>
  <c r="D32" i="1" s="1"/>
  <c r="F33" i="1"/>
  <c r="E31" i="1"/>
  <c r="C31" i="1" s="1"/>
  <c r="D31" i="1" s="1"/>
  <c r="L33" i="1" l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1" s="1"/>
  <c r="D34" i="1" s="1"/>
  <c r="C34" i="2"/>
  <c r="J34" i="1" s="1"/>
  <c r="C35" i="2" l="1"/>
  <c r="J35" i="1" s="1"/>
  <c r="N35" i="1"/>
  <c r="O35" i="1" s="1"/>
  <c r="G35" i="1"/>
  <c r="H35" i="1" s="1"/>
  <c r="E35" i="1" s="1"/>
  <c r="C35" i="1" s="1"/>
  <c r="D35" i="1" s="1"/>
  <c r="F36" i="1"/>
  <c r="L35" i="1"/>
  <c r="E34" i="4"/>
  <c r="H34" i="4" s="1"/>
  <c r="F35" i="4"/>
  <c r="B36" i="4"/>
  <c r="C35" i="4"/>
  <c r="F36" i="4" l="1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1" s="1"/>
  <c r="D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E37" i="4" l="1"/>
  <c r="H37" i="4" s="1"/>
  <c r="C38" i="2"/>
  <c r="J38" i="1" s="1"/>
  <c r="F39" i="1"/>
  <c r="L38" i="1"/>
  <c r="G38" i="1"/>
  <c r="H38" i="1" s="1"/>
  <c r="E38" i="1" s="1"/>
  <c r="C38" i="1" s="1"/>
  <c r="D38" i="1" s="1"/>
  <c r="N38" i="1"/>
  <c r="O38" i="1" s="1"/>
  <c r="B39" i="4"/>
  <c r="C38" i="4"/>
  <c r="F38" i="4"/>
  <c r="E38" i="4" l="1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C44" i="1" s="1"/>
  <c r="D44" i="1" s="1"/>
  <c r="L44" i="1"/>
  <c r="E43" i="4"/>
  <c r="H43" i="4"/>
  <c r="E43" i="1"/>
  <c r="C43" i="1" s="1"/>
  <c r="D43" i="1" s="1"/>
  <c r="L45" i="1" l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s="1"/>
  <c r="D46" i="1" s="1"/>
  <c r="N47" i="1" l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C48" i="1" s="1"/>
  <c r="D48" i="1" s="1"/>
  <c r="N48" i="1"/>
  <c r="O48" i="1" s="1"/>
  <c r="F49" i="1"/>
  <c r="C47" i="1"/>
  <c r="D47" i="1" s="1"/>
  <c r="C48" i="4"/>
  <c r="B49" i="4"/>
  <c r="F48" i="4"/>
  <c r="E48" i="4" l="1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C56" i="1" s="1"/>
  <c r="D56" i="1" s="1"/>
  <c r="H55" i="4"/>
  <c r="E55" i="4"/>
  <c r="E55" i="1"/>
  <c r="C55" i="1" s="1"/>
  <c r="D55" i="1" s="1"/>
  <c r="L57" i="1" l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1" s="1"/>
  <c r="D58" i="1" s="1"/>
  <c r="C58" i="2"/>
  <c r="J58" i="1" s="1"/>
  <c r="E57" i="1"/>
  <c r="C57" i="1" s="1"/>
  <c r="D57" i="1" s="1"/>
  <c r="F58" i="4"/>
  <c r="B59" i="4"/>
  <c r="C58" i="4"/>
  <c r="F59" i="4" l="1"/>
  <c r="C59" i="4"/>
  <c r="B60" i="4"/>
  <c r="N59" i="1"/>
  <c r="O59" i="1" s="1"/>
  <c r="C59" i="2"/>
  <c r="J59" i="1" s="1"/>
  <c r="G59" i="1"/>
  <c r="H59" i="1" s="1"/>
  <c r="E59" i="1" s="1"/>
  <c r="C59" i="1" s="1"/>
  <c r="D59" i="1" s="1"/>
  <c r="F60" i="1"/>
  <c r="L59" i="1"/>
  <c r="E58" i="4"/>
  <c r="H58" i="4" s="1"/>
  <c r="L60" i="1" l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C61" i="1" s="1"/>
  <c r="D61" i="1" s="1"/>
  <c r="F62" i="1"/>
  <c r="L61" i="1"/>
  <c r="E60" i="1"/>
  <c r="C60" i="1" s="1"/>
  <c r="D60" i="1" s="1"/>
  <c r="E60" i="4"/>
  <c r="H60" i="4" s="1"/>
  <c r="F63" i="1" l="1"/>
  <c r="C62" i="2"/>
  <c r="J62" i="1" s="1"/>
  <c r="L62" i="1"/>
  <c r="N62" i="1"/>
  <c r="O62" i="1" s="1"/>
  <c r="G62" i="1"/>
  <c r="H62" i="1" s="1"/>
  <c r="E62" i="1" s="1"/>
  <c r="C62" i="1" s="1"/>
  <c r="D62" i="1" s="1"/>
  <c r="E61" i="4"/>
  <c r="H61" i="4" s="1"/>
  <c r="F62" i="4"/>
  <c r="C62" i="4"/>
  <c r="B63" i="4"/>
  <c r="E62" i="4" l="1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s="1"/>
  <c r="D63" i="1" s="1"/>
  <c r="C64" i="2" l="1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<sst xmlns="http://schemas.openxmlformats.org/spreadsheetml/2006/main" count="9112" uniqueCount="2264">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</sst>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6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4">
          <cell r="C264">
            <v>10014023</v>
          </cell>
          <cell r="O264">
            <v>1</v>
          </cell>
        </row>
        <row r="265">
          <cell r="C265">
            <v>10014024</v>
          </cell>
          <cell r="O265">
            <v>1</v>
          </cell>
        </row>
        <row r="266">
          <cell r="C266">
            <v>10014025</v>
          </cell>
          <cell r="O266">
            <v>1</v>
          </cell>
        </row>
        <row r="267">
          <cell r="C267">
            <v>10014026</v>
          </cell>
          <cell r="O267">
            <v>1</v>
          </cell>
        </row>
        <row r="268">
          <cell r="C268">
            <v>10014027</v>
          </cell>
          <cell r="O268">
            <v>1</v>
          </cell>
        </row>
        <row r="269">
          <cell r="C269">
            <v>10020003</v>
          </cell>
          <cell r="O269">
            <v>1</v>
          </cell>
        </row>
        <row r="270">
          <cell r="C270">
            <v>10020004</v>
          </cell>
          <cell r="O270">
            <v>1</v>
          </cell>
        </row>
        <row r="271">
          <cell r="C271">
            <v>10020006</v>
          </cell>
          <cell r="O271">
            <v>1</v>
          </cell>
        </row>
        <row r="272">
          <cell r="C272">
            <v>10020007</v>
          </cell>
          <cell r="O272">
            <v>1</v>
          </cell>
        </row>
        <row r="273">
          <cell r="C273">
            <v>10020051</v>
          </cell>
          <cell r="O273">
            <v>1</v>
          </cell>
        </row>
        <row r="274">
          <cell r="C274">
            <v>10020060</v>
          </cell>
          <cell r="O274">
            <v>1</v>
          </cell>
        </row>
        <row r="275">
          <cell r="C275">
            <v>10020001</v>
          </cell>
          <cell r="O275">
            <v>1</v>
          </cell>
        </row>
        <row r="276">
          <cell r="C276">
            <v>10021001</v>
          </cell>
          <cell r="O276">
            <v>1</v>
          </cell>
        </row>
        <row r="277">
          <cell r="C277">
            <v>10021002</v>
          </cell>
          <cell r="O277">
            <v>1</v>
          </cell>
        </row>
        <row r="278">
          <cell r="C278">
            <v>10021003</v>
          </cell>
          <cell r="O278">
            <v>1</v>
          </cell>
        </row>
        <row r="279">
          <cell r="C279">
            <v>10021004</v>
          </cell>
          <cell r="O279">
            <v>1</v>
          </cell>
        </row>
        <row r="280">
          <cell r="C280">
            <v>10021005</v>
          </cell>
          <cell r="O280">
            <v>1</v>
          </cell>
        </row>
        <row r="281">
          <cell r="C281">
            <v>10021006</v>
          </cell>
          <cell r="O281">
            <v>1</v>
          </cell>
        </row>
        <row r="282">
          <cell r="C282">
            <v>10021007</v>
          </cell>
          <cell r="O282">
            <v>1</v>
          </cell>
        </row>
        <row r="283">
          <cell r="C283">
            <v>10021008</v>
          </cell>
          <cell r="O283">
            <v>1</v>
          </cell>
        </row>
        <row r="284">
          <cell r="C284">
            <v>10021009</v>
          </cell>
          <cell r="O284">
            <v>1</v>
          </cell>
        </row>
        <row r="285">
          <cell r="C285">
            <v>10021010</v>
          </cell>
          <cell r="O285">
            <v>1</v>
          </cell>
        </row>
        <row r="286">
          <cell r="C286">
            <v>10022001</v>
          </cell>
          <cell r="O286">
            <v>1</v>
          </cell>
        </row>
        <row r="287">
          <cell r="C287">
            <v>10022002</v>
          </cell>
          <cell r="O287">
            <v>1</v>
          </cell>
        </row>
        <row r="288">
          <cell r="C288">
            <v>10022003</v>
          </cell>
          <cell r="O288">
            <v>1</v>
          </cell>
        </row>
        <row r="289">
          <cell r="C289">
            <v>10022004</v>
          </cell>
          <cell r="O289">
            <v>1</v>
          </cell>
        </row>
        <row r="290">
          <cell r="C290">
            <v>10022005</v>
          </cell>
          <cell r="O290">
            <v>1</v>
          </cell>
        </row>
        <row r="291">
          <cell r="C291">
            <v>10022006</v>
          </cell>
          <cell r="O291">
            <v>1</v>
          </cell>
        </row>
        <row r="292">
          <cell r="C292">
            <v>10022007</v>
          </cell>
          <cell r="O292">
            <v>1</v>
          </cell>
        </row>
        <row r="293">
          <cell r="C293">
            <v>10022008</v>
          </cell>
          <cell r="O293">
            <v>1</v>
          </cell>
        </row>
        <row r="294">
          <cell r="C294">
            <v>10022009</v>
          </cell>
          <cell r="O294">
            <v>1</v>
          </cell>
        </row>
        <row r="295">
          <cell r="C295">
            <v>10022010</v>
          </cell>
          <cell r="O295">
            <v>1</v>
          </cell>
        </row>
        <row r="296">
          <cell r="C296">
            <v>10023001</v>
          </cell>
          <cell r="O296">
            <v>1</v>
          </cell>
        </row>
        <row r="297">
          <cell r="C297">
            <v>10023002</v>
          </cell>
          <cell r="O297">
            <v>1</v>
          </cell>
        </row>
        <row r="298">
          <cell r="C298">
            <v>10023003</v>
          </cell>
          <cell r="O298">
            <v>1</v>
          </cell>
        </row>
        <row r="299">
          <cell r="C299">
            <v>10023004</v>
          </cell>
          <cell r="O299">
            <v>1</v>
          </cell>
        </row>
        <row r="300">
          <cell r="C300">
            <v>10023005</v>
          </cell>
          <cell r="O300">
            <v>1</v>
          </cell>
        </row>
        <row r="301">
          <cell r="C301">
            <v>10023006</v>
          </cell>
          <cell r="O301">
            <v>1</v>
          </cell>
        </row>
        <row r="302">
          <cell r="C302">
            <v>10023007</v>
          </cell>
          <cell r="O302">
            <v>1</v>
          </cell>
        </row>
        <row r="303">
          <cell r="C303">
            <v>10023008</v>
          </cell>
          <cell r="O303">
            <v>1</v>
          </cell>
        </row>
        <row r="304">
          <cell r="C304">
            <v>10023009</v>
          </cell>
          <cell r="O304">
            <v>1</v>
          </cell>
        </row>
        <row r="305">
          <cell r="C305">
            <v>10023010</v>
          </cell>
          <cell r="O305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"/>
  <sheetViews>
    <sheetView workbookViewId="0">
      <selection activeCell="H8" sqref="H8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8" max="8" width="13" customWidth="1"/>
  </cols>
  <sheetData>
    <row r="1" spans="1:18" s="84" customFormat="1" ht="24.95" customHeight="1" x14ac:dyDescent="0.2">
      <c r="A1" s="148" t="s">
        <v>0</v>
      </c>
      <c r="B1" s="148" t="s">
        <v>37</v>
      </c>
      <c r="C1" s="148" t="s">
        <v>38</v>
      </c>
    </row>
    <row r="2" spans="1:18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18" ht="20.100000000000001" customHeight="1" x14ac:dyDescent="0.2">
      <c r="A3" s="149">
        <v>2</v>
      </c>
      <c r="B3" s="150">
        <v>5</v>
      </c>
      <c r="C3" s="150">
        <f>经济总表!F3*B3</f>
        <v>65</v>
      </c>
    </row>
    <row r="4" spans="1:18" ht="20.100000000000001" customHeight="1" x14ac:dyDescent="0.2">
      <c r="A4" s="149">
        <v>3</v>
      </c>
      <c r="B4" s="150">
        <v>5</v>
      </c>
      <c r="C4" s="150">
        <f>经济总表!F4*B4</f>
        <v>80</v>
      </c>
    </row>
    <row r="5" spans="1:18" ht="20.100000000000001" customHeight="1" x14ac:dyDescent="0.2">
      <c r="A5" s="149">
        <v>4</v>
      </c>
      <c r="B5" s="150">
        <v>10</v>
      </c>
      <c r="C5" s="150">
        <f>经济总表!F5*B5</f>
        <v>190</v>
      </c>
    </row>
    <row r="6" spans="1:18" ht="20.100000000000001" customHeight="1" x14ac:dyDescent="0.2">
      <c r="A6" s="149">
        <v>5</v>
      </c>
      <c r="B6" s="150">
        <v>10</v>
      </c>
      <c r="C6" s="150">
        <f>经济总表!F6*B6</f>
        <v>220</v>
      </c>
    </row>
    <row r="7" spans="1:18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18" ht="20.100000000000001" customHeight="1" x14ac:dyDescent="0.2">
      <c r="A8" s="149">
        <v>7</v>
      </c>
      <c r="B8" s="150">
        <v>15</v>
      </c>
      <c r="C8" s="150">
        <f>经济总表!F8*B8</f>
        <v>420</v>
      </c>
    </row>
    <row r="9" spans="1:18" ht="20.100000000000001" customHeight="1" x14ac:dyDescent="0.2">
      <c r="A9" s="149">
        <v>8</v>
      </c>
      <c r="B9" s="150">
        <v>15</v>
      </c>
      <c r="C9" s="150">
        <f>经济总表!F9*B9</f>
        <v>465</v>
      </c>
    </row>
    <row r="10" spans="1:18" ht="20.100000000000001" customHeight="1" x14ac:dyDescent="0.2">
      <c r="A10" s="149">
        <v>9</v>
      </c>
      <c r="B10" s="150">
        <v>15</v>
      </c>
      <c r="C10" s="150">
        <f>经济总表!F10*B10</f>
        <v>510</v>
      </c>
    </row>
    <row r="11" spans="1:18" ht="20.100000000000001" customHeight="1" x14ac:dyDescent="0.2">
      <c r="A11" s="149">
        <v>10</v>
      </c>
      <c r="B11" s="150">
        <v>20</v>
      </c>
      <c r="C11" s="150">
        <f>经济总表!F11*B11</f>
        <v>740</v>
      </c>
    </row>
    <row r="12" spans="1:18" ht="20.100000000000001" customHeight="1" x14ac:dyDescent="0.2">
      <c r="A12" s="149">
        <v>11</v>
      </c>
      <c r="B12" s="150">
        <v>20</v>
      </c>
      <c r="C12" s="150">
        <f>经济总表!F12*B12</f>
        <v>800</v>
      </c>
    </row>
    <row r="13" spans="1:18" ht="20.100000000000001" customHeight="1" x14ac:dyDescent="0.2">
      <c r="A13" s="149">
        <v>12</v>
      </c>
      <c r="B13" s="150">
        <v>20</v>
      </c>
      <c r="C13" s="150">
        <f>经济总表!F13*B13</f>
        <v>860</v>
      </c>
    </row>
    <row r="14" spans="1:18" ht="20.100000000000001" customHeight="1" x14ac:dyDescent="0.2">
      <c r="A14" s="149">
        <v>13</v>
      </c>
      <c r="B14" s="150">
        <v>20</v>
      </c>
      <c r="C14" s="150">
        <f>经济总表!F14*B14</f>
        <v>920</v>
      </c>
    </row>
    <row r="15" spans="1:18" ht="20.100000000000001" customHeight="1" x14ac:dyDescent="0.2">
      <c r="A15" s="149">
        <v>14</v>
      </c>
      <c r="B15" s="150">
        <v>20</v>
      </c>
      <c r="C15" s="150">
        <f>经济总表!F15*B15</f>
        <v>980</v>
      </c>
    </row>
    <row r="16" spans="1:18" ht="20.100000000000001" customHeight="1" x14ac:dyDescent="0.2">
      <c r="A16" s="149">
        <v>15</v>
      </c>
      <c r="B16" s="150">
        <v>20</v>
      </c>
      <c r="C16" s="150">
        <f>经济总表!F16*B16</f>
        <v>1040</v>
      </c>
    </row>
    <row r="17" spans="1:3" ht="20.100000000000001" customHeight="1" x14ac:dyDescent="0.2">
      <c r="A17" s="149">
        <v>16</v>
      </c>
      <c r="B17" s="150">
        <v>20</v>
      </c>
      <c r="C17" s="150">
        <f>经济总表!F17*B17</f>
        <v>1100</v>
      </c>
    </row>
    <row r="18" spans="1:3" ht="20.100000000000001" customHeight="1" x14ac:dyDescent="0.2">
      <c r="A18" s="149">
        <v>17</v>
      </c>
      <c r="B18" s="150">
        <v>20</v>
      </c>
      <c r="C18" s="150">
        <f>经济总表!F18*B18</f>
        <v>1160</v>
      </c>
    </row>
    <row r="19" spans="1:3" ht="20.100000000000001" customHeight="1" x14ac:dyDescent="0.2">
      <c r="A19" s="149">
        <v>18</v>
      </c>
      <c r="B19" s="150">
        <v>20</v>
      </c>
      <c r="C19" s="150">
        <f>经济总表!F19*B19</f>
        <v>1220</v>
      </c>
    </row>
    <row r="20" spans="1:3" ht="20.100000000000001" customHeight="1" x14ac:dyDescent="0.2">
      <c r="A20" s="149">
        <v>19</v>
      </c>
      <c r="B20" s="150">
        <v>20</v>
      </c>
      <c r="C20" s="150">
        <f>经济总表!F20*B20</f>
        <v>1280</v>
      </c>
    </row>
    <row r="21" spans="1:3" ht="20.100000000000001" customHeight="1" x14ac:dyDescent="0.2">
      <c r="A21" s="149">
        <v>20</v>
      </c>
      <c r="B21" s="150">
        <v>20</v>
      </c>
      <c r="C21" s="150">
        <f>经济总表!F21*B21</f>
        <v>1340</v>
      </c>
    </row>
    <row r="22" spans="1:3" ht="20.100000000000001" customHeight="1" x14ac:dyDescent="0.2">
      <c r="A22" s="149">
        <v>21</v>
      </c>
      <c r="B22" s="150">
        <v>20</v>
      </c>
      <c r="C22" s="150">
        <f>经济总表!F22*B22</f>
        <v>1400</v>
      </c>
    </row>
    <row r="23" spans="1:3" ht="20.100000000000001" customHeight="1" x14ac:dyDescent="0.2">
      <c r="A23" s="149">
        <v>22</v>
      </c>
      <c r="B23" s="150">
        <v>20</v>
      </c>
      <c r="C23" s="150">
        <f>经济总表!F23*B23</f>
        <v>1460</v>
      </c>
    </row>
    <row r="24" spans="1:3" ht="20.100000000000001" customHeight="1" x14ac:dyDescent="0.2">
      <c r="A24" s="149">
        <v>23</v>
      </c>
      <c r="B24" s="150">
        <v>20</v>
      </c>
      <c r="C24" s="150">
        <f>经济总表!F24*B24</f>
        <v>1520</v>
      </c>
    </row>
    <row r="25" spans="1:3" ht="20.100000000000001" customHeight="1" x14ac:dyDescent="0.2">
      <c r="A25" s="149">
        <v>24</v>
      </c>
      <c r="B25" s="150">
        <v>20</v>
      </c>
      <c r="C25" s="150">
        <f>经济总表!F25*B25</f>
        <v>1580</v>
      </c>
    </row>
    <row r="26" spans="1:3" ht="20.100000000000001" customHeight="1" x14ac:dyDescent="0.2">
      <c r="A26" s="149">
        <v>25</v>
      </c>
      <c r="B26" s="150">
        <v>20</v>
      </c>
      <c r="C26" s="150">
        <f>经济总表!F26*B26</f>
        <v>1640</v>
      </c>
    </row>
    <row r="27" spans="1:3" ht="20.100000000000001" customHeight="1" x14ac:dyDescent="0.2">
      <c r="A27" s="149">
        <v>26</v>
      </c>
      <c r="B27" s="150">
        <v>20</v>
      </c>
      <c r="C27" s="150">
        <f>经济总表!F27*B27</f>
        <v>1700</v>
      </c>
    </row>
    <row r="28" spans="1:3" ht="20.100000000000001" customHeight="1" x14ac:dyDescent="0.2">
      <c r="A28" s="149">
        <v>27</v>
      </c>
      <c r="B28" s="150">
        <v>20</v>
      </c>
      <c r="C28" s="150">
        <f>经济总表!F28*B28</f>
        <v>1760</v>
      </c>
    </row>
    <row r="29" spans="1:3" ht="20.100000000000001" customHeight="1" x14ac:dyDescent="0.2">
      <c r="A29" s="149">
        <v>28</v>
      </c>
      <c r="B29" s="150">
        <v>20</v>
      </c>
      <c r="C29" s="150">
        <f>经济总表!F29*B29</f>
        <v>1820</v>
      </c>
    </row>
    <row r="30" spans="1:3" ht="20.100000000000001" customHeight="1" x14ac:dyDescent="0.2">
      <c r="A30" s="149">
        <v>29</v>
      </c>
      <c r="B30" s="150">
        <v>20</v>
      </c>
      <c r="C30" s="150">
        <f>经济总表!F30*B30</f>
        <v>1880</v>
      </c>
    </row>
    <row r="31" spans="1: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7" t="s">
        <v>90</v>
      </c>
      <c r="AW2" s="167"/>
      <c r="AX2" s="167"/>
      <c r="AY2" s="167"/>
      <c r="AZ2" s="167"/>
      <c r="BA2" s="167"/>
      <c r="BB2" s="167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O79" workbookViewId="0">
      <selection activeCell="AH98" sqref="AH98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abSelected="1" topLeftCell="G393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LOOKUP(L148,[2]ItemProto!$C$264:$C$305,[2]ItemProto!$O$264:$O$305)</f>
        <v>1</v>
      </c>
      <c r="Z148" s="2"/>
      <c r="AA148" s="2">
        <f>LOOKUP(N148,[2]ItemProto!$C$264:$C$305,[2]ItemProto!$O$264:$O$305)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LOOKUP(L149,[2]ItemProto!$C$264:$C$305,[2]ItemProto!$O$264:$O$305)</f>
        <v>1</v>
      </c>
      <c r="Z149" s="2"/>
      <c r="AA149" s="2">
        <f>LOOKUP(N149,[2]ItemProto!$C$264:$C$305,[2]ItemProto!$O$264:$O$305)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LOOKUP(L150,[2]ItemProto!$C$264:$C$305,[2]ItemProto!$O$264:$O$305)</f>
        <v>1</v>
      </c>
      <c r="Z150" s="2"/>
      <c r="AA150" s="2">
        <f>LOOKUP(N150,[2]ItemProto!$C$264:$C$305,[2]ItemProto!$O$264:$O$305)</f>
        <v>1</v>
      </c>
      <c r="AB150" s="2"/>
      <c r="AC150" s="2">
        <f>LOOKUP(P150,[2]ItemProto!$C$264:$C$305,[2]ItemProto!$O$264:$O$305)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LOOKUP(L151,[2]ItemProto!$C$264:$C$305,[2]ItemProto!$O$264:$O$305)</f>
        <v>1</v>
      </c>
      <c r="Z151" s="2"/>
      <c r="AA151" s="2">
        <f>LOOKUP(N151,[2]ItemProto!$C$264:$C$305,[2]ItemProto!$O$264:$O$305)</f>
        <v>1</v>
      </c>
      <c r="AB151" s="2"/>
      <c r="AC151" s="2">
        <f>LOOKUP(P151,[2]ItemProto!$C$264:$C$305,[2]ItemProto!$O$264:$O$305)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LOOKUP(L152,[2]ItemProto!$C$264:$C$305,[2]ItemProto!$O$264:$O$305)</f>
        <v>1</v>
      </c>
      <c r="Z152" s="2"/>
      <c r="AA152" s="2">
        <f>LOOKUP(N152,[2]ItemProto!$C$264:$C$305,[2]ItemProto!$O$264:$O$305)</f>
        <v>1</v>
      </c>
      <c r="AB152" s="2"/>
      <c r="AC152" s="2">
        <f>LOOKUP(P152,[2]ItemProto!$C$264:$C$305,[2]ItemProto!$O$264:$O$305)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LOOKUP(L153,[2]ItemProto!$C$264:$C$305,[2]ItemProto!$O$264:$O$305)</f>
        <v>1</v>
      </c>
      <c r="Z153" s="2"/>
      <c r="AA153" s="2">
        <f>LOOKUP(N153,[2]ItemProto!$C$264:$C$305,[2]ItemProto!$O$264:$O$305)</f>
        <v>1</v>
      </c>
      <c r="AB153" s="2"/>
      <c r="AC153" s="2">
        <f>LOOKUP(P153,[2]ItemProto!$C$264:$C$305,[2]ItemProto!$O$264:$O$305)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LOOKUP(L154,[2]ItemProto!$C$264:$C$305,[2]ItemProto!$O$264:$O$305)</f>
        <v>1</v>
      </c>
      <c r="Z154" s="2"/>
      <c r="AA154" s="2">
        <f>LOOKUP(N154,[2]ItemProto!$C$264:$C$305,[2]ItemProto!$O$264:$O$305)</f>
        <v>1</v>
      </c>
      <c r="AB154" s="2"/>
      <c r="AC154" s="2">
        <f>LOOKUP(P154,[2]ItemProto!$C$264:$C$305,[2]ItemProto!$O$264:$O$305)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LOOKUP(L155,[2]ItemProto!$C$264:$C$305,[2]ItemProto!$O$264:$O$305)</f>
        <v>1</v>
      </c>
      <c r="Z155" s="2"/>
      <c r="AA155" s="2">
        <f>LOOKUP(N155,[2]ItemProto!$C$264:$C$305,[2]ItemProto!$O$264:$O$305)</f>
        <v>1</v>
      </c>
      <c r="AB155" s="2"/>
      <c r="AC155" s="2">
        <f>LOOKUP(P155,[2]ItemProto!$C$264:$C$305,[2]ItemProto!$O$264:$O$305)</f>
        <v>1</v>
      </c>
      <c r="AD155" s="2"/>
      <c r="AE155" s="2">
        <f>LOOKUP(R155,[2]ItemProto!$C$264:$C$305,[2]ItemProto!$O$264:$O$305)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LOOKUP(L156,[2]ItemProto!$C$264:$C$305,[2]ItemProto!$O$264:$O$305)</f>
        <v>1</v>
      </c>
      <c r="Z156" s="2"/>
      <c r="AA156" s="2">
        <f>LOOKUP(N156,[2]ItemProto!$C$264:$C$305,[2]ItemProto!$O$264:$O$305)</f>
        <v>1</v>
      </c>
      <c r="AB156" s="2"/>
      <c r="AC156" s="2">
        <f>LOOKUP(P156,[2]ItemProto!$C$264:$C$305,[2]ItemProto!$O$264:$O$305)</f>
        <v>1</v>
      </c>
      <c r="AD156" s="2"/>
      <c r="AE156" s="2">
        <f>LOOKUP(R156,[2]ItemProto!$C$264:$C$305,[2]ItemProto!$O$264:$O$305)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LOOKUP(L157,[2]ItemProto!$C$264:$C$305,[2]ItemProto!$O$264:$O$305)</f>
        <v>1</v>
      </c>
      <c r="Z157" s="2"/>
      <c r="AA157" s="2">
        <f>LOOKUP(N157,[2]ItemProto!$C$264:$C$305,[2]ItemProto!$O$264:$O$305)</f>
        <v>1</v>
      </c>
      <c r="AB157" s="2"/>
      <c r="AC157" s="2">
        <f>LOOKUP(P157,[2]ItemProto!$C$264:$C$305,[2]ItemProto!$O$264:$O$305)</f>
        <v>1</v>
      </c>
      <c r="AD157" s="2"/>
      <c r="AE157" s="2">
        <f>LOOKUP(R157,[2]ItemProto!$C$264:$C$305,[2]ItemProto!$O$264:$O$305)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LOOKUP(L158,[2]ItemProto!$C$264:$C$305,[2]ItemProto!$O$264:$O$305)</f>
        <v>1</v>
      </c>
      <c r="Z158" s="13"/>
      <c r="AA158" s="2">
        <f>LOOKUP(N158,[2]ItemProto!$C$264:$C$305,[2]ItemProto!$O$264:$O$305)</f>
        <v>1</v>
      </c>
      <c r="AB158" s="13"/>
      <c r="AC158" s="2">
        <f>LOOKUP(P158,[2]ItemProto!$C$264:$C$305,[2]ItemProto!$O$264:$O$305)</f>
        <v>1</v>
      </c>
      <c r="AD158" s="13"/>
      <c r="AE158" s="2">
        <f>LOOKUP(R158,[2]ItemProto!$C$264:$C$305,[2]ItemProto!$O$264:$O$305)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LOOKUP(L159,[2]ItemProto!$C$264:$C$305,[2]ItemProto!$O$264:$O$305)</f>
        <v>1</v>
      </c>
      <c r="Z159" s="13"/>
      <c r="AA159" s="2">
        <f>LOOKUP(N159,[2]ItemProto!$C$264:$C$305,[2]ItemProto!$O$264:$O$305)</f>
        <v>1</v>
      </c>
      <c r="AB159" s="13"/>
      <c r="AC159" s="2">
        <f>LOOKUP(P159,[2]ItemProto!$C$264:$C$305,[2]ItemProto!$O$264:$O$305)</f>
        <v>1</v>
      </c>
      <c r="AD159" s="13"/>
      <c r="AE159" s="2">
        <f>LOOKUP(R159,[2]ItemProto!$C$264:$C$305,[2]ItemProto!$O$264:$O$305)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LOOKUP(L160,[2]ItemProto!$C$264:$C$305,[2]ItemProto!$O$264:$O$305)</f>
        <v>1</v>
      </c>
      <c r="Z160" s="13"/>
      <c r="AA160" s="2">
        <f>LOOKUP(N160,[2]ItemProto!$C$264:$C$305,[2]ItemProto!$O$264:$O$305)</f>
        <v>1</v>
      </c>
      <c r="AB160" s="13"/>
      <c r="AC160" s="2">
        <f>LOOKUP(P160,[2]ItemProto!$C$264:$C$305,[2]ItemProto!$O$264:$O$305)</f>
        <v>1</v>
      </c>
      <c r="AD160" s="13"/>
      <c r="AE160" s="2">
        <f>LOOKUP(R160,[2]ItemProto!$C$264:$C$305,[2]ItemProto!$O$264:$O$305)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LOOKUP(L161,[2]ItemProto!$C$264:$C$305,[2]ItemProto!$O$264:$O$305)</f>
        <v>1</v>
      </c>
      <c r="Z161" s="13"/>
      <c r="AA161" s="2">
        <f>LOOKUP(N161,[2]ItemProto!$C$264:$C$305,[2]ItemProto!$O$264:$O$305)</f>
        <v>1</v>
      </c>
      <c r="AB161" s="13"/>
      <c r="AC161" s="2">
        <f>LOOKUP(P161,[2]ItemProto!$C$264:$C$305,[2]ItemProto!$O$264:$O$305)</f>
        <v>1</v>
      </c>
      <c r="AD161" s="13"/>
      <c r="AE161" s="2">
        <f>LOOKUP(R161,[2]ItemProto!$C$264:$C$305,[2]ItemProto!$O$264:$O$305)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LOOKUP(L162,[2]ItemProto!$C$264:$C$305,[2]ItemProto!$O$264:$O$305)</f>
        <v>1</v>
      </c>
      <c r="Z162" s="13"/>
      <c r="AA162" s="2">
        <f>LOOKUP(N162,[2]ItemProto!$C$264:$C$305,[2]ItemProto!$O$264:$O$305)</f>
        <v>1</v>
      </c>
      <c r="AB162" s="13"/>
      <c r="AC162" s="2">
        <f>LOOKUP(P162,[2]ItemProto!$C$264:$C$305,[2]ItemProto!$O$264:$O$305)</f>
        <v>1</v>
      </c>
      <c r="AD162" s="13"/>
      <c r="AE162" s="2">
        <f>LOOKUP(R162,[2]ItemProto!$C$264:$C$305,[2]ItemProto!$O$264:$O$305)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LOOKUP(L163,[2]ItemProto!$C$264:$C$305,[2]ItemProto!$O$264:$O$305)</f>
        <v>1</v>
      </c>
      <c r="Z163" s="13"/>
      <c r="AA163" s="2">
        <f>LOOKUP(N163,[2]ItemProto!$C$264:$C$305,[2]ItemProto!$O$264:$O$305)</f>
        <v>1</v>
      </c>
      <c r="AB163" s="13"/>
      <c r="AC163" s="2">
        <f>LOOKUP(P163,[2]ItemProto!$C$264:$C$305,[2]ItemProto!$O$264:$O$305)</f>
        <v>1</v>
      </c>
      <c r="AD163" s="13"/>
      <c r="AE163" s="2">
        <f>LOOKUP(R163,[2]ItemProto!$C$264:$C$305,[2]ItemProto!$O$264:$O$305)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LOOKUP(L164,[2]ItemProto!$C$264:$C$305,[2]ItemProto!$O$264:$O$305)</f>
        <v>1</v>
      </c>
      <c r="Z164" s="13"/>
      <c r="AA164" s="2">
        <f>LOOKUP(N164,[2]ItemProto!$C$264:$C$305,[2]ItemProto!$O$264:$O$305)</f>
        <v>1</v>
      </c>
      <c r="AB164" s="13"/>
      <c r="AC164" s="2">
        <f>LOOKUP(P164,[2]ItemProto!$C$264:$C$305,[2]ItemProto!$O$264:$O$305)</f>
        <v>1</v>
      </c>
      <c r="AD164" s="13"/>
      <c r="AE164" s="2">
        <f>LOOKUP(R164,[2]ItemProto!$C$264:$C$305,[2]ItemProto!$O$264:$O$305)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LOOKUP(L165,[2]ItemProto!$C$264:$C$305,[2]ItemProto!$O$264:$O$305)</f>
        <v>1</v>
      </c>
      <c r="Z165" s="13"/>
      <c r="AA165" s="2">
        <f>LOOKUP(N165,[2]ItemProto!$C$264:$C$305,[2]ItemProto!$O$264:$O$305)</f>
        <v>1</v>
      </c>
      <c r="AB165" s="13"/>
      <c r="AC165" s="2">
        <f>LOOKUP(P165,[2]ItemProto!$C$264:$C$305,[2]ItemProto!$O$264:$O$305)</f>
        <v>1</v>
      </c>
      <c r="AD165" s="13"/>
      <c r="AE165" s="2">
        <f>LOOKUP(R165,[2]ItemProto!$C$264:$C$305,[2]ItemProto!$O$264:$O$305)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LOOKUP(L166,[2]ItemProto!$C$264:$C$305,[2]ItemProto!$O$264:$O$305)</f>
        <v>1</v>
      </c>
      <c r="Z166" s="13"/>
      <c r="AA166" s="2">
        <f>LOOKUP(N166,[2]ItemProto!$C$264:$C$305,[2]ItemProto!$O$264:$O$305)</f>
        <v>1</v>
      </c>
      <c r="AB166" s="13"/>
      <c r="AC166" s="2">
        <f>LOOKUP(P166,[2]ItemProto!$C$264:$C$305,[2]ItemProto!$O$264:$O$305)</f>
        <v>1</v>
      </c>
      <c r="AD166" s="13"/>
      <c r="AE166" s="2">
        <f>LOOKUP(R166,[2]ItemProto!$C$264:$C$305,[2]ItemProto!$O$264:$O$305)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LOOKUP(L167,[2]ItemProto!$C$264:$C$305,[2]ItemProto!$O$264:$O$305)</f>
        <v>1</v>
      </c>
      <c r="Z167" s="13"/>
      <c r="AA167" s="2">
        <f>LOOKUP(N167,[2]ItemProto!$C$264:$C$305,[2]ItemProto!$O$264:$O$305)</f>
        <v>1</v>
      </c>
      <c r="AB167" s="13"/>
      <c r="AC167" s="2">
        <f>LOOKUP(P167,[2]ItemProto!$C$264:$C$305,[2]ItemProto!$O$264:$O$305)</f>
        <v>1</v>
      </c>
      <c r="AD167" s="13"/>
      <c r="AE167" s="2">
        <f>LOOKUP(R167,[2]ItemProto!$C$264:$C$305,[2]ItemProto!$O$264:$O$305)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LOOKUP(L168,[2]ItemProto!$C$264:$C$305,[2]ItemProto!$O$264:$O$305)</f>
        <v>1</v>
      </c>
      <c r="Z168" s="13"/>
      <c r="AA168" s="2">
        <f>LOOKUP(N168,[2]ItemProto!$C$264:$C$305,[2]ItemProto!$O$264:$O$305)</f>
        <v>1</v>
      </c>
      <c r="AB168" s="13"/>
      <c r="AC168" s="2">
        <f>LOOKUP(P168,[2]ItemProto!$C$264:$C$305,[2]ItemProto!$O$264:$O$305)</f>
        <v>1</v>
      </c>
      <c r="AD168" s="13"/>
      <c r="AE168" s="2">
        <f>LOOKUP(R168,[2]ItemProto!$C$264:$C$305,[2]ItemProto!$O$264:$O$305)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LOOKUP(L169,[2]ItemProto!$C$264:$C$305,[2]ItemProto!$O$264:$O$305)</f>
        <v>1</v>
      </c>
      <c r="Z169" s="13"/>
      <c r="AA169" s="2">
        <f>LOOKUP(N169,[2]ItemProto!$C$264:$C$305,[2]ItemProto!$O$264:$O$305)</f>
        <v>1</v>
      </c>
      <c r="AB169" s="13"/>
      <c r="AC169" s="2">
        <f>LOOKUP(P169,[2]ItemProto!$C$264:$C$305,[2]ItemProto!$O$264:$O$305)</f>
        <v>1</v>
      </c>
      <c r="AD169" s="13"/>
      <c r="AE169" s="2">
        <f>LOOKUP(R169,[2]ItemProto!$C$264:$C$305,[2]ItemProto!$O$264:$O$305)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LOOKUP(L170,[2]ItemProto!$C$264:$C$305,[2]ItemProto!$O$264:$O$305)</f>
        <v>1</v>
      </c>
      <c r="Z170" s="13"/>
      <c r="AA170" s="2">
        <f>LOOKUP(N170,[2]ItemProto!$C$264:$C$305,[2]ItemProto!$O$264:$O$305)</f>
        <v>1</v>
      </c>
      <c r="AB170" s="13"/>
      <c r="AC170" s="2">
        <f>LOOKUP(P170,[2]ItemProto!$C$264:$C$305,[2]ItemProto!$O$264:$O$305)</f>
        <v>1</v>
      </c>
      <c r="AD170" s="13"/>
      <c r="AE170" s="2">
        <f>LOOKUP(R170,[2]ItemProto!$C$264:$C$305,[2]ItemProto!$O$264:$O$305)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LOOKUP(L171,[2]ItemProto!$C$264:$C$305,[2]ItemProto!$O$264:$O$305)</f>
        <v>1</v>
      </c>
      <c r="Z171" s="13"/>
      <c r="AA171" s="2">
        <f>LOOKUP(N171,[2]ItemProto!$C$264:$C$305,[2]ItemProto!$O$264:$O$305)</f>
        <v>1</v>
      </c>
      <c r="AB171" s="13"/>
      <c r="AC171" s="2">
        <f>LOOKUP(P171,[2]ItemProto!$C$264:$C$305,[2]ItemProto!$O$264:$O$305)</f>
        <v>1</v>
      </c>
      <c r="AD171" s="13"/>
      <c r="AE171" s="2">
        <f>LOOKUP(R171,[2]ItemProto!$C$264:$C$305,[2]ItemProto!$O$264:$O$305)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LOOKUP(L172,[2]ItemProto!$C$264:$C$305,[2]ItemProto!$O$264:$O$305)</f>
        <v>1</v>
      </c>
      <c r="Z172" s="13"/>
      <c r="AA172" s="2">
        <f>LOOKUP(N172,[2]ItemProto!$C$264:$C$305,[2]ItemProto!$O$264:$O$305)</f>
        <v>1</v>
      </c>
      <c r="AB172" s="13"/>
      <c r="AC172" s="2">
        <f>LOOKUP(P172,[2]ItemProto!$C$264:$C$305,[2]ItemProto!$O$264:$O$305)</f>
        <v>1</v>
      </c>
      <c r="AD172" s="13"/>
      <c r="AE172" s="2">
        <f>LOOKUP(R172,[2]ItemProto!$C$264:$C$305,[2]ItemProto!$O$264:$O$305)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LOOKUP(L173,[2]ItemProto!$C$264:$C$305,[2]ItemProto!$O$264:$O$305)</f>
        <v>1</v>
      </c>
      <c r="Z173" s="13"/>
      <c r="AA173" s="2">
        <f>LOOKUP(N173,[2]ItemProto!$C$264:$C$305,[2]ItemProto!$O$264:$O$305)</f>
        <v>1</v>
      </c>
      <c r="AB173" s="13"/>
      <c r="AC173" s="2">
        <f>LOOKUP(P173,[2]ItemProto!$C$264:$C$305,[2]ItemProto!$O$264:$O$305)</f>
        <v>1</v>
      </c>
      <c r="AD173" s="13"/>
      <c r="AE173" s="2">
        <f>LOOKUP(R173,[2]ItemProto!$C$264:$C$305,[2]ItemProto!$O$264:$O$305)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LOOKUP(L174,[2]ItemProto!$C$264:$C$305,[2]ItemProto!$O$264:$O$305)</f>
        <v>1</v>
      </c>
      <c r="Z174" s="13"/>
      <c r="AA174" s="2">
        <f>LOOKUP(N174,[2]ItemProto!$C$264:$C$305,[2]ItemProto!$O$264:$O$305)</f>
        <v>1</v>
      </c>
      <c r="AB174" s="13"/>
      <c r="AC174" s="2">
        <f>LOOKUP(P174,[2]ItemProto!$C$264:$C$305,[2]ItemProto!$O$264:$O$305)</f>
        <v>1</v>
      </c>
      <c r="AD174" s="13"/>
      <c r="AE174" s="2">
        <f>LOOKUP(R174,[2]ItemProto!$C$264:$C$305,[2]ItemProto!$O$264:$O$305)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LOOKUP(L175,[2]ItemProto!$C$264:$C$305,[2]ItemProto!$O$264:$O$305)</f>
        <v>1</v>
      </c>
      <c r="Z175" s="13"/>
      <c r="AA175" s="2">
        <f>LOOKUP(N175,[2]ItemProto!$C$264:$C$305,[2]ItemProto!$O$264:$O$305)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LOOKUP(L176,[2]ItemProto!$C$264:$C$305,[2]ItemProto!$O$264:$O$305)</f>
        <v>1</v>
      </c>
      <c r="Z176" s="13"/>
      <c r="AA176" s="2">
        <f>LOOKUP(N176,[2]ItemProto!$C$264:$C$305,[2]ItemProto!$O$264:$O$305)</f>
        <v>1</v>
      </c>
      <c r="AB176" s="13"/>
      <c r="AC176" s="2">
        <f>LOOKUP(P176,[2]ItemProto!$C$264:$C$305,[2]ItemProto!$O$264:$O$305)</f>
        <v>1</v>
      </c>
      <c r="AD176" s="13"/>
      <c r="AE176" s="2">
        <f>LOOKUP(R176,[2]ItemProto!$C$264:$C$305,[2]ItemProto!$O$264:$O$305)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LOOKUP(L177,[2]ItemProto!$C$264:$C$305,[2]ItemProto!$O$264:$O$305)</f>
        <v>1</v>
      </c>
      <c r="Z177" s="13"/>
      <c r="AA177" s="2">
        <f>LOOKUP(N177,[2]ItemProto!$C$264:$C$305,[2]ItemProto!$O$264:$O$305)</f>
        <v>1</v>
      </c>
      <c r="AB177" s="13"/>
      <c r="AC177" s="2">
        <f>LOOKUP(P177,[2]ItemProto!$C$264:$C$305,[2]ItemProto!$O$264:$O$305)</f>
        <v>1</v>
      </c>
      <c r="AD177" s="13"/>
      <c r="AE177" s="2">
        <f>LOOKUP(R177,[2]ItemProto!$C$264:$C$305,[2]ItemProto!$O$264:$O$305)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LOOKUP(L178,[2]ItemProto!$C$264:$C$305,[2]ItemProto!$O$264:$O$305)</f>
        <v>1</v>
      </c>
      <c r="Z178" s="13"/>
      <c r="AA178" s="2">
        <f>LOOKUP(N178,[2]ItemProto!$C$264:$C$305,[2]ItemProto!$O$264:$O$305)</f>
        <v>1</v>
      </c>
      <c r="AB178" s="13"/>
      <c r="AC178" s="2">
        <f>LOOKUP(P178,[2]ItemProto!$C$264:$C$305,[2]ItemProto!$O$264:$O$305)</f>
        <v>1</v>
      </c>
      <c r="AD178" s="13"/>
      <c r="AE178" s="2">
        <f>LOOKUP(R178,[2]ItemProto!$C$264:$C$305,[2]ItemProto!$O$264:$O$305)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LOOKUP(L179,[2]ItemProto!$C$264:$C$305,[2]ItemProto!$O$264:$O$305)</f>
        <v>1</v>
      </c>
      <c r="Z179" s="13"/>
      <c r="AA179" s="2">
        <f>LOOKUP(N179,[2]ItemProto!$C$264:$C$305,[2]ItemProto!$O$264:$O$305)</f>
        <v>1</v>
      </c>
      <c r="AB179" s="13"/>
      <c r="AC179" s="2">
        <f>LOOKUP(P179,[2]ItemProto!$C$264:$C$305,[2]ItemProto!$O$264:$O$305)</f>
        <v>1</v>
      </c>
      <c r="AD179" s="13"/>
      <c r="AE179" s="2">
        <f>LOOKUP(R179,[2]ItemProto!$C$264:$C$305,[2]ItemProto!$O$264:$O$305)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LOOKUP(L180,[2]ItemProto!$C$264:$C$305,[2]ItemProto!$O$264:$O$305)</f>
        <v>1</v>
      </c>
      <c r="Z180" s="13"/>
      <c r="AA180" s="2">
        <f>LOOKUP(N180,[2]ItemProto!$C$264:$C$305,[2]ItemProto!$O$264:$O$305)</f>
        <v>1</v>
      </c>
      <c r="AB180" s="13"/>
      <c r="AC180" s="2">
        <f>LOOKUP(P180,[2]ItemProto!$C$264:$C$305,[2]ItemProto!$O$264:$O$305)</f>
        <v>1</v>
      </c>
      <c r="AD180" s="13"/>
      <c r="AE180" s="2">
        <f>LOOKUP(R180,[2]ItemProto!$C$264:$C$305,[2]ItemProto!$O$264:$O$305)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LOOKUP(L181,[2]ItemProto!$C$264:$C$305,[2]ItemProto!$O$264:$O$305)</f>
        <v>1</v>
      </c>
      <c r="Z181" s="13"/>
      <c r="AA181" s="2">
        <f>LOOKUP(N181,[2]ItemProto!$C$264:$C$305,[2]ItemProto!$O$264:$O$305)</f>
        <v>1</v>
      </c>
      <c r="AB181" s="13"/>
      <c r="AC181" s="2">
        <f>LOOKUP(P181,[2]ItemProto!$C$264:$C$305,[2]ItemProto!$O$264:$O$305)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LOOKUP(L182,[2]ItemProto!$C$264:$C$305,[2]ItemProto!$O$264:$O$305)</f>
        <v>1</v>
      </c>
      <c r="Z182" s="13"/>
      <c r="AA182" s="2">
        <f>LOOKUP(N182,[2]ItemProto!$C$264:$C$305,[2]ItemProto!$O$264:$O$305)</f>
        <v>1</v>
      </c>
      <c r="AB182" s="13"/>
      <c r="AC182" s="2">
        <f>LOOKUP(P182,[2]ItemProto!$C$264:$C$305,[2]ItemProto!$O$264:$O$305)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2025-11-20T08:10:32Z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