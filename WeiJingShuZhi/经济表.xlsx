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9DAA9970-699B-40D7-B487-A03FFF8BDE47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经济总表" sheetId="1" r:id="rId1"/>
    <sheet name="任务" sheetId="2" r:id="rId2"/>
    <sheet name="冬季消耗活动" sheetId="39" r:id="rId3"/>
    <sheet name="装备分解和强化" sheetId="3" r:id="rId4"/>
    <sheet name="掉落" sheetId="4" r:id="rId5"/>
    <sheet name="怪物掉落" sheetId="5" r:id="rId6"/>
    <sheet name="掉落配置" sheetId="6" r:id="rId7"/>
    <sheet name="Sheet1" sheetId="7" r:id="rId8"/>
    <sheet name="成就" sheetId="8" r:id="rId9"/>
    <sheet name="赛季" sheetId="36" r:id="rId10"/>
    <sheet name="血石系统" sheetId="37" r:id="rId11"/>
    <sheet name="活动掉落" sheetId="9" r:id="rId12"/>
    <sheet name="节日活动" sheetId="10" r:id="rId13"/>
    <sheet name="神秘商店" sheetId="11" r:id="rId14"/>
    <sheet name="战场" sheetId="12" r:id="rId15"/>
    <sheet name="洗练" sheetId="13" r:id="rId16"/>
    <sheet name="生活技能" sheetId="14" r:id="rId17"/>
    <sheet name="宠物装备" sheetId="38" r:id="rId18"/>
    <sheet name="签到" sheetId="15" r:id="rId19"/>
    <sheet name="场景宝箱" sheetId="16" r:id="rId20"/>
    <sheet name="副本" sheetId="17" r:id="rId21"/>
    <sheet name="十连抽掉落" sheetId="18" r:id="rId22"/>
    <sheet name="奖励系统" sheetId="19" r:id="rId23"/>
    <sheet name="箱子掉率" sheetId="20" r:id="rId24"/>
    <sheet name="令牌系统" sheetId="21" r:id="rId25"/>
    <sheet name="宠物兑换和抽取" sheetId="22" r:id="rId26"/>
    <sheet name="收集奖励" sheetId="23" r:id="rId27"/>
    <sheet name="拍卖行出售道具" sheetId="24" r:id="rId28"/>
    <sheet name="宠物战斗" sheetId="25" r:id="rId29"/>
    <sheet name="首胜奖励" sheetId="26" r:id="rId30"/>
    <sheet name="每日礼包" sheetId="27" r:id="rId31"/>
    <sheet name="装备洗练" sheetId="28" r:id="rId32"/>
    <sheet name="挑战之地" sheetId="29" r:id="rId33"/>
    <sheet name="排行" sheetId="30" r:id="rId34"/>
    <sheet name="其他" sheetId="31" r:id="rId35"/>
    <sheet name="家园" sheetId="32" r:id="rId36"/>
    <sheet name="家园属性配置" sheetId="33" r:id="rId37"/>
    <sheet name="竞技场" sheetId="34" r:id="rId38"/>
    <sheet name="家族" sheetId="35" r:id="rId39"/>
  </sheets>
  <externalReferences>
    <externalReference r:id="rId40"/>
    <externalReference r:id="rId41"/>
  </externalReferences>
  <calcPr calcId="191029"/>
</workbook>
</file>

<file path=xl/calcChain.xml><?xml version="1.0" encoding="utf-8"?>
<calcChain xmlns="http://schemas.openxmlformats.org/spreadsheetml/2006/main">
  <c r="U4" i="39" l="1"/>
  <c r="U5" i="39"/>
  <c r="U6" i="39"/>
  <c r="U7" i="39"/>
  <c r="U3" i="39"/>
  <c r="N39" i="39"/>
  <c r="N40" i="39"/>
  <c r="N41" i="39"/>
  <c r="N42" i="39"/>
  <c r="N43" i="39"/>
  <c r="N44" i="39"/>
  <c r="N45" i="39"/>
  <c r="N46" i="39"/>
  <c r="N47" i="39"/>
  <c r="N48" i="39"/>
  <c r="N49" i="39"/>
  <c r="N50" i="39"/>
  <c r="N51" i="39"/>
  <c r="N52" i="39"/>
  <c r="N53" i="39"/>
  <c r="N54" i="39"/>
  <c r="N55" i="39"/>
  <c r="N56" i="39"/>
  <c r="N57" i="39"/>
  <c r="N58" i="39"/>
  <c r="N59" i="39"/>
  <c r="N60" i="39"/>
  <c r="N61" i="39"/>
  <c r="N62" i="39"/>
  <c r="N38" i="39"/>
  <c r="D21" i="39"/>
  <c r="E19" i="39"/>
  <c r="B4" i="39"/>
  <c r="B5" i="39"/>
  <c r="B6" i="39"/>
  <c r="B7" i="39"/>
  <c r="B3" i="39"/>
  <c r="AY419" i="14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J2" i="1" s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G3" i="1"/>
  <c r="H3" i="1" s="1"/>
  <c r="F3" i="1"/>
  <c r="C3" i="2" s="1"/>
  <c r="J3" i="1" s="1"/>
  <c r="B3" i="1"/>
  <c r="O2" i="1"/>
  <c r="N2" i="1"/>
  <c r="L2" i="1"/>
  <c r="G2" i="1"/>
  <c r="H2" i="1" s="1"/>
  <c r="E2" i="1" s="1"/>
  <c r="B2" i="1"/>
  <c r="C2" i="1" l="1"/>
  <c r="BA238" i="14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L148" i="32" s="1"/>
  <c r="AG175" i="32"/>
  <c r="AL175" i="32" s="1"/>
  <c r="AG177" i="32"/>
  <c r="AL177" i="32" s="1"/>
  <c r="AG180" i="32"/>
  <c r="AL180" i="32" s="1"/>
  <c r="AG151" i="32"/>
  <c r="AL151" i="32" s="1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E3" i="1"/>
  <c r="C3" i="1" s="1"/>
  <c r="D3" i="1" s="1"/>
  <c r="M4" i="3"/>
  <c r="L5" i="3"/>
  <c r="M5" i="3" s="1"/>
  <c r="K6" i="3"/>
  <c r="G4" i="1"/>
  <c r="H4" i="1" s="1"/>
  <c r="E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48" i="32" l="1"/>
  <c r="AN148" i="32" s="1"/>
  <c r="AK175" i="32"/>
  <c r="AN175" i="32" s="1"/>
  <c r="AK154" i="32"/>
  <c r="AK180" i="32"/>
  <c r="AK172" i="32"/>
  <c r="AK177" i="32"/>
  <c r="AN177" i="32" s="1"/>
  <c r="AK151" i="32"/>
  <c r="AN151" i="32" s="1"/>
  <c r="C4" i="1"/>
  <c r="D4" i="1" s="1"/>
  <c r="BA478" i="14"/>
  <c r="BA507" i="14"/>
  <c r="BA488" i="14"/>
  <c r="BA481" i="14"/>
  <c r="AK163" i="32"/>
  <c r="AN163" i="32" s="1"/>
  <c r="AK182" i="32"/>
  <c r="AN182" i="32" s="1"/>
  <c r="AK150" i="32"/>
  <c r="AN150" i="32" s="1"/>
  <c r="AK160" i="32"/>
  <c r="AN160" i="32" s="1"/>
  <c r="AK157" i="32"/>
  <c r="AN157" i="32" s="1"/>
  <c r="AK174" i="32"/>
  <c r="AK152" i="32"/>
  <c r="AN152" i="32" s="1"/>
  <c r="AL166" i="32"/>
  <c r="AN166" i="32" s="1"/>
  <c r="AK169" i="32"/>
  <c r="AN169" i="32" s="1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C6" i="1" l="1"/>
  <c r="T6" i="24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C7" i="1" l="1"/>
  <c r="D7" i="1" s="1"/>
  <c r="AB66" i="32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F12" i="1"/>
  <c r="N11" i="1"/>
  <c r="O11" i="1" s="1"/>
  <c r="C11" i="2"/>
  <c r="J11" i="1" s="1"/>
  <c r="L11" i="1"/>
  <c r="AB72" i="32"/>
  <c r="M36" i="32"/>
  <c r="S35" i="32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C11" i="1" l="1"/>
  <c r="D11" i="1" s="1"/>
  <c r="K106" i="32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F13" i="1"/>
  <c r="AB73" i="32"/>
  <c r="M71" i="32"/>
  <c r="P70" i="32"/>
  <c r="C12" i="4"/>
  <c r="B13" i="4"/>
  <c r="F12" i="4"/>
  <c r="AK74" i="32"/>
  <c r="K109" i="32"/>
  <c r="P109" i="32" s="1"/>
  <c r="C12" i="1" l="1"/>
  <c r="D12" i="1" s="1"/>
  <c r="K110" i="32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F18" i="1"/>
  <c r="E16" i="1"/>
  <c r="C16" i="1" s="1"/>
  <c r="D16" i="1" s="1"/>
  <c r="C17" i="1" l="1"/>
  <c r="D17" i="1" s="1"/>
  <c r="C18" i="4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E19" i="1"/>
  <c r="C19" i="1" s="1"/>
  <c r="D19" i="1" s="1"/>
  <c r="P79" i="32"/>
  <c r="O80" i="32"/>
  <c r="AH79" i="32"/>
  <c r="N79" i="32"/>
  <c r="C20" i="1" l="1"/>
  <c r="D20" i="1" s="1"/>
  <c r="AQ145" i="4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2"/>
  <c r="J21" i="1" s="1"/>
  <c r="P80" i="32"/>
  <c r="N80" i="32"/>
  <c r="O81" i="32"/>
  <c r="AH80" i="32"/>
  <c r="C21" i="1" l="1"/>
  <c r="D21" i="1" s="1"/>
  <c r="O82" i="32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E21" i="4"/>
  <c r="H21" i="4" s="1"/>
  <c r="C22" i="4"/>
  <c r="F22" i="4"/>
  <c r="B23" i="4"/>
  <c r="C22" i="1" l="1"/>
  <c r="D22" i="1" s="1"/>
  <c r="E22" i="4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L25" i="1"/>
  <c r="F26" i="1"/>
  <c r="N84" i="32"/>
  <c r="AH84" i="32"/>
  <c r="O85" i="32"/>
  <c r="P84" i="32"/>
  <c r="C25" i="1" l="1"/>
  <c r="D25" i="1" s="1"/>
  <c r="F27" i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2"/>
  <c r="J27" i="1" s="1"/>
  <c r="F28" i="1"/>
  <c r="C27" i="1" l="1"/>
  <c r="D27" i="1" s="1"/>
  <c r="G28" i="1"/>
  <c r="H28" i="1" s="1"/>
  <c r="E28" i="1" s="1"/>
  <c r="F29" i="1"/>
  <c r="N28" i="1"/>
  <c r="O28" i="1" s="1"/>
  <c r="C28" i="2"/>
  <c r="J28" i="1" s="1"/>
  <c r="L28" i="1"/>
  <c r="F28" i="4"/>
  <c r="B29" i="4"/>
  <c r="C28" i="4"/>
  <c r="E27" i="4"/>
  <c r="H27" i="4" s="1"/>
  <c r="C28" i="1" l="1"/>
  <c r="D28" i="1" s="1"/>
  <c r="E28" i="4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F33" i="1"/>
  <c r="E31" i="1"/>
  <c r="C31" i="1" s="1"/>
  <c r="D31" i="1" s="1"/>
  <c r="C32" i="1" l="1"/>
  <c r="D32" i="1" s="1"/>
  <c r="L33" i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2"/>
  <c r="J34" i="1" s="1"/>
  <c r="C34" i="1" l="1"/>
  <c r="D34" i="1" s="1"/>
  <c r="C35" i="2"/>
  <c r="J35" i="1" s="1"/>
  <c r="N35" i="1"/>
  <c r="O35" i="1" s="1"/>
  <c r="G35" i="1"/>
  <c r="H35" i="1" s="1"/>
  <c r="E35" i="1" s="1"/>
  <c r="F36" i="1"/>
  <c r="L35" i="1"/>
  <c r="E34" i="4"/>
  <c r="H34" i="4" s="1"/>
  <c r="F35" i="4"/>
  <c r="B36" i="4"/>
  <c r="C35" i="4"/>
  <c r="C35" i="1" l="1"/>
  <c r="D35" i="1" s="1"/>
  <c r="F36" i="4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C37" i="1" l="1"/>
  <c r="D37" i="1" s="1"/>
  <c r="E37" i="4"/>
  <c r="H37" i="4" s="1"/>
  <c r="C38" i="2"/>
  <c r="J38" i="1" s="1"/>
  <c r="F39" i="1"/>
  <c r="L38" i="1"/>
  <c r="G38" i="1"/>
  <c r="H38" i="1" s="1"/>
  <c r="E38" i="1" s="1"/>
  <c r="N38" i="1"/>
  <c r="O38" i="1" s="1"/>
  <c r="B39" i="4"/>
  <c r="C38" i="4"/>
  <c r="F38" i="4"/>
  <c r="C38" i="1" l="1"/>
  <c r="D38" i="1" s="1"/>
  <c r="E38" i="4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L44" i="1"/>
  <c r="E43" i="4"/>
  <c r="H43" i="4"/>
  <c r="E43" i="1"/>
  <c r="C43" i="1" s="1"/>
  <c r="D43" i="1" s="1"/>
  <c r="C44" i="1" l="1"/>
  <c r="D44" i="1" s="1"/>
  <c r="L45" i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l="1"/>
  <c r="D46" i="1" s="1"/>
  <c r="N47" i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N48" i="1"/>
  <c r="O48" i="1" s="1"/>
  <c r="F49" i="1"/>
  <c r="C47" i="1"/>
  <c r="D47" i="1" s="1"/>
  <c r="C48" i="4"/>
  <c r="B49" i="4"/>
  <c r="F48" i="4"/>
  <c r="C48" i="1" l="1"/>
  <c r="D48" i="1" s="1"/>
  <c r="E48" i="4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H55" i="4"/>
  <c r="E55" i="4"/>
  <c r="E55" i="1"/>
  <c r="C55" i="1" s="1"/>
  <c r="D55" i="1" s="1"/>
  <c r="C56" i="1" l="1"/>
  <c r="D56" i="1" s="1"/>
  <c r="L57" i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2"/>
  <c r="J58" i="1" s="1"/>
  <c r="E57" i="1"/>
  <c r="C57" i="1" s="1"/>
  <c r="D57" i="1" s="1"/>
  <c r="F58" i="4"/>
  <c r="B59" i="4"/>
  <c r="C58" i="4"/>
  <c r="C58" i="1" l="1"/>
  <c r="D58" i="1" s="1"/>
  <c r="F59" i="4"/>
  <c r="C59" i="4"/>
  <c r="B60" i="4"/>
  <c r="N59" i="1"/>
  <c r="O59" i="1" s="1"/>
  <c r="C59" i="2"/>
  <c r="J59" i="1" s="1"/>
  <c r="G59" i="1"/>
  <c r="H59" i="1" s="1"/>
  <c r="E59" i="1" s="1"/>
  <c r="F60" i="1"/>
  <c r="L59" i="1"/>
  <c r="E58" i="4"/>
  <c r="H58" i="4" s="1"/>
  <c r="C59" i="1" l="1"/>
  <c r="D59" i="1" s="1"/>
  <c r="L60" i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F62" i="1"/>
  <c r="L61" i="1"/>
  <c r="E60" i="1"/>
  <c r="C60" i="1" s="1"/>
  <c r="D60" i="1" s="1"/>
  <c r="E60" i="4"/>
  <c r="H60" i="4" s="1"/>
  <c r="C61" i="1" l="1"/>
  <c r="D61" i="1" s="1"/>
  <c r="F63" i="1"/>
  <c r="C62" i="2"/>
  <c r="J62" i="1" s="1"/>
  <c r="L62" i="1"/>
  <c r="N62" i="1"/>
  <c r="O62" i="1" s="1"/>
  <c r="G62" i="1"/>
  <c r="H62" i="1" s="1"/>
  <c r="E62" i="1" s="1"/>
  <c r="E61" i="4"/>
  <c r="H61" i="4" s="1"/>
  <c r="F62" i="4"/>
  <c r="C62" i="4"/>
  <c r="B63" i="4"/>
  <c r="C62" i="1" l="1"/>
  <c r="D62" i="1" s="1"/>
  <c r="E62" i="4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l="1"/>
  <c r="D63" i="1" s="1"/>
  <c r="C64" i="2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<sst xmlns="http://schemas.openxmlformats.org/spreadsheetml/2006/main" count="9400" uniqueCount="2360">
  <si>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</si>
  <si>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</si>
  <si>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</si>
  <si>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</si>
  <si>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</si>
  <si>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</si>
  <si>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</si>
  <si>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</si>
  <si>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</si>
  <si>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</si>
  <si>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</si>
  <si>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</si>
  <si>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</si>
  <si>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</si>
  <si>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</si>
  <si>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</si>
  <si>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</si>
  <si>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</si>
  <si>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</si>
  <si>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</si>
  <si>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</si>
  <si>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</si>
  <si>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</si>
  <si>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</si>
  <si>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</si>
  <si>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</si>
  <si>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</si>
  <si>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</si>
  <si>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</si>
  <si>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</si>
  <si>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</si>
  <si>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</si>
  <si>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</si>
  <si>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</si>
  <si>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</si>
  <si>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</si>
  <si>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</si>
  <si>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</si>
  <si>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</si>
  <si>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</si>
  <si>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</si>
  <si>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</si>
  <si>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</si>
  <si>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</si>
  <si>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</si>
  <si>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</si>
  <si>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</si>
  <si>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</si>
  <si>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</si>
  <si>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</si>
  <si>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</si>
  <si>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</si>
  <si>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</si>
  <si>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</si>
  <si>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</si>
  <si>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</si>
  <si>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</si>
  <si>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</si>
  <si>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</si>
  <si>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</si>
  <si>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</si>
  <si>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</si>
  <si>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</si>
  <si>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</si>
  <si>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</si>
  <si>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</si>
  <si>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</si>
  <si>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</si>
  <si>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</si>
  <si>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</si>
  <si>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</si>
  <si>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</si>
  <si>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</si>
  <si>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</si>
  <si>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</si>
  <si>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</si>
  <si>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</si>
  <si>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</si>
  <si>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</si>
  <si>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</si>
  <si>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</si>
  <si>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</si>
  <si>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</si>
  <si>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</si>
  <si>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</si>
  <si>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</si>
  <si>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</si>
  <si>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</si>
  <si>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</si>
  <si>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</si>
  <si>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</si>
  <si>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</si>
  <si>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</si>
  <si>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</si>
  <si>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</si>
  <si>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</si>
  <si>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</si>
  <si>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</si>
  <si>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</si>
  <si>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</si>
  <si>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</si>
  <si>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</si>
  <si>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</si>
  <si>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</si>
  <si>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</si>
  <si>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</si>
  <si>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</si>
  <si>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</si>
  <si>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</si>
  <si>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</si>
  <si>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</si>
  <si>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</si>
  <si>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</si>
  <si>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</si>
  <si>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</si>
  <si>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</si>
  <si>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</si>
  <si>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</si>
  <si>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</si>
  <si>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</si>
  <si>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</si>
  <si>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</si>
  <si>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</si>
  <si>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</si>
  <si>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</si>
  <si>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</si>
  <si>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</si>
  <si>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</si>
  <si>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</si>
  <si>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</si>
  <si>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</si>
  <si>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</si>
  <si>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</si>
  <si>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</si>
  <si>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</si>
  <si>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</si>
  <si>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</si>
  <si>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</si>
  <si>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</si>
  <si>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</si>
  <si>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</si>
  <si>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</si>
  <si>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</si>
  <si>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</si>
  <si>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</si>
  <si>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</si>
  <si>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</si>
  <si>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</si>
  <si>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</si>
  <si>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</si>
  <si>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</si>
  <si>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</si>
  <si>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</si>
  <si>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</si>
  <si>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</si>
  <si>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</si>
  <si>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</si>
  <si>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</si>
  <si>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</si>
  <si>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</si>
  <si>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</si>
  <si>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</si>
  <si>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</si>
  <si>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</si>
  <si>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</si>
  <si>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</si>
  <si>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</si>
  <si>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</si>
  <si>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</si>
  <si>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</si>
  <si>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</si>
  <si>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</si>
  <si>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</si>
  <si>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</si>
  <si>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</si>
  <si>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</si>
  <si>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</si>
  <si>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</si>
  <si>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</si>
  <si>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</si>
  <si>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</si>
  <si>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</si>
  <si>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</si>
  <si>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</si>
  <si>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</si>
  <si>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</si>
  <si>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</si>
  <si>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</si>
  <si>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</si>
  <si>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</si>
  <si>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</si>
  <si>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</si>
  <si>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</si>
  <si>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</si>
  <si>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</si>
  <si>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</si>
  <si>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</si>
  <si>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</si>
  <si>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</si>
  <si>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</si>
  <si>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</si>
  <si>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</si>
  <si>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</si>
  <si>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</si>
  <si>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</si>
  <si>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</si>
  <si>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</si>
  <si>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</si>
  <si>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</si>
  <si>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</si>
  <si>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</si>
  <si>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</si>
  <si>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</si>
  <si>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</si>
  <si>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</si>
  <si>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</si>
  <si>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</si>
  <si>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</si>
  <si>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</si>
  <si>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</si>
  <si>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</si>
  <si>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</si>
  <si>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</si>
  <si>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</si>
  <si>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</si>
  <si>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</si>
  <si>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</si>
  <si>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</si>
  <si>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</si>
  <si>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</si>
  <si>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</si>
  <si>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</si>
  <si>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</si>
  <si>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</si>
  <si>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</si>
  <si>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</si>
  <si>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</si>
  <si>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</si>
  <si>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</si>
  <si>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</si>
  <si>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</si>
  <si>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</si>
  <si>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</si>
  <si>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</si>
  <si>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</si>
  <si>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</si>
  <si>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</si>
  <si>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</si>
  <si>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</si>
  <si>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</si>
  <si>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</si>
  <si>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</si>
  <si>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</si>
  <si>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</si>
  <si>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</si>
  <si>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</si>
  <si>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</si>
  <si>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</si>
  <si>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</si>
  <si>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</si>
  <si>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</si>
  <si>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</si>
  <si>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</si>
  <si>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</si>
  <si>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</si>
  <si>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</si>
  <si>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</si>
  <si>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</si>
  <si>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</si>
  <si>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</si>
  <si>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</si>
  <si>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</si>
  <si>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</si>
  <si>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</si>
  <si>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</si>
  <si>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</si>
  <si>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</si>
  <si>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</si>
  <si>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</si>
  <si>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</si>
  <si>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</si>
  <si>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</si>
  <si>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</si>
  <si>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</si>
  <si>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</si>
  <si>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</si>
  <si>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</si>
  <si>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</si>
  <si>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</si>
  <si>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</si>
  <si>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</si>
  <si>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</si>
  <si>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</si>
  <si>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</si>
  <si>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</si>
  <si>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</si>
  <si>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</si>
  <si>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</si>
  <si>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</si>
  <si>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</si>
  <si>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</si>
  <si>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</si>
  <si>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</si>
  <si>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</si>
  <si>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</si>
  <si>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</si>
  <si>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</si>
  <si>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</si>
  <si>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</si>
  <si>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</si>
  <si>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</si>
  <si>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</si>
  <si>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</si>
  <si>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</si>
  <si>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</si>
  <si>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</si>
  <si>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</si>
  <si>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</si>
  <si>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</si>
  <si>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</si>
  <si>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</si>
  <si>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</si>
  <si>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</si>
  <si>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</si>
  <si>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</si>
  <si>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</si>
  <si>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</si>
  <si>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</si>
  <si>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</si>
  <si>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</si>
  <si>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</si>
  <si>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</si>
  <si>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</si>
  <si>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</si>
  <si>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</si>
  <si>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</si>
  <si>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</si>
  <si>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</si>
  <si>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</si>
  <si>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</si>
  <si>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</si>
  <si>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</si>
  <si>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</si>
  <si>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</si>
  <si>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</si>
  <si>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</si>
  <si>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</si>
  <si>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</si>
  <si>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</si>
  <si>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</si>
  <si>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</si>
  <si>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</si>
  <si>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</si>
  <si>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</si>
  <si>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</si>
  <si>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</si>
  <si>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</si>
  <si>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</si>
  <si>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</si>
  <si>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</si>
  <si>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</si>
  <si>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</si>
  <si>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</si>
  <si>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</si>
  <si>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</si>
  <si>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</si>
  <si>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</si>
  <si>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</si>
  <si>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</si>
  <si>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</si>
  <si>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</si>
  <si>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</si>
  <si>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</si>
  <si>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</si>
  <si>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</si>
  <si>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</si>
  <si>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</si>
  <si>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</si>
  <si>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</si>
  <si>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</si>
  <si>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</si>
  <si>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</si>
  <si>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</si>
  <si>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</si>
  <si>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</si>
  <si>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</si>
  <si>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</si>
  <si>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</si>
  <si>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</si>
  <si>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</si>
  <si>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</si>
  <si>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</si>
  <si>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</si>
  <si>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</si>
  <si>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</si>
  <si>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</si>
  <si>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</si>
  <si>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</si>
  <si>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</si>
  <si>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</si>
  <si>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</si>
  <si>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</si>
  <si>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</si>
  <si>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</si>
  <si>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</si>
  <si>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</si>
  <si>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</si>
  <si>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</si>
  <si>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</si>
  <si>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</si>
  <si>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</si>
  <si>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</si>
  <si>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</si>
  <si>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</si>
  <si>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</si>
  <si>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</si>
  <si>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</si>
  <si>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</si>
  <si>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</si>
  <si>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</si>
  <si>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</si>
  <si>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</si>
  <si>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</si>
  <si>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</si>
  <si>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</si>
  <si>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</si>
  <si>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</si>
  <si>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</si>
  <si>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</si>
  <si>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</si>
  <si>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</si>
  <si>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</si>
  <si>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</si>
  <si>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</si>
  <si>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</si>
  <si>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</si>
  <si>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</si>
  <si>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</si>
  <si>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</si>
  <si>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</si>
  <si>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</si>
  <si>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</si>
  <si>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</si>
  <si>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</si>
  <si>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</si>
  <si>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</si>
  <si>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</si>
  <si>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</si>
  <si>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</si>
  <si>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</si>
  <si>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</si>
  <si>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</si>
  <si>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</si>
  <si>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</si>
  <si>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</si>
  <si>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</si>
  <si>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</si>
  <si>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</si>
  <si>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</si>
  <si>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</si>
  <si>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</si>
  <si>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</si>
  <si>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</si>
  <si>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</si>
  <si>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</si>
  <si>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</si>
  <si>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</si>
  <si>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</si>
  <si>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</si>
  <si>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</si>
  <si>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</si>
  <si>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</si>
  <si>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</si>
  <si>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</si>
  <si>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</si>
  <si>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</si>
  <si>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</si>
  <si>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</si>
  <si>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</si>
  <si>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</si>
  <si>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</si>
  <si>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</si>
  <si>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</si>
  <si>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</si>
  <si>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</si>
  <si>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</si>
  <si>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</si>
  <si>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</si>
  <si>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</si>
  <si>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</si>
  <si>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</si>
  <si>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</si>
  <si>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</si>
  <si>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</si>
  <si>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</si>
  <si>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</si>
  <si>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</si>
  <si>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</si>
  <si>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</si>
  <si>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</si>
  <si>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</si>
  <si>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</si>
  <si>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</si>
  <si>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</si>
  <si>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</si>
  <si>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</si>
  <si>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</si>
  <si>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</si>
  <si>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</si>
  <si>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</si>
  <si>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</si>
  <si>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</si>
  <si>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</si>
  <si>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</si>
  <si>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</si>
  <si>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</si>
  <si>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</si>
  <si>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</si>
  <si>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</si>
  <si>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</si>
  <si>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</si>
  <si>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</si>
  <si>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</si>
  <si>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</si>
  <si>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</si>
  <si>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</si>
  <si>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</si>
  <si>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</si>
  <si>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</si>
  <si>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</si>
  <si>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</si>
  <si>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</si>
  <si>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</si>
  <si>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</si>
  <si>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</si>
  <si>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</si>
  <si>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</si>
  <si>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</si>
  <si>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</si>
  <si>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</si>
  <si>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</si>
  <si>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</si>
  <si>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</si>
  <si>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</si>
  <si>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</si>
  <si>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</si>
  <si>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</si>
  <si>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</si>
  <si>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</si>
  <si>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</si>
  <si>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</si>
  <si>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</si>
  <si>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</si>
  <si>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</si>
  <si>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</si>
  <si>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</si>
  <si>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</si>
  <si>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</si>
  <si>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</si>
  <si>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</si>
  <si>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</si>
  <si>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</si>
  <si>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</si>
  <si>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</si>
  <si>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</si>
  <si>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</si>
  <si>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</si>
  <si>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</si>
  <si>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</si>
  <si>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</si>
  <si>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</si>
  <si>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</si>
  <si>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</si>
  <si>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</si>
  <si>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</si>
  <si>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</si>
  <si>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</si>
  <si>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</si>
  <si>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</si>
  <si>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</si>
  <si>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</si>
  <si>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</si>
  <si>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</si>
  <si>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</si>
  <si>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</si>
  <si>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</si>
  <si>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</si>
  <si>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</si>
  <si>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</si>
  <si>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</si>
  <si>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</si>
  <si>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</si>
  <si>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</si>
  <si>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</si>
  <si>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</si>
  <si>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</si>
  <si>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</si>
  <si>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</si>
  <si>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</si>
  <si>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</si>
  <si>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</si>
  <si>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</si>
  <si>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</si>
  <si>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</si>
  <si>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</si>
  <si>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</si>
  <si>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</si>
  <si>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</si>
  <si>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</si>
  <si>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</si>
  <si>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</si>
  <si>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</si>
  <si>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</si>
  <si>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</si>
  <si>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</si>
  <si>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</si>
  <si>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</si>
  <si>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</si>
  <si>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</si>
  <si>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</si>
  <si>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</si>
  <si>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</si>
  <si>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</si>
  <si>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</si>
  <si>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</si>
  <si>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</si>
  <si>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</si>
  <si>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</si>
  <si>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</si>
  <si>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</si>
  <si>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</si>
  <si>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</si>
  <si>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</si>
  <si>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</si>
  <si>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</si>
  <si>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</si>
  <si>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</si>
  <si>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</si>
  <si>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</si>
  <si>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</si>
  <si>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</si>
  <si>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</si>
  <si>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</si>
  <si>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</si>
  <si>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</si>
  <si>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</si>
  <si>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</si>
  <si>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</si>
  <si>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</si>
  <si>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</si>
  <si>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</si>
  <si>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</si>
  <si>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</si>
  <si>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</si>
  <si>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</si>
  <si>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</si>
  <si>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</si>
  <si>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</si>
  <si>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</si>
  <si>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</si>
  <si>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</si>
  <si>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</si>
  <si>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</si>
  <si>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</si>
  <si>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</si>
  <si>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</si>
  <si>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</si>
  <si>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</si>
  <si>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</si>
  <si>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</si>
  <si>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</si>
  <si>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</si>
  <si>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</si>
  <si>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</si>
  <si>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</si>
  <si>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</si>
  <si>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</si>
  <si>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</si>
  <si>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</si>
  <si>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</si>
  <si>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</si>
  <si>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</si>
  <si>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</si>
  <si>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</si>
  <si>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</si>
  <si>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</si>
  <si>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</si>
  <si>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</si>
  <si>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</si>
  <si>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</si>
  <si>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</si>
  <si>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</si>
  <si>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</si>
  <si>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</si>
  <si>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</si>
  <si>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</si>
  <si>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</si>
  <si>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</si>
  <si>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</si>
  <si>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</si>
  <si>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</si>
  <si>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</si>
  <si>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</si>
  <si>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</si>
  <si>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</si>
  <si>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</si>
  <si>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</si>
  <si>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</si>
  <si>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</si>
  <si>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</si>
  <si>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</si>
  <si>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</si>
  <si>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</si>
  <si>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</si>
  <si>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</si>
  <si>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</si>
  <si>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</si>
  <si>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</si>
  <si>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</si>
  <si>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</si>
  <si>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</si>
  <si>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</si>
  <si>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</si>
  <si>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</si>
  <si>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</si>
  <si>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</si>
  <si>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</si>
  <si>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</si>
  <si>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</si>
  <si>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</si>
  <si>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</si>
  <si>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</si>
  <si>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</si>
  <si>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</si>
  <si>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</si>
  <si>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</si>
  <si>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</si>
  <si>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</si>
  <si>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</si>
  <si>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</si>
  <si>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</si>
  <si>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</si>
  <si>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</si>
  <si>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</si>
  <si>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</si>
  <si>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</si>
  <si>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</si>
  <si>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</si>
  <si>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</si>
  <si>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</si>
  <si>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</si>
  <si>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</si>
  <si>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</si>
  <si>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</si>
  <si>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</si>
  <si>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</si>
  <si>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</si>
  <si>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</si>
  <si>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</si>
  <si>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</si>
  <si>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</si>
  <si>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</si>
  <si>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</si>
  <si>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</si>
  <si>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</si>
  <si>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</si>
  <si>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</si>
  <si>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</si>
  <si>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</si>
  <si>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</si>
  <si>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</si>
  <si>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</si>
  <si>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</si>
  <si>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</si>
  <si>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</si>
  <si>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</si>
  <si>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</si>
  <si>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</si>
  <si>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</si>
  <si>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</si>
  <si>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</si>
  <si>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</si>
  <si>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</si>
  <si>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</si>
  <si>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</si>
  <si>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</si>
  <si>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</si>
  <si>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</si>
  <si>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</si>
  <si>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</si>
  <si>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</si>
  <si>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</si>
  <si>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</si>
  <si>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</si>
  <si>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</si>
  <si>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</si>
  <si>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</si>
  <si>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</si>
  <si>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</si>
  <si>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</si>
  <si>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</si>
  <si>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</si>
  <si>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</si>
  <si>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</si>
  <si>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</si>
  <si>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</si>
  <si>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</si>
  <si>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</si>
  <si>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</si>
  <si>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</si>
  <si>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</si>
  <si>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</si>
  <si>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</si>
  <si>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</si>
  <si>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</si>
  <si>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</si>
  <si>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</si>
  <si>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</si>
  <si>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</si>
  <si>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</si>
  <si>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</si>
  <si>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</si>
  <si>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</si>
  <si>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</si>
  <si>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</si>
  <si>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</si>
  <si>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</si>
  <si>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</si>
  <si>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</si>
  <si>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</si>
  <si>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</si>
  <si>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</si>
  <si>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</si>
  <si>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</si>
  <si>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</si>
  <si>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</si>
  <si>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</si>
  <si>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</si>
  <si>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</si>
  <si>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</si>
  <si>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</si>
  <si>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</si>
  <si>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</si>
  <si>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</si>
  <si>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</si>
  <si>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</si>
  <si>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</si>
  <si>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</si>
  <si>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</si>
  <si>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</si>
  <si>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</si>
  <si>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</si>
  <si>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</si>
  <si>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</si>
  <si>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</si>
  <si>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</si>
  <si>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</si>
  <si>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</si>
  <si>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</si>
  <si>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</si>
  <si>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</si>
  <si>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</si>
  <si>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</si>
  <si>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</si>
  <si>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</si>
  <si>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</si>
  <si>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</si>
  <si>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</si>
  <si>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</si>
  <si>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</si>
  <si>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</si>
  <si>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</si>
  <si>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</si>
  <si>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</si>
  <si>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</si>
  <si>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</si>
  <si>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</si>
  <si>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</si>
  <si>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</si>
  <si>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</si>
  <si>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</si>
  <si>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</si>
  <si>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</si>
  <si>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</si>
  <si>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</si>
  <si>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</si>
  <si>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</si>
  <si>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</si>
  <si>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</si>
  <si>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</si>
  <si>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</si>
  <si>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</si>
  <si>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</si>
  <si>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</si>
  <si>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</si>
  <si>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</si>
  <si>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</si>
  <si>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</si>
  <si>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</si>
  <si>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</si>
  <si>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</si>
  <si>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</si>
  <si>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</si>
  <si>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</si>
  <si>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</si>
  <si>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</si>
  <si>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</si>
  <si>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</si>
  <si>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</si>
  <si>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</si>
  <si>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</si>
  <si>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</si>
  <si>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</si>
  <si>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</si>
  <si>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</si>
  <si>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</si>
  <si>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</si>
  <si>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</si>
  <si>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</si>
  <si>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</si>
  <si>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</si>
  <si>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</si>
  <si>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</si>
  <si>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</si>
  <si>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</si>
  <si>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</si>
  <si>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</si>
  <si>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</si>
  <si>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</si>
  <si>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</si>
  <si>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</si>
  <si>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</si>
  <si>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</si>
  <si>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</si>
  <si>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</si>
  <si>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</si>
  <si>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</si>
  <si>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</si>
  <si>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</si>
  <si>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</si>
  <si>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</si>
  <si>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</si>
  <si>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</si>
  <si>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</si>
  <si>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</si>
  <si>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</si>
  <si>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</si>
  <si>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</si>
  <si>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</si>
  <si>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</si>
  <si>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</si>
  <si>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</si>
  <si>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</si>
  <si>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</si>
  <si>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</si>
  <si>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</si>
  <si>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</si>
  <si>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</si>
  <si>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</si>
  <si>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</si>
  <si>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</si>
  <si>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</si>
  <si>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</si>
  <si>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</si>
  <si>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</si>
  <si>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</si>
  <si>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</si>
  <si>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</si>
  <si>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</si>
  <si>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</si>
  <si>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</si>
  <si>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</si>
  <si>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</si>
  <si>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</si>
  <si>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</si>
  <si>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</si>
  <si>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</si>
  <si>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</si>
  <si>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</si>
  <si>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</si>
  <si>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</si>
  <si>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</si>
  <si>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</si>
  <si>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</si>
  <si>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</si>
  <si>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</si>
  <si>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</si>
  <si>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</si>
  <si>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</si>
  <si>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</si>
  <si>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</si>
  <si>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</si>
  <si>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</si>
  <si>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</si>
  <si>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</si>
  <si>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</si>
  <si>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</si>
  <si>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</si>
  <si>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</si>
  <si>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</si>
  <si>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</si>
  <si>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</si>
  <si>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</si>
  <si>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</si>
  <si>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</si>
  <si>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</si>
  <si>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</si>
  <si>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</si>
  <si>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</si>
  <si>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</si>
  <si>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</si>
  <si>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</si>
  <si>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</si>
  <si>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</si>
  <si>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</si>
  <si>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</si>
  <si>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</si>
  <si>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</si>
  <si>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</si>
  <si>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</si>
  <si>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</si>
  <si>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</si>
  <si>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</si>
  <si>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</si>
  <si>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</si>
  <si>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</si>
  <si>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</si>
  <si>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</si>
  <si>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</si>
  <si>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</si>
  <si>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</si>
  <si>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</si>
  <si>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</si>
  <si>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</si>
  <si>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</si>
  <si>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</si>
  <si>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</si>
  <si>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</si>
  <si>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</si>
  <si>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</si>
  <si>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</si>
  <si>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</si>
  <si>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</si>
  <si>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</si>
  <si>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</si>
  <si>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</si>
  <si>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</si>
  <si>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</si>
  <si>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</si>
  <si>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</si>
  <si>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</si>
  <si>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</si>
  <si>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</si>
  <si>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</si>
  <si>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</si>
  <si>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</si>
  <si>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</si>
  <si>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</si>
  <si>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</si>
  <si>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</si>
  <si>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</si>
  <si>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</si>
  <si>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</si>
  <si>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</si>
  <si>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</si>
  <si>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</si>
  <si>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</si>
  <si>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</si>
  <si>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</si>
  <si>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</si>
  <si>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</si>
  <si>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</si>
  <si>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</si>
  <si>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</si>
  <si>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</si>
  <si>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</si>
  <si>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</si>
  <si>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</si>
  <si>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</si>
  <si>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</si>
  <si>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</si>
  <si>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</si>
  <si>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</si>
  <si>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</si>
  <si>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</si>
  <si>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</si>
  <si>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</si>
  <si>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</si>
  <si>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</si>
  <si>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</si>
  <si>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</si>
  <si>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</si>
  <si>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</si>
  <si>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</si>
  <si>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</si>
  <si>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</si>
  <si>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</si>
  <si>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</si>
  <si>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</si>
  <si>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</si>
  <si>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</si>
  <si>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</si>
  <si>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</si>
  <si>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</si>
  <si>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</si>
  <si>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</si>
  <si>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</si>
  <si>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</si>
  <si>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</si>
  <si>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</si>
  <si>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</si>
  <si>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</si>
  <si>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</si>
  <si>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</si>
  <si>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</si>
  <si>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</si>
  <si>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</si>
  <si>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</si>
  <si>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</si>
  <si>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</si>
  <si>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</si>
  <si>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</si>
  <si>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</si>
  <si>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</si>
  <si>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</si>
  <si>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</si>
  <si>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</si>
  <si>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</si>
  <si>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</si>
  <si>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</si>
  <si>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</si>
  <si>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</si>
  <si>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</si>
  <si>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</si>
  <si>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</si>
  <si>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</si>
  <si>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</si>
  <si>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</si>
  <si>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</si>
  <si>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</si>
  <si>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</si>
  <si>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</si>
  <si>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</si>
  <si>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</si>
  <si>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</si>
  <si>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</si>
  <si>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</si>
  <si>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</si>
  <si>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</si>
  <si>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</si>
  <si>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</si>
  <si>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</si>
  <si>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</si>
  <si>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</si>
  <si>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</si>
  <si>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</si>
  <si>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</si>
  <si>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</si>
  <si>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</si>
  <si>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</si>
  <si>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</si>
  <si>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</si>
  <si>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</si>
  <si>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</si>
  <si>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</si>
  <si>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</si>
  <si>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</si>
  <si>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</si>
  <si>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</si>
  <si>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</si>
  <si>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</si>
  <si>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</si>
  <si>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</si>
  <si>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</si>
  <si>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</si>
  <si>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</si>
  <si>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</si>
  <si>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</si>
  <si>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</si>
  <si>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</si>
  <si>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</si>
  <si>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</si>
  <si>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</si>
  <si>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</si>
  <si>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</si>
  <si>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</si>
  <si>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</si>
  <si>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</si>
  <si>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</si>
  <si>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</si>
  <si>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</si>
  <si>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</si>
  <si>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</si>
  <si>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</si>
  <si>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</si>
  <si>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</si>
  <si>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</si>
  <si>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</si>
  <si>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</si>
  <si>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</si>
  <si>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</si>
  <si>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</si>
  <si>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</si>
  <si>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</si>
  <si>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</si>
  <si>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</si>
  <si>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</si>
  <si>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</si>
  <si>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</si>
  <si>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</si>
  <si>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</si>
  <si>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</si>
  <si>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</si>
  <si>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</si>
  <si>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</si>
  <si>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</si>
  <si>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</si>
  <si>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</si>
  <si>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</si>
  <si>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</si>
  <si>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</si>
  <si>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</si>
  <si>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</si>
  <si>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</si>
  <si>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</si>
  <si>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</si>
  <si>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</si>
  <si>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</si>
  <si>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</si>
  <si>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</si>
  <si>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</si>
  <si>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</si>
  <si>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</si>
  <si>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</si>
  <si>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</si>
  <si>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</si>
  <si>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</si>
  <si>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</si>
  <si>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</si>
  <si>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</si>
  <si>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</si>
  <si>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</si>
  <si>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</si>
  <si>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</si>
  <si>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</si>
  <si>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</si>
  <si>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</si>
  <si>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</si>
  <si>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</si>
  <si>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</si>
  <si>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</si>
  <si>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</si>
  <si>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</si>
  <si>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</si>
  <si>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</si>
  <si>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</si>
  <si>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</si>
  <si>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</si>
  <si>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</si>
  <si>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</si>
  <si>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</si>
  <si>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</si>
  <si>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</si>
  <si>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</si>
  <si>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</si>
  <si>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</si>
  <si>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</si>
  <si>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</si>
  <si>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</si>
  <si>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</si>
  <si>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</si>
  <si>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</si>
  <si>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</si>
  <si>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</si>
  <si>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</si>
  <si>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</si>
  <si>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</si>
  <si>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</si>
  <si>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</si>
  <si>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</si>
  <si>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</si>
  <si>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</si>
  <si>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</si>
  <si>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</si>
  <si>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</si>
  <si>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</si>
  <si>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</si>
  <si>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</si>
  <si>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</si>
  <si>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</si>
  <si>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</si>
  <si>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</si>
  <si>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</si>
  <si>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</si>
  <si>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</si>
  <si>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</si>
  <si>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</si>
  <si>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</si>
  <si>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</si>
  <si>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</si>
  <si>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</si>
  <si>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</si>
  <si>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</si>
  <si>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</si>
  <si>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</si>
  <si>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</si>
  <si>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</si>
  <si>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</si>
  <si>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</si>
  <si>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</si>
  <si>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</si>
  <si>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</si>
  <si>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</si>
  <si>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</si>
  <si>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</si>
  <si>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</si>
  <si>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</si>
  <si>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</si>
  <si>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</si>
  <si>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</si>
  <si>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</si>
  <si>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</si>
  <si>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</si>
  <si>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</si>
  <si>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</si>
  <si>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</si>
  <si>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</si>
  <si>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</si>
  <si>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</si>
  <si>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</si>
  <si>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</si>
  <si>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</si>
  <si>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</si>
  <si>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</si>
  <si>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</si>
  <si>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</si>
  <si>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</si>
  <si>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</si>
  <si>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</si>
  <si>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</si>
  <si>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</si>
  <si>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</si>
  <si>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</si>
  <si>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</si>
  <si>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</si>
  <si>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</si>
  <si>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</si>
  <si>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</si>
  <si>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</si>
  <si>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</si>
  <si>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</si>
  <si>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</si>
  <si>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</si>
  <si>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</si>
  <si>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</si>
  <si>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</si>
  <si>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</si>
  <si>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</si>
  <si>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</si>
  <si>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</si>
  <si>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</si>
  <si>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</si>
  <si>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</si>
  <si>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</si>
  <si>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</si>
  <si>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</si>
  <si>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</si>
  <si>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</si>
  <si>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</si>
  <si>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</si>
  <si>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</si>
  <si>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</si>
  <si>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</si>
  <si>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</si>
  <si>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</si>
  <si>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</si>
  <si>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</si>
  <si>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</si>
  <si>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</si>
  <si>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</si>
  <si>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</si>
  <si>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</si>
  <si>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</si>
  <si>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</si>
  <si>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</si>
  <si>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</si>
  <si>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</si>
  <si>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</si>
  <si>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</si>
  <si>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</si>
  <si>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</si>
  <si>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</si>
  <si>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</si>
  <si>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</si>
  <si>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</si>
  <si>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</si>
  <si>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</si>
  <si>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</si>
  <si>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</si>
  <si>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</si>
  <si>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</si>
  <si>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</si>
  <si>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</si>
  <si>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</si>
  <si>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</si>
  <si>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</si>
  <si>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</si>
  <si>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</si>
  <si>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</si>
  <si>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</si>
  <si>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</si>
  <si>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</si>
  <si>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</si>
  <si>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</si>
  <si>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</si>
  <si>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</si>
  <si>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</si>
  <si>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</si>
  <si>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</si>
  <si>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</si>
  <si>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</si>
  <si>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</si>
  <si>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</si>
  <si>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</si>
  <si>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</si>
  <si>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</si>
  <si>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</si>
  <si>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</si>
  <si>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</si>
  <si>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</si>
  <si>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</si>
  <si>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</si>
  <si>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</si>
  <si>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</si>
  <si>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</si>
  <si>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</si>
  <si>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</si>
  <si>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</si>
  <si>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</si>
  <si>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</si>
  <si>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</si>
  <si>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</si>
  <si>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</si>
  <si>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</si>
  <si>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</si>
  <si>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</si>
  <si>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</si>
  <si>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</si>
  <si>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</si>
  <si>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</si>
  <si>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</si>
  <si>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</si>
  <si>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</si>
  <si>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</si>
  <si>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</si>
  <si>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</si>
  <si>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</si>
  <si>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</si>
  <si>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</si>
  <si>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</si>
  <si>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</si>
  <si>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</si>
  <si>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</si>
  <si>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</si>
  <si>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</si>
  <si>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</si>
  <si>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</si>
  <si>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</si>
  <si>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</si>
  <si>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</si>
  <si>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</si>
  <si>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</si>
  <si>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</si>
  <si>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</si>
  <si>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</si>
  <si>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</si>
  <si>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</si>
  <si>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</si>
  <si>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</si>
  <si>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</si>
  <si>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</si>
  <si>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</si>
  <si>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</si>
  <si>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</si>
  <si>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</si>
  <si>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</si>
  <si>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</si>
  <si>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</si>
  <si>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</si>
  <si>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</si>
  <si>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</si>
  <si>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</si>
  <si>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</si>
  <si>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</si>
  <si>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</si>
  <si>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</si>
  <si>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</si>
  <si>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</si>
  <si>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</si>
  <si>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</si>
  <si>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</si>
  <si>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</si>
  <si>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</si>
  <si>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</si>
  <si>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</si>
  <si>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</si>
  <si>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</si>
  <si>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</si>
  <si>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</si>
  <si>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</si>
  <si>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</si>
  <si>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</si>
  <si>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</si>
  <si>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</si>
  <si>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</si>
  <si>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</si>
  <si>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</si>
  <si>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</si>
  <si>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</si>
  <si>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</si>
  <si>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</si>
  <si>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</si>
  <si>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</si>
  <si>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</si>
  <si>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</si>
  <si>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</si>
  <si>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</si>
  <si>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</si>
  <si>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</si>
  <si>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</si>
  <si>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</si>
  <si>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</si>
  <si>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</si>
  <si>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</si>
  <si>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</si>
  <si>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</si>
  <si>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</si>
  <si>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</si>
  <si>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</si>
  <si>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</si>
  <si>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</si>
  <si>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</si>
  <si>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</si>
  <si>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</si>
  <si>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</si>
  <si>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</si>
  <si>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</si>
  <si>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</si>
  <si>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</si>
  <si>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</si>
  <si>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</si>
  <si>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</si>
  <si>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</si>
  <si>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</si>
  <si>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</si>
  <si>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</si>
  <si>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</si>
  <si>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</si>
  <si>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</si>
  <si>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</si>
  <si>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</si>
  <si>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</si>
  <si>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</si>
  <si>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</si>
  <si>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</si>
  <si>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</si>
  <si>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</si>
  <si>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</si>
  <si>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</si>
  <si>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</si>
  <si>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</si>
  <si>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</si>
  <si>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</si>
  <si>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</si>
  <si>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</si>
  <si>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</si>
  <si>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</si>
  <si>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</si>
  <si>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</si>
  <si>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</si>
  <si>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</si>
  <si>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</si>
  <si>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</si>
  <si>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</si>
  <si>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</si>
  <si>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</si>
  <si>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</si>
  <si>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</si>
  <si>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</si>
  <si>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</si>
  <si>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</si>
  <si>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</si>
  <si>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</si>
  <si>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</si>
  <si>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</si>
  <si>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</si>
  <si>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</si>
  <si>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</si>
  <si>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</si>
  <si>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</si>
  <si>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</si>
  <si>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</si>
  <si>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</si>
  <si>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</si>
  <si>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</si>
  <si>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</si>
  <si>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</si>
  <si>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</si>
  <si>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</si>
  <si>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</si>
  <si>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</si>
  <si>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</si>
  <si>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</si>
  <si>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</si>
  <si>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</si>
  <si>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</si>
  <si>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</si>
  <si>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</si>
  <si>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</si>
  <si>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</si>
  <si>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</si>
  <si>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</si>
  <si>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</si>
  <si>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</si>
  <si>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</si>
  <si>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</si>
  <si>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</si>
  <si>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</si>
  <si>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</si>
  <si>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</si>
  <si>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</si>
  <si>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</si>
  <si>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</si>
  <si>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</si>
  <si>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</si>
  <si>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</si>
  <si>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</si>
  <si>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</si>
  <si>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</si>
  <si>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</si>
  <si>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</si>
  <si>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</si>
  <si>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</si>
  <si>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</si>
  <si>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</si>
  <si>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</si>
  <si>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</si>
  <si>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</si>
  <si>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</si>
  <si>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</si>
  <si>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</si>
  <si>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</si>
  <si>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</si>
  <si>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</si>
  <si>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</si>
  <si>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</si>
  <si>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</si>
  <si>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</si>
  <si>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</si>
  <si>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</si>
  <si>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</si>
  <si>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</si>
  <si>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</si>
  <si>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</si>
  <si>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</si>
  <si>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</si>
  <si>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</si>
  <si>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</si>
  <si>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</si>
  <si>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</si>
  <si>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</si>
  <si>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</si>
  <si>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</si>
  <si>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</si>
  <si>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</si>
  <si>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</si>
  <si>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</si>
  <si>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</si>
  <si>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</si>
  <si>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</si>
  <si>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</si>
  <si>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</si>
  <si>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</si>
  <si>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</si>
  <si>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</si>
  <si>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</si>
  <si>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</si>
  <si>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</si>
  <si>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</si>
  <si>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</si>
  <si>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</si>
  <si>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</si>
  <si>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</si>
  <si>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</si>
  <si>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</si>
  <si>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</si>
  <si>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</si>
  <si>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</si>
  <si>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</si>
  <si>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</si>
  <si>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</si>
  <si>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</si>
  <si>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</si>
  <si>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</si>
  <si>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</si>
  <si>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</si>
  <si>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</si>
  <si>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</si>
  <si>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</si>
  <si>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</si>
  <si>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</si>
  <si>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</si>
  <si>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</si>
  <si>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</si>
  <si>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</si>
  <si>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</si>
  <si>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</si>
  <si>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</si>
  <si>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</si>
  <si>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</si>
  <si>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</si>
  <si>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</si>
  <si>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</si>
  <si>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</si>
  <si>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</si>
  <si>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</si>
  <si>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</si>
  <si>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</si>
  <si>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</si>
  <si>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</si>
  <si>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</si>
  <si>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</si>
  <si>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</si>
  <si>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</si>
  <si>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</si>
  <si>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</si>
  <si>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</si>
  <si>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</si>
  <si>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</si>
  <si>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</si>
  <si>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</si>
  <si>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</si>
  <si>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</si>
  <si>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</si>
  <si>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</si>
  <si>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</si>
  <si>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</si>
  <si>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</si>
  <si>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</si>
  <si>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</si>
  <si>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</si>
  <si>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</si>
  <si>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</si>
  <si>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</si>
  <si>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</si>
  <si>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</si>
  <si>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</si>
  <si>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</si>
  <si>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</si>
  <si>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</si>
  <si>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</si>
  <si>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</si>
  <si>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</si>
  <si>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</si>
  <si>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</si>
  <si>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</si>
  <si>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</si>
  <si>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</si>
  <si>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</si>
  <si>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</si>
  <si>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</si>
  <si>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</si>
  <si>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</si>
  <si>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</si>
  <si>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</si>
  <si>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</si>
  <si>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</si>
  <si>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</si>
  <si>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</si>
  <si>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</si>
  <si>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</si>
  <si>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</si>
  <si>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</si>
  <si>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</si>
  <si>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</si>
  <si>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</si>
  <si>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</si>
  <si>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</si>
  <si>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</si>
  <si>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</si>
  <si>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</si>
  <si>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</si>
  <si>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</si>
  <si>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</si>
  <si>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</si>
  <si>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</si>
  <si>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</si>
  <si>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</si>
  <si>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</si>
  <si>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</si>
  <si>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</si>
  <si>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</si>
  <si>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</si>
  <si>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</si>
  <si>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</si>
  <si>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</si>
  <si>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</si>
  <si>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</si>
  <si>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</si>
  <si>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</si>
  <si>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</si>
  <si>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</si>
  <si>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</si>
  <si>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</si>
  <si>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</si>
  <si>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</si>
  <si>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</si>
  <si>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</si>
  <si>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</si>
  <si>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</si>
  <si>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</si>
  <si>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</si>
  <si>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</si>
  <si>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</si>
  <si>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</si>
  <si>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</si>
  <si>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</si>
  <si>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</si>
  <si>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</si>
  <si>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</si>
  <si>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</si>
  <si>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</si>
  <si>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</si>
  <si>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</si>
  <si>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</si>
  <si>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</si>
  <si>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</si>
  <si>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</si>
  <si>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</si>
  <si>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</si>
  <si>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</si>
  <si>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</si>
  <si>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</si>
  <si>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</si>
  <si>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</si>
  <si>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</si>
  <si>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</si>
  <si>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</si>
  <si>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</si>
  <si>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</si>
  <si>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</si>
  <si>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</si>
  <si>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</si>
  <si>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</si>
  <si>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</si>
  <si>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</si>
  <si>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</si>
  <si>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</si>
  <si>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</si>
  <si>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</si>
  <si>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</si>
  <si>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</si>
  <si>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</si>
  <si>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</si>
  <si>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</si>
  <si>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</si>
  <si>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</si>
  <si>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</si>
  <si>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</si>
  <si>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</si>
  <si>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</si>
  <si>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</si>
  <si>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</si>
  <si>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</si>
  <si>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</si>
  <si>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</si>
  <si>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</si>
  <si>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</si>
  <si>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</si>
  <si>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</si>
  <si>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</si>
  <si>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</si>
  <si>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</si>
  <si>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</si>
  <si>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</si>
  <si>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</si>
  <si>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</si>
  <si>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</si>
  <si>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</si>
  <si>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</si>
  <si>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</si>
  <si>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</si>
  <si>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</si>
  <si>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</si>
  <si>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</si>
  <si>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</si>
  <si>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</si>
  <si>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</si>
  <si>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</si>
  <si>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</si>
  <si>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</si>
  <si>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</si>
  <si>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</si>
  <si>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</si>
  <si>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</si>
  <si>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</si>
  <si>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</si>
  <si>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</si>
  <si>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</si>
  <si>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</si>
  <si>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</si>
  <si>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</si>
  <si>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</si>
  <si>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</si>
  <si>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</si>
  <si>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</si>
  <si>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</si>
  <si>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</si>
  <si>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</si>
  <si>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</si>
  <si>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</si>
  <si>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</si>
  <si>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</si>
  <si>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</si>
  <si>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</si>
  <si>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</si>
  <si>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</si>
  <si>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</si>
  <si>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</si>
  <si>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</si>
  <si>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</si>
  <si>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</si>
  <si>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</si>
  <si>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</si>
  <si>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</si>
  <si>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</si>
  <si>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</si>
  <si>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</si>
  <si>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</si>
  <si>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</si>
  <si>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</si>
  <si>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</si>
  <si>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</si>
  <si>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</si>
  <si>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</si>
  <si>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</si>
  <si>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</si>
  <si>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</si>
  <si>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</si>
  <si>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</si>
  <si>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</si>
  <si>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</si>
  <si>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</si>
  <si>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</si>
  <si>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</si>
  <si>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</si>
  <si>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</si>
  <si>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</si>
  <si>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</si>
  <si>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</si>
  <si>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</si>
  <si>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</si>
  <si>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</si>
  <si>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</si>
  <si>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</si>
  <si>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</si>
  <si>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</si>
  <si>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</si>
  <si>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</si>
  <si>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</si>
  <si>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</si>
  <si>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</si>
  <si>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</si>
  <si>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</si>
  <si>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</si>
  <si>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</si>
  <si>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</si>
  <si>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</si>
  <si>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</si>
  <si>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</si>
  <si>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</si>
  <si>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</si>
  <si>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</si>
  <si>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</si>
  <si>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</si>
  <si>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</si>
  <si>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</si>
  <si>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</si>
  <si>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</si>
  <si>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</si>
  <si>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</si>
  <si>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</si>
  <si>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</si>
  <si>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</si>
  <si>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</si>
  <si>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</si>
  <si>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</si>
  <si>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</si>
  <si>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</si>
  <si>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</si>
  <si>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</si>
  <si>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</si>
  <si>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</si>
  <si>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</si>
  <si>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</si>
  <si>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</si>
  <si>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</si>
  <si>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</si>
  <si>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</si>
  <si>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</si>
  <si>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</si>
  <si>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</si>
  <si>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</si>
  <si>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</si>
  <si>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</si>
  <si>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</si>
  <si>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</si>
  <si>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</si>
  <si>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</si>
  <si>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</si>
  <si>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</si>
  <si>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</si>
  <si>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</si>
  <si>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</si>
  <si>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</si>
  <si>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</si>
  <si>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</si>
  <si>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</si>
  <si>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</si>
  <si>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</si>
  <si>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</si>
  <si>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</si>
  <si>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</si>
  <si>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</si>
  <si>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</si>
  <si>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</si>
  <si>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</si>
  <si>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</si>
  <si>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</si>
  <si>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</si>
  <si>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</si>
  <si>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</si>
  <si>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</si>
  <si>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</si>
  <si>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</si>
  <si>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</si>
  <si>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</si>
  <si>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</si>
  <si>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</si>
  <si>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</si>
  <si>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</si>
  <si>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</si>
  <si>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</si>
  <si>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</si>
  <si>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</si>
  <si>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</si>
  <si>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</si>
  <si>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</si>
  <si>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</si>
  <si>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</si>
  <si>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</si>
  <si>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</si>
  <si>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</si>
  <si>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</si>
  <si>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</si>
  <si>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</si>
  <si>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</si>
  <si>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</si>
  <si>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</si>
  <si>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</si>
  <si>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</si>
  <si>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</si>
  <si>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</si>
  <si>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</si>
  <si>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</si>
  <si>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</si>
  <si>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</si>
  <si>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</si>
  <si>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</si>
  <si>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</si>
  <si>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</si>
  <si>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</si>
  <si>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</si>
  <si>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</si>
  <si>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</si>
  <si>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</si>
  <si>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</si>
  <si>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</si>
  <si>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</si>
  <si>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</si>
  <si>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</si>
  <si>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</si>
  <si>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</si>
  <si>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</si>
  <si>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</si>
  <si>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</si>
  <si>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</si>
  <si>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</si>
  <si>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</si>
  <si>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</si>
  <si>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</si>
  <si>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</si>
  <si>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</si>
  <si>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</si>
  <si>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</si>
  <si>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</si>
  <si>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</si>
  <si>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</si>
  <si>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</si>
  <si>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</si>
  <si>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</si>
  <si>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</si>
  <si>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</si>
  <si>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</si>
  <si>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</si>
  <si>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</si>
  <si>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</si>
  <si>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</si>
  <si>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</si>
  <si>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</si>
  <si>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</si>
  <si>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</si>
  <si>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</si>
  <si>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</si>
  <si>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</si>
  <si>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</si>
  <si>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</si>
  <si>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</si>
  <si>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</si>
  <si>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</si>
  <si>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</si>
  <si>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</si>
  <si>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</si>
  <si>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</si>
  <si>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</si>
  <si>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</si>
  <si>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</si>
  <si>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</si>
  <si>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</si>
  <si>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</si>
  <si>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</si>
  <si>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</si>
  <si>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</si>
  <si>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</si>
  <si>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</si>
  <si>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</si>
  <si>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</si>
  <si>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</si>
  <si>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</si>
  <si>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</si>
  <si>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</si>
  <si>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</si>
  <si>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</si>
  <si>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</si>
  <si>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</si>
  <si>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</si>
  <si>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</si>
  <si>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</si>
  <si>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</si>
  <si>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</si>
  <si>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</si>
  <si>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</si>
  <si>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</si>
  <si>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</si>
  <si>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</si>
  <si>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</si>
  <si>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</si>
  <si>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</si>
  <si>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</si>
  <si>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</si>
  <si>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</si>
  <si>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</si>
  <si>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</si>
  <si>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</si>
  <si>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</si>
  <si>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</si>
  <si>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</si>
  <si>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</si>
  <si>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</si>
  <si>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</si>
  <si>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</si>
  <si>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</si>
  <si>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</si>
  <si>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</si>
  <si>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</si>
  <si>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</si>
  <si>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</si>
  <si>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</si>
  <si>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</si>
  <si>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</si>
  <si>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</si>
  <si>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</si>
  <si>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</si>
  <si>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</si>
  <si>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</si>
  <si>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</si>
  <si>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</si>
  <si>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</si>
  <si>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</si>
  <si>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</si>
  <si>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</si>
  <si>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</si>
  <si>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</si>
  <si>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</si>
  <si>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</si>
  <si>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</si>
  <si>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</si>
  <si>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</si>
  <si>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</si>
  <si>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</si>
  <si>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</si>
  <si>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</si>
  <si>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</si>
  <si>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</si>
  <si>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</si>
  <si>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</si>
  <si>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</si>
  <si>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</si>
  <si>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</si>
  <si>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</si>
  <si>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</si>
  <si>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</si>
  <si>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</si>
  <si>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</si>
  <si>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</si>
  <si>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</si>
  <si>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</si>
  <si>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</si>
  <si>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</si>
  <si>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</si>
  <si>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</si>
  <si>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</si>
  <si>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</si>
  <si>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</si>
  <si>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</si>
  <si>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</si>
  <si>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</si>
  <si>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</si>
  <si>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</si>
  <si>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</si>
  <si>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</si>
  <si>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</si>
  <si>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</si>
  <si>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</si>
  <si>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</si>
  <si>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</si>
  <si>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</si>
  <si>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</si>
  <si>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</si>
  <si>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</si>
  <si>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</si>
  <si>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</si>
  <si>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</si>
  <si>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</si>
  <si>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</si>
  <si>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</si>
  <si>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</si>
  <si>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</si>
  <si>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</si>
  <si>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</si>
  <si>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</si>
  <si>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</si>
  <si>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</si>
  <si>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</si>
  <si>
    <t>72副本开启任务列表</t>
    <phoneticPr fontId="23" type="noConversion"/>
  </si>
  <si>
    <t>8万战力</t>
    <phoneticPr fontId="23" type="noConversion"/>
  </si>
  <si>
    <t>任务</t>
    <phoneticPr fontId="23" type="noConversion"/>
  </si>
  <si>
    <t>65等级</t>
    <phoneticPr fontId="23" type="noConversion"/>
  </si>
  <si>
    <t>9万战力</t>
    <phoneticPr fontId="23" type="noConversion"/>
  </si>
  <si>
    <t>66等级</t>
    <phoneticPr fontId="23" type="noConversion"/>
  </si>
  <si>
    <t>10万战力</t>
    <phoneticPr fontId="23" type="noConversion"/>
  </si>
  <si>
    <t>67级</t>
    <phoneticPr fontId="23" type="noConversion"/>
  </si>
  <si>
    <t>12万战力</t>
    <phoneticPr fontId="23" type="noConversion"/>
  </si>
  <si>
    <t>68级</t>
    <phoneticPr fontId="23" type="noConversion"/>
  </si>
  <si>
    <t>13万战力</t>
    <phoneticPr fontId="23" type="noConversion"/>
  </si>
  <si>
    <t>69级</t>
    <phoneticPr fontId="23" type="noConversion"/>
  </si>
  <si>
    <t>14万战力</t>
    <phoneticPr fontId="23" type="noConversion"/>
  </si>
  <si>
    <t>70级</t>
    <phoneticPr fontId="23" type="noConversion"/>
  </si>
  <si>
    <t>罪恶狼王</t>
  </si>
  <si>
    <t>遗迹魔王</t>
  </si>
  <si>
    <t>审判之主</t>
  </si>
  <si>
    <t>68级副本</t>
    <phoneticPr fontId="23" type="noConversion"/>
  </si>
  <si>
    <t>炙热将军-费塔</t>
  </si>
  <si>
    <t>熔炎巨神-利兹</t>
  </si>
  <si>
    <t>熔炎邪恶领主-艾莉丝</t>
  </si>
  <si>
    <t>72级副本</t>
    <phoneticPr fontId="23" type="noConversion"/>
  </si>
  <si>
    <t>副本</t>
    <phoneticPr fontId="23" type="noConversion"/>
  </si>
  <si>
    <t>11万战力</t>
    <phoneticPr fontId="23" type="noConversion"/>
  </si>
  <si>
    <t>火焰之王领主</t>
    <phoneticPr fontId="23" type="noConversion"/>
  </si>
  <si>
    <t>击败</t>
    <phoneticPr fontId="23" type="noConversion"/>
  </si>
  <si>
    <t>碧空魔穴</t>
    <phoneticPr fontId="22" type="noConversion"/>
  </si>
  <si>
    <t>Blue Cave</t>
  </si>
  <si>
    <t>jiaowai_2</t>
    <phoneticPr fontId="22" type="noConversion"/>
  </si>
  <si>
    <t>0</t>
    <phoneticPr fontId="22" type="noConversion"/>
  </si>
  <si>
    <t>圣像之域</t>
    <phoneticPr fontId="22" type="noConversion"/>
  </si>
  <si>
    <t>Statue Domain</t>
  </si>
  <si>
    <t>暗夜魔蛛-维尔丝</t>
  </si>
  <si>
    <t>圣域之主-卢克斯</t>
    <phoneticPr fontId="26" type="noConversion"/>
  </si>
  <si>
    <t>地狱级</t>
    <phoneticPr fontId="23" type="noConversion"/>
  </si>
  <si>
    <t>任意领主</t>
    <phoneticPr fontId="23" type="noConversion"/>
  </si>
  <si>
    <t>任意怪物</t>
    <phoneticPr fontId="23" type="noConversion"/>
  </si>
  <si>
    <t>2000个</t>
    <phoneticPr fontId="23" type="noConversion"/>
  </si>
  <si>
    <t>神话之灵</t>
    <phoneticPr fontId="27" type="noConversion"/>
  </si>
  <si>
    <t>远古之核</t>
    <phoneticPr fontId="27" type="noConversion"/>
  </si>
  <si>
    <t>金条</t>
    <phoneticPr fontId="27" type="noConversion"/>
  </si>
  <si>
    <t>摧残传承</t>
    <phoneticPr fontId="23" type="noConversion"/>
  </si>
  <si>
    <t>璀璨传承</t>
    <phoneticPr fontId="27" type="noConversion"/>
  </si>
  <si>
    <t>进阶之路:战力</t>
    <phoneticPr fontId="23" type="noConversion"/>
  </si>
  <si>
    <t>进阶之路:挑战</t>
    <phoneticPr fontId="23" type="noConversion"/>
  </si>
  <si>
    <t>进阶之路:磨练</t>
    <phoneticPr fontId="23" type="noConversion"/>
  </si>
  <si>
    <t>暗夜魔蛛-维尔丝</t>
    <phoneticPr fontId="23" type="noConversion"/>
  </si>
  <si>
    <t>审判之主</t>
    <phoneticPr fontId="23" type="noConversion"/>
  </si>
  <si>
    <t>等级上限至75级</t>
    <phoneticPr fontId="23" type="noConversion"/>
  </si>
  <si>
    <t>消耗钻石值</t>
    <phoneticPr fontId="22" type="noConversion"/>
  </si>
  <si>
    <t>钻石值不累加</t>
    <phoneticPr fontId="22" type="noConversion"/>
  </si>
  <si>
    <t>约等于充值</t>
    <phoneticPr fontId="22" type="noConversion"/>
  </si>
  <si>
    <t>随机开1-100万</t>
    <phoneticPr fontId="22" type="noConversion"/>
  </si>
  <si>
    <t>金盒</t>
    <phoneticPr fontId="22" type="noConversion"/>
  </si>
  <si>
    <t>装有洗炼石的盒子,随机开出10-50个的洗炼石!</t>
  </si>
  <si>
    <t>使用可以获得100-300万金币喔</t>
  </si>
  <si>
    <t>多余的积分会累计倒下次？（本周积分消耗满X分其余清空，可以累计倒下周）</t>
    <phoneticPr fontId="22" type="noConversion"/>
  </si>
  <si>
    <t>装备洗炼石</t>
    <phoneticPr fontId="22" type="noConversion"/>
  </si>
  <si>
    <t>单独兑换</t>
    <phoneticPr fontId="22" type="noConversion"/>
  </si>
  <si>
    <t>转转乐</t>
    <phoneticPr fontId="22" type="noConversion"/>
  </si>
  <si>
    <t>200转一次</t>
    <phoneticPr fontId="22" type="noConversion"/>
  </si>
  <si>
    <t>概率</t>
    <phoneticPr fontId="22" type="noConversion"/>
  </si>
  <si>
    <t>任务</t>
    <phoneticPr fontId="22" type="noConversion"/>
  </si>
  <si>
    <t>冬季积分</t>
    <phoneticPr fontId="22" type="noConversion"/>
  </si>
  <si>
    <t>冬季商店</t>
    <phoneticPr fontId="22" type="noConversion"/>
  </si>
  <si>
    <t>每天获得</t>
    <phoneticPr fontId="22" type="noConversion"/>
  </si>
  <si>
    <t>击败3000只怪物</t>
  </si>
  <si>
    <t>鉴定出一个3条属性的装备</t>
  </si>
  <si>
    <t>获得5只全新的宠物</t>
  </si>
  <si>
    <t>使用鉴定道具给自己的装备鉴定15次</t>
  </si>
  <si>
    <t>合成1只战力达到7000点的宠物</t>
  </si>
  <si>
    <t>开启1次高级藏宝图</t>
    <phoneticPr fontId="27" type="noConversion"/>
  </si>
  <si>
    <t>击败30个领主级怪物</t>
  </si>
  <si>
    <t>在野外地区击败5名玩家</t>
  </si>
  <si>
    <t>洗练出1个带有隐藏技能的装备</t>
  </si>
  <si>
    <t>宠物合成10次</t>
  </si>
  <si>
    <t>任务奖励</t>
    <phoneticPr fontId="22" type="noConversion"/>
  </si>
  <si>
    <t>任务描述</t>
    <phoneticPr fontId="22" type="noConversion"/>
  </si>
  <si>
    <t>难度</t>
    <phoneticPr fontId="22" type="noConversion"/>
  </si>
  <si>
    <t>补充</t>
    <phoneticPr fontId="22" type="noConversion"/>
  </si>
  <si>
    <t>通关副本</t>
    <phoneticPr fontId="22" type="noConversion"/>
  </si>
  <si>
    <t>挑战有1次深渊类型的副本</t>
    <phoneticPr fontId="22" type="noConversion"/>
  </si>
  <si>
    <t>挑战有3次深渊类型的副本</t>
    <phoneticPr fontId="22" type="noConversion"/>
  </si>
  <si>
    <t>打造1件传承的装备</t>
    <phoneticPr fontId="22" type="noConversion"/>
  </si>
  <si>
    <t>洗炼装备10次</t>
    <phoneticPr fontId="27" type="noConversion"/>
  </si>
  <si>
    <t>洗炼装备30次</t>
    <phoneticPr fontId="27" type="noConversion"/>
  </si>
  <si>
    <t>获得3只全新的宠物</t>
    <phoneticPr fontId="22" type="noConversion"/>
  </si>
  <si>
    <t>宠物合成5次</t>
    <phoneticPr fontId="22" type="noConversion"/>
  </si>
  <si>
    <t>封印之塔挑战10次</t>
    <phoneticPr fontId="22" type="noConversion"/>
  </si>
  <si>
    <t>上交一只4技能以上的宠物</t>
    <phoneticPr fontId="22" type="noConversion"/>
  </si>
  <si>
    <t>上交一只5技能以上的宠物</t>
    <phoneticPr fontId="22" type="noConversion"/>
  </si>
  <si>
    <t>合成1只战力达到9000点的宠物</t>
    <phoneticPr fontId="22" type="noConversion"/>
  </si>
  <si>
    <t>开启10次普通藏宝图</t>
    <phoneticPr fontId="22" type="noConversion"/>
  </si>
  <si>
    <t>宠物使用技能书替换自身技能3次</t>
    <phoneticPr fontId="22" type="noConversion"/>
  </si>
  <si>
    <t>使用附魔道具给自己的装备附魔5次</t>
    <phoneticPr fontId="22" type="noConversion"/>
  </si>
  <si>
    <t>封印之塔挑战凭证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</si>
</sst>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8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9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00B0F0"/>
        <bgColor indexed="64"/>
      </patternFill>
    </fill>
  </fills>
  <borders count="21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145481734672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1914120914335"/>
      </top>
      <bottom style="hair">
        <color theme="1" tint="0.499984740745262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8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27" borderId="1" xfId="0" applyFont="1" applyFill="1" applyBorder="1" applyAlignment="1">
      <alignment horizontal="center" vertical="center"/>
    </xf>
    <xf numFmtId="0" fontId="1" fillId="28" borderId="18" xfId="0" applyFont="1" applyFill="1" applyBorder="1" applyAlignment="1">
      <alignment horizontal="center" vertical="center"/>
    </xf>
    <xf numFmtId="0" fontId="1" fillId="28" borderId="11" xfId="0" applyFont="1" applyFill="1" applyBorder="1" applyAlignment="1">
      <alignment horizontal="center" vertical="center"/>
    </xf>
    <xf numFmtId="49" fontId="1" fillId="27" borderId="19" xfId="0" applyNumberFormat="1" applyFont="1" applyFill="1" applyBorder="1" applyAlignment="1">
      <alignment horizontal="center" vertical="center"/>
    </xf>
    <xf numFmtId="49" fontId="1" fillId="27" borderId="11" xfId="0" applyNumberFormat="1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4" fillId="29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vertical="center"/>
    </xf>
    <xf numFmtId="49" fontId="1" fillId="2" borderId="11" xfId="0" applyNumberFormat="1" applyFont="1" applyFill="1" applyBorder="1" applyAlignment="1">
      <alignment vertical="center"/>
    </xf>
    <xf numFmtId="0" fontId="7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6">
          <cell r="C266">
            <v>10014022</v>
          </cell>
          <cell r="O266">
            <v>1</v>
          </cell>
        </row>
        <row r="267">
          <cell r="C267">
            <v>10014023</v>
          </cell>
          <cell r="O267">
            <v>1</v>
          </cell>
        </row>
        <row r="268">
          <cell r="C268">
            <v>10014024</v>
          </cell>
          <cell r="O268">
            <v>1</v>
          </cell>
        </row>
        <row r="269">
          <cell r="C269">
            <v>10014025</v>
          </cell>
          <cell r="O269">
            <v>1</v>
          </cell>
        </row>
        <row r="270">
          <cell r="C270">
            <v>10014026</v>
          </cell>
          <cell r="O270">
            <v>1</v>
          </cell>
        </row>
        <row r="271">
          <cell r="C271">
            <v>10014027</v>
          </cell>
          <cell r="O271">
            <v>1</v>
          </cell>
        </row>
        <row r="272">
          <cell r="C272">
            <v>10020003</v>
          </cell>
          <cell r="O272">
            <v>1</v>
          </cell>
        </row>
        <row r="273">
          <cell r="C273">
            <v>10020004</v>
          </cell>
          <cell r="O273">
            <v>1</v>
          </cell>
        </row>
        <row r="274">
          <cell r="C274">
            <v>10020006</v>
          </cell>
          <cell r="O274">
            <v>1</v>
          </cell>
        </row>
        <row r="275">
          <cell r="C275">
            <v>10020007</v>
          </cell>
          <cell r="O275">
            <v>1</v>
          </cell>
        </row>
        <row r="276">
          <cell r="C276">
            <v>10020051</v>
          </cell>
          <cell r="O276">
            <v>1</v>
          </cell>
        </row>
        <row r="277">
          <cell r="C277">
            <v>10020060</v>
          </cell>
          <cell r="O277">
            <v>1</v>
          </cell>
        </row>
        <row r="278">
          <cell r="C278">
            <v>10020001</v>
          </cell>
          <cell r="O278">
            <v>1</v>
          </cell>
        </row>
        <row r="279">
          <cell r="C279">
            <v>10021001</v>
          </cell>
          <cell r="O279">
            <v>1</v>
          </cell>
        </row>
        <row r="280">
          <cell r="C280">
            <v>10021002</v>
          </cell>
          <cell r="O280">
            <v>1</v>
          </cell>
        </row>
        <row r="281">
          <cell r="C281">
            <v>10021003</v>
          </cell>
          <cell r="O281">
            <v>1</v>
          </cell>
        </row>
        <row r="282">
          <cell r="C282">
            <v>10021004</v>
          </cell>
          <cell r="O282">
            <v>1</v>
          </cell>
        </row>
        <row r="283">
          <cell r="C283">
            <v>10021005</v>
          </cell>
          <cell r="O283">
            <v>1</v>
          </cell>
        </row>
        <row r="284">
          <cell r="C284">
            <v>10021006</v>
          </cell>
          <cell r="O284">
            <v>1</v>
          </cell>
        </row>
        <row r="285">
          <cell r="C285">
            <v>10021007</v>
          </cell>
          <cell r="O285">
            <v>1</v>
          </cell>
        </row>
        <row r="286">
          <cell r="C286">
            <v>10021008</v>
          </cell>
          <cell r="O286">
            <v>1</v>
          </cell>
        </row>
        <row r="287">
          <cell r="C287">
            <v>10021009</v>
          </cell>
          <cell r="O287">
            <v>1</v>
          </cell>
        </row>
        <row r="288">
          <cell r="C288">
            <v>10021010</v>
          </cell>
          <cell r="O288">
            <v>1</v>
          </cell>
        </row>
        <row r="289">
          <cell r="C289">
            <v>10022001</v>
          </cell>
          <cell r="O289">
            <v>1</v>
          </cell>
        </row>
        <row r="290">
          <cell r="C290">
            <v>10022002</v>
          </cell>
          <cell r="O290">
            <v>1</v>
          </cell>
        </row>
        <row r="291">
          <cell r="C291">
            <v>10022003</v>
          </cell>
          <cell r="O291">
            <v>1</v>
          </cell>
        </row>
        <row r="292">
          <cell r="C292">
            <v>10022004</v>
          </cell>
          <cell r="O292">
            <v>1</v>
          </cell>
        </row>
        <row r="293">
          <cell r="C293">
            <v>10022005</v>
          </cell>
          <cell r="O293">
            <v>1</v>
          </cell>
        </row>
        <row r="294">
          <cell r="C294">
            <v>10022006</v>
          </cell>
          <cell r="O294">
            <v>1</v>
          </cell>
        </row>
        <row r="295">
          <cell r="C295">
            <v>10022007</v>
          </cell>
          <cell r="O295">
            <v>1</v>
          </cell>
        </row>
        <row r="296">
          <cell r="C296">
            <v>10022008</v>
          </cell>
          <cell r="O296">
            <v>1</v>
          </cell>
        </row>
        <row r="297">
          <cell r="C297">
            <v>10022009</v>
          </cell>
          <cell r="O297">
            <v>1</v>
          </cell>
        </row>
        <row r="298">
          <cell r="C298">
            <v>10022010</v>
          </cell>
          <cell r="O298">
            <v>1</v>
          </cell>
        </row>
        <row r="299">
          <cell r="C299">
            <v>10023001</v>
          </cell>
          <cell r="O299">
            <v>1</v>
          </cell>
        </row>
        <row r="300">
          <cell r="C300">
            <v>10023002</v>
          </cell>
          <cell r="O300">
            <v>1</v>
          </cell>
        </row>
        <row r="301">
          <cell r="C301">
            <v>10023003</v>
          </cell>
          <cell r="O301">
            <v>1</v>
          </cell>
        </row>
        <row r="302">
          <cell r="C302">
            <v>10023004</v>
          </cell>
          <cell r="O302">
            <v>1</v>
          </cell>
        </row>
        <row r="303">
          <cell r="C303">
            <v>10023005</v>
          </cell>
          <cell r="O303">
            <v>1</v>
          </cell>
        </row>
        <row r="304">
          <cell r="C304">
            <v>10023006</v>
          </cell>
          <cell r="O304">
            <v>1</v>
          </cell>
        </row>
        <row r="305">
          <cell r="C305">
            <v>10023007</v>
          </cell>
          <cell r="O305">
            <v>1</v>
          </cell>
        </row>
        <row r="306">
          <cell r="C306">
            <v>10023008</v>
          </cell>
          <cell r="O306">
            <v>1</v>
          </cell>
        </row>
        <row r="307">
          <cell r="C307">
            <v>10023009</v>
          </cell>
          <cell r="O307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6"/>
  <sheetViews>
    <sheetView topLeftCell="A16" workbookViewId="0">
      <selection activeCell="F31" sqref="F31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6" max="6" width="13.5" bestFit="1" customWidth="1"/>
    <col min="8" max="8" width="13" customWidth="1"/>
    <col min="10" max="10" width="14.125" bestFit="1" customWidth="1"/>
    <col min="11" max="11" width="9" style="13"/>
    <col min="14" max="14" width="11.375" bestFit="1" customWidth="1"/>
  </cols>
  <sheetData>
    <row r="1" spans="1:20" s="84" customFormat="1" ht="24.95" customHeight="1" x14ac:dyDescent="0.2">
      <c r="A1" s="148" t="s">
        <v>0</v>
      </c>
      <c r="B1" s="148" t="s">
        <v>37</v>
      </c>
      <c r="C1" s="148" t="s">
        <v>38</v>
      </c>
      <c r="K1" s="144"/>
    </row>
    <row r="2" spans="1:20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20" ht="20.100000000000001" customHeight="1" x14ac:dyDescent="0.2">
      <c r="A3" s="149">
        <v>2</v>
      </c>
      <c r="B3" s="150">
        <v>5</v>
      </c>
      <c r="C3" s="150">
        <f>经济总表!F3*B3</f>
        <v>65</v>
      </c>
      <c r="P3">
        <v>60</v>
      </c>
      <c r="Q3" s="82" t="s">
        <v>2286</v>
      </c>
    </row>
    <row r="4" spans="1:20" ht="20.100000000000001" customHeight="1" x14ac:dyDescent="0.2">
      <c r="A4" s="149">
        <v>3</v>
      </c>
      <c r="B4" s="150">
        <v>5</v>
      </c>
      <c r="C4" s="150">
        <f>经济总表!F4*B4</f>
        <v>80</v>
      </c>
      <c r="P4" s="56">
        <v>72004011</v>
      </c>
      <c r="Q4" s="56" t="s">
        <v>660</v>
      </c>
    </row>
    <row r="5" spans="1:20" ht="20.100000000000001" customHeight="1" x14ac:dyDescent="0.2">
      <c r="A5" s="149">
        <v>4</v>
      </c>
      <c r="B5" s="150">
        <v>10</v>
      </c>
      <c r="C5" s="150">
        <f>经济总表!F5*B5</f>
        <v>190</v>
      </c>
      <c r="P5" s="56">
        <v>72004012</v>
      </c>
      <c r="Q5" s="56" t="s">
        <v>661</v>
      </c>
    </row>
    <row r="6" spans="1:20" ht="20.100000000000001" customHeight="1" x14ac:dyDescent="0.2">
      <c r="A6" s="149">
        <v>5</v>
      </c>
      <c r="B6" s="150">
        <v>10</v>
      </c>
      <c r="C6" s="150">
        <f>经济总表!F6*B6</f>
        <v>220</v>
      </c>
      <c r="P6" s="56">
        <v>72004013</v>
      </c>
      <c r="Q6" s="56" t="s">
        <v>2288</v>
      </c>
    </row>
    <row r="7" spans="1:20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20" ht="20.100000000000001" customHeight="1" x14ac:dyDescent="0.2">
      <c r="A8" s="149">
        <v>7</v>
      </c>
      <c r="B8" s="150">
        <v>15</v>
      </c>
      <c r="C8" s="150">
        <f>经济总表!F8*B8</f>
        <v>420</v>
      </c>
      <c r="H8" s="16" t="s">
        <v>2264</v>
      </c>
      <c r="I8" s="1"/>
      <c r="J8" s="1"/>
      <c r="K8" s="2"/>
      <c r="L8" s="1"/>
      <c r="M8" s="1"/>
      <c r="P8" s="82" t="s">
        <v>2281</v>
      </c>
    </row>
    <row r="9" spans="1:20" ht="20.100000000000001" customHeight="1" x14ac:dyDescent="0.2">
      <c r="A9" s="149">
        <v>8</v>
      </c>
      <c r="B9" s="150">
        <v>15</v>
      </c>
      <c r="C9" s="150">
        <f>经济总表!F9*B9</f>
        <v>465</v>
      </c>
      <c r="H9" s="16" t="s">
        <v>2266</v>
      </c>
      <c r="I9" s="2"/>
      <c r="J9" s="2"/>
      <c r="K9" s="2"/>
      <c r="L9" s="1"/>
      <c r="M9" s="1"/>
      <c r="P9" s="56">
        <v>72005011</v>
      </c>
      <c r="Q9" s="56" t="s">
        <v>2278</v>
      </c>
    </row>
    <row r="10" spans="1:20" ht="20.100000000000001" customHeight="1" x14ac:dyDescent="0.2">
      <c r="A10" s="149">
        <v>9</v>
      </c>
      <c r="B10" s="150">
        <v>15</v>
      </c>
      <c r="C10" s="150">
        <f>经济总表!F10*B10</f>
        <v>510</v>
      </c>
      <c r="F10" s="2" t="s">
        <v>2307</v>
      </c>
      <c r="H10" s="16" t="s">
        <v>2265</v>
      </c>
      <c r="I10" s="2"/>
      <c r="J10" s="2"/>
      <c r="K10" s="2"/>
      <c r="L10" s="1"/>
      <c r="M10" s="3">
        <v>10010045</v>
      </c>
      <c r="N10" s="5" t="s">
        <v>2304</v>
      </c>
      <c r="O10" s="13">
        <v>1</v>
      </c>
      <c r="P10" s="56">
        <v>72005012</v>
      </c>
      <c r="Q10" s="56" t="s">
        <v>2279</v>
      </c>
    </row>
    <row r="11" spans="1:20" ht="20.100000000000001" customHeight="1" x14ac:dyDescent="0.2">
      <c r="A11" s="149">
        <v>10</v>
      </c>
      <c r="B11" s="150">
        <v>20</v>
      </c>
      <c r="C11" s="150">
        <f>经济总表!F11*B11</f>
        <v>740</v>
      </c>
      <c r="F11" s="2" t="s">
        <v>2308</v>
      </c>
      <c r="H11" s="16" t="s">
        <v>2289</v>
      </c>
      <c r="I11" s="56">
        <v>72004013</v>
      </c>
      <c r="J11" s="56" t="s">
        <v>2288</v>
      </c>
      <c r="K11" s="2"/>
      <c r="L11" s="1"/>
      <c r="M11" s="3">
        <v>10000142</v>
      </c>
      <c r="N11" s="5" t="s">
        <v>108</v>
      </c>
      <c r="O11" s="13">
        <v>1</v>
      </c>
      <c r="P11" s="56">
        <v>72005013</v>
      </c>
      <c r="Q11" s="56" t="s">
        <v>2280</v>
      </c>
    </row>
    <row r="12" spans="1:20" ht="20.100000000000001" customHeight="1" x14ac:dyDescent="0.2">
      <c r="A12" s="149">
        <v>11</v>
      </c>
      <c r="B12" s="150">
        <v>20</v>
      </c>
      <c r="C12" s="150">
        <f>经济总表!F12*B12</f>
        <v>800</v>
      </c>
      <c r="F12" s="2" t="s">
        <v>2309</v>
      </c>
      <c r="H12" s="16" t="s">
        <v>2267</v>
      </c>
      <c r="I12" s="2"/>
      <c r="J12" s="2"/>
      <c r="K12" s="2"/>
      <c r="L12" s="1"/>
      <c r="M12" s="3">
        <v>10000152</v>
      </c>
      <c r="N12" s="5" t="s">
        <v>2306</v>
      </c>
      <c r="O12" s="13">
        <v>3</v>
      </c>
    </row>
    <row r="13" spans="1:20" ht="20.100000000000001" customHeight="1" x14ac:dyDescent="0.2">
      <c r="A13" s="149">
        <v>12</v>
      </c>
      <c r="B13" s="150">
        <v>20</v>
      </c>
      <c r="C13" s="150">
        <f>经济总表!F13*B13</f>
        <v>860</v>
      </c>
      <c r="F13" s="2" t="s">
        <v>2308</v>
      </c>
      <c r="H13" s="16" t="s">
        <v>2289</v>
      </c>
      <c r="I13" s="173">
        <v>70006013</v>
      </c>
      <c r="J13" s="173" t="s">
        <v>2310</v>
      </c>
      <c r="K13" s="2" t="s">
        <v>2298</v>
      </c>
      <c r="L13" s="1"/>
      <c r="M13" s="3">
        <v>10010045</v>
      </c>
      <c r="N13" s="5" t="s">
        <v>2304</v>
      </c>
      <c r="O13" s="13">
        <v>1</v>
      </c>
    </row>
    <row r="14" spans="1:20" ht="20.100000000000001" customHeight="1" x14ac:dyDescent="0.2">
      <c r="A14" s="149">
        <v>13</v>
      </c>
      <c r="B14" s="150">
        <v>20</v>
      </c>
      <c r="C14" s="150">
        <f>经济总表!F14*B14</f>
        <v>920</v>
      </c>
      <c r="F14" s="2" t="s">
        <v>2307</v>
      </c>
      <c r="H14" s="16" t="s">
        <v>2268</v>
      </c>
      <c r="I14" s="2"/>
      <c r="J14" s="2"/>
      <c r="K14" s="2"/>
      <c r="L14" s="1"/>
      <c r="M14" s="3">
        <v>10000152</v>
      </c>
      <c r="N14" s="5" t="s">
        <v>2306</v>
      </c>
      <c r="O14" s="13">
        <v>3</v>
      </c>
      <c r="P14" s="82" t="s">
        <v>2285</v>
      </c>
    </row>
    <row r="15" spans="1:20" ht="20.100000000000001" customHeight="1" x14ac:dyDescent="0.2">
      <c r="A15" s="149">
        <v>14</v>
      </c>
      <c r="B15" s="150">
        <v>20</v>
      </c>
      <c r="C15" s="150">
        <f>经济总表!F15*B15</f>
        <v>980</v>
      </c>
      <c r="F15" s="2" t="s">
        <v>2309</v>
      </c>
      <c r="H15" s="16" t="s">
        <v>2269</v>
      </c>
      <c r="I15" s="1"/>
      <c r="J15" s="1"/>
      <c r="K15" s="2"/>
      <c r="L15" s="1"/>
      <c r="M15" s="3">
        <v>10000141</v>
      </c>
      <c r="N15" s="5" t="s">
        <v>853</v>
      </c>
      <c r="O15" s="13">
        <v>1</v>
      </c>
      <c r="P15" s="56">
        <v>72006011</v>
      </c>
      <c r="Q15" s="56" t="s">
        <v>2282</v>
      </c>
      <c r="S15" s="3">
        <v>10000157</v>
      </c>
      <c r="T15" s="5" t="s">
        <v>846</v>
      </c>
    </row>
    <row r="16" spans="1:20" ht="20.100000000000001" customHeight="1" x14ac:dyDescent="0.2">
      <c r="A16" s="149">
        <v>15</v>
      </c>
      <c r="B16" s="150">
        <v>20</v>
      </c>
      <c r="C16" s="150">
        <f>经济总表!F16*B16</f>
        <v>1040</v>
      </c>
      <c r="F16" s="2" t="s">
        <v>2308</v>
      </c>
      <c r="H16" s="16" t="s">
        <v>2289</v>
      </c>
      <c r="I16" s="173">
        <v>70006013</v>
      </c>
      <c r="J16" s="173" t="s">
        <v>2299</v>
      </c>
      <c r="K16" s="2" t="s">
        <v>2298</v>
      </c>
      <c r="L16" s="2">
        <v>50</v>
      </c>
      <c r="M16" s="3">
        <v>10010045</v>
      </c>
      <c r="N16" s="5" t="s">
        <v>2304</v>
      </c>
      <c r="O16" s="13">
        <v>1</v>
      </c>
      <c r="P16" s="56">
        <v>72006012</v>
      </c>
      <c r="Q16" s="56" t="s">
        <v>2283</v>
      </c>
    </row>
    <row r="17" spans="1:23" ht="20.100000000000001" customHeight="1" x14ac:dyDescent="0.2">
      <c r="A17" s="149">
        <v>16</v>
      </c>
      <c r="B17" s="150">
        <v>20</v>
      </c>
      <c r="C17" s="150">
        <f>经济总表!F17*B17</f>
        <v>1100</v>
      </c>
      <c r="F17" s="2" t="s">
        <v>2307</v>
      </c>
      <c r="H17" s="16" t="s">
        <v>2270</v>
      </c>
      <c r="I17" s="1"/>
      <c r="J17" s="1"/>
      <c r="K17" s="2"/>
      <c r="L17" s="1"/>
      <c r="M17" s="3">
        <v>10000152</v>
      </c>
      <c r="N17" s="5" t="s">
        <v>2306</v>
      </c>
      <c r="O17" s="13">
        <v>3</v>
      </c>
      <c r="P17" s="56">
        <v>72006013</v>
      </c>
      <c r="Q17" s="56" t="s">
        <v>2284</v>
      </c>
    </row>
    <row r="18" spans="1:23" ht="20.100000000000001" customHeight="1" x14ac:dyDescent="0.2">
      <c r="A18" s="149">
        <v>17</v>
      </c>
      <c r="B18" s="150">
        <v>20</v>
      </c>
      <c r="C18" s="150">
        <f>经济总表!F18*B18</f>
        <v>1160</v>
      </c>
      <c r="F18" s="2" t="s">
        <v>2309</v>
      </c>
      <c r="H18" s="16" t="s">
        <v>2271</v>
      </c>
      <c r="I18" s="2"/>
      <c r="J18" s="2"/>
      <c r="K18" s="2"/>
      <c r="L18" s="1"/>
      <c r="M18" s="3">
        <v>10010094</v>
      </c>
      <c r="N18" s="6" t="s">
        <v>851</v>
      </c>
      <c r="O18" s="13">
        <v>1</v>
      </c>
    </row>
    <row r="19" spans="1:23" ht="20.100000000000001" customHeight="1" x14ac:dyDescent="0.2">
      <c r="A19" s="149">
        <v>18</v>
      </c>
      <c r="B19" s="150">
        <v>20</v>
      </c>
      <c r="C19" s="150">
        <f>经济总表!F19*B19</f>
        <v>1220</v>
      </c>
      <c r="F19" s="2" t="s">
        <v>2308</v>
      </c>
      <c r="H19" s="16" t="s">
        <v>2289</v>
      </c>
      <c r="I19" s="173">
        <v>70006013</v>
      </c>
      <c r="J19" s="173" t="s">
        <v>2300</v>
      </c>
      <c r="K19" s="2"/>
      <c r="L19" s="2" t="s">
        <v>2301</v>
      </c>
      <c r="M19" s="3">
        <v>10010040</v>
      </c>
      <c r="N19" s="3" t="s">
        <v>753</v>
      </c>
      <c r="O19" s="13">
        <v>1</v>
      </c>
      <c r="P19" s="167">
        <v>60003</v>
      </c>
      <c r="Q19" s="168" t="s">
        <v>2290</v>
      </c>
      <c r="R19" s="169" t="s">
        <v>2291</v>
      </c>
      <c r="S19" s="170" t="s">
        <v>2292</v>
      </c>
      <c r="T19" s="171" t="s">
        <v>2293</v>
      </c>
      <c r="U19" s="172">
        <v>65</v>
      </c>
      <c r="V19" s="173">
        <v>70006013</v>
      </c>
      <c r="W19" s="173" t="s">
        <v>2296</v>
      </c>
    </row>
    <row r="20" spans="1:23" ht="20.100000000000001" customHeight="1" x14ac:dyDescent="0.2">
      <c r="A20" s="149">
        <v>19</v>
      </c>
      <c r="B20" s="150">
        <v>20</v>
      </c>
      <c r="C20" s="150">
        <f>经济总表!F20*B20</f>
        <v>1280</v>
      </c>
      <c r="F20" s="2" t="s">
        <v>2307</v>
      </c>
      <c r="H20" s="16" t="s">
        <v>2287</v>
      </c>
      <c r="I20" s="2"/>
      <c r="J20" s="2"/>
      <c r="K20" s="2"/>
      <c r="L20" s="1"/>
      <c r="M20" s="3">
        <v>10000152</v>
      </c>
      <c r="N20" s="5" t="s">
        <v>2306</v>
      </c>
      <c r="O20" s="13">
        <v>3</v>
      </c>
      <c r="P20" s="167">
        <v>60004</v>
      </c>
      <c r="Q20" s="168" t="s">
        <v>2294</v>
      </c>
      <c r="R20" s="169" t="s">
        <v>2295</v>
      </c>
      <c r="S20" s="170" t="s">
        <v>2292</v>
      </c>
      <c r="T20" s="171" t="s">
        <v>2293</v>
      </c>
      <c r="U20" s="172">
        <v>68</v>
      </c>
      <c r="V20" s="174">
        <v>70006014</v>
      </c>
      <c r="W20" s="174" t="s">
        <v>2297</v>
      </c>
    </row>
    <row r="21" spans="1:23" ht="20.100000000000001" customHeight="1" x14ac:dyDescent="0.2">
      <c r="A21" s="149">
        <v>20</v>
      </c>
      <c r="B21" s="150">
        <v>20</v>
      </c>
      <c r="C21" s="150">
        <f>经济总表!F21*B21</f>
        <v>1340</v>
      </c>
      <c r="F21" s="2" t="s">
        <v>2309</v>
      </c>
      <c r="H21" s="16" t="s">
        <v>2273</v>
      </c>
      <c r="I21" s="2"/>
      <c r="J21" s="2"/>
      <c r="K21" s="2"/>
      <c r="L21" s="1"/>
      <c r="M21" s="3">
        <v>10000165</v>
      </c>
      <c r="N21" s="5" t="s">
        <v>2302</v>
      </c>
      <c r="O21" s="13">
        <v>3</v>
      </c>
      <c r="V21" s="2" t="s">
        <v>2305</v>
      </c>
    </row>
    <row r="22" spans="1:23" ht="20.100000000000001" customHeight="1" x14ac:dyDescent="0.2">
      <c r="A22" s="149">
        <v>21</v>
      </c>
      <c r="B22" s="150">
        <v>20</v>
      </c>
      <c r="C22" s="150">
        <f>经济总表!F22*B22</f>
        <v>1400</v>
      </c>
      <c r="F22" s="2" t="s">
        <v>2308</v>
      </c>
      <c r="H22" s="16" t="s">
        <v>2289</v>
      </c>
      <c r="I22" s="174">
        <v>70006014</v>
      </c>
      <c r="J22" s="174" t="s">
        <v>2297</v>
      </c>
      <c r="K22" s="2" t="s">
        <v>2298</v>
      </c>
      <c r="L22" s="1"/>
      <c r="M22" s="3">
        <v>10010045</v>
      </c>
      <c r="N22" s="5" t="s">
        <v>2304</v>
      </c>
      <c r="O22" s="13">
        <v>1</v>
      </c>
      <c r="S22" s="3">
        <v>10000152</v>
      </c>
      <c r="T22" s="5" t="s">
        <v>2306</v>
      </c>
    </row>
    <row r="23" spans="1:23" ht="20.100000000000001" customHeight="1" x14ac:dyDescent="0.2">
      <c r="A23" s="149">
        <v>22</v>
      </c>
      <c r="B23" s="150">
        <v>20</v>
      </c>
      <c r="C23" s="150">
        <f>经济总表!F23*B23</f>
        <v>1460</v>
      </c>
      <c r="F23" s="2" t="s">
        <v>2307</v>
      </c>
      <c r="H23" s="16" t="s">
        <v>2272</v>
      </c>
      <c r="I23" s="2"/>
      <c r="J23" s="2"/>
      <c r="K23" s="2"/>
      <c r="L23" s="1"/>
      <c r="M23" s="3">
        <v>10000165</v>
      </c>
      <c r="N23" s="5" t="s">
        <v>2302</v>
      </c>
      <c r="O23" s="13">
        <v>3</v>
      </c>
      <c r="P23" s="3">
        <v>10010040</v>
      </c>
      <c r="Q23" s="3" t="s">
        <v>753</v>
      </c>
      <c r="S23" s="3">
        <v>10000165</v>
      </c>
      <c r="T23" s="5" t="s">
        <v>2302</v>
      </c>
    </row>
    <row r="24" spans="1:23" ht="20.100000000000001" customHeight="1" x14ac:dyDescent="0.2">
      <c r="A24" s="149">
        <v>23</v>
      </c>
      <c r="B24" s="150">
        <v>20</v>
      </c>
      <c r="C24" s="150">
        <f>经济总表!F24*B24</f>
        <v>1520</v>
      </c>
      <c r="F24" s="2" t="s">
        <v>2309</v>
      </c>
      <c r="H24" s="16" t="s">
        <v>2275</v>
      </c>
      <c r="I24" s="2"/>
      <c r="J24" s="2"/>
      <c r="K24" s="2"/>
      <c r="L24" s="1"/>
      <c r="M24" s="3">
        <v>10010094</v>
      </c>
      <c r="N24" s="6" t="s">
        <v>851</v>
      </c>
      <c r="O24" s="13">
        <v>1</v>
      </c>
      <c r="P24" s="3">
        <v>10010094</v>
      </c>
      <c r="Q24" s="6" t="s">
        <v>851</v>
      </c>
      <c r="S24" s="3">
        <v>10000182</v>
      </c>
      <c r="T24" s="3" t="s">
        <v>2303</v>
      </c>
    </row>
    <row r="25" spans="1:23" ht="20.100000000000001" customHeight="1" x14ac:dyDescent="0.2">
      <c r="A25" s="149">
        <v>24</v>
      </c>
      <c r="B25" s="150">
        <v>20</v>
      </c>
      <c r="C25" s="150">
        <f>经济总表!F25*B25</f>
        <v>1580</v>
      </c>
      <c r="F25" s="2" t="s">
        <v>2308</v>
      </c>
      <c r="H25" s="16" t="s">
        <v>2289</v>
      </c>
      <c r="I25" s="56">
        <v>72005013</v>
      </c>
      <c r="J25" s="56" t="s">
        <v>2311</v>
      </c>
      <c r="K25" s="2"/>
      <c r="L25" s="1"/>
      <c r="M25" s="3">
        <v>10010040</v>
      </c>
      <c r="N25" s="3" t="s">
        <v>753</v>
      </c>
      <c r="O25" s="13">
        <v>1</v>
      </c>
    </row>
    <row r="26" spans="1:23" ht="20.100000000000001" customHeight="1" x14ac:dyDescent="0.2">
      <c r="A26" s="149">
        <v>25</v>
      </c>
      <c r="B26" s="150">
        <v>20</v>
      </c>
      <c r="C26" s="150">
        <f>经济总表!F26*B26</f>
        <v>1640</v>
      </c>
      <c r="F26" s="2" t="s">
        <v>2307</v>
      </c>
      <c r="H26" s="16" t="s">
        <v>2274</v>
      </c>
      <c r="K26" s="2"/>
      <c r="L26" s="1"/>
      <c r="M26" s="3">
        <v>10000165</v>
      </c>
      <c r="N26" s="5" t="s">
        <v>2302</v>
      </c>
      <c r="O26" s="13">
        <v>3</v>
      </c>
      <c r="S26" s="3">
        <v>10000141</v>
      </c>
      <c r="T26" s="5" t="s">
        <v>853</v>
      </c>
    </row>
    <row r="27" spans="1:23" ht="20.100000000000001" customHeight="1" x14ac:dyDescent="0.2">
      <c r="A27" s="149">
        <v>26</v>
      </c>
      <c r="B27" s="150">
        <v>20</v>
      </c>
      <c r="C27" s="150">
        <f>经济总表!F27*B27</f>
        <v>1700</v>
      </c>
      <c r="F27" s="2" t="s">
        <v>2309</v>
      </c>
      <c r="H27" s="16" t="s">
        <v>2277</v>
      </c>
      <c r="I27" s="1"/>
      <c r="J27" s="1"/>
      <c r="K27" s="2"/>
      <c r="L27" s="1"/>
      <c r="M27" s="3">
        <v>10000141</v>
      </c>
      <c r="N27" s="5" t="s">
        <v>853</v>
      </c>
      <c r="O27" s="2">
        <v>1</v>
      </c>
      <c r="P27" s="1"/>
      <c r="Q27" s="1"/>
      <c r="S27" s="3">
        <v>10000142</v>
      </c>
      <c r="T27" s="5" t="s">
        <v>108</v>
      </c>
    </row>
    <row r="28" spans="1:23" ht="20.100000000000001" customHeight="1" x14ac:dyDescent="0.2">
      <c r="A28" s="149">
        <v>27</v>
      </c>
      <c r="B28" s="150">
        <v>20</v>
      </c>
      <c r="C28" s="150">
        <f>经济总表!F28*B28</f>
        <v>1760</v>
      </c>
      <c r="F28" s="2" t="s">
        <v>2307</v>
      </c>
      <c r="H28" s="16" t="s">
        <v>2276</v>
      </c>
      <c r="I28" s="1"/>
      <c r="J28" s="1"/>
      <c r="K28" s="2"/>
      <c r="L28" s="1"/>
      <c r="M28" s="3">
        <v>10010045</v>
      </c>
      <c r="N28" s="5" t="s">
        <v>2304</v>
      </c>
      <c r="O28" s="13">
        <v>1</v>
      </c>
      <c r="P28" s="1">
        <v>10010901</v>
      </c>
      <c r="Q28" s="1" t="s">
        <v>2312</v>
      </c>
      <c r="R28">
        <v>1</v>
      </c>
    </row>
    <row r="29" spans="1:23" ht="20.100000000000001" customHeight="1" x14ac:dyDescent="0.2">
      <c r="A29" s="149">
        <v>28</v>
      </c>
      <c r="B29" s="150">
        <v>20</v>
      </c>
      <c r="C29" s="150">
        <f>经济总表!F29*B29</f>
        <v>1820</v>
      </c>
      <c r="F29" s="82"/>
      <c r="H29" s="16"/>
      <c r="K29" s="2"/>
      <c r="L29" s="2"/>
      <c r="M29" s="1"/>
      <c r="N29" s="1"/>
      <c r="O29" s="1"/>
      <c r="P29" s="1"/>
      <c r="Q29" s="1"/>
    </row>
    <row r="30" spans="1:23" ht="20.100000000000001" customHeight="1" x14ac:dyDescent="0.2">
      <c r="A30" s="149">
        <v>29</v>
      </c>
      <c r="B30" s="150">
        <v>20</v>
      </c>
      <c r="C30" s="150">
        <f>经济总表!F30*B30</f>
        <v>1880</v>
      </c>
      <c r="F30" s="82"/>
      <c r="H30" s="16"/>
      <c r="I30" s="1"/>
      <c r="J30" s="1"/>
      <c r="K30" s="2"/>
      <c r="L30" s="1"/>
      <c r="M30" s="1"/>
      <c r="N30" s="1"/>
      <c r="O30" s="1"/>
      <c r="P30" s="1"/>
      <c r="Q30" s="1"/>
    </row>
    <row r="31" spans="1:2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2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75B0-5220-4550-B9A0-6FC6F88B936A}">
  <dimension ref="A1:V87"/>
  <sheetViews>
    <sheetView tabSelected="1" workbookViewId="0">
      <selection activeCell="D18" sqref="D18:F20"/>
    </sheetView>
  </sheetViews>
  <sheetFormatPr defaultRowHeight="14.25" x14ac:dyDescent="0.2"/>
  <cols>
    <col min="1" max="1" width="11.375" bestFit="1" customWidth="1"/>
    <col min="2" max="2" width="37.75" customWidth="1"/>
    <col min="3" max="3" width="12.5" customWidth="1"/>
    <col min="9" max="10" width="13.375" customWidth="1"/>
    <col min="12" max="12" width="15.125" customWidth="1"/>
    <col min="14" max="14" width="32.75" customWidth="1"/>
    <col min="18" max="18" width="11.375" bestFit="1" customWidth="1"/>
    <col min="21" max="21" width="11.375" bestFit="1" customWidth="1"/>
  </cols>
  <sheetData>
    <row r="1" spans="1:22" s="2" customFormat="1" ht="20.100000000000001" customHeight="1" x14ac:dyDescent="0.2">
      <c r="B1" s="80" t="s">
        <v>2314</v>
      </c>
      <c r="C1" s="177" t="s">
        <v>2320</v>
      </c>
      <c r="I1" s="2" t="s">
        <v>2316</v>
      </c>
    </row>
    <row r="2" spans="1:22" s="2" customFormat="1" ht="20.100000000000001" customHeight="1" x14ac:dyDescent="0.2">
      <c r="A2" s="2" t="s">
        <v>2322</v>
      </c>
      <c r="B2" s="2" t="s">
        <v>2313</v>
      </c>
      <c r="C2" s="2" t="s">
        <v>2315</v>
      </c>
    </row>
    <row r="3" spans="1:22" s="2" customFormat="1" ht="20.100000000000001" customHeight="1" x14ac:dyDescent="0.2">
      <c r="B3" s="2">
        <f>C3*100</f>
        <v>10000</v>
      </c>
      <c r="C3" s="2">
        <v>100</v>
      </c>
      <c r="D3" s="2">
        <v>10000184</v>
      </c>
      <c r="E3" s="2" t="s">
        <v>2327</v>
      </c>
      <c r="F3" s="2">
        <v>25</v>
      </c>
      <c r="G3" s="2">
        <v>1</v>
      </c>
      <c r="H3" s="2" t="s">
        <v>2184</v>
      </c>
      <c r="I3" s="2">
        <v>300000</v>
      </c>
      <c r="J3" s="2">
        <v>10010083</v>
      </c>
      <c r="K3" s="2">
        <v>10010083</v>
      </c>
      <c r="L3" s="2" t="s">
        <v>2321</v>
      </c>
      <c r="M3" s="2">
        <v>10</v>
      </c>
      <c r="N3" s="3">
        <v>10000143</v>
      </c>
      <c r="O3" s="5" t="s">
        <v>122</v>
      </c>
      <c r="P3" s="2">
        <v>2</v>
      </c>
      <c r="Q3" s="3">
        <v>10000150</v>
      </c>
      <c r="R3" s="3" t="s">
        <v>843</v>
      </c>
      <c r="S3" s="2">
        <v>1</v>
      </c>
      <c r="U3" s="9" t="str">
        <f>G3&amp;";"&amp;I3&amp;"@"&amp;K3&amp;";"&amp;M3&amp;N3&amp;";"&amp;P3&amp;"@"&amp;Q3&amp;";"&amp;S3</f>
        <v>1;300000@10010083;1010000143;2@10000150;1</v>
      </c>
    </row>
    <row r="4" spans="1:22" s="2" customFormat="1" ht="20.100000000000001" customHeight="1" x14ac:dyDescent="0.2">
      <c r="B4" s="2">
        <f t="shared" ref="B4:B7" si="0">C4*100</f>
        <v>30000</v>
      </c>
      <c r="C4" s="2">
        <v>300</v>
      </c>
      <c r="D4" s="2">
        <v>10000184</v>
      </c>
      <c r="E4" s="2" t="s">
        <v>2327</v>
      </c>
      <c r="F4" s="2">
        <v>75</v>
      </c>
      <c r="G4" s="2">
        <v>1</v>
      </c>
      <c r="H4" s="2" t="s">
        <v>2184</v>
      </c>
      <c r="I4" s="2">
        <v>600000</v>
      </c>
      <c r="J4" s="2">
        <v>10010083</v>
      </c>
      <c r="K4" s="2">
        <v>10000141</v>
      </c>
      <c r="L4" s="2" t="s">
        <v>853</v>
      </c>
      <c r="M4" s="2">
        <v>1</v>
      </c>
      <c r="N4" s="3">
        <v>10000151</v>
      </c>
      <c r="O4" s="5" t="s">
        <v>850</v>
      </c>
      <c r="P4" s="2">
        <v>1</v>
      </c>
      <c r="Q4" s="3">
        <v>10010079</v>
      </c>
      <c r="R4" s="8" t="s">
        <v>845</v>
      </c>
      <c r="S4" s="2">
        <v>2</v>
      </c>
      <c r="U4" s="9" t="str">
        <f t="shared" ref="U4:U7" si="1">G4&amp;";"&amp;I4&amp;"@"&amp;K4&amp;";"&amp;M4&amp;N4&amp;";"&amp;P4&amp;"@"&amp;Q4&amp;";"&amp;S4</f>
        <v>1;600000@10000141;110000151;1@10010079;2</v>
      </c>
    </row>
    <row r="5" spans="1:22" s="2" customFormat="1" ht="20.100000000000001" customHeight="1" x14ac:dyDescent="0.2">
      <c r="B5" s="2">
        <f t="shared" si="0"/>
        <v>50000</v>
      </c>
      <c r="C5" s="2">
        <v>500</v>
      </c>
      <c r="D5" s="2">
        <v>10000184</v>
      </c>
      <c r="E5" s="2" t="s">
        <v>2327</v>
      </c>
      <c r="F5" s="2">
        <v>125</v>
      </c>
      <c r="G5" s="2">
        <v>10000135</v>
      </c>
      <c r="H5" s="2" t="s">
        <v>2317</v>
      </c>
      <c r="I5" s="2">
        <v>1</v>
      </c>
      <c r="J5" s="2">
        <v>10010083</v>
      </c>
      <c r="K5" s="2">
        <v>10000141</v>
      </c>
      <c r="L5" s="2" t="s">
        <v>853</v>
      </c>
      <c r="M5" s="2">
        <v>2</v>
      </c>
      <c r="N5" s="3">
        <v>10000151</v>
      </c>
      <c r="O5" s="5" t="s">
        <v>850</v>
      </c>
      <c r="P5" s="2">
        <v>2</v>
      </c>
      <c r="Q5" s="3">
        <v>10010046</v>
      </c>
      <c r="R5" s="5" t="s">
        <v>819</v>
      </c>
      <c r="S5" s="2">
        <v>1</v>
      </c>
      <c r="U5" s="9" t="str">
        <f t="shared" si="1"/>
        <v>10000135;1@10000141;210000151;2@10010046;1</v>
      </c>
    </row>
    <row r="6" spans="1:22" s="2" customFormat="1" ht="20.100000000000001" customHeight="1" x14ac:dyDescent="0.2">
      <c r="B6" s="2">
        <f t="shared" si="0"/>
        <v>100000</v>
      </c>
      <c r="C6" s="2">
        <v>1000</v>
      </c>
      <c r="D6" s="2">
        <v>10000184</v>
      </c>
      <c r="E6" s="2" t="s">
        <v>2327</v>
      </c>
      <c r="F6" s="2">
        <v>250</v>
      </c>
      <c r="G6" s="2">
        <v>10000135</v>
      </c>
      <c r="H6" s="2" t="s">
        <v>2317</v>
      </c>
      <c r="I6" s="2">
        <v>2</v>
      </c>
      <c r="J6" s="2">
        <v>10010083</v>
      </c>
      <c r="K6" s="2">
        <v>10000141</v>
      </c>
      <c r="L6" s="2" t="s">
        <v>853</v>
      </c>
      <c r="M6" s="2">
        <v>4</v>
      </c>
      <c r="N6" s="3">
        <v>10000151</v>
      </c>
      <c r="O6" s="5" t="s">
        <v>850</v>
      </c>
      <c r="P6" s="2">
        <v>5</v>
      </c>
      <c r="Q6" s="3">
        <v>10010096</v>
      </c>
      <c r="R6" s="6" t="s">
        <v>798</v>
      </c>
      <c r="S6" s="2">
        <v>1</v>
      </c>
      <c r="U6" s="9" t="str">
        <f t="shared" si="1"/>
        <v>10000135;2@10000141;410000151;5@10010096;1</v>
      </c>
    </row>
    <row r="7" spans="1:22" s="2" customFormat="1" ht="20.100000000000001" customHeight="1" x14ac:dyDescent="0.2">
      <c r="B7" s="2">
        <f t="shared" si="0"/>
        <v>200000</v>
      </c>
      <c r="C7" s="2">
        <v>2000</v>
      </c>
      <c r="D7" s="2">
        <v>10000184</v>
      </c>
      <c r="E7" s="2" t="s">
        <v>2327</v>
      </c>
      <c r="F7" s="2">
        <v>500</v>
      </c>
      <c r="G7" s="2">
        <v>10000135</v>
      </c>
      <c r="H7" s="2" t="s">
        <v>2317</v>
      </c>
      <c r="I7" s="2">
        <v>3</v>
      </c>
      <c r="J7" s="2">
        <v>10010083</v>
      </c>
      <c r="K7" s="2">
        <v>10000141</v>
      </c>
      <c r="L7" s="2" t="s">
        <v>853</v>
      </c>
      <c r="M7" s="2">
        <v>8</v>
      </c>
      <c r="N7" s="3">
        <v>10000151</v>
      </c>
      <c r="O7" s="5" t="s">
        <v>850</v>
      </c>
      <c r="P7" s="2">
        <v>10</v>
      </c>
      <c r="Q7" s="3">
        <v>10010094</v>
      </c>
      <c r="R7" s="6" t="s">
        <v>851</v>
      </c>
      <c r="S7" s="2">
        <v>1</v>
      </c>
      <c r="U7" s="9" t="str">
        <f t="shared" si="1"/>
        <v>10000135;3@10000141;810000151;10@10010094;1</v>
      </c>
    </row>
    <row r="8" spans="1:22" s="2" customFormat="1" ht="20.100000000000001" customHeight="1" x14ac:dyDescent="0.2"/>
    <row r="9" spans="1:22" s="2" customFormat="1" ht="20.100000000000001" customHeight="1" x14ac:dyDescent="0.2">
      <c r="B9" s="2" t="s">
        <v>2323</v>
      </c>
      <c r="C9" s="2" t="s">
        <v>2324</v>
      </c>
      <c r="E9" s="2" t="s">
        <v>2325</v>
      </c>
    </row>
    <row r="10" spans="1:22" s="2" customFormat="1" ht="20.100000000000001" customHeight="1" x14ac:dyDescent="0.2">
      <c r="A10" s="2">
        <v>1</v>
      </c>
      <c r="B10" s="3">
        <v>10000143</v>
      </c>
      <c r="C10" s="5" t="s">
        <v>122</v>
      </c>
      <c r="D10" s="2">
        <v>3</v>
      </c>
      <c r="E10" s="2">
        <v>0.15</v>
      </c>
    </row>
    <row r="11" spans="1:22" s="2" customFormat="1" ht="20.100000000000001" customHeight="1" x14ac:dyDescent="0.2">
      <c r="A11" s="2">
        <v>2</v>
      </c>
      <c r="B11" s="3">
        <v>10000151</v>
      </c>
      <c r="C11" s="5" t="s">
        <v>850</v>
      </c>
      <c r="D11" s="2">
        <v>1</v>
      </c>
      <c r="E11" s="2">
        <v>0.15</v>
      </c>
    </row>
    <row r="12" spans="1:22" s="2" customFormat="1" ht="20.100000000000001" customHeight="1" x14ac:dyDescent="0.2">
      <c r="A12" s="2">
        <v>3</v>
      </c>
      <c r="B12" s="3">
        <v>10000151</v>
      </c>
      <c r="C12" s="5" t="s">
        <v>850</v>
      </c>
      <c r="D12" s="2">
        <v>3</v>
      </c>
      <c r="E12" s="2">
        <v>0.05</v>
      </c>
    </row>
    <row r="13" spans="1:22" s="2" customFormat="1" ht="20.100000000000001" customHeight="1" x14ac:dyDescent="0.2">
      <c r="A13" s="2">
        <v>4</v>
      </c>
      <c r="B13" s="3">
        <v>10010094</v>
      </c>
      <c r="C13" s="6" t="s">
        <v>851</v>
      </c>
      <c r="D13" s="2">
        <v>1</v>
      </c>
      <c r="E13" s="2">
        <v>0.05</v>
      </c>
    </row>
    <row r="14" spans="1:22" s="2" customFormat="1" ht="20.100000000000001" customHeight="1" x14ac:dyDescent="0.2">
      <c r="A14" s="2">
        <v>5</v>
      </c>
      <c r="B14" s="3">
        <v>10000150</v>
      </c>
      <c r="C14" s="3" t="s">
        <v>843</v>
      </c>
      <c r="D14" s="2">
        <v>1</v>
      </c>
      <c r="E14" s="2">
        <v>0.15</v>
      </c>
    </row>
    <row r="15" spans="1:22" s="2" customFormat="1" ht="20.100000000000001" customHeight="1" x14ac:dyDescent="0.2">
      <c r="A15" s="2">
        <v>6</v>
      </c>
      <c r="B15" s="3">
        <v>10000135</v>
      </c>
      <c r="C15" s="3" t="s">
        <v>2317</v>
      </c>
      <c r="D15" s="2">
        <v>1</v>
      </c>
      <c r="E15" s="2">
        <v>0.15</v>
      </c>
    </row>
    <row r="16" spans="1:22" s="2" customFormat="1" ht="20.100000000000001" customHeight="1" x14ac:dyDescent="0.2">
      <c r="A16" s="2">
        <v>7</v>
      </c>
      <c r="B16" s="3">
        <v>10010040</v>
      </c>
      <c r="C16" s="3" t="s">
        <v>753</v>
      </c>
      <c r="D16" s="2">
        <v>1</v>
      </c>
      <c r="E16" s="2">
        <v>0.15</v>
      </c>
      <c r="T16" s="3">
        <v>10010079</v>
      </c>
      <c r="U16" s="8" t="s">
        <v>845</v>
      </c>
      <c r="V16" s="2">
        <v>1</v>
      </c>
    </row>
    <row r="17" spans="1:22" s="2" customFormat="1" ht="20.100000000000001" customHeight="1" x14ac:dyDescent="0.2">
      <c r="A17" s="2">
        <v>8</v>
      </c>
      <c r="B17" s="3">
        <v>10010046</v>
      </c>
      <c r="C17" s="5" t="s">
        <v>819</v>
      </c>
      <c r="D17" s="2">
        <v>1</v>
      </c>
      <c r="E17" s="2">
        <v>0.15</v>
      </c>
      <c r="N17" s="3">
        <v>10010040</v>
      </c>
      <c r="O17" s="3" t="s">
        <v>753</v>
      </c>
      <c r="P17" s="2">
        <v>1</v>
      </c>
      <c r="Q17" s="3">
        <v>10000164</v>
      </c>
      <c r="R17" s="5" t="s">
        <v>848</v>
      </c>
      <c r="S17" s="13">
        <v>1</v>
      </c>
      <c r="T17" s="3">
        <v>10010079</v>
      </c>
      <c r="U17" s="8" t="s">
        <v>845</v>
      </c>
      <c r="V17" s="2">
        <v>1</v>
      </c>
    </row>
    <row r="18" spans="1:22" s="2" customFormat="1" ht="20.100000000000001" customHeight="1" x14ac:dyDescent="0.2"/>
    <row r="19" spans="1:22" s="2" customFormat="1" ht="20.100000000000001" customHeight="1" x14ac:dyDescent="0.2">
      <c r="E19" s="2">
        <f>SUM(E10:E17)</f>
        <v>1</v>
      </c>
    </row>
    <row r="20" spans="1:22" s="2" customFormat="1" ht="20.100000000000001" customHeight="1" x14ac:dyDescent="0.2">
      <c r="I20" s="3">
        <v>10000143</v>
      </c>
      <c r="J20" s="5" t="s">
        <v>122</v>
      </c>
      <c r="Q20" s="3">
        <v>10010040</v>
      </c>
      <c r="R20" s="3" t="s">
        <v>753</v>
      </c>
      <c r="T20" s="3">
        <v>10000138</v>
      </c>
      <c r="U20" s="5" t="s">
        <v>865</v>
      </c>
      <c r="V20" s="2">
        <v>1</v>
      </c>
    </row>
    <row r="21" spans="1:22" s="2" customFormat="1" ht="20.100000000000001" customHeight="1" x14ac:dyDescent="0.2">
      <c r="A21" s="2" t="s">
        <v>2327</v>
      </c>
      <c r="B21" s="2" t="s">
        <v>2329</v>
      </c>
      <c r="C21" s="2">
        <v>15</v>
      </c>
      <c r="D21" s="2">
        <f>C21*7</f>
        <v>105</v>
      </c>
      <c r="I21" s="3">
        <v>10010026</v>
      </c>
      <c r="J21" s="5" t="s">
        <v>98</v>
      </c>
    </row>
    <row r="22" spans="1:22" s="2" customFormat="1" ht="20.100000000000001" customHeight="1" x14ac:dyDescent="0.2">
      <c r="A22" s="2" t="s">
        <v>2328</v>
      </c>
      <c r="B22" s="3">
        <v>10010093</v>
      </c>
      <c r="C22" s="6" t="s">
        <v>675</v>
      </c>
      <c r="D22" s="2">
        <v>60</v>
      </c>
      <c r="I22" s="3">
        <v>10010093</v>
      </c>
      <c r="J22" s="6" t="s">
        <v>675</v>
      </c>
      <c r="N22" s="3">
        <v>10010086</v>
      </c>
      <c r="O22" s="6" t="s">
        <v>681</v>
      </c>
    </row>
    <row r="23" spans="1:22" s="2" customFormat="1" ht="20.100000000000001" customHeight="1" x14ac:dyDescent="0.2">
      <c r="B23" s="3">
        <v>10010083</v>
      </c>
      <c r="C23" s="8" t="s">
        <v>257</v>
      </c>
      <c r="D23" s="2">
        <v>2</v>
      </c>
      <c r="I23" s="3">
        <v>10010094</v>
      </c>
      <c r="J23" s="6" t="s">
        <v>851</v>
      </c>
    </row>
    <row r="24" spans="1:22" s="2" customFormat="1" ht="20.100000000000001" customHeight="1" x14ac:dyDescent="0.2">
      <c r="B24" s="3">
        <v>10010086</v>
      </c>
      <c r="C24" s="6" t="s">
        <v>681</v>
      </c>
      <c r="D24" s="2">
        <v>25</v>
      </c>
      <c r="I24" s="3">
        <v>10010096</v>
      </c>
      <c r="J24" s="6" t="s">
        <v>798</v>
      </c>
    </row>
    <row r="25" spans="1:22" s="2" customFormat="1" ht="20.100000000000001" customHeight="1" x14ac:dyDescent="0.2">
      <c r="B25" s="3">
        <v>10000143</v>
      </c>
      <c r="C25" s="5" t="s">
        <v>122</v>
      </c>
      <c r="D25" s="2">
        <v>30</v>
      </c>
    </row>
    <row r="26" spans="1:22" s="2" customFormat="1" ht="20.100000000000001" customHeight="1" x14ac:dyDescent="0.2">
      <c r="B26" s="3">
        <v>10000152</v>
      </c>
      <c r="C26" s="5" t="s">
        <v>143</v>
      </c>
      <c r="D26" s="2">
        <v>50</v>
      </c>
      <c r="I26" s="3">
        <v>10010046</v>
      </c>
      <c r="J26" s="5" t="s">
        <v>819</v>
      </c>
      <c r="R26" s="3">
        <v>10000137</v>
      </c>
      <c r="S26" s="5" t="s">
        <v>864</v>
      </c>
      <c r="T26" s="2">
        <v>1</v>
      </c>
    </row>
    <row r="27" spans="1:22" s="2" customFormat="1" ht="20.100000000000001" customHeight="1" x14ac:dyDescent="0.2">
      <c r="B27" s="3">
        <v>10000165</v>
      </c>
      <c r="C27" s="5" t="s">
        <v>2260</v>
      </c>
      <c r="D27" s="2">
        <v>100</v>
      </c>
      <c r="I27" s="3">
        <v>10010045</v>
      </c>
      <c r="J27" s="5" t="s">
        <v>92</v>
      </c>
    </row>
    <row r="28" spans="1:22" ht="20.100000000000001" customHeight="1" x14ac:dyDescent="0.2">
      <c r="B28" s="3">
        <v>10010045</v>
      </c>
      <c r="C28" s="5" t="s">
        <v>92</v>
      </c>
      <c r="D28" s="2">
        <v>45</v>
      </c>
      <c r="R28" s="3">
        <v>10000164</v>
      </c>
      <c r="S28" s="5" t="s">
        <v>848</v>
      </c>
      <c r="T28" s="13">
        <v>1</v>
      </c>
    </row>
    <row r="29" spans="1:22" ht="20.100000000000001" customHeight="1" x14ac:dyDescent="0.2">
      <c r="B29" s="3"/>
      <c r="C29" s="3"/>
      <c r="D29" s="2"/>
      <c r="I29" s="3">
        <v>10010040</v>
      </c>
      <c r="J29" s="3" t="s">
        <v>753</v>
      </c>
    </row>
    <row r="30" spans="1:22" ht="20.100000000000001" customHeight="1" x14ac:dyDescent="0.2">
      <c r="I30" s="3">
        <v>10000151</v>
      </c>
      <c r="J30" s="5" t="s">
        <v>850</v>
      </c>
    </row>
    <row r="31" spans="1:22" ht="20.100000000000001" customHeight="1" x14ac:dyDescent="0.2"/>
    <row r="32" spans="1:22" ht="20.100000000000001" customHeight="1" x14ac:dyDescent="0.2">
      <c r="I32" s="3">
        <v>10000141</v>
      </c>
      <c r="J32" s="5" t="s">
        <v>853</v>
      </c>
      <c r="K32" s="175" t="s">
        <v>2318</v>
      </c>
    </row>
    <row r="33" spans="1:18" ht="20.100000000000001" customHeight="1" x14ac:dyDescent="0.2"/>
    <row r="34" spans="1:18" ht="20.100000000000001" customHeight="1" x14ac:dyDescent="0.2">
      <c r="I34" s="3">
        <v>10000135</v>
      </c>
      <c r="J34" s="5" t="s">
        <v>862</v>
      </c>
      <c r="K34" s="176" t="s">
        <v>2319</v>
      </c>
      <c r="L34" s="176" t="s">
        <v>2319</v>
      </c>
      <c r="M34" s="178"/>
    </row>
    <row r="35" spans="1:18" ht="20.100000000000001" customHeight="1" x14ac:dyDescent="0.2">
      <c r="B35" s="2">
        <v>10000135</v>
      </c>
      <c r="C35" s="2" t="s">
        <v>2317</v>
      </c>
      <c r="D35" s="2">
        <v>60</v>
      </c>
    </row>
    <row r="36" spans="1:18" ht="20.100000000000001" customHeight="1" x14ac:dyDescent="0.2">
      <c r="G36" s="1"/>
      <c r="H36" s="1"/>
    </row>
    <row r="37" spans="1:18" ht="20.100000000000001" customHeight="1" x14ac:dyDescent="0.2">
      <c r="A37" s="80" t="s">
        <v>2326</v>
      </c>
      <c r="B37" s="80" t="s">
        <v>2341</v>
      </c>
      <c r="C37" s="144" t="s">
        <v>2342</v>
      </c>
      <c r="G37" s="2" t="s">
        <v>2340</v>
      </c>
      <c r="H37" s="1"/>
    </row>
    <row r="38" spans="1:18" ht="20.100000000000001" customHeight="1" x14ac:dyDescent="0.2">
      <c r="A38" s="179">
        <v>700101</v>
      </c>
      <c r="B38" s="40" t="s">
        <v>2345</v>
      </c>
      <c r="C38" s="2">
        <v>1</v>
      </c>
      <c r="D38" s="2"/>
      <c r="E38" s="2"/>
      <c r="F38" s="2">
        <v>10000184</v>
      </c>
      <c r="G38" s="2" t="s">
        <v>2327</v>
      </c>
      <c r="H38" s="2">
        <v>10</v>
      </c>
      <c r="I38" s="2" t="s">
        <v>2184</v>
      </c>
      <c r="J38" s="2">
        <v>100000</v>
      </c>
      <c r="K38" s="2">
        <v>10000132</v>
      </c>
      <c r="L38" s="2" t="s">
        <v>114</v>
      </c>
      <c r="M38" s="2">
        <v>2</v>
      </c>
      <c r="N38" s="16" t="str">
        <f>F38&amp;";"&amp;H38&amp;"@"&amp;"1;"&amp;J38&amp;"@"&amp;K38&amp;";"&amp;M38</f>
        <v>10000184;10@1;100000@10000132;2</v>
      </c>
      <c r="P38" s="2">
        <v>10010086</v>
      </c>
      <c r="Q38" s="2" t="s">
        <v>681</v>
      </c>
      <c r="R38" s="2">
        <v>1</v>
      </c>
    </row>
    <row r="39" spans="1:18" ht="20.100000000000001" customHeight="1" x14ac:dyDescent="0.2">
      <c r="A39" s="179">
        <v>700102</v>
      </c>
      <c r="B39" s="40" t="s">
        <v>2346</v>
      </c>
      <c r="C39" s="2">
        <v>3</v>
      </c>
      <c r="D39" s="2"/>
      <c r="E39" s="2"/>
      <c r="F39" s="2">
        <v>10000184</v>
      </c>
      <c r="G39" s="2" t="s">
        <v>2327</v>
      </c>
      <c r="H39" s="2">
        <v>20</v>
      </c>
      <c r="I39" s="2" t="s">
        <v>2184</v>
      </c>
      <c r="J39" s="2">
        <v>150000</v>
      </c>
      <c r="K39" s="2">
        <v>10010039</v>
      </c>
      <c r="L39" s="2" t="s">
        <v>847</v>
      </c>
      <c r="M39" s="2">
        <v>1</v>
      </c>
      <c r="N39" s="16" t="str">
        <f t="shared" ref="N39:N62" si="2">F39&amp;";"&amp;H39&amp;"@"&amp;"1;"&amp;J39&amp;"@"&amp;K39&amp;";"&amp;M39</f>
        <v>10000184;20@1;150000@10010039;1</v>
      </c>
      <c r="P39" s="2">
        <v>10010083</v>
      </c>
      <c r="Q39" s="2" t="s">
        <v>2321</v>
      </c>
      <c r="R39" s="2">
        <v>5</v>
      </c>
    </row>
    <row r="40" spans="1:18" ht="20.100000000000001" customHeight="1" x14ac:dyDescent="0.2">
      <c r="A40" s="179">
        <v>700103</v>
      </c>
      <c r="B40" s="40" t="s">
        <v>2347</v>
      </c>
      <c r="C40" s="2">
        <v>3</v>
      </c>
      <c r="D40" s="2"/>
      <c r="E40" s="2"/>
      <c r="F40" s="2">
        <v>10000184</v>
      </c>
      <c r="G40" s="2" t="s">
        <v>2327</v>
      </c>
      <c r="H40" s="2">
        <v>20</v>
      </c>
      <c r="I40" s="2" t="s">
        <v>2184</v>
      </c>
      <c r="J40" s="2">
        <v>150000</v>
      </c>
      <c r="K40" s="2">
        <v>10010083</v>
      </c>
      <c r="L40" s="2" t="s">
        <v>2321</v>
      </c>
      <c r="M40" s="2">
        <v>5</v>
      </c>
      <c r="N40" s="16" t="str">
        <f t="shared" si="2"/>
        <v>10000184;20@1;150000@10010083;5</v>
      </c>
    </row>
    <row r="41" spans="1:18" ht="20.100000000000001" customHeight="1" x14ac:dyDescent="0.2">
      <c r="A41" s="179">
        <v>700201</v>
      </c>
      <c r="B41" s="40" t="s">
        <v>2348</v>
      </c>
      <c r="C41" s="2">
        <v>1</v>
      </c>
      <c r="D41" s="2"/>
      <c r="E41" s="2"/>
      <c r="F41" s="2">
        <v>10000184</v>
      </c>
      <c r="G41" s="2" t="s">
        <v>2327</v>
      </c>
      <c r="H41" s="2">
        <v>10</v>
      </c>
      <c r="I41" s="2" t="s">
        <v>2184</v>
      </c>
      <c r="J41" s="2">
        <v>100000</v>
      </c>
      <c r="K41" s="2">
        <v>10010041</v>
      </c>
      <c r="L41" s="2" t="s">
        <v>818</v>
      </c>
      <c r="M41" s="2">
        <v>2</v>
      </c>
      <c r="N41" s="16" t="str">
        <f t="shared" si="2"/>
        <v>10000184;10@1;100000@10010041;2</v>
      </c>
      <c r="P41" s="2">
        <v>10010042</v>
      </c>
      <c r="Q41" s="2" t="s">
        <v>126</v>
      </c>
      <c r="R41" s="2">
        <v>2</v>
      </c>
    </row>
    <row r="42" spans="1:18" ht="20.100000000000001" customHeight="1" x14ac:dyDescent="0.2">
      <c r="A42" s="179">
        <v>700202</v>
      </c>
      <c r="B42" s="40" t="s">
        <v>2349</v>
      </c>
      <c r="C42" s="2">
        <v>3</v>
      </c>
      <c r="D42" s="2"/>
      <c r="E42" s="2"/>
      <c r="F42" s="2">
        <v>10000184</v>
      </c>
      <c r="G42" s="2" t="s">
        <v>2327</v>
      </c>
      <c r="H42" s="2">
        <v>20</v>
      </c>
      <c r="I42" s="2" t="s">
        <v>2184</v>
      </c>
      <c r="J42" s="2">
        <v>150000</v>
      </c>
      <c r="K42" s="2">
        <v>10010083</v>
      </c>
      <c r="L42" s="2" t="s">
        <v>2321</v>
      </c>
      <c r="M42" s="2">
        <v>5</v>
      </c>
      <c r="N42" s="16" t="str">
        <f t="shared" si="2"/>
        <v>10000184;20@1;150000@10010083;5</v>
      </c>
    </row>
    <row r="43" spans="1:18" ht="20.100000000000001" customHeight="1" x14ac:dyDescent="0.2">
      <c r="A43" s="179">
        <v>700203</v>
      </c>
      <c r="B43" s="40" t="s">
        <v>2331</v>
      </c>
      <c r="C43" s="2">
        <v>3</v>
      </c>
      <c r="D43" s="2"/>
      <c r="E43" s="2"/>
      <c r="F43" s="2">
        <v>10000184</v>
      </c>
      <c r="G43" s="2" t="s">
        <v>2327</v>
      </c>
      <c r="H43" s="2">
        <v>20</v>
      </c>
      <c r="I43" s="2" t="s">
        <v>2184</v>
      </c>
      <c r="J43" s="2">
        <v>150000</v>
      </c>
      <c r="K43" s="2">
        <v>10010086</v>
      </c>
      <c r="L43" s="2" t="s">
        <v>681</v>
      </c>
      <c r="M43" s="2">
        <v>1</v>
      </c>
      <c r="N43" s="16" t="str">
        <f t="shared" si="2"/>
        <v>10000184;20@1;150000@10010086;1</v>
      </c>
      <c r="P43" s="2">
        <v>10010034</v>
      </c>
      <c r="Q43" s="2" t="s">
        <v>1592</v>
      </c>
      <c r="R43" s="2">
        <v>1</v>
      </c>
    </row>
    <row r="44" spans="1:18" ht="20.100000000000001" customHeight="1" x14ac:dyDescent="0.2">
      <c r="A44" s="179">
        <v>700301</v>
      </c>
      <c r="B44" s="40" t="s">
        <v>2330</v>
      </c>
      <c r="C44" s="2">
        <v>1</v>
      </c>
      <c r="D44" s="2"/>
      <c r="E44" s="2"/>
      <c r="F44" s="2">
        <v>10000184</v>
      </c>
      <c r="G44" s="2" t="s">
        <v>2327</v>
      </c>
      <c r="H44" s="2">
        <v>10</v>
      </c>
      <c r="I44" s="2" t="s">
        <v>2184</v>
      </c>
      <c r="J44" s="2">
        <v>100000</v>
      </c>
      <c r="K44" s="2">
        <v>10010083</v>
      </c>
      <c r="L44" s="2" t="s">
        <v>2321</v>
      </c>
      <c r="M44" s="2">
        <v>2</v>
      </c>
      <c r="N44" s="16" t="str">
        <f t="shared" si="2"/>
        <v>10000184;10@1;100000@10010083;2</v>
      </c>
    </row>
    <row r="45" spans="1:18" ht="20.100000000000001" customHeight="1" x14ac:dyDescent="0.2">
      <c r="A45" s="179">
        <v>700302</v>
      </c>
      <c r="B45" s="40" t="s">
        <v>2330</v>
      </c>
      <c r="C45" s="2">
        <v>3</v>
      </c>
      <c r="D45" s="2"/>
      <c r="E45" s="2"/>
      <c r="F45" s="2">
        <v>10000184</v>
      </c>
      <c r="G45" s="2" t="s">
        <v>2327</v>
      </c>
      <c r="H45" s="2">
        <v>20</v>
      </c>
      <c r="I45" s="2" t="s">
        <v>2184</v>
      </c>
      <c r="J45" s="2">
        <v>150000</v>
      </c>
      <c r="K45" s="2">
        <v>10000132</v>
      </c>
      <c r="L45" s="2" t="s">
        <v>114</v>
      </c>
      <c r="M45" s="2">
        <v>5</v>
      </c>
      <c r="N45" s="16" t="str">
        <f t="shared" si="2"/>
        <v>10000184;20@1;150000@10000132;5</v>
      </c>
    </row>
    <row r="46" spans="1:18" ht="20.100000000000001" customHeight="1" x14ac:dyDescent="0.2">
      <c r="A46" s="179">
        <v>700303</v>
      </c>
      <c r="B46" s="40" t="s">
        <v>2350</v>
      </c>
      <c r="C46" s="2">
        <v>1</v>
      </c>
      <c r="D46" s="2"/>
      <c r="E46" s="2"/>
      <c r="F46" s="2">
        <v>10000184</v>
      </c>
      <c r="G46" s="2" t="s">
        <v>2327</v>
      </c>
      <c r="H46" s="2">
        <v>10</v>
      </c>
      <c r="I46" s="2" t="s">
        <v>2184</v>
      </c>
      <c r="J46" s="2">
        <v>100000</v>
      </c>
      <c r="K46" s="2">
        <v>10010041</v>
      </c>
      <c r="L46" s="2" t="s">
        <v>818</v>
      </c>
      <c r="M46" s="2">
        <v>2</v>
      </c>
      <c r="N46" s="16" t="str">
        <f t="shared" si="2"/>
        <v>10000184;10@1;100000@10010041;2</v>
      </c>
      <c r="P46" s="2">
        <v>10010039</v>
      </c>
      <c r="Q46" s="2" t="s">
        <v>847</v>
      </c>
      <c r="R46" s="2">
        <v>1</v>
      </c>
    </row>
    <row r="47" spans="1:18" s="166" customFormat="1" ht="20.100000000000001" customHeight="1" x14ac:dyDescent="0.2">
      <c r="A47" s="179">
        <v>700304</v>
      </c>
      <c r="B47" s="40" t="s">
        <v>2332</v>
      </c>
      <c r="C47" s="2">
        <v>3</v>
      </c>
      <c r="D47" s="20"/>
      <c r="E47" s="20"/>
      <c r="F47" s="2">
        <v>10000184</v>
      </c>
      <c r="G47" s="20" t="s">
        <v>2327</v>
      </c>
      <c r="H47" s="2">
        <v>20</v>
      </c>
      <c r="I47" s="2" t="s">
        <v>2184</v>
      </c>
      <c r="J47" s="2">
        <v>150000</v>
      </c>
      <c r="K47" s="2">
        <v>10010039</v>
      </c>
      <c r="L47" s="2" t="s">
        <v>847</v>
      </c>
      <c r="M47" s="2">
        <v>1</v>
      </c>
      <c r="N47" s="16" t="str">
        <f t="shared" si="2"/>
        <v>10000184;20@1;150000@10010039;1</v>
      </c>
    </row>
    <row r="48" spans="1:18" ht="20.100000000000001" customHeight="1" x14ac:dyDescent="0.2">
      <c r="A48" s="179">
        <v>701501</v>
      </c>
      <c r="B48" s="40" t="s">
        <v>2351</v>
      </c>
      <c r="C48" s="2">
        <v>1</v>
      </c>
      <c r="D48" s="2"/>
      <c r="E48" s="2"/>
      <c r="F48" s="2">
        <v>10000184</v>
      </c>
      <c r="G48" s="2" t="s">
        <v>2327</v>
      </c>
      <c r="H48" s="2">
        <v>10</v>
      </c>
      <c r="I48" s="2" t="s">
        <v>2184</v>
      </c>
      <c r="J48" s="2">
        <v>100000</v>
      </c>
      <c r="K48" s="2">
        <v>10010042</v>
      </c>
      <c r="L48" s="2" t="s">
        <v>126</v>
      </c>
      <c r="M48" s="2">
        <v>2</v>
      </c>
      <c r="N48" s="16" t="str">
        <f t="shared" si="2"/>
        <v>10000184;10@1;100000@10010042;2</v>
      </c>
    </row>
    <row r="49" spans="1:14" ht="20.100000000000001" customHeight="1" x14ac:dyDescent="0.2">
      <c r="A49" s="179">
        <v>701502</v>
      </c>
      <c r="B49" s="40" t="s">
        <v>2339</v>
      </c>
      <c r="C49" s="2">
        <v>3</v>
      </c>
      <c r="D49" s="2"/>
      <c r="E49" s="2"/>
      <c r="F49" s="2">
        <v>10000184</v>
      </c>
      <c r="G49" s="2" t="s">
        <v>2327</v>
      </c>
      <c r="H49" s="2">
        <v>20</v>
      </c>
      <c r="I49" s="2" t="s">
        <v>2184</v>
      </c>
      <c r="J49" s="2">
        <v>150000</v>
      </c>
      <c r="K49" s="2">
        <v>10010083</v>
      </c>
      <c r="L49" s="2" t="s">
        <v>2321</v>
      </c>
      <c r="M49" s="2">
        <v>5</v>
      </c>
      <c r="N49" s="16" t="str">
        <f t="shared" si="2"/>
        <v>10000184;20@1;150000@10010083;5</v>
      </c>
    </row>
    <row r="50" spans="1:14" ht="20.100000000000001" customHeight="1" x14ac:dyDescent="0.2">
      <c r="A50" s="179">
        <v>701503</v>
      </c>
      <c r="B50" s="40" t="s">
        <v>2352</v>
      </c>
      <c r="C50" s="2">
        <v>1</v>
      </c>
      <c r="D50" s="2"/>
      <c r="E50" s="2"/>
      <c r="F50" s="2">
        <v>10000184</v>
      </c>
      <c r="G50" s="2" t="s">
        <v>2327</v>
      </c>
      <c r="H50" s="2">
        <v>10</v>
      </c>
      <c r="I50" s="2" t="s">
        <v>2184</v>
      </c>
      <c r="J50" s="2">
        <v>100000</v>
      </c>
      <c r="K50" s="2">
        <v>10010034</v>
      </c>
      <c r="L50" s="2" t="s">
        <v>1592</v>
      </c>
      <c r="M50" s="2">
        <v>1</v>
      </c>
      <c r="N50" s="16" t="str">
        <f t="shared" si="2"/>
        <v>10000184;10@1;100000@10010034;1</v>
      </c>
    </row>
    <row r="51" spans="1:14" ht="20.100000000000001" customHeight="1" x14ac:dyDescent="0.2">
      <c r="A51" s="179">
        <v>700601</v>
      </c>
      <c r="B51" s="40" t="s">
        <v>2333</v>
      </c>
      <c r="C51" s="2">
        <v>1</v>
      </c>
      <c r="D51" s="2"/>
      <c r="E51" s="2"/>
      <c r="F51" s="2">
        <v>10000184</v>
      </c>
      <c r="G51" s="2" t="s">
        <v>2327</v>
      </c>
      <c r="H51" s="2">
        <v>10</v>
      </c>
      <c r="I51" s="2" t="s">
        <v>2184</v>
      </c>
      <c r="J51" s="2">
        <v>100000</v>
      </c>
      <c r="K51" s="2">
        <v>10000132</v>
      </c>
      <c r="L51" s="2" t="s">
        <v>114</v>
      </c>
      <c r="M51" s="2">
        <v>2</v>
      </c>
      <c r="N51" s="16" t="str">
        <f t="shared" si="2"/>
        <v>10000184;10@1;100000@10000132;2</v>
      </c>
    </row>
    <row r="52" spans="1:14" ht="20.100000000000001" customHeight="1" x14ac:dyDescent="0.2">
      <c r="A52" s="179">
        <v>700602</v>
      </c>
      <c r="B52" s="40" t="s">
        <v>2353</v>
      </c>
      <c r="C52" s="2">
        <v>1</v>
      </c>
      <c r="D52" s="2"/>
      <c r="E52" s="2"/>
      <c r="F52" s="2">
        <v>10000184</v>
      </c>
      <c r="G52" s="2" t="s">
        <v>2327</v>
      </c>
      <c r="H52" s="2">
        <v>10</v>
      </c>
      <c r="I52" s="2" t="s">
        <v>2184</v>
      </c>
      <c r="J52" s="2">
        <v>100000</v>
      </c>
      <c r="K52" s="2">
        <v>10010042</v>
      </c>
      <c r="L52" s="2" t="s">
        <v>126</v>
      </c>
      <c r="M52" s="2">
        <v>2</v>
      </c>
      <c r="N52" s="16" t="str">
        <f t="shared" si="2"/>
        <v>10000184;10@1;100000@10010042;2</v>
      </c>
    </row>
    <row r="53" spans="1:14" ht="20.100000000000001" customHeight="1" x14ac:dyDescent="0.2">
      <c r="A53" s="179">
        <v>700603</v>
      </c>
      <c r="B53" s="40" t="s">
        <v>2354</v>
      </c>
      <c r="C53" s="2">
        <v>3</v>
      </c>
      <c r="D53" s="2"/>
      <c r="E53" s="2"/>
      <c r="F53" s="2">
        <v>10000184</v>
      </c>
      <c r="G53" s="2" t="s">
        <v>2327</v>
      </c>
      <c r="H53" s="2">
        <v>20</v>
      </c>
      <c r="I53" s="2" t="s">
        <v>2184</v>
      </c>
      <c r="J53" s="2">
        <v>150000</v>
      </c>
      <c r="K53" s="2">
        <v>10010041</v>
      </c>
      <c r="L53" s="2" t="s">
        <v>818</v>
      </c>
      <c r="M53" s="2">
        <v>5</v>
      </c>
      <c r="N53" s="16" t="str">
        <f t="shared" si="2"/>
        <v>10000184;20@1;150000@10010041;5</v>
      </c>
    </row>
    <row r="54" spans="1:14" ht="20.100000000000001" customHeight="1" x14ac:dyDescent="0.2">
      <c r="A54" s="179">
        <v>700701</v>
      </c>
      <c r="B54" s="40" t="s">
        <v>2334</v>
      </c>
      <c r="C54" s="2">
        <v>1</v>
      </c>
      <c r="D54" s="2"/>
      <c r="E54" s="2"/>
      <c r="F54" s="2">
        <v>10000184</v>
      </c>
      <c r="G54" s="2" t="s">
        <v>2327</v>
      </c>
      <c r="H54" s="2">
        <v>10</v>
      </c>
      <c r="I54" s="2" t="s">
        <v>2184</v>
      </c>
      <c r="J54" s="2">
        <v>100000</v>
      </c>
      <c r="K54" s="2">
        <v>10010083</v>
      </c>
      <c r="L54" s="2" t="s">
        <v>2321</v>
      </c>
      <c r="M54" s="2">
        <v>5</v>
      </c>
      <c r="N54" s="16" t="str">
        <f t="shared" si="2"/>
        <v>10000184;10@1;100000@10010083;5</v>
      </c>
    </row>
    <row r="55" spans="1:14" ht="20.100000000000001" customHeight="1" x14ac:dyDescent="0.2">
      <c r="A55" s="179">
        <v>700702</v>
      </c>
      <c r="B55" s="40" t="s">
        <v>2355</v>
      </c>
      <c r="C55" s="2">
        <v>3</v>
      </c>
      <c r="D55" s="2"/>
      <c r="E55" s="2"/>
      <c r="F55" s="2">
        <v>10000184</v>
      </c>
      <c r="G55" s="2" t="s">
        <v>2327</v>
      </c>
      <c r="H55" s="2">
        <v>20</v>
      </c>
      <c r="I55" s="2" t="s">
        <v>2184</v>
      </c>
      <c r="J55" s="2">
        <v>150000</v>
      </c>
      <c r="K55" s="2">
        <v>10010083</v>
      </c>
      <c r="L55" s="2" t="s">
        <v>2321</v>
      </c>
      <c r="M55" s="2">
        <v>10</v>
      </c>
      <c r="N55" s="16" t="str">
        <f t="shared" si="2"/>
        <v>10000184;20@1;150000@10010083;10</v>
      </c>
    </row>
    <row r="56" spans="1:14" ht="20.100000000000001" customHeight="1" x14ac:dyDescent="0.2">
      <c r="A56" s="179">
        <v>700703</v>
      </c>
      <c r="B56" s="40" t="s">
        <v>2356</v>
      </c>
      <c r="C56" s="2">
        <v>1</v>
      </c>
      <c r="D56" s="2"/>
      <c r="E56" s="2"/>
      <c r="F56" s="2">
        <v>10000184</v>
      </c>
      <c r="G56" s="2" t="s">
        <v>2327</v>
      </c>
      <c r="H56" s="2">
        <v>10</v>
      </c>
      <c r="I56" s="2" t="s">
        <v>2184</v>
      </c>
      <c r="J56" s="2">
        <v>100000</v>
      </c>
      <c r="K56" s="2">
        <v>10010083</v>
      </c>
      <c r="L56" s="2" t="s">
        <v>2321</v>
      </c>
      <c r="M56" s="2">
        <v>5</v>
      </c>
      <c r="N56" s="16" t="str">
        <f t="shared" si="2"/>
        <v>10000184;10@1;100000@10010083;5</v>
      </c>
    </row>
    <row r="57" spans="1:14" ht="20.100000000000001" customHeight="1" x14ac:dyDescent="0.2">
      <c r="A57" s="179">
        <v>700801</v>
      </c>
      <c r="B57" s="40" t="s">
        <v>2335</v>
      </c>
      <c r="C57" s="2">
        <v>3</v>
      </c>
      <c r="D57" s="2"/>
      <c r="E57" s="2"/>
      <c r="F57" s="2">
        <v>10000184</v>
      </c>
      <c r="G57" s="2" t="s">
        <v>2327</v>
      </c>
      <c r="H57" s="2">
        <v>20</v>
      </c>
      <c r="I57" s="2" t="s">
        <v>2184</v>
      </c>
      <c r="J57" s="2">
        <v>150000</v>
      </c>
      <c r="K57" s="2">
        <v>10000158</v>
      </c>
      <c r="L57" s="2" t="s">
        <v>2359</v>
      </c>
      <c r="M57" s="2">
        <v>1</v>
      </c>
      <c r="N57" s="16" t="str">
        <f t="shared" si="2"/>
        <v>10000184;20@1;150000@10000158;1</v>
      </c>
    </row>
    <row r="58" spans="1:14" ht="20.100000000000001" customHeight="1" x14ac:dyDescent="0.2">
      <c r="A58" s="179">
        <v>700802</v>
      </c>
      <c r="B58" s="40" t="s">
        <v>2336</v>
      </c>
      <c r="C58" s="2">
        <v>1</v>
      </c>
      <c r="D58" s="2"/>
      <c r="E58" s="2"/>
      <c r="F58" s="2">
        <v>10000184</v>
      </c>
      <c r="G58" s="2" t="s">
        <v>2327</v>
      </c>
      <c r="H58" s="2">
        <v>10</v>
      </c>
      <c r="I58" s="2" t="s">
        <v>2184</v>
      </c>
      <c r="J58" s="2">
        <v>100000</v>
      </c>
      <c r="K58" s="2">
        <v>10010039</v>
      </c>
      <c r="L58" s="2" t="s">
        <v>847</v>
      </c>
      <c r="M58" s="2">
        <v>1</v>
      </c>
      <c r="N58" s="16" t="str">
        <f t="shared" si="2"/>
        <v>10000184;10@1;100000@10010039;1</v>
      </c>
    </row>
    <row r="59" spans="1:14" ht="20.100000000000001" customHeight="1" x14ac:dyDescent="0.2">
      <c r="A59" s="179">
        <v>700901</v>
      </c>
      <c r="B59" s="40" t="s">
        <v>2337</v>
      </c>
      <c r="C59" s="2">
        <v>3</v>
      </c>
      <c r="D59" s="2"/>
      <c r="E59" s="2"/>
      <c r="F59" s="2">
        <v>10000184</v>
      </c>
      <c r="G59" s="2" t="s">
        <v>2327</v>
      </c>
      <c r="H59" s="2">
        <v>20</v>
      </c>
      <c r="I59" s="2" t="s">
        <v>2184</v>
      </c>
      <c r="J59" s="2">
        <v>150000</v>
      </c>
      <c r="K59" s="2">
        <v>10010083</v>
      </c>
      <c r="L59" s="2" t="s">
        <v>2321</v>
      </c>
      <c r="M59" s="2">
        <v>5</v>
      </c>
      <c r="N59" s="16" t="str">
        <f t="shared" si="2"/>
        <v>10000184;20@1;150000@10010083;5</v>
      </c>
    </row>
    <row r="60" spans="1:14" ht="20.100000000000001" customHeight="1" x14ac:dyDescent="0.2">
      <c r="A60" s="179">
        <v>700902</v>
      </c>
      <c r="B60" s="40" t="s">
        <v>2357</v>
      </c>
      <c r="C60" s="2">
        <v>3</v>
      </c>
      <c r="D60" s="2"/>
      <c r="E60" s="2"/>
      <c r="F60" s="2">
        <v>10000184</v>
      </c>
      <c r="G60" s="2" t="s">
        <v>2327</v>
      </c>
      <c r="H60" s="2">
        <v>20</v>
      </c>
      <c r="I60" s="2" t="s">
        <v>2184</v>
      </c>
      <c r="J60" s="2">
        <v>150000</v>
      </c>
      <c r="K60" s="2">
        <v>10010028</v>
      </c>
      <c r="L60" s="2" t="s">
        <v>1728</v>
      </c>
      <c r="M60" s="2">
        <v>1</v>
      </c>
      <c r="N60" s="16" t="str">
        <f t="shared" si="2"/>
        <v>10000184;20@1;150000@10010028;1</v>
      </c>
    </row>
    <row r="61" spans="1:14" ht="20.100000000000001" customHeight="1" x14ac:dyDescent="0.2">
      <c r="A61" s="179">
        <v>701001</v>
      </c>
      <c r="B61" s="40" t="s">
        <v>2358</v>
      </c>
      <c r="C61" s="2">
        <v>1</v>
      </c>
      <c r="D61" s="2"/>
      <c r="E61" s="2"/>
      <c r="F61" s="2">
        <v>10000184</v>
      </c>
      <c r="G61" s="2" t="s">
        <v>2327</v>
      </c>
      <c r="H61" s="2">
        <v>10</v>
      </c>
      <c r="I61" s="2" t="s">
        <v>2184</v>
      </c>
      <c r="J61" s="2">
        <v>100000</v>
      </c>
      <c r="K61" s="2">
        <v>10010034</v>
      </c>
      <c r="L61" s="2" t="s">
        <v>1592</v>
      </c>
      <c r="M61" s="2">
        <v>1</v>
      </c>
      <c r="N61" s="16" t="str">
        <f t="shared" si="2"/>
        <v>10000184;10@1;100000@10010034;1</v>
      </c>
    </row>
    <row r="62" spans="1:14" ht="20.100000000000001" customHeight="1" x14ac:dyDescent="0.2">
      <c r="A62" s="179">
        <v>701002</v>
      </c>
      <c r="B62" s="40" t="s">
        <v>2338</v>
      </c>
      <c r="C62" s="2">
        <v>3</v>
      </c>
      <c r="D62" s="2"/>
      <c r="E62" s="2"/>
      <c r="F62" s="2">
        <v>10000184</v>
      </c>
      <c r="G62" s="2" t="s">
        <v>2327</v>
      </c>
      <c r="H62" s="2">
        <v>20</v>
      </c>
      <c r="I62" s="2" t="s">
        <v>2184</v>
      </c>
      <c r="J62" s="2">
        <v>150000</v>
      </c>
      <c r="K62" s="2">
        <v>10010028</v>
      </c>
      <c r="L62" s="2" t="s">
        <v>1728</v>
      </c>
      <c r="M62" s="2">
        <v>2</v>
      </c>
      <c r="N62" s="16" t="str">
        <f t="shared" si="2"/>
        <v>10000184;20@1;150000@10010028;2</v>
      </c>
    </row>
    <row r="63" spans="1:14" ht="20.100000000000001" customHeight="1" x14ac:dyDescent="0.2">
      <c r="B63" s="9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4" ht="20.100000000000001" customHeight="1" x14ac:dyDescent="0.2">
      <c r="B64" s="9"/>
      <c r="C64" s="13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ht="20.100000000000001" customHeight="1" x14ac:dyDescent="0.2">
      <c r="B65" s="9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ht="20.100000000000001" customHeight="1" x14ac:dyDescent="0.2">
      <c r="B66" s="9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ht="20.100000000000001" customHeight="1" x14ac:dyDescent="0.2">
      <c r="B67" s="9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ht="20.100000000000001" customHeight="1" x14ac:dyDescent="0.2">
      <c r="B68" s="9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ht="20.100000000000001" customHeight="1" x14ac:dyDescent="0.2">
      <c r="B69" s="9"/>
      <c r="G69" s="1"/>
      <c r="H69" s="1"/>
    </row>
    <row r="70" spans="2:13" ht="20.100000000000001" customHeight="1" x14ac:dyDescent="0.2">
      <c r="B70" s="9" t="s">
        <v>2343</v>
      </c>
      <c r="G70" s="1"/>
      <c r="H70" s="1"/>
    </row>
    <row r="71" spans="2:13" ht="20.100000000000001" customHeight="1" x14ac:dyDescent="0.2">
      <c r="B71" s="9" t="s">
        <v>2344</v>
      </c>
    </row>
    <row r="72" spans="2:13" ht="20.100000000000001" customHeight="1" x14ac:dyDescent="0.2"/>
    <row r="73" spans="2:13" ht="20.100000000000001" customHeight="1" x14ac:dyDescent="0.2"/>
    <row r="74" spans="2:13" ht="20.100000000000001" customHeight="1" x14ac:dyDescent="0.2"/>
    <row r="75" spans="2:13" ht="20.100000000000001" customHeight="1" x14ac:dyDescent="0.2"/>
    <row r="76" spans="2:13" ht="20.100000000000001" customHeight="1" x14ac:dyDescent="0.2"/>
    <row r="77" spans="2:13" ht="20.100000000000001" customHeight="1" x14ac:dyDescent="0.2"/>
    <row r="78" spans="2:13" ht="20.100000000000001" customHeight="1" x14ac:dyDescent="0.2"/>
    <row r="79" spans="2:13" ht="20.100000000000001" customHeight="1" x14ac:dyDescent="0.2"/>
    <row r="80" spans="2:13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80" t="s">
        <v>90</v>
      </c>
      <c r="AW2" s="180"/>
      <c r="AX2" s="180"/>
      <c r="AY2" s="180"/>
      <c r="AZ2" s="180"/>
      <c r="BA2" s="180"/>
      <c r="BB2" s="180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A40" workbookViewId="0">
      <selection activeCell="U61" sqref="U61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LOOKUP(L148,[2]ItemProto!$C$266:$C$307,[2]ItemProto!$O$266:$O$307)</f>
        <v>1</v>
      </c>
      <c r="Z148" s="2"/>
      <c r="AA148" s="2">
        <f>LOOKUP(N148,[2]ItemProto!$C$266:$C$307,[2]ItemProto!$O$266:$O$307)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LOOKUP(L149,[2]ItemProto!$C$266:$C$307,[2]ItemProto!$O$266:$O$307)</f>
        <v>1</v>
      </c>
      <c r="Z149" s="2"/>
      <c r="AA149" s="2">
        <f>LOOKUP(N149,[2]ItemProto!$C$266:$C$307,[2]ItemProto!$O$266:$O$307)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LOOKUP(L150,[2]ItemProto!$C$266:$C$307,[2]ItemProto!$O$266:$O$307)</f>
        <v>1</v>
      </c>
      <c r="Z150" s="2"/>
      <c r="AA150" s="2">
        <f>LOOKUP(N150,[2]ItemProto!$C$266:$C$307,[2]ItemProto!$O$266:$O$307)</f>
        <v>1</v>
      </c>
      <c r="AB150" s="2"/>
      <c r="AC150" s="2">
        <f>LOOKUP(P150,[2]ItemProto!$C$266:$C$307,[2]ItemProto!$O$266:$O$307)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LOOKUP(L151,[2]ItemProto!$C$266:$C$307,[2]ItemProto!$O$266:$O$307)</f>
        <v>1</v>
      </c>
      <c r="Z151" s="2"/>
      <c r="AA151" s="2">
        <f>LOOKUP(N151,[2]ItemProto!$C$266:$C$307,[2]ItemProto!$O$266:$O$307)</f>
        <v>1</v>
      </c>
      <c r="AB151" s="2"/>
      <c r="AC151" s="2">
        <f>LOOKUP(P151,[2]ItemProto!$C$266:$C$307,[2]ItemProto!$O$266:$O$307)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LOOKUP(L152,[2]ItemProto!$C$266:$C$307,[2]ItemProto!$O$266:$O$307)</f>
        <v>1</v>
      </c>
      <c r="Z152" s="2"/>
      <c r="AA152" s="2">
        <f>LOOKUP(N152,[2]ItemProto!$C$266:$C$307,[2]ItemProto!$O$266:$O$307)</f>
        <v>1</v>
      </c>
      <c r="AB152" s="2"/>
      <c r="AC152" s="2">
        <f>LOOKUP(P152,[2]ItemProto!$C$266:$C$307,[2]ItemProto!$O$266:$O$307)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LOOKUP(L153,[2]ItemProto!$C$266:$C$307,[2]ItemProto!$O$266:$O$307)</f>
        <v>1</v>
      </c>
      <c r="Z153" s="2"/>
      <c r="AA153" s="2">
        <f>LOOKUP(N153,[2]ItemProto!$C$266:$C$307,[2]ItemProto!$O$266:$O$307)</f>
        <v>1</v>
      </c>
      <c r="AB153" s="2"/>
      <c r="AC153" s="2">
        <f>LOOKUP(P153,[2]ItemProto!$C$266:$C$307,[2]ItemProto!$O$266:$O$307)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LOOKUP(L154,[2]ItemProto!$C$266:$C$307,[2]ItemProto!$O$266:$O$307)</f>
        <v>1</v>
      </c>
      <c r="Z154" s="2"/>
      <c r="AA154" s="2">
        <f>LOOKUP(N154,[2]ItemProto!$C$266:$C$307,[2]ItemProto!$O$266:$O$307)</f>
        <v>1</v>
      </c>
      <c r="AB154" s="2"/>
      <c r="AC154" s="2">
        <f>LOOKUP(P154,[2]ItemProto!$C$266:$C$307,[2]ItemProto!$O$266:$O$307)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LOOKUP(L155,[2]ItemProto!$C$266:$C$307,[2]ItemProto!$O$266:$O$307)</f>
        <v>1</v>
      </c>
      <c r="Z155" s="2"/>
      <c r="AA155" s="2">
        <f>LOOKUP(N155,[2]ItemProto!$C$266:$C$307,[2]ItemProto!$O$266:$O$307)</f>
        <v>1</v>
      </c>
      <c r="AB155" s="2"/>
      <c r="AC155" s="2">
        <f>LOOKUP(P155,[2]ItemProto!$C$266:$C$307,[2]ItemProto!$O$266:$O$307)</f>
        <v>1</v>
      </c>
      <c r="AD155" s="2"/>
      <c r="AE155" s="2">
        <f>LOOKUP(R155,[2]ItemProto!$C$266:$C$307,[2]ItemProto!$O$266:$O$307)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LOOKUP(L156,[2]ItemProto!$C$266:$C$307,[2]ItemProto!$O$266:$O$307)</f>
        <v>1</v>
      </c>
      <c r="Z156" s="2"/>
      <c r="AA156" s="2">
        <f>LOOKUP(N156,[2]ItemProto!$C$266:$C$307,[2]ItemProto!$O$266:$O$307)</f>
        <v>1</v>
      </c>
      <c r="AB156" s="2"/>
      <c r="AC156" s="2">
        <f>LOOKUP(P156,[2]ItemProto!$C$266:$C$307,[2]ItemProto!$O$266:$O$307)</f>
        <v>1</v>
      </c>
      <c r="AD156" s="2"/>
      <c r="AE156" s="2">
        <f>LOOKUP(R156,[2]ItemProto!$C$266:$C$307,[2]ItemProto!$O$266:$O$307)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LOOKUP(L157,[2]ItemProto!$C$266:$C$307,[2]ItemProto!$O$266:$O$307)</f>
        <v>1</v>
      </c>
      <c r="Z157" s="2"/>
      <c r="AA157" s="2">
        <f>LOOKUP(N157,[2]ItemProto!$C$266:$C$307,[2]ItemProto!$O$266:$O$307)</f>
        <v>1</v>
      </c>
      <c r="AB157" s="2"/>
      <c r="AC157" s="2">
        <f>LOOKUP(P157,[2]ItemProto!$C$266:$C$307,[2]ItemProto!$O$266:$O$307)</f>
        <v>1</v>
      </c>
      <c r="AD157" s="2"/>
      <c r="AE157" s="2">
        <f>LOOKUP(R157,[2]ItemProto!$C$266:$C$307,[2]ItemProto!$O$266:$O$307)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LOOKUP(L158,[2]ItemProto!$C$266:$C$307,[2]ItemProto!$O$266:$O$307)</f>
        <v>1</v>
      </c>
      <c r="Z158" s="13"/>
      <c r="AA158" s="2">
        <f>LOOKUP(N158,[2]ItemProto!$C$266:$C$307,[2]ItemProto!$O$266:$O$307)</f>
        <v>1</v>
      </c>
      <c r="AB158" s="13"/>
      <c r="AC158" s="2">
        <f>LOOKUP(P158,[2]ItemProto!$C$266:$C$307,[2]ItemProto!$O$266:$O$307)</f>
        <v>1</v>
      </c>
      <c r="AD158" s="13"/>
      <c r="AE158" s="2">
        <f>LOOKUP(R158,[2]ItemProto!$C$266:$C$307,[2]ItemProto!$O$266:$O$307)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LOOKUP(L159,[2]ItemProto!$C$266:$C$307,[2]ItemProto!$O$266:$O$307)</f>
        <v>1</v>
      </c>
      <c r="Z159" s="13"/>
      <c r="AA159" s="2">
        <f>LOOKUP(N159,[2]ItemProto!$C$266:$C$307,[2]ItemProto!$O$266:$O$307)</f>
        <v>1</v>
      </c>
      <c r="AB159" s="13"/>
      <c r="AC159" s="2">
        <f>LOOKUP(P159,[2]ItemProto!$C$266:$C$307,[2]ItemProto!$O$266:$O$307)</f>
        <v>1</v>
      </c>
      <c r="AD159" s="13"/>
      <c r="AE159" s="2">
        <f>LOOKUP(R159,[2]ItemProto!$C$266:$C$307,[2]ItemProto!$O$266:$O$307)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LOOKUP(L160,[2]ItemProto!$C$266:$C$307,[2]ItemProto!$O$266:$O$307)</f>
        <v>1</v>
      </c>
      <c r="Z160" s="13"/>
      <c r="AA160" s="2">
        <f>LOOKUP(N160,[2]ItemProto!$C$266:$C$307,[2]ItemProto!$O$266:$O$307)</f>
        <v>1</v>
      </c>
      <c r="AB160" s="13"/>
      <c r="AC160" s="2">
        <f>LOOKUP(P160,[2]ItemProto!$C$266:$C$307,[2]ItemProto!$O$266:$O$307)</f>
        <v>1</v>
      </c>
      <c r="AD160" s="13"/>
      <c r="AE160" s="2">
        <f>LOOKUP(R160,[2]ItemProto!$C$266:$C$307,[2]ItemProto!$O$266:$O$307)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LOOKUP(L161,[2]ItemProto!$C$266:$C$307,[2]ItemProto!$O$266:$O$307)</f>
        <v>1</v>
      </c>
      <c r="Z161" s="13"/>
      <c r="AA161" s="2">
        <f>LOOKUP(N161,[2]ItemProto!$C$266:$C$307,[2]ItemProto!$O$266:$O$307)</f>
        <v>1</v>
      </c>
      <c r="AB161" s="13"/>
      <c r="AC161" s="2">
        <f>LOOKUP(P161,[2]ItemProto!$C$266:$C$307,[2]ItemProto!$O$266:$O$307)</f>
        <v>1</v>
      </c>
      <c r="AD161" s="13"/>
      <c r="AE161" s="2">
        <f>LOOKUP(R161,[2]ItemProto!$C$266:$C$307,[2]ItemProto!$O$266:$O$307)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LOOKUP(L162,[2]ItemProto!$C$266:$C$307,[2]ItemProto!$O$266:$O$307)</f>
        <v>1</v>
      </c>
      <c r="Z162" s="13"/>
      <c r="AA162" s="2">
        <f>LOOKUP(N162,[2]ItemProto!$C$266:$C$307,[2]ItemProto!$O$266:$O$307)</f>
        <v>1</v>
      </c>
      <c r="AB162" s="13"/>
      <c r="AC162" s="2">
        <f>LOOKUP(P162,[2]ItemProto!$C$266:$C$307,[2]ItemProto!$O$266:$O$307)</f>
        <v>1</v>
      </c>
      <c r="AD162" s="13"/>
      <c r="AE162" s="2">
        <f>LOOKUP(R162,[2]ItemProto!$C$266:$C$307,[2]ItemProto!$O$266:$O$307)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LOOKUP(L163,[2]ItemProto!$C$266:$C$307,[2]ItemProto!$O$266:$O$307)</f>
        <v>1</v>
      </c>
      <c r="Z163" s="13"/>
      <c r="AA163" s="2">
        <f>LOOKUP(N163,[2]ItemProto!$C$266:$C$307,[2]ItemProto!$O$266:$O$307)</f>
        <v>1</v>
      </c>
      <c r="AB163" s="13"/>
      <c r="AC163" s="2">
        <f>LOOKUP(P163,[2]ItemProto!$C$266:$C$307,[2]ItemProto!$O$266:$O$307)</f>
        <v>1</v>
      </c>
      <c r="AD163" s="13"/>
      <c r="AE163" s="2">
        <f>LOOKUP(R163,[2]ItemProto!$C$266:$C$307,[2]ItemProto!$O$266:$O$307)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LOOKUP(L164,[2]ItemProto!$C$266:$C$307,[2]ItemProto!$O$266:$O$307)</f>
        <v>1</v>
      </c>
      <c r="Z164" s="13"/>
      <c r="AA164" s="2">
        <f>LOOKUP(N164,[2]ItemProto!$C$266:$C$307,[2]ItemProto!$O$266:$O$307)</f>
        <v>1</v>
      </c>
      <c r="AB164" s="13"/>
      <c r="AC164" s="2">
        <f>LOOKUP(P164,[2]ItemProto!$C$266:$C$307,[2]ItemProto!$O$266:$O$307)</f>
        <v>1</v>
      </c>
      <c r="AD164" s="13"/>
      <c r="AE164" s="2">
        <f>LOOKUP(R164,[2]ItemProto!$C$266:$C$307,[2]ItemProto!$O$266:$O$307)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LOOKUP(L165,[2]ItemProto!$C$266:$C$307,[2]ItemProto!$O$266:$O$307)</f>
        <v>1</v>
      </c>
      <c r="Z165" s="13"/>
      <c r="AA165" s="2">
        <f>LOOKUP(N165,[2]ItemProto!$C$266:$C$307,[2]ItemProto!$O$266:$O$307)</f>
        <v>1</v>
      </c>
      <c r="AB165" s="13"/>
      <c r="AC165" s="2">
        <f>LOOKUP(P165,[2]ItemProto!$C$266:$C$307,[2]ItemProto!$O$266:$O$307)</f>
        <v>1</v>
      </c>
      <c r="AD165" s="13"/>
      <c r="AE165" s="2">
        <f>LOOKUP(R165,[2]ItemProto!$C$266:$C$307,[2]ItemProto!$O$266:$O$307)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LOOKUP(L166,[2]ItemProto!$C$266:$C$307,[2]ItemProto!$O$266:$O$307)</f>
        <v>1</v>
      </c>
      <c r="Z166" s="13"/>
      <c r="AA166" s="2">
        <f>LOOKUP(N166,[2]ItemProto!$C$266:$C$307,[2]ItemProto!$O$266:$O$307)</f>
        <v>1</v>
      </c>
      <c r="AB166" s="13"/>
      <c r="AC166" s="2">
        <f>LOOKUP(P166,[2]ItemProto!$C$266:$C$307,[2]ItemProto!$O$266:$O$307)</f>
        <v>1</v>
      </c>
      <c r="AD166" s="13"/>
      <c r="AE166" s="2">
        <f>LOOKUP(R166,[2]ItemProto!$C$266:$C$307,[2]ItemProto!$O$266:$O$307)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LOOKUP(L167,[2]ItemProto!$C$266:$C$307,[2]ItemProto!$O$266:$O$307)</f>
        <v>1</v>
      </c>
      <c r="Z167" s="13"/>
      <c r="AA167" s="2">
        <f>LOOKUP(N167,[2]ItemProto!$C$266:$C$307,[2]ItemProto!$O$266:$O$307)</f>
        <v>1</v>
      </c>
      <c r="AB167" s="13"/>
      <c r="AC167" s="2">
        <f>LOOKUP(P167,[2]ItemProto!$C$266:$C$307,[2]ItemProto!$O$266:$O$307)</f>
        <v>1</v>
      </c>
      <c r="AD167" s="13"/>
      <c r="AE167" s="2">
        <f>LOOKUP(R167,[2]ItemProto!$C$266:$C$307,[2]ItemProto!$O$266:$O$307)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LOOKUP(L168,[2]ItemProto!$C$266:$C$307,[2]ItemProto!$O$266:$O$307)</f>
        <v>1</v>
      </c>
      <c r="Z168" s="13"/>
      <c r="AA168" s="2">
        <f>LOOKUP(N168,[2]ItemProto!$C$266:$C$307,[2]ItemProto!$O$266:$O$307)</f>
        <v>1</v>
      </c>
      <c r="AB168" s="13"/>
      <c r="AC168" s="2">
        <f>LOOKUP(P168,[2]ItemProto!$C$266:$C$307,[2]ItemProto!$O$266:$O$307)</f>
        <v>1</v>
      </c>
      <c r="AD168" s="13"/>
      <c r="AE168" s="2">
        <f>LOOKUP(R168,[2]ItemProto!$C$266:$C$307,[2]ItemProto!$O$266:$O$307)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LOOKUP(L169,[2]ItemProto!$C$266:$C$307,[2]ItemProto!$O$266:$O$307)</f>
        <v>1</v>
      </c>
      <c r="Z169" s="13"/>
      <c r="AA169" s="2">
        <f>LOOKUP(N169,[2]ItemProto!$C$266:$C$307,[2]ItemProto!$O$266:$O$307)</f>
        <v>1</v>
      </c>
      <c r="AB169" s="13"/>
      <c r="AC169" s="2">
        <f>LOOKUP(P169,[2]ItemProto!$C$266:$C$307,[2]ItemProto!$O$266:$O$307)</f>
        <v>1</v>
      </c>
      <c r="AD169" s="13"/>
      <c r="AE169" s="2">
        <f>LOOKUP(R169,[2]ItemProto!$C$266:$C$307,[2]ItemProto!$O$266:$O$307)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LOOKUP(L170,[2]ItemProto!$C$266:$C$307,[2]ItemProto!$O$266:$O$307)</f>
        <v>1</v>
      </c>
      <c r="Z170" s="13"/>
      <c r="AA170" s="2">
        <f>LOOKUP(N170,[2]ItemProto!$C$266:$C$307,[2]ItemProto!$O$266:$O$307)</f>
        <v>1</v>
      </c>
      <c r="AB170" s="13"/>
      <c r="AC170" s="2">
        <f>LOOKUP(P170,[2]ItemProto!$C$266:$C$307,[2]ItemProto!$O$266:$O$307)</f>
        <v>1</v>
      </c>
      <c r="AD170" s="13"/>
      <c r="AE170" s="2">
        <f>LOOKUP(R170,[2]ItemProto!$C$266:$C$307,[2]ItemProto!$O$266:$O$307)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LOOKUP(L171,[2]ItemProto!$C$266:$C$307,[2]ItemProto!$O$266:$O$307)</f>
        <v>1</v>
      </c>
      <c r="Z171" s="13"/>
      <c r="AA171" s="2">
        <f>LOOKUP(N171,[2]ItemProto!$C$266:$C$307,[2]ItemProto!$O$266:$O$307)</f>
        <v>1</v>
      </c>
      <c r="AB171" s="13"/>
      <c r="AC171" s="2">
        <f>LOOKUP(P171,[2]ItemProto!$C$266:$C$307,[2]ItemProto!$O$266:$O$307)</f>
        <v>1</v>
      </c>
      <c r="AD171" s="13"/>
      <c r="AE171" s="2">
        <f>LOOKUP(R171,[2]ItemProto!$C$266:$C$307,[2]ItemProto!$O$266:$O$307)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LOOKUP(L172,[2]ItemProto!$C$266:$C$307,[2]ItemProto!$O$266:$O$307)</f>
        <v>1</v>
      </c>
      <c r="Z172" s="13"/>
      <c r="AA172" s="2">
        <f>LOOKUP(N172,[2]ItemProto!$C$266:$C$307,[2]ItemProto!$O$266:$O$307)</f>
        <v>1</v>
      </c>
      <c r="AB172" s="13"/>
      <c r="AC172" s="2">
        <f>LOOKUP(P172,[2]ItemProto!$C$266:$C$307,[2]ItemProto!$O$266:$O$307)</f>
        <v>1</v>
      </c>
      <c r="AD172" s="13"/>
      <c r="AE172" s="2">
        <f>LOOKUP(R172,[2]ItemProto!$C$266:$C$307,[2]ItemProto!$O$266:$O$307)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LOOKUP(L173,[2]ItemProto!$C$266:$C$307,[2]ItemProto!$O$266:$O$307)</f>
        <v>1</v>
      </c>
      <c r="Z173" s="13"/>
      <c r="AA173" s="2">
        <f>LOOKUP(N173,[2]ItemProto!$C$266:$C$307,[2]ItemProto!$O$266:$O$307)</f>
        <v>1</v>
      </c>
      <c r="AB173" s="13"/>
      <c r="AC173" s="2">
        <f>LOOKUP(P173,[2]ItemProto!$C$266:$C$307,[2]ItemProto!$O$266:$O$307)</f>
        <v>1</v>
      </c>
      <c r="AD173" s="13"/>
      <c r="AE173" s="2">
        <f>LOOKUP(R173,[2]ItemProto!$C$266:$C$307,[2]ItemProto!$O$266:$O$307)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LOOKUP(L174,[2]ItemProto!$C$266:$C$307,[2]ItemProto!$O$266:$O$307)</f>
        <v>1</v>
      </c>
      <c r="Z174" s="13"/>
      <c r="AA174" s="2">
        <f>LOOKUP(N174,[2]ItemProto!$C$266:$C$307,[2]ItemProto!$O$266:$O$307)</f>
        <v>1</v>
      </c>
      <c r="AB174" s="13"/>
      <c r="AC174" s="2">
        <f>LOOKUP(P174,[2]ItemProto!$C$266:$C$307,[2]ItemProto!$O$266:$O$307)</f>
        <v>1</v>
      </c>
      <c r="AD174" s="13"/>
      <c r="AE174" s="2">
        <f>LOOKUP(R174,[2]ItemProto!$C$266:$C$307,[2]ItemProto!$O$266:$O$307)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LOOKUP(L175,[2]ItemProto!$C$266:$C$307,[2]ItemProto!$O$266:$O$307)</f>
        <v>1</v>
      </c>
      <c r="Z175" s="13"/>
      <c r="AA175" s="2">
        <f>LOOKUP(N175,[2]ItemProto!$C$266:$C$307,[2]ItemProto!$O$266:$O$307)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LOOKUP(L176,[2]ItemProto!$C$266:$C$307,[2]ItemProto!$O$266:$O$307)</f>
        <v>1</v>
      </c>
      <c r="Z176" s="13"/>
      <c r="AA176" s="2">
        <f>LOOKUP(N176,[2]ItemProto!$C$266:$C$307,[2]ItemProto!$O$266:$O$307)</f>
        <v>1</v>
      </c>
      <c r="AB176" s="13"/>
      <c r="AC176" s="2">
        <f>LOOKUP(P176,[2]ItemProto!$C$266:$C$307,[2]ItemProto!$O$266:$O$307)</f>
        <v>1</v>
      </c>
      <c r="AD176" s="13"/>
      <c r="AE176" s="2">
        <f>LOOKUP(R176,[2]ItemProto!$C$266:$C$307,[2]ItemProto!$O$266:$O$307)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LOOKUP(L177,[2]ItemProto!$C$266:$C$307,[2]ItemProto!$O$266:$O$307)</f>
        <v>1</v>
      </c>
      <c r="Z177" s="13"/>
      <c r="AA177" s="2">
        <f>LOOKUP(N177,[2]ItemProto!$C$266:$C$307,[2]ItemProto!$O$266:$O$307)</f>
        <v>1</v>
      </c>
      <c r="AB177" s="13"/>
      <c r="AC177" s="2">
        <f>LOOKUP(P177,[2]ItemProto!$C$266:$C$307,[2]ItemProto!$O$266:$O$307)</f>
        <v>1</v>
      </c>
      <c r="AD177" s="13"/>
      <c r="AE177" s="2">
        <f>LOOKUP(R177,[2]ItemProto!$C$266:$C$307,[2]ItemProto!$O$266:$O$307)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LOOKUP(L178,[2]ItemProto!$C$266:$C$307,[2]ItemProto!$O$266:$O$307)</f>
        <v>1</v>
      </c>
      <c r="Z178" s="13"/>
      <c r="AA178" s="2">
        <f>LOOKUP(N178,[2]ItemProto!$C$266:$C$307,[2]ItemProto!$O$266:$O$307)</f>
        <v>1</v>
      </c>
      <c r="AB178" s="13"/>
      <c r="AC178" s="2">
        <f>LOOKUP(P178,[2]ItemProto!$C$266:$C$307,[2]ItemProto!$O$266:$O$307)</f>
        <v>1</v>
      </c>
      <c r="AD178" s="13"/>
      <c r="AE178" s="2">
        <f>LOOKUP(R178,[2]ItemProto!$C$266:$C$307,[2]ItemProto!$O$266:$O$307)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LOOKUP(L179,[2]ItemProto!$C$266:$C$307,[2]ItemProto!$O$266:$O$307)</f>
        <v>1</v>
      </c>
      <c r="Z179" s="13"/>
      <c r="AA179" s="2">
        <f>LOOKUP(N179,[2]ItemProto!$C$266:$C$307,[2]ItemProto!$O$266:$O$307)</f>
        <v>1</v>
      </c>
      <c r="AB179" s="13"/>
      <c r="AC179" s="2">
        <f>LOOKUP(P179,[2]ItemProto!$C$266:$C$307,[2]ItemProto!$O$266:$O$307)</f>
        <v>1</v>
      </c>
      <c r="AD179" s="13"/>
      <c r="AE179" s="2">
        <f>LOOKUP(R179,[2]ItemProto!$C$266:$C$307,[2]ItemProto!$O$266:$O$307)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LOOKUP(L180,[2]ItemProto!$C$266:$C$307,[2]ItemProto!$O$266:$O$307)</f>
        <v>1</v>
      </c>
      <c r="Z180" s="13"/>
      <c r="AA180" s="2">
        <f>LOOKUP(N180,[2]ItemProto!$C$266:$C$307,[2]ItemProto!$O$266:$O$307)</f>
        <v>1</v>
      </c>
      <c r="AB180" s="13"/>
      <c r="AC180" s="2">
        <f>LOOKUP(P180,[2]ItemProto!$C$266:$C$307,[2]ItemProto!$O$266:$O$307)</f>
        <v>1</v>
      </c>
      <c r="AD180" s="13"/>
      <c r="AE180" s="2">
        <f>LOOKUP(R180,[2]ItemProto!$C$266:$C$307,[2]ItemProto!$O$266:$O$307)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LOOKUP(L181,[2]ItemProto!$C$266:$C$307,[2]ItemProto!$O$266:$O$307)</f>
        <v>1</v>
      </c>
      <c r="Z181" s="13"/>
      <c r="AA181" s="2">
        <f>LOOKUP(N181,[2]ItemProto!$C$266:$C$307,[2]ItemProto!$O$266:$O$307)</f>
        <v>1</v>
      </c>
      <c r="AB181" s="13"/>
      <c r="AC181" s="2">
        <f>LOOKUP(P181,[2]ItemProto!$C$266:$C$307,[2]ItemProto!$O$266:$O$307)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LOOKUP(L182,[2]ItemProto!$C$266:$C$307,[2]ItemProto!$O$266:$O$307)</f>
        <v>1</v>
      </c>
      <c r="Z182" s="13"/>
      <c r="AA182" s="2">
        <f>LOOKUP(N182,[2]ItemProto!$C$266:$C$307,[2]ItemProto!$O$266:$O$307)</f>
        <v>1</v>
      </c>
      <c r="AB182" s="13"/>
      <c r="AC182" s="2">
        <f>LOOKUP(P182,[2]ItemProto!$C$266:$C$307,[2]ItemProto!$O$266:$O$307)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39</vt:i4>
      </vt:variant>
    </vt:vector>
  </HeadingPairs>
  <TitlesOfParts>
    <vt:vector size="39" baseType="lpstr">
      <vt:lpstr>经济总表</vt:lpstr>
      <vt:lpstr>任务</vt:lpstr>
      <vt:lpstr>冬季消耗活动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2025-12-03T06:32:30Z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