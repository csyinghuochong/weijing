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WeiJingShuZhi\"/>
    </mc:Choice>
  </mc:AlternateContent>
  <xr:revisionPtr revIDLastSave="0" documentId="13_ncr:1_{FB3877D1-269C-4269-AF5F-65A7B859DEA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总表" sheetId="1" r:id="rId1"/>
    <sheet name="家族经验" sheetId="2" r:id="rId2"/>
    <sheet name="Sheet1" sheetId="3" r:id="rId3"/>
    <sheet name="怪物经验" sheetId="4" r:id="rId4"/>
    <sheet name="任务经验" sheetId="5" r:id="rId5"/>
    <sheet name="组队副本" sheetId="6" r:id="rId6"/>
  </sheets>
  <externalReferences>
    <externalReference r:id="rId7"/>
  </externalReferences>
  <calcPr calcId="191029"/>
</workbook>
</file>

<file path=xl/calcChain.xml><?xml version="1.0" encoding="utf-8"?>
<calcChain xmlns="http://schemas.openxmlformats.org/spreadsheetml/2006/main">
  <c r="C77" i="4" l="1"/>
  <c r="D77" i="4" s="1"/>
  <c r="G77" i="4"/>
  <c r="C78" i="4"/>
  <c r="E78" i="4" s="1"/>
  <c r="D78" i="4"/>
  <c r="G78" i="4"/>
  <c r="C79" i="4"/>
  <c r="E79" i="4" s="1"/>
  <c r="D79" i="4"/>
  <c r="C72" i="4"/>
  <c r="D72" i="4" s="1"/>
  <c r="E72" i="1"/>
  <c r="F72" i="1"/>
  <c r="G72" i="1"/>
  <c r="H72" i="1"/>
  <c r="E73" i="1"/>
  <c r="H73" i="1"/>
  <c r="E74" i="1"/>
  <c r="H74" i="1"/>
  <c r="E75" i="1"/>
  <c r="H75" i="1"/>
  <c r="E76" i="1"/>
  <c r="H76" i="1"/>
  <c r="C101" i="5"/>
  <c r="F101" i="5" s="1"/>
  <c r="F100" i="5"/>
  <c r="C100" i="5"/>
  <c r="F99" i="5"/>
  <c r="C99" i="5"/>
  <c r="F98" i="5"/>
  <c r="C98" i="5"/>
  <c r="F97" i="5"/>
  <c r="C97" i="5"/>
  <c r="C96" i="5"/>
  <c r="F96" i="5" s="1"/>
  <c r="C95" i="5"/>
  <c r="F95" i="5" s="1"/>
  <c r="F94" i="5"/>
  <c r="C94" i="5"/>
  <c r="F93" i="5"/>
  <c r="C93" i="5"/>
  <c r="F92" i="5"/>
  <c r="C92" i="5"/>
  <c r="F91" i="5"/>
  <c r="C91" i="5"/>
  <c r="C90" i="5"/>
  <c r="F90" i="5" s="1"/>
  <c r="C89" i="5"/>
  <c r="F89" i="5" s="1"/>
  <c r="F88" i="5"/>
  <c r="C88" i="5"/>
  <c r="F87" i="5"/>
  <c r="C87" i="5"/>
  <c r="F86" i="5"/>
  <c r="C86" i="5"/>
  <c r="F85" i="5"/>
  <c r="C85" i="5"/>
  <c r="C84" i="5"/>
  <c r="F84" i="5" s="1"/>
  <c r="C83" i="5"/>
  <c r="F83" i="5" s="1"/>
  <c r="F82" i="5"/>
  <c r="C82" i="5"/>
  <c r="F81" i="5"/>
  <c r="C81" i="5"/>
  <c r="F80" i="5"/>
  <c r="C80" i="5"/>
  <c r="F79" i="5"/>
  <c r="C79" i="5"/>
  <c r="C78" i="5"/>
  <c r="F78" i="5" s="1"/>
  <c r="C77" i="5"/>
  <c r="F77" i="5" s="1"/>
  <c r="F76" i="5"/>
  <c r="C76" i="5"/>
  <c r="F75" i="5"/>
  <c r="C75" i="5"/>
  <c r="F74" i="5"/>
  <c r="C74" i="5"/>
  <c r="F73" i="5"/>
  <c r="C73" i="5"/>
  <c r="C72" i="5"/>
  <c r="F72" i="5" s="1"/>
  <c r="C71" i="5"/>
  <c r="F71" i="5" s="1"/>
  <c r="F70" i="5"/>
  <c r="C70" i="5"/>
  <c r="F69" i="5"/>
  <c r="C69" i="5"/>
  <c r="F68" i="5"/>
  <c r="C68" i="5"/>
  <c r="F67" i="5"/>
  <c r="C67" i="5"/>
  <c r="C66" i="5"/>
  <c r="F66" i="5" s="1"/>
  <c r="C65" i="5"/>
  <c r="F65" i="5" s="1"/>
  <c r="F64" i="5"/>
  <c r="C64" i="5"/>
  <c r="F63" i="5"/>
  <c r="C63" i="5"/>
  <c r="F62" i="5"/>
  <c r="C62" i="5"/>
  <c r="F61" i="5"/>
  <c r="C61" i="5"/>
  <c r="C60" i="5"/>
  <c r="F60" i="5" s="1"/>
  <c r="C59" i="5"/>
  <c r="F59" i="5" s="1"/>
  <c r="H59" i="1" s="1"/>
  <c r="F58" i="5"/>
  <c r="C58" i="5"/>
  <c r="F57" i="5"/>
  <c r="C57" i="5"/>
  <c r="F56" i="5"/>
  <c r="C56" i="5"/>
  <c r="F55" i="5"/>
  <c r="C55" i="5"/>
  <c r="C54" i="5"/>
  <c r="F54" i="5" s="1"/>
  <c r="C53" i="5"/>
  <c r="F53" i="5" s="1"/>
  <c r="F52" i="5"/>
  <c r="C52" i="5"/>
  <c r="F51" i="5"/>
  <c r="C51" i="5"/>
  <c r="F50" i="5"/>
  <c r="C50" i="5"/>
  <c r="F49" i="5"/>
  <c r="C49" i="5"/>
  <c r="C48" i="5"/>
  <c r="F48" i="5" s="1"/>
  <c r="C47" i="5"/>
  <c r="F47" i="5" s="1"/>
  <c r="F46" i="5"/>
  <c r="C46" i="5"/>
  <c r="F45" i="5"/>
  <c r="C45" i="5"/>
  <c r="F44" i="5"/>
  <c r="C44" i="5"/>
  <c r="F43" i="5"/>
  <c r="C43" i="5"/>
  <c r="C42" i="5"/>
  <c r="F42" i="5" s="1"/>
  <c r="C41" i="5"/>
  <c r="F41" i="5" s="1"/>
  <c r="H41" i="1" s="1"/>
  <c r="F40" i="5"/>
  <c r="C40" i="5"/>
  <c r="F39" i="5"/>
  <c r="C39" i="5"/>
  <c r="F38" i="5"/>
  <c r="C38" i="5"/>
  <c r="F37" i="5"/>
  <c r="C37" i="5"/>
  <c r="C36" i="5"/>
  <c r="F36" i="5" s="1"/>
  <c r="C35" i="5"/>
  <c r="F35" i="5" s="1"/>
  <c r="J34" i="5"/>
  <c r="F34" i="5"/>
  <c r="C34" i="5"/>
  <c r="F33" i="5"/>
  <c r="C33" i="5"/>
  <c r="J32" i="5"/>
  <c r="F32" i="5"/>
  <c r="C32" i="5"/>
  <c r="J31" i="5"/>
  <c r="C31" i="5"/>
  <c r="F31" i="5" s="1"/>
  <c r="J30" i="5"/>
  <c r="F30" i="5"/>
  <c r="C30" i="5"/>
  <c r="F29" i="5"/>
  <c r="C29" i="5"/>
  <c r="J28" i="5"/>
  <c r="F28" i="5"/>
  <c r="C28" i="5"/>
  <c r="J27" i="5"/>
  <c r="C27" i="5"/>
  <c r="F27" i="5" s="1"/>
  <c r="H27" i="1" s="1"/>
  <c r="J26" i="5"/>
  <c r="F26" i="5"/>
  <c r="C26" i="5"/>
  <c r="F25" i="5"/>
  <c r="C25" i="5"/>
  <c r="J24" i="5"/>
  <c r="F24" i="5"/>
  <c r="C24" i="5"/>
  <c r="J23" i="5"/>
  <c r="C23" i="5"/>
  <c r="F23" i="5" s="1"/>
  <c r="J22" i="5"/>
  <c r="F22" i="5"/>
  <c r="C22" i="5"/>
  <c r="J21" i="5"/>
  <c r="F21" i="5"/>
  <c r="C21" i="5"/>
  <c r="J20" i="5"/>
  <c r="F20" i="5"/>
  <c r="C20" i="5"/>
  <c r="J19" i="5"/>
  <c r="C19" i="5"/>
  <c r="F19" i="5" s="1"/>
  <c r="J18" i="5"/>
  <c r="F18" i="5"/>
  <c r="C18" i="5"/>
  <c r="F17" i="5"/>
  <c r="C17" i="5"/>
  <c r="J16" i="5"/>
  <c r="F16" i="5"/>
  <c r="C16" i="5"/>
  <c r="J15" i="5"/>
  <c r="C15" i="5"/>
  <c r="J33" i="5" s="1"/>
  <c r="J14" i="5"/>
  <c r="F14" i="5"/>
  <c r="C14" i="5"/>
  <c r="F13" i="5"/>
  <c r="C13" i="5"/>
  <c r="J12" i="5"/>
  <c r="F12" i="5"/>
  <c r="C12" i="5"/>
  <c r="J11" i="5"/>
  <c r="C11" i="5"/>
  <c r="J29" i="5" s="1"/>
  <c r="J10" i="5"/>
  <c r="F10" i="5"/>
  <c r="C10" i="5"/>
  <c r="F9" i="5"/>
  <c r="C9" i="5"/>
  <c r="J8" i="5"/>
  <c r="F8" i="5"/>
  <c r="C8" i="5"/>
  <c r="J25" i="5" s="1"/>
  <c r="J7" i="5"/>
  <c r="C7" i="5"/>
  <c r="F7" i="5" s="1"/>
  <c r="J6" i="5"/>
  <c r="F6" i="5"/>
  <c r="C6" i="5"/>
  <c r="F5" i="5"/>
  <c r="C5" i="5"/>
  <c r="J17" i="5" s="1"/>
  <c r="J4" i="5"/>
  <c r="C4" i="5"/>
  <c r="J13" i="5" s="1"/>
  <c r="J3" i="5"/>
  <c r="C3" i="5"/>
  <c r="F3" i="5" s="1"/>
  <c r="J2" i="5"/>
  <c r="F2" i="5"/>
  <c r="C2" i="5"/>
  <c r="M76" i="4"/>
  <c r="M75" i="4"/>
  <c r="M74" i="4"/>
  <c r="N73" i="4"/>
  <c r="N72" i="4"/>
  <c r="N71" i="4"/>
  <c r="N70" i="4"/>
  <c r="N69" i="4"/>
  <c r="M68" i="4"/>
  <c r="M67" i="4"/>
  <c r="N66" i="4"/>
  <c r="N65" i="4"/>
  <c r="M64" i="4"/>
  <c r="N63" i="4"/>
  <c r="N62" i="4"/>
  <c r="M61" i="4"/>
  <c r="N60" i="4"/>
  <c r="N59" i="4"/>
  <c r="N58" i="4"/>
  <c r="M57" i="4"/>
  <c r="N56" i="4"/>
  <c r="N55" i="4"/>
  <c r="M54" i="4"/>
  <c r="N53" i="4"/>
  <c r="N52" i="4"/>
  <c r="M51" i="4"/>
  <c r="N50" i="4"/>
  <c r="N49" i="4"/>
  <c r="N48" i="4"/>
  <c r="M48" i="4"/>
  <c r="O48" i="4" s="1"/>
  <c r="M47" i="4"/>
  <c r="N46" i="4"/>
  <c r="N45" i="4"/>
  <c r="N44" i="4"/>
  <c r="N43" i="4"/>
  <c r="N42" i="4"/>
  <c r="M41" i="4"/>
  <c r="N40" i="4"/>
  <c r="N39" i="4"/>
  <c r="M38" i="4"/>
  <c r="N37" i="4"/>
  <c r="N36" i="4"/>
  <c r="M35" i="4"/>
  <c r="N34" i="4"/>
  <c r="N33" i="4"/>
  <c r="N32" i="4"/>
  <c r="N31" i="4"/>
  <c r="M30" i="4"/>
  <c r="M29" i="4"/>
  <c r="N28" i="4"/>
  <c r="N27" i="4"/>
  <c r="M26" i="4"/>
  <c r="N25" i="4"/>
  <c r="N24" i="4"/>
  <c r="M23" i="4"/>
  <c r="N22" i="4"/>
  <c r="N21" i="4"/>
  <c r="M20" i="4"/>
  <c r="N19" i="4"/>
  <c r="N18" i="4"/>
  <c r="N17" i="4"/>
  <c r="N16" i="4"/>
  <c r="N15" i="4"/>
  <c r="M14" i="4"/>
  <c r="N13" i="4"/>
  <c r="N12" i="4"/>
  <c r="N11" i="4"/>
  <c r="M10" i="4"/>
  <c r="N9" i="4"/>
  <c r="N8" i="4"/>
  <c r="N7" i="4"/>
  <c r="N6" i="4"/>
  <c r="M5" i="4"/>
  <c r="N4" i="4"/>
  <c r="E4" i="4"/>
  <c r="D4" i="4"/>
  <c r="C4" i="4"/>
  <c r="N3" i="4"/>
  <c r="M3" i="4"/>
  <c r="O3" i="4" s="1"/>
  <c r="G3" i="4"/>
  <c r="C3" i="4"/>
  <c r="N2" i="4"/>
  <c r="M2" i="4"/>
  <c r="O2" i="4" s="1"/>
  <c r="G2" i="4"/>
  <c r="F2" i="4"/>
  <c r="E2" i="4"/>
  <c r="D2" i="4"/>
  <c r="Z45" i="2"/>
  <c r="Y45" i="2"/>
  <c r="T45" i="2"/>
  <c r="U45" i="2" s="1"/>
  <c r="V45" i="2" s="1"/>
  <c r="R45" i="2"/>
  <c r="P45" i="2"/>
  <c r="M45" i="2"/>
  <c r="Y44" i="2"/>
  <c r="Z44" i="2" s="1"/>
  <c r="U44" i="2"/>
  <c r="V44" i="2" s="1"/>
  <c r="T44" i="2"/>
  <c r="R44" i="2"/>
  <c r="P44" i="2"/>
  <c r="M44" i="2"/>
  <c r="Z43" i="2"/>
  <c r="Y43" i="2"/>
  <c r="U43" i="2"/>
  <c r="T43" i="2"/>
  <c r="R43" i="2"/>
  <c r="P43" i="2"/>
  <c r="M43" i="2"/>
  <c r="Z42" i="2"/>
  <c r="Y42" i="2"/>
  <c r="T42" i="2"/>
  <c r="U42" i="2" s="1"/>
  <c r="V42" i="2" s="1"/>
  <c r="R42" i="2"/>
  <c r="P42" i="2"/>
  <c r="M42" i="2"/>
  <c r="Z41" i="2"/>
  <c r="Y41" i="2"/>
  <c r="U41" i="2"/>
  <c r="T41" i="2"/>
  <c r="R41" i="2"/>
  <c r="P41" i="2"/>
  <c r="M41" i="2"/>
  <c r="Z40" i="2"/>
  <c r="Y40" i="2"/>
  <c r="T40" i="2"/>
  <c r="U40" i="2" s="1"/>
  <c r="P40" i="2"/>
  <c r="Q33" i="2"/>
  <c r="K32" i="2"/>
  <c r="X26" i="2"/>
  <c r="U26" i="2"/>
  <c r="S26" i="2"/>
  <c r="Q26" i="2"/>
  <c r="X25" i="2"/>
  <c r="U25" i="2"/>
  <c r="S25" i="2"/>
  <c r="Q25" i="2"/>
  <c r="X24" i="2"/>
  <c r="U24" i="2"/>
  <c r="S24" i="2"/>
  <c r="Q24" i="2"/>
  <c r="X23" i="2"/>
  <c r="U23" i="2"/>
  <c r="S23" i="2"/>
  <c r="Q23" i="2"/>
  <c r="X22" i="2"/>
  <c r="U22" i="2"/>
  <c r="S22" i="2"/>
  <c r="Q22" i="2"/>
  <c r="X21" i="2"/>
  <c r="U21" i="2"/>
  <c r="S21" i="2"/>
  <c r="Q21" i="2"/>
  <c r="X20" i="2"/>
  <c r="U20" i="2"/>
  <c r="S20" i="2"/>
  <c r="Q20" i="2"/>
  <c r="X19" i="2"/>
  <c r="U19" i="2"/>
  <c r="S19" i="2"/>
  <c r="Q19" i="2"/>
  <c r="X18" i="2"/>
  <c r="U18" i="2"/>
  <c r="S18" i="2"/>
  <c r="Q18" i="2"/>
  <c r="X17" i="2"/>
  <c r="U17" i="2"/>
  <c r="S17" i="2"/>
  <c r="X15" i="2"/>
  <c r="X14" i="2"/>
  <c r="Y12" i="2"/>
  <c r="C12" i="2"/>
  <c r="Y11" i="2"/>
  <c r="C11" i="2"/>
  <c r="Y10" i="2"/>
  <c r="C10" i="2"/>
  <c r="Y9" i="2"/>
  <c r="C9" i="2"/>
  <c r="Y8" i="2"/>
  <c r="C8" i="2"/>
  <c r="Y7" i="2"/>
  <c r="C7" i="2"/>
  <c r="Y6" i="2"/>
  <c r="J6" i="2"/>
  <c r="J7" i="2" s="1"/>
  <c r="J8" i="2" s="1"/>
  <c r="J9" i="2" s="1"/>
  <c r="J10" i="2" s="1"/>
  <c r="J11" i="2" s="1"/>
  <c r="J12" i="2" s="1"/>
  <c r="D6" i="2"/>
  <c r="C6" i="2"/>
  <c r="Y5" i="2"/>
  <c r="C5" i="2"/>
  <c r="E5" i="2" s="1"/>
  <c r="F5" i="2" s="1"/>
  <c r="H5" i="2" s="1"/>
  <c r="I5" i="2" s="1"/>
  <c r="Y4" i="2"/>
  <c r="J4" i="2"/>
  <c r="J5" i="2" s="1"/>
  <c r="H4" i="2"/>
  <c r="I4" i="2" s="1"/>
  <c r="F4" i="2"/>
  <c r="E4" i="2"/>
  <c r="C4" i="2"/>
  <c r="Y3" i="2"/>
  <c r="F3" i="2"/>
  <c r="H3" i="2" s="1"/>
  <c r="I3" i="2" s="1"/>
  <c r="E3" i="2"/>
  <c r="C3" i="2"/>
  <c r="H71" i="1"/>
  <c r="H70" i="1"/>
  <c r="H69" i="1"/>
  <c r="H68" i="1"/>
  <c r="H67" i="1"/>
  <c r="H66" i="1"/>
  <c r="H65" i="1"/>
  <c r="H64" i="1"/>
  <c r="H63" i="1"/>
  <c r="H62" i="1"/>
  <c r="H61" i="1"/>
  <c r="H60" i="1"/>
  <c r="H58" i="1"/>
  <c r="H57" i="1"/>
  <c r="H56" i="1"/>
  <c r="H55" i="1"/>
  <c r="H54" i="1"/>
  <c r="H53" i="1"/>
  <c r="D53" i="1"/>
  <c r="D54" i="1" s="1"/>
  <c r="H52" i="1"/>
  <c r="D52" i="1"/>
  <c r="H51" i="1"/>
  <c r="D51" i="1"/>
  <c r="H50" i="1"/>
  <c r="H49" i="1"/>
  <c r="H48" i="1"/>
  <c r="H47" i="1"/>
  <c r="H46" i="1"/>
  <c r="H45" i="1"/>
  <c r="H44" i="1"/>
  <c r="H43" i="1"/>
  <c r="H42" i="1"/>
  <c r="D42" i="1"/>
  <c r="D43" i="1" s="1"/>
  <c r="D41" i="1"/>
  <c r="H40" i="1"/>
  <c r="H39" i="1"/>
  <c r="H38" i="1"/>
  <c r="H37" i="1"/>
  <c r="H36" i="1"/>
  <c r="H35" i="1"/>
  <c r="H34" i="1"/>
  <c r="H33" i="1"/>
  <c r="H32" i="1"/>
  <c r="H31" i="1"/>
  <c r="D31" i="1"/>
  <c r="D32" i="1" s="1"/>
  <c r="H30" i="1"/>
  <c r="H29" i="1"/>
  <c r="H28" i="1"/>
  <c r="H26" i="1"/>
  <c r="H25" i="1"/>
  <c r="H24" i="1"/>
  <c r="H23" i="1"/>
  <c r="H22" i="1"/>
  <c r="D22" i="1"/>
  <c r="D23" i="1" s="1"/>
  <c r="H21" i="1"/>
  <c r="D21" i="1"/>
  <c r="H20" i="1"/>
  <c r="H19" i="1"/>
  <c r="H18" i="1"/>
  <c r="H17" i="1"/>
  <c r="D17" i="1"/>
  <c r="U16" i="1"/>
  <c r="H16" i="1"/>
  <c r="S14" i="1"/>
  <c r="H14" i="1"/>
  <c r="H13" i="1"/>
  <c r="H12" i="1"/>
  <c r="W11" i="1"/>
  <c r="H10" i="1"/>
  <c r="H9" i="1"/>
  <c r="D9" i="1"/>
  <c r="E9" i="1" s="1"/>
  <c r="K9" i="1" s="1"/>
  <c r="W8" i="1"/>
  <c r="H8" i="1"/>
  <c r="H7" i="1"/>
  <c r="D7" i="1"/>
  <c r="H6" i="1"/>
  <c r="H5" i="1"/>
  <c r="R4" i="1"/>
  <c r="E6" i="1" s="1"/>
  <c r="K6" i="1" s="1"/>
  <c r="G4" i="1"/>
  <c r="H3" i="1"/>
  <c r="G3" i="1"/>
  <c r="H2" i="1"/>
  <c r="G2" i="1"/>
  <c r="F78" i="4" l="1"/>
  <c r="C80" i="4"/>
  <c r="F77" i="4"/>
  <c r="G79" i="4"/>
  <c r="E77" i="4"/>
  <c r="F79" i="4"/>
  <c r="C73" i="4"/>
  <c r="G72" i="4"/>
  <c r="F72" i="4"/>
  <c r="E72" i="4"/>
  <c r="F73" i="1"/>
  <c r="F75" i="1"/>
  <c r="F76" i="1"/>
  <c r="F74" i="1"/>
  <c r="D24" i="1"/>
  <c r="E23" i="1"/>
  <c r="D55" i="1"/>
  <c r="E54" i="1"/>
  <c r="B3" i="1"/>
  <c r="C3" i="1" s="1"/>
  <c r="E32" i="1"/>
  <c r="D33" i="1"/>
  <c r="E43" i="1"/>
  <c r="D44" i="1"/>
  <c r="E3" i="1"/>
  <c r="K3" i="1" s="1"/>
  <c r="E8" i="1"/>
  <c r="K8" i="1" s="1"/>
  <c r="D18" i="1"/>
  <c r="E22" i="1"/>
  <c r="E70" i="1"/>
  <c r="E31" i="1"/>
  <c r="D7" i="2"/>
  <c r="E6" i="2"/>
  <c r="F6" i="2" s="1"/>
  <c r="H6" i="2" s="1"/>
  <c r="I6" i="2" s="1"/>
  <c r="M4" i="4"/>
  <c r="O4" i="4" s="1"/>
  <c r="F4" i="4"/>
  <c r="E42" i="1"/>
  <c r="E50" i="1"/>
  <c r="E53" i="1"/>
  <c r="E21" i="1"/>
  <c r="E2" i="1"/>
  <c r="D10" i="1"/>
  <c r="E17" i="1"/>
  <c r="G4" i="4"/>
  <c r="N5" i="4" s="1"/>
  <c r="O5" i="4" s="1"/>
  <c r="E30" i="1"/>
  <c r="E4" i="1"/>
  <c r="K4" i="1" s="1"/>
  <c r="E16" i="1"/>
  <c r="E20" i="1"/>
  <c r="C5" i="4"/>
  <c r="E7" i="1"/>
  <c r="K7" i="1" s="1"/>
  <c r="E41" i="1"/>
  <c r="E51" i="1"/>
  <c r="E52" i="1"/>
  <c r="V41" i="2"/>
  <c r="F3" i="4"/>
  <c r="E3" i="4"/>
  <c r="D3" i="4"/>
  <c r="E71" i="1"/>
  <c r="E40" i="1"/>
  <c r="E5" i="1"/>
  <c r="K5" i="1" s="1"/>
  <c r="V43" i="2"/>
  <c r="F11" i="5"/>
  <c r="H11" i="1" s="1"/>
  <c r="F15" i="5"/>
  <c r="H15" i="1" s="1"/>
  <c r="F4" i="5"/>
  <c r="H4" i="1" s="1"/>
  <c r="B4" i="1" s="1"/>
  <c r="C4" i="1" s="1"/>
  <c r="J5" i="5"/>
  <c r="J9" i="5"/>
  <c r="D80" i="4" l="1"/>
  <c r="E80" i="4"/>
  <c r="F80" i="4"/>
  <c r="G80" i="4"/>
  <c r="C81" i="4"/>
  <c r="G73" i="1"/>
  <c r="G73" i="4"/>
  <c r="D73" i="4"/>
  <c r="E73" i="4"/>
  <c r="F73" i="4"/>
  <c r="C74" i="4"/>
  <c r="E7" i="2"/>
  <c r="F7" i="2" s="1"/>
  <c r="H7" i="2" s="1"/>
  <c r="I7" i="2" s="1"/>
  <c r="D8" i="2"/>
  <c r="D19" i="1"/>
  <c r="E18" i="1"/>
  <c r="E10" i="1"/>
  <c r="K10" i="1" s="1"/>
  <c r="D11" i="1"/>
  <c r="M7" i="4"/>
  <c r="O7" i="4" s="1"/>
  <c r="E5" i="4"/>
  <c r="G5" i="4"/>
  <c r="F5" i="4"/>
  <c r="D5" i="4"/>
  <c r="M9" i="4"/>
  <c r="O9" i="4" s="1"/>
  <c r="G5" i="1"/>
  <c r="B5" i="1" s="1"/>
  <c r="C5" i="1" s="1"/>
  <c r="M8" i="4"/>
  <c r="O8" i="4" s="1"/>
  <c r="M6" i="4"/>
  <c r="O6" i="4" s="1"/>
  <c r="C6" i="4"/>
  <c r="F9" i="1"/>
  <c r="F6" i="1"/>
  <c r="F2" i="1"/>
  <c r="K2" i="1"/>
  <c r="B2" i="1" s="1"/>
  <c r="C2" i="1" s="1"/>
  <c r="F4" i="1"/>
  <c r="F10" i="1"/>
  <c r="F7" i="1"/>
  <c r="F5" i="1"/>
  <c r="F8" i="1"/>
  <c r="F3" i="1"/>
  <c r="E55" i="1"/>
  <c r="D56" i="1"/>
  <c r="E44" i="1"/>
  <c r="D45" i="1"/>
  <c r="E33" i="1"/>
  <c r="D34" i="1"/>
  <c r="E24" i="1"/>
  <c r="D25" i="1"/>
  <c r="G81" i="4" l="1"/>
  <c r="D81" i="4"/>
  <c r="E81" i="4"/>
  <c r="F81" i="4"/>
  <c r="E74" i="4"/>
  <c r="F74" i="4"/>
  <c r="G74" i="4"/>
  <c r="C75" i="4"/>
  <c r="G74" i="1"/>
  <c r="D74" i="4"/>
  <c r="D57" i="1"/>
  <c r="E56" i="1"/>
  <c r="D12" i="1"/>
  <c r="E11" i="1"/>
  <c r="D46" i="1"/>
  <c r="E45" i="1"/>
  <c r="F6" i="4"/>
  <c r="E6" i="4"/>
  <c r="D6" i="4"/>
  <c r="C7" i="4"/>
  <c r="G6" i="4"/>
  <c r="N10" i="4" s="1"/>
  <c r="O10" i="4" s="1"/>
  <c r="G6" i="1"/>
  <c r="B6" i="1" s="1"/>
  <c r="C6" i="1" s="1"/>
  <c r="D26" i="1"/>
  <c r="E25" i="1"/>
  <c r="E19" i="1"/>
  <c r="D35" i="1"/>
  <c r="E34" i="1"/>
  <c r="D9" i="2"/>
  <c r="E8" i="2"/>
  <c r="F8" i="2" s="1"/>
  <c r="H8" i="2" s="1"/>
  <c r="I8" i="2" s="1"/>
  <c r="G75" i="1" l="1"/>
  <c r="D75" i="4"/>
  <c r="C76" i="4"/>
  <c r="E75" i="4"/>
  <c r="F75" i="4"/>
  <c r="G75" i="4"/>
  <c r="K11" i="1"/>
  <c r="F11" i="1"/>
  <c r="E26" i="1"/>
  <c r="D27" i="1"/>
  <c r="E12" i="1"/>
  <c r="D13" i="1"/>
  <c r="D10" i="2"/>
  <c r="E9" i="2"/>
  <c r="F9" i="2" s="1"/>
  <c r="H9" i="2" s="1"/>
  <c r="I9" i="2" s="1"/>
  <c r="D36" i="1"/>
  <c r="E35" i="1"/>
  <c r="E57" i="1"/>
  <c r="D58" i="1"/>
  <c r="E46" i="1"/>
  <c r="D47" i="1"/>
  <c r="F7" i="4"/>
  <c r="C8" i="4"/>
  <c r="G7" i="4"/>
  <c r="E7" i="4"/>
  <c r="D7" i="4"/>
  <c r="G7" i="1"/>
  <c r="B7" i="1" s="1"/>
  <c r="C7" i="1" s="1"/>
  <c r="G76" i="4" l="1"/>
  <c r="G76" i="1"/>
  <c r="D76" i="4"/>
  <c r="E76" i="4"/>
  <c r="F76" i="4"/>
  <c r="D28" i="1"/>
  <c r="E27" i="1"/>
  <c r="K12" i="1"/>
  <c r="E8" i="4"/>
  <c r="M12" i="4"/>
  <c r="O12" i="4" s="1"/>
  <c r="M11" i="4"/>
  <c r="O11" i="4" s="1"/>
  <c r="C9" i="4"/>
  <c r="G8" i="1"/>
  <c r="B8" i="1" s="1"/>
  <c r="C8" i="1" s="1"/>
  <c r="G8" i="4"/>
  <c r="F8" i="4"/>
  <c r="D8" i="4"/>
  <c r="F12" i="1"/>
  <c r="E36" i="1"/>
  <c r="D37" i="1"/>
  <c r="E47" i="1"/>
  <c r="D48" i="1"/>
  <c r="E10" i="2"/>
  <c r="F10" i="2" s="1"/>
  <c r="H10" i="2" s="1"/>
  <c r="I10" i="2" s="1"/>
  <c r="D11" i="2"/>
  <c r="D59" i="1"/>
  <c r="E58" i="1"/>
  <c r="E13" i="1"/>
  <c r="K13" i="1" s="1"/>
  <c r="D14" i="1"/>
  <c r="D15" i="1" l="1"/>
  <c r="E14" i="1"/>
  <c r="F9" i="4"/>
  <c r="E9" i="4"/>
  <c r="M13" i="4"/>
  <c r="O13" i="4" s="1"/>
  <c r="D9" i="4"/>
  <c r="C10" i="4"/>
  <c r="G9" i="1"/>
  <c r="B9" i="1" s="1"/>
  <c r="C9" i="1" s="1"/>
  <c r="G9" i="4"/>
  <c r="E48" i="1"/>
  <c r="D49" i="1"/>
  <c r="D60" i="1"/>
  <c r="E59" i="1"/>
  <c r="D12" i="2"/>
  <c r="E12" i="2" s="1"/>
  <c r="F12" i="2" s="1"/>
  <c r="H12" i="2" s="1"/>
  <c r="I12" i="2" s="1"/>
  <c r="E11" i="2"/>
  <c r="F11" i="2" s="1"/>
  <c r="H11" i="2" s="1"/>
  <c r="I11" i="2" s="1"/>
  <c r="D14" i="2"/>
  <c r="F14" i="1"/>
  <c r="D29" i="1"/>
  <c r="E28" i="1"/>
  <c r="D38" i="1"/>
  <c r="E37" i="1"/>
  <c r="F13" i="1"/>
  <c r="E49" i="1" l="1"/>
  <c r="F10" i="4"/>
  <c r="D10" i="4"/>
  <c r="E10" i="4"/>
  <c r="C11" i="4"/>
  <c r="G10" i="4"/>
  <c r="G10" i="1"/>
  <c r="B10" i="1" s="1"/>
  <c r="C10" i="1" s="1"/>
  <c r="E29" i="1"/>
  <c r="F33" i="1" s="1"/>
  <c r="K14" i="1"/>
  <c r="F26" i="1"/>
  <c r="F20" i="1"/>
  <c r="F18" i="1"/>
  <c r="E15" i="1"/>
  <c r="E38" i="1"/>
  <c r="D39" i="1"/>
  <c r="E60" i="1"/>
  <c r="D61" i="1"/>
  <c r="F27" i="1"/>
  <c r="M19" i="4" l="1"/>
  <c r="O19" i="4" s="1"/>
  <c r="M16" i="4"/>
  <c r="O16" i="4" s="1"/>
  <c r="E11" i="4"/>
  <c r="C12" i="4"/>
  <c r="G11" i="4"/>
  <c r="N14" i="4" s="1"/>
  <c r="O14" i="4" s="1"/>
  <c r="F11" i="4"/>
  <c r="M18" i="4"/>
  <c r="O18" i="4" s="1"/>
  <c r="D11" i="4"/>
  <c r="M15" i="4"/>
  <c r="O15" i="4" s="1"/>
  <c r="M17" i="4"/>
  <c r="O17" i="4" s="1"/>
  <c r="G11" i="1"/>
  <c r="B11" i="1" s="1"/>
  <c r="C11" i="1" s="1"/>
  <c r="D62" i="1"/>
  <c r="E61" i="1"/>
  <c r="E39" i="1"/>
  <c r="F32" i="1"/>
  <c r="F29" i="1"/>
  <c r="F45" i="1"/>
  <c r="F52" i="1"/>
  <c r="F49" i="1"/>
  <c r="K15" i="1"/>
  <c r="F16" i="1"/>
  <c r="F34" i="1"/>
  <c r="F43" i="1"/>
  <c r="F38" i="1"/>
  <c r="F25" i="1"/>
  <c r="F53" i="1"/>
  <c r="F54" i="1"/>
  <c r="F58" i="1"/>
  <c r="F21" i="1"/>
  <c r="F37" i="1"/>
  <c r="F24" i="1"/>
  <c r="F61" i="1"/>
  <c r="F48" i="1"/>
  <c r="F28" i="1"/>
  <c r="F19" i="1"/>
  <c r="F17" i="1"/>
  <c r="F15" i="1"/>
  <c r="F47" i="1"/>
  <c r="F57" i="1"/>
  <c r="F35" i="1"/>
  <c r="F44" i="1"/>
  <c r="F56" i="1"/>
  <c r="F23" i="1"/>
  <c r="F36" i="1"/>
  <c r="F22" i="1"/>
  <c r="F31" i="1"/>
  <c r="F30" i="1"/>
  <c r="F51" i="1" l="1"/>
  <c r="F46" i="1"/>
  <c r="F12" i="4"/>
  <c r="E12" i="4"/>
  <c r="D12" i="4"/>
  <c r="G12" i="4"/>
  <c r="C13" i="4"/>
  <c r="G12" i="1"/>
  <c r="B12" i="1" s="1"/>
  <c r="C12" i="1" s="1"/>
  <c r="F40" i="1"/>
  <c r="F60" i="1"/>
  <c r="F39" i="1"/>
  <c r="F59" i="1"/>
  <c r="F50" i="1"/>
  <c r="F41" i="1"/>
  <c r="F55" i="1"/>
  <c r="D63" i="1"/>
  <c r="E62" i="1"/>
  <c r="F62" i="1" s="1"/>
  <c r="F42" i="1"/>
  <c r="F13" i="4" l="1"/>
  <c r="C14" i="4"/>
  <c r="G13" i="4"/>
  <c r="N20" i="4" s="1"/>
  <c r="O20" i="4" s="1"/>
  <c r="E13" i="4"/>
  <c r="D13" i="4"/>
  <c r="G13" i="1"/>
  <c r="B13" i="1" s="1"/>
  <c r="C13" i="1" s="1"/>
  <c r="D64" i="1"/>
  <c r="E63" i="1"/>
  <c r="F63" i="1" s="1"/>
  <c r="D65" i="1" l="1"/>
  <c r="E64" i="1"/>
  <c r="F64" i="1" s="1"/>
  <c r="M22" i="4"/>
  <c r="O22" i="4" s="1"/>
  <c r="C15" i="4"/>
  <c r="E14" i="4"/>
  <c r="G14" i="4"/>
  <c r="F14" i="4"/>
  <c r="D14" i="4"/>
  <c r="M21" i="4"/>
  <c r="O21" i="4" s="1"/>
  <c r="G14" i="1"/>
  <c r="B14" i="1" s="1"/>
  <c r="C14" i="1" s="1"/>
  <c r="F15" i="4" l="1"/>
  <c r="E15" i="4"/>
  <c r="D15" i="4"/>
  <c r="C16" i="4"/>
  <c r="G15" i="4"/>
  <c r="G15" i="1"/>
  <c r="B15" i="1" s="1"/>
  <c r="C15" i="1" s="1"/>
  <c r="E65" i="1"/>
  <c r="F65" i="1" s="1"/>
  <c r="D66" i="1"/>
  <c r="D67" i="1" l="1"/>
  <c r="E66" i="1"/>
  <c r="F66" i="1" s="1"/>
  <c r="G16" i="4"/>
  <c r="N23" i="4" s="1"/>
  <c r="O23" i="4" s="1"/>
  <c r="F16" i="4"/>
  <c r="G16" i="1"/>
  <c r="C17" i="4"/>
  <c r="E16" i="4"/>
  <c r="D16" i="4"/>
  <c r="C18" i="4" l="1"/>
  <c r="E17" i="4"/>
  <c r="F17" i="4"/>
  <c r="D17" i="4"/>
  <c r="G17" i="4"/>
  <c r="G17" i="1"/>
  <c r="E67" i="1"/>
  <c r="F67" i="1" s="1"/>
  <c r="D68" i="1"/>
  <c r="E68" i="1" l="1"/>
  <c r="F68" i="1" s="1"/>
  <c r="D69" i="1"/>
  <c r="F18" i="4"/>
  <c r="E18" i="4"/>
  <c r="D18" i="4"/>
  <c r="C19" i="4"/>
  <c r="G18" i="4"/>
  <c r="G18" i="1"/>
  <c r="G19" i="4" l="1"/>
  <c r="F19" i="4"/>
  <c r="C20" i="4"/>
  <c r="E19" i="4"/>
  <c r="D19" i="4"/>
  <c r="G19" i="1"/>
  <c r="E69" i="1"/>
  <c r="F69" i="1" l="1"/>
  <c r="F71" i="1"/>
  <c r="F70" i="1"/>
  <c r="M25" i="4"/>
  <c r="O25" i="4" s="1"/>
  <c r="C21" i="4"/>
  <c r="E20" i="4"/>
  <c r="G20" i="1"/>
  <c r="M24" i="4"/>
  <c r="O24" i="4" s="1"/>
  <c r="D20" i="4"/>
  <c r="G20" i="4"/>
  <c r="F20" i="4"/>
  <c r="F21" i="4" l="1"/>
  <c r="E21" i="4"/>
  <c r="D21" i="4"/>
  <c r="B2" i="6"/>
  <c r="C22" i="4"/>
  <c r="G21" i="4"/>
  <c r="G21" i="1"/>
  <c r="H2" i="6" l="1"/>
  <c r="F2" i="6"/>
  <c r="D2" i="6"/>
  <c r="G22" i="4"/>
  <c r="F22" i="4"/>
  <c r="E22" i="4"/>
  <c r="D22" i="4"/>
  <c r="C23" i="4"/>
  <c r="G22" i="1"/>
  <c r="C24" i="4" l="1"/>
  <c r="F23" i="4"/>
  <c r="E23" i="4"/>
  <c r="G23" i="4"/>
  <c r="N26" i="4" s="1"/>
  <c r="O26" i="4" s="1"/>
  <c r="D23" i="4"/>
  <c r="G23" i="1"/>
  <c r="I2" i="6"/>
  <c r="J20" i="1" l="1"/>
  <c r="K20" i="1" s="1"/>
  <c r="B20" i="1" s="1"/>
  <c r="C20" i="1" s="1"/>
  <c r="J16" i="1"/>
  <c r="K16" i="1" s="1"/>
  <c r="B16" i="1" s="1"/>
  <c r="C16" i="1" s="1"/>
  <c r="J30" i="1"/>
  <c r="K30" i="1" s="1"/>
  <c r="J27" i="1"/>
  <c r="K27" i="1" s="1"/>
  <c r="J18" i="1"/>
  <c r="K18" i="1" s="1"/>
  <c r="B18" i="1" s="1"/>
  <c r="C18" i="1" s="1"/>
  <c r="J24" i="1"/>
  <c r="K24" i="1" s="1"/>
  <c r="J17" i="1"/>
  <c r="K17" i="1" s="1"/>
  <c r="B17" i="1" s="1"/>
  <c r="C17" i="1" s="1"/>
  <c r="J21" i="1"/>
  <c r="K21" i="1" s="1"/>
  <c r="B21" i="1" s="1"/>
  <c r="C21" i="1" s="1"/>
  <c r="J28" i="1"/>
  <c r="K28" i="1" s="1"/>
  <c r="J25" i="1"/>
  <c r="K25" i="1" s="1"/>
  <c r="J22" i="1"/>
  <c r="K22" i="1" s="1"/>
  <c r="B22" i="1" s="1"/>
  <c r="C22" i="1" s="1"/>
  <c r="J19" i="1"/>
  <c r="K19" i="1" s="1"/>
  <c r="B19" i="1" s="1"/>
  <c r="C19" i="1" s="1"/>
  <c r="J29" i="1"/>
  <c r="K29" i="1" s="1"/>
  <c r="J26" i="1"/>
  <c r="K26" i="1" s="1"/>
  <c r="J23" i="1"/>
  <c r="K23" i="1" s="1"/>
  <c r="B23" i="1" s="1"/>
  <c r="C23" i="1" s="1"/>
  <c r="F24" i="4"/>
  <c r="E24" i="4"/>
  <c r="M28" i="4"/>
  <c r="O28" i="4" s="1"/>
  <c r="D24" i="4"/>
  <c r="C25" i="4"/>
  <c r="M27" i="4"/>
  <c r="O27" i="4" s="1"/>
  <c r="G24" i="4"/>
  <c r="G24" i="1"/>
  <c r="B24" i="1" l="1"/>
  <c r="C24" i="1" s="1"/>
  <c r="G25" i="4"/>
  <c r="F25" i="4"/>
  <c r="E25" i="4"/>
  <c r="D25" i="4"/>
  <c r="C26" i="4"/>
  <c r="G25" i="1"/>
  <c r="B25" i="1" s="1"/>
  <c r="C25" i="1" s="1"/>
  <c r="C27" i="4" l="1"/>
  <c r="F26" i="4"/>
  <c r="E26" i="4"/>
  <c r="G26" i="4"/>
  <c r="D26" i="4"/>
  <c r="G26" i="1"/>
  <c r="B26" i="1" s="1"/>
  <c r="C26" i="1" s="1"/>
  <c r="N30" i="4" l="1"/>
  <c r="O30" i="4" s="1"/>
  <c r="N29" i="4"/>
  <c r="O29" i="4" s="1"/>
  <c r="F27" i="4"/>
  <c r="E27" i="4"/>
  <c r="M31" i="4"/>
  <c r="O31" i="4" s="1"/>
  <c r="D27" i="4"/>
  <c r="C28" i="4"/>
  <c r="G27" i="4"/>
  <c r="M32" i="4"/>
  <c r="O32" i="4" s="1"/>
  <c r="G27" i="1"/>
  <c r="B27" i="1" s="1"/>
  <c r="C27" i="1" s="1"/>
  <c r="G28" i="4" l="1"/>
  <c r="F28" i="4"/>
  <c r="E28" i="4"/>
  <c r="D28" i="4"/>
  <c r="M33" i="4"/>
  <c r="O33" i="4" s="1"/>
  <c r="C29" i="4"/>
  <c r="G28" i="1"/>
  <c r="B28" i="1" s="1"/>
  <c r="C28" i="1" s="1"/>
  <c r="M34" i="4" l="1"/>
  <c r="O34" i="4" s="1"/>
  <c r="C30" i="4"/>
  <c r="F29" i="4"/>
  <c r="E29" i="4"/>
  <c r="G29" i="4"/>
  <c r="D29" i="4"/>
  <c r="G29" i="1"/>
  <c r="B29" i="1" s="1"/>
  <c r="C29" i="1" s="1"/>
  <c r="F30" i="4" l="1"/>
  <c r="E30" i="4"/>
  <c r="D30" i="4"/>
  <c r="C31" i="4"/>
  <c r="G30" i="1"/>
  <c r="B30" i="1" s="1"/>
  <c r="C30" i="1" s="1"/>
  <c r="G30" i="4"/>
  <c r="N35" i="4" s="1"/>
  <c r="O35" i="4" s="1"/>
  <c r="B3" i="6" l="1"/>
  <c r="M37" i="4"/>
  <c r="O37" i="4" s="1"/>
  <c r="G31" i="4"/>
  <c r="F31" i="4"/>
  <c r="E31" i="4"/>
  <c r="D31" i="4"/>
  <c r="M36" i="4"/>
  <c r="O36" i="4" s="1"/>
  <c r="C32" i="4"/>
  <c r="G31" i="1"/>
  <c r="C33" i="4" l="1"/>
  <c r="F32" i="4"/>
  <c r="E32" i="4"/>
  <c r="G32" i="4"/>
  <c r="D32" i="4"/>
  <c r="G32" i="1"/>
  <c r="F3" i="6"/>
  <c r="D3" i="6"/>
  <c r="H3" i="6"/>
  <c r="I3" i="6" l="1"/>
  <c r="J33" i="1"/>
  <c r="K33" i="1" s="1"/>
  <c r="J39" i="1"/>
  <c r="K39" i="1" s="1"/>
  <c r="J36" i="1"/>
  <c r="K36" i="1" s="1"/>
  <c r="J34" i="1"/>
  <c r="K34" i="1" s="1"/>
  <c r="J31" i="1"/>
  <c r="K31" i="1" s="1"/>
  <c r="B31" i="1" s="1"/>
  <c r="C31" i="1" s="1"/>
  <c r="J37" i="1"/>
  <c r="K37" i="1" s="1"/>
  <c r="J40" i="1"/>
  <c r="K40" i="1" s="1"/>
  <c r="J38" i="1"/>
  <c r="K38" i="1" s="1"/>
  <c r="J35" i="1"/>
  <c r="K35" i="1" s="1"/>
  <c r="J32" i="1"/>
  <c r="K32" i="1" s="1"/>
  <c r="B32" i="1" s="1"/>
  <c r="C32" i="1" s="1"/>
  <c r="F33" i="4"/>
  <c r="E33" i="4"/>
  <c r="M40" i="4"/>
  <c r="O40" i="4" s="1"/>
  <c r="D33" i="4"/>
  <c r="C34" i="4"/>
  <c r="M39" i="4"/>
  <c r="O39" i="4" s="1"/>
  <c r="G33" i="4"/>
  <c r="N38" i="4" s="1"/>
  <c r="O38" i="4" s="1"/>
  <c r="G33" i="1"/>
  <c r="B33" i="1" s="1"/>
  <c r="C33" i="1" s="1"/>
  <c r="G34" i="4" l="1"/>
  <c r="F34" i="4"/>
  <c r="E34" i="4"/>
  <c r="D34" i="4"/>
  <c r="C35" i="4"/>
  <c r="G34" i="1"/>
  <c r="B34" i="1" s="1"/>
  <c r="C34" i="1" s="1"/>
  <c r="M43" i="4" l="1"/>
  <c r="O43" i="4" s="1"/>
  <c r="C36" i="4"/>
  <c r="F35" i="4"/>
  <c r="E35" i="4"/>
  <c r="M42" i="4"/>
  <c r="O42" i="4" s="1"/>
  <c r="G35" i="4"/>
  <c r="N41" i="4" s="1"/>
  <c r="O41" i="4" s="1"/>
  <c r="D35" i="4"/>
  <c r="G35" i="1"/>
  <c r="B35" i="1" s="1"/>
  <c r="C35" i="1" s="1"/>
  <c r="F36" i="4" l="1"/>
  <c r="E36" i="4"/>
  <c r="D36" i="4"/>
  <c r="C37" i="4"/>
  <c r="M45" i="4"/>
  <c r="O45" i="4" s="1"/>
  <c r="G36" i="4"/>
  <c r="M44" i="4"/>
  <c r="O44" i="4" s="1"/>
  <c r="G36" i="1"/>
  <c r="B36" i="1" s="1"/>
  <c r="C36" i="1" s="1"/>
  <c r="M46" i="4" l="1"/>
  <c r="O46" i="4" s="1"/>
  <c r="G37" i="4"/>
  <c r="N47" i="4" s="1"/>
  <c r="O47" i="4" s="1"/>
  <c r="F37" i="4"/>
  <c r="E37" i="4"/>
  <c r="D37" i="4"/>
  <c r="C38" i="4"/>
  <c r="G37" i="1"/>
  <c r="B37" i="1" s="1"/>
  <c r="C37" i="1" s="1"/>
  <c r="M49" i="4" l="1"/>
  <c r="O49" i="4" s="1"/>
  <c r="C39" i="4"/>
  <c r="F38" i="4"/>
  <c r="E38" i="4"/>
  <c r="M50" i="4"/>
  <c r="O50" i="4" s="1"/>
  <c r="G38" i="4"/>
  <c r="D38" i="4"/>
  <c r="G38" i="1"/>
  <c r="B38" i="1" s="1"/>
  <c r="C38" i="1" s="1"/>
  <c r="F39" i="4" l="1"/>
  <c r="E39" i="4"/>
  <c r="D39" i="4"/>
  <c r="C40" i="4"/>
  <c r="G39" i="4"/>
  <c r="G39" i="1"/>
  <c r="B39" i="1" s="1"/>
  <c r="C39" i="1" s="1"/>
  <c r="G40" i="4" l="1"/>
  <c r="N51" i="4" s="1"/>
  <c r="O51" i="4" s="1"/>
  <c r="F40" i="4"/>
  <c r="E40" i="4"/>
  <c r="D40" i="4"/>
  <c r="C41" i="4"/>
  <c r="G40" i="1"/>
  <c r="B40" i="1" s="1"/>
  <c r="C40" i="1" s="1"/>
  <c r="M52" i="4" l="1"/>
  <c r="O52" i="4" s="1"/>
  <c r="C42" i="4"/>
  <c r="F41" i="4"/>
  <c r="B4" i="6"/>
  <c r="E41" i="4"/>
  <c r="M53" i="4"/>
  <c r="O53" i="4" s="1"/>
  <c r="G41" i="4"/>
  <c r="D41" i="4"/>
  <c r="G41" i="1"/>
  <c r="H4" i="6" l="1"/>
  <c r="F4" i="6"/>
  <c r="D4" i="6"/>
  <c r="F42" i="4"/>
  <c r="E42" i="4"/>
  <c r="D42" i="4"/>
  <c r="C43" i="4"/>
  <c r="G42" i="4"/>
  <c r="G42" i="1"/>
  <c r="M55" i="4" l="1"/>
  <c r="O55" i="4" s="1"/>
  <c r="G43" i="4"/>
  <c r="N54" i="4" s="1"/>
  <c r="O54" i="4" s="1"/>
  <c r="F43" i="4"/>
  <c r="M56" i="4"/>
  <c r="O56" i="4" s="1"/>
  <c r="E43" i="4"/>
  <c r="D43" i="4"/>
  <c r="C44" i="4"/>
  <c r="G43" i="1"/>
  <c r="I4" i="6"/>
  <c r="J49" i="1" l="1"/>
  <c r="K49" i="1" s="1"/>
  <c r="J45" i="1"/>
  <c r="K45" i="1" s="1"/>
  <c r="J41" i="1"/>
  <c r="K41" i="1" s="1"/>
  <c r="B41" i="1" s="1"/>
  <c r="C41" i="1" s="1"/>
  <c r="J47" i="1"/>
  <c r="K47" i="1" s="1"/>
  <c r="J44" i="1"/>
  <c r="K44" i="1" s="1"/>
  <c r="J50" i="1"/>
  <c r="K50" i="1" s="1"/>
  <c r="J42" i="1"/>
  <c r="K42" i="1" s="1"/>
  <c r="B42" i="1" s="1"/>
  <c r="C42" i="1" s="1"/>
  <c r="J48" i="1"/>
  <c r="K48" i="1" s="1"/>
  <c r="J46" i="1"/>
  <c r="K46" i="1" s="1"/>
  <c r="J43" i="1"/>
  <c r="K43" i="1" s="1"/>
  <c r="B43" i="1" s="1"/>
  <c r="C43" i="1" s="1"/>
  <c r="C45" i="4"/>
  <c r="F44" i="4"/>
  <c r="E44" i="4"/>
  <c r="G44" i="4"/>
  <c r="D44" i="4"/>
  <c r="G44" i="1"/>
  <c r="F45" i="4" l="1"/>
  <c r="E45" i="4"/>
  <c r="D45" i="4"/>
  <c r="M59" i="4"/>
  <c r="O59" i="4" s="1"/>
  <c r="M60" i="4"/>
  <c r="O60" i="4" s="1"/>
  <c r="C46" i="4"/>
  <c r="G45" i="4"/>
  <c r="N57" i="4" s="1"/>
  <c r="O57" i="4" s="1"/>
  <c r="G45" i="1"/>
  <c r="B45" i="1" s="1"/>
  <c r="C45" i="1" s="1"/>
  <c r="B44" i="1"/>
  <c r="C44" i="1" s="1"/>
  <c r="M58" i="4" l="1"/>
  <c r="O58" i="4" s="1"/>
  <c r="G46" i="4"/>
  <c r="F46" i="4"/>
  <c r="E46" i="4"/>
  <c r="D46" i="4"/>
  <c r="C47" i="4"/>
  <c r="G46" i="1"/>
  <c r="B46" i="1" s="1"/>
  <c r="C46" i="1" s="1"/>
  <c r="C48" i="4" l="1"/>
  <c r="M62" i="4"/>
  <c r="O62" i="4" s="1"/>
  <c r="F47" i="4"/>
  <c r="E47" i="4"/>
  <c r="G47" i="4"/>
  <c r="N61" i="4" s="1"/>
  <c r="O61" i="4" s="1"/>
  <c r="D47" i="4"/>
  <c r="G47" i="1"/>
  <c r="B47" i="1" s="1"/>
  <c r="C47" i="1" s="1"/>
  <c r="F48" i="4" l="1"/>
  <c r="E48" i="4"/>
  <c r="D48" i="4"/>
  <c r="M63" i="4"/>
  <c r="O63" i="4" s="1"/>
  <c r="C49" i="4"/>
  <c r="G48" i="4"/>
  <c r="G48" i="1"/>
  <c r="B48" i="1" s="1"/>
  <c r="C48" i="1" s="1"/>
  <c r="G49" i="4" l="1"/>
  <c r="F49" i="4"/>
  <c r="E49" i="4"/>
  <c r="D49" i="4"/>
  <c r="C50" i="4"/>
  <c r="G49" i="1"/>
  <c r="B49" i="1" s="1"/>
  <c r="C49" i="1" s="1"/>
  <c r="C51" i="4" l="1"/>
  <c r="F50" i="4"/>
  <c r="E50" i="4"/>
  <c r="G50" i="1"/>
  <c r="B50" i="1" s="1"/>
  <c r="C50" i="1" s="1"/>
  <c r="G50" i="4"/>
  <c r="N64" i="4" s="1"/>
  <c r="O64" i="4" s="1"/>
  <c r="D50" i="4"/>
  <c r="F51" i="4" l="1"/>
  <c r="E51" i="4"/>
  <c r="M70" i="4"/>
  <c r="O70" i="4" s="1"/>
  <c r="D51" i="4"/>
  <c r="M72" i="4"/>
  <c r="O72" i="4" s="1"/>
  <c r="B5" i="6"/>
  <c r="M71" i="4"/>
  <c r="O71" i="4" s="1"/>
  <c r="M65" i="4"/>
  <c r="O65" i="4" s="1"/>
  <c r="C52" i="4"/>
  <c r="G51" i="4"/>
  <c r="G51" i="1"/>
  <c r="G52" i="4" l="1"/>
  <c r="F52" i="4"/>
  <c r="M66" i="4"/>
  <c r="O66" i="4" s="1"/>
  <c r="C53" i="4"/>
  <c r="E52" i="4"/>
  <c r="D52" i="4"/>
  <c r="G52" i="1"/>
  <c r="H5" i="6"/>
  <c r="F5" i="6"/>
  <c r="D5" i="6"/>
  <c r="C54" i="4" l="1"/>
  <c r="F53" i="4"/>
  <c r="E53" i="4"/>
  <c r="M69" i="4"/>
  <c r="O69" i="4" s="1"/>
  <c r="G53" i="4"/>
  <c r="N67" i="4" s="1"/>
  <c r="O67" i="4" s="1"/>
  <c r="D53" i="4"/>
  <c r="G53" i="1"/>
  <c r="I5" i="6"/>
  <c r="J73" i="1" l="1"/>
  <c r="K73" i="1" s="1"/>
  <c r="B73" i="1" s="1"/>
  <c r="C73" i="1" s="1"/>
  <c r="J76" i="1"/>
  <c r="K76" i="1" s="1"/>
  <c r="B76" i="1" s="1"/>
  <c r="C76" i="1" s="1"/>
  <c r="J74" i="1"/>
  <c r="K74" i="1" s="1"/>
  <c r="B74" i="1" s="1"/>
  <c r="C74" i="1" s="1"/>
  <c r="J72" i="1"/>
  <c r="K72" i="1" s="1"/>
  <c r="B72" i="1" s="1"/>
  <c r="C72" i="1" s="1"/>
  <c r="J75" i="1"/>
  <c r="K75" i="1" s="1"/>
  <c r="B75" i="1" s="1"/>
  <c r="C75" i="1" s="1"/>
  <c r="J69" i="1"/>
  <c r="K69" i="1" s="1"/>
  <c r="J65" i="1"/>
  <c r="K65" i="1" s="1"/>
  <c r="J61" i="1"/>
  <c r="K61" i="1" s="1"/>
  <c r="J57" i="1"/>
  <c r="K57" i="1" s="1"/>
  <c r="J53" i="1"/>
  <c r="K53" i="1" s="1"/>
  <c r="B53" i="1" s="1"/>
  <c r="C53" i="1" s="1"/>
  <c r="J66" i="1"/>
  <c r="K66" i="1" s="1"/>
  <c r="J62" i="1"/>
  <c r="K62" i="1" s="1"/>
  <c r="J71" i="1"/>
  <c r="K71" i="1" s="1"/>
  <c r="J60" i="1"/>
  <c r="K60" i="1" s="1"/>
  <c r="J52" i="1"/>
  <c r="K52" i="1" s="1"/>
  <c r="B52" i="1" s="1"/>
  <c r="C52" i="1" s="1"/>
  <c r="J67" i="1"/>
  <c r="K67" i="1" s="1"/>
  <c r="J55" i="1"/>
  <c r="K55" i="1" s="1"/>
  <c r="J58" i="1"/>
  <c r="K58" i="1" s="1"/>
  <c r="J63" i="1"/>
  <c r="K63" i="1" s="1"/>
  <c r="J70" i="1"/>
  <c r="K70" i="1" s="1"/>
  <c r="J56" i="1"/>
  <c r="K56" i="1" s="1"/>
  <c r="J59" i="1"/>
  <c r="K59" i="1" s="1"/>
  <c r="J51" i="1"/>
  <c r="K51" i="1" s="1"/>
  <c r="B51" i="1" s="1"/>
  <c r="C51" i="1" s="1"/>
  <c r="J68" i="1"/>
  <c r="K68" i="1" s="1"/>
  <c r="J54" i="1"/>
  <c r="K54" i="1" s="1"/>
  <c r="J64" i="1"/>
  <c r="K64" i="1" s="1"/>
  <c r="F54" i="4"/>
  <c r="E54" i="4"/>
  <c r="D54" i="4"/>
  <c r="C55" i="4"/>
  <c r="G54" i="4"/>
  <c r="G54" i="1"/>
  <c r="G55" i="4" l="1"/>
  <c r="N68" i="4" s="1"/>
  <c r="O68" i="4" s="1"/>
  <c r="F55" i="4"/>
  <c r="C56" i="4"/>
  <c r="E55" i="4"/>
  <c r="D55" i="4"/>
  <c r="G55" i="1"/>
  <c r="B55" i="1" s="1"/>
  <c r="C55" i="1" s="1"/>
  <c r="B54" i="1"/>
  <c r="C54" i="1" s="1"/>
  <c r="M73" i="4" l="1"/>
  <c r="O73" i="4" s="1"/>
  <c r="C57" i="4"/>
  <c r="F56" i="4"/>
  <c r="E56" i="4"/>
  <c r="D56" i="4"/>
  <c r="G56" i="4"/>
  <c r="G56" i="1"/>
  <c r="B56" i="1" s="1"/>
  <c r="C56" i="1" s="1"/>
  <c r="F57" i="4" l="1"/>
  <c r="E57" i="4"/>
  <c r="D57" i="4"/>
  <c r="C58" i="4"/>
  <c r="G57" i="4"/>
  <c r="N74" i="4" s="1"/>
  <c r="O74" i="4" s="1"/>
  <c r="G57" i="1"/>
  <c r="B57" i="1" s="1"/>
  <c r="C57" i="1" s="1"/>
  <c r="G58" i="4" l="1"/>
  <c r="F58" i="4"/>
  <c r="D58" i="4"/>
  <c r="C59" i="4"/>
  <c r="E58" i="4"/>
  <c r="G58" i="1"/>
  <c r="B58" i="1" s="1"/>
  <c r="C58" i="1" s="1"/>
  <c r="C60" i="4" l="1"/>
  <c r="F59" i="4"/>
  <c r="E59" i="4"/>
  <c r="D59" i="4"/>
  <c r="G59" i="4"/>
  <c r="N75" i="4" s="1"/>
  <c r="O75" i="4" s="1"/>
  <c r="G59" i="1"/>
  <c r="B59" i="1" s="1"/>
  <c r="C59" i="1" s="1"/>
  <c r="F60" i="4" l="1"/>
  <c r="E60" i="4"/>
  <c r="D60" i="4"/>
  <c r="G60" i="4"/>
  <c r="C61" i="4"/>
  <c r="G60" i="1"/>
  <c r="B60" i="1" s="1"/>
  <c r="C60" i="1" s="1"/>
  <c r="G61" i="4" l="1"/>
  <c r="N76" i="4" s="1"/>
  <c r="O76" i="4" s="1"/>
  <c r="F61" i="4"/>
  <c r="D61" i="4"/>
  <c r="C62" i="4"/>
  <c r="E61" i="4"/>
  <c r="G61" i="1"/>
  <c r="B61" i="1" s="1"/>
  <c r="C61" i="1" s="1"/>
  <c r="C63" i="4" l="1"/>
  <c r="F62" i="4"/>
  <c r="E62" i="4"/>
  <c r="D62" i="4"/>
  <c r="G62" i="4"/>
  <c r="G62" i="1"/>
  <c r="B62" i="1" s="1"/>
  <c r="C62" i="1" s="1"/>
  <c r="F63" i="4" l="1"/>
  <c r="E63" i="4"/>
  <c r="D63" i="4"/>
  <c r="C64" i="4"/>
  <c r="G63" i="4"/>
  <c r="G63" i="1"/>
  <c r="B63" i="1" s="1"/>
  <c r="C63" i="1" s="1"/>
  <c r="G64" i="4" l="1"/>
  <c r="F64" i="4"/>
  <c r="E64" i="4"/>
  <c r="D64" i="4"/>
  <c r="C65" i="4"/>
  <c r="G64" i="1"/>
  <c r="B64" i="1" s="1"/>
  <c r="C64" i="1" s="1"/>
  <c r="C66" i="4" l="1"/>
  <c r="F65" i="4"/>
  <c r="E65" i="4"/>
  <c r="D65" i="4"/>
  <c r="G65" i="4"/>
  <c r="G65" i="1"/>
  <c r="B65" i="1" s="1"/>
  <c r="C65" i="1" s="1"/>
  <c r="F66" i="4" l="1"/>
  <c r="E66" i="4"/>
  <c r="D66" i="4"/>
  <c r="C67" i="4"/>
  <c r="G66" i="4"/>
  <c r="G66" i="1"/>
  <c r="B66" i="1" s="1"/>
  <c r="C66" i="1" s="1"/>
  <c r="G67" i="4" l="1"/>
  <c r="F67" i="4"/>
  <c r="E67" i="4"/>
  <c r="D67" i="4"/>
  <c r="C68" i="4"/>
  <c r="G67" i="1"/>
  <c r="B67" i="1" s="1"/>
  <c r="C67" i="1" s="1"/>
  <c r="C69" i="4" l="1"/>
  <c r="F68" i="4"/>
  <c r="E68" i="4"/>
  <c r="D68" i="4"/>
  <c r="G68" i="4"/>
  <c r="G68" i="1"/>
  <c r="B68" i="1" s="1"/>
  <c r="C68" i="1" s="1"/>
  <c r="F69" i="4" l="1"/>
  <c r="E69" i="4"/>
  <c r="D69" i="4"/>
  <c r="C70" i="4"/>
  <c r="G69" i="4"/>
  <c r="G69" i="1"/>
  <c r="B69" i="1" s="1"/>
  <c r="C69" i="1" s="1"/>
  <c r="G70" i="4" l="1"/>
  <c r="F70" i="4"/>
  <c r="E70" i="4"/>
  <c r="D70" i="4"/>
  <c r="G70" i="1"/>
  <c r="B70" i="1" s="1"/>
  <c r="C70" i="1" s="1"/>
  <c r="C71" i="4"/>
  <c r="F71" i="4" l="1"/>
  <c r="E71" i="4"/>
  <c r="D71" i="4"/>
  <c r="G71" i="1"/>
  <c r="B71" i="1" s="1"/>
  <c r="C71" i="1" s="1"/>
  <c r="G71" i="4"/>
</calcChain>
</file>

<file path=xl/sharedStrings.xml><?xml version="1.0" encoding="utf-8"?>
<sst xmlns="http://schemas.openxmlformats.org/spreadsheetml/2006/main" count="105" uniqueCount="93">
  <si>
    <t>等级</t>
  </si>
  <si>
    <t>当前等级经验</t>
  </si>
  <si>
    <t>经验修正值</t>
  </si>
  <si>
    <t>预计杀怪数</t>
  </si>
  <si>
    <t>当前等级天数</t>
  </si>
  <si>
    <t>累计升级天数</t>
  </si>
  <si>
    <t>杀怪经验</t>
  </si>
  <si>
    <t>任务经验</t>
  </si>
  <si>
    <t>对应副本</t>
  </si>
  <si>
    <t>副本升级经验</t>
  </si>
  <si>
    <t>每日体力</t>
  </si>
  <si>
    <t>体力兑换杀怪数</t>
  </si>
  <si>
    <t>每日杀怪数</t>
  </si>
  <si>
    <t>每日副本次数</t>
  </si>
  <si>
    <t>体力规划</t>
  </si>
  <si>
    <t>0点</t>
  </si>
  <si>
    <t>12点</t>
  </si>
  <si>
    <t>6点</t>
  </si>
  <si>
    <t>月卡</t>
  </si>
  <si>
    <t>每日任务</t>
  </si>
  <si>
    <t>20点</t>
  </si>
  <si>
    <t>每日签到</t>
  </si>
  <si>
    <t>总</t>
  </si>
  <si>
    <t>每天经验产出</t>
  </si>
  <si>
    <t>系数</t>
  </si>
  <si>
    <t>经验修</t>
  </si>
  <si>
    <t>人员上限</t>
  </si>
  <si>
    <t>累计捐献次数</t>
  </si>
  <si>
    <t>捐献满人次</t>
  </si>
  <si>
    <t>捐献金币</t>
  </si>
  <si>
    <t>单次任务经验</t>
  </si>
  <si>
    <t>’2-8</t>
  </si>
  <si>
    <t>家族捐献</t>
  </si>
  <si>
    <t>家族等级</t>
  </si>
  <si>
    <t>每天捐献</t>
  </si>
  <si>
    <t>经验</t>
  </si>
  <si>
    <t>单次捐献</t>
  </si>
  <si>
    <t>‘10-30</t>
  </si>
  <si>
    <t>每天捐献上限</t>
  </si>
  <si>
    <t>总天数</t>
  </si>
  <si>
    <t>修炼能力</t>
  </si>
  <si>
    <t>攻击</t>
  </si>
  <si>
    <t>防御</t>
  </si>
  <si>
    <t>任务</t>
  </si>
  <si>
    <t>血量</t>
  </si>
  <si>
    <t>随机杀怪</t>
  </si>
  <si>
    <t>魔防</t>
  </si>
  <si>
    <t>随机要东西</t>
  </si>
  <si>
    <t>法术</t>
  </si>
  <si>
    <t>捐献金额的50%累计</t>
  </si>
  <si>
    <t>游戏爆率</t>
  </si>
  <si>
    <t>对怪伤害加成</t>
  </si>
  <si>
    <t>王者捐献</t>
  </si>
  <si>
    <t>5%暴击</t>
  </si>
  <si>
    <t>钻石捐献</t>
  </si>
  <si>
    <t>黄金捐献</t>
  </si>
  <si>
    <t>4-5</t>
  </si>
  <si>
    <t>白银捐献</t>
  </si>
  <si>
    <t>6-10</t>
  </si>
  <si>
    <t>青铜捐献</t>
  </si>
  <si>
    <t>其他</t>
  </si>
  <si>
    <t>爱心捐献</t>
  </si>
  <si>
    <t>获胜家族名字带(冠军)</t>
  </si>
  <si>
    <t>玩家血量</t>
  </si>
  <si>
    <t>优化</t>
  </si>
  <si>
    <t>慢性恢复</t>
  </si>
  <si>
    <t>立即恢复1200点生命</t>
  </si>
  <si>
    <t>立即恢复2400点生命</t>
  </si>
  <si>
    <t>立即恢复4000点生命</t>
  </si>
  <si>
    <t>立即恢复6000点生命</t>
  </si>
  <si>
    <t>立即恢复8000点生命</t>
  </si>
  <si>
    <t>世界等级</t>
  </si>
  <si>
    <t>怪物等级</t>
  </si>
  <si>
    <t>普通怪</t>
  </si>
  <si>
    <t>低等BOSS经验</t>
  </si>
  <si>
    <t>中等BOSS经验</t>
  </si>
  <si>
    <t>高等BOSS经验</t>
  </si>
  <si>
    <t>最高BOSS经验</t>
  </si>
  <si>
    <t>类型</t>
  </si>
  <si>
    <t>普通</t>
  </si>
  <si>
    <t>boss</t>
  </si>
  <si>
    <t>任务等级</t>
  </si>
  <si>
    <t>经验系数</t>
  </si>
  <si>
    <t>当前等级任务数</t>
  </si>
  <si>
    <t>修正任务数</t>
  </si>
  <si>
    <t>副本等级</t>
  </si>
  <si>
    <t>对应怪物经验</t>
  </si>
  <si>
    <t>副本怪物经验系数</t>
  </si>
  <si>
    <t>副本BOSS经验系数</t>
  </si>
  <si>
    <t>副本通关经验系数</t>
  </si>
  <si>
    <t>累计总经验</t>
  </si>
  <si>
    <t>副本怪物数量</t>
  </si>
  <si>
    <t>副本BOSS数量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</si>
</sst>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0691854609822"/>
        <bgColor indexed="64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12106692709126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49" fontId="4" fillId="4" borderId="2" xfId="0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1" fillId="5" borderId="3" xfId="1" applyFont="1" applyFill="1" applyBorder="1" applyAlignment="1">
      <alignment horizontal="center" vertical="center"/>
    </xf>
    <xf numFmtId="58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2">
    <cellStyle name="常规" xfId="0" builtinId="0"/>
    <cellStyle name="常规 6" xfId="1" xr:uid="{00000000-0005-0000-0000-00000D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\Desktop\&#37197;&#32622;&#25991;&#20214;\&#21361;&#22659;1&#30340;&#25968;&#20540;&#25991;&#26723;\&#32463;&#39564;&#34920;w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经验表"/>
      <sheetName val="怪物经验"/>
      <sheetName val="每日经验"/>
      <sheetName val="国家升级"/>
      <sheetName val="经验盒子获得经验"/>
      <sheetName val="任务经验"/>
      <sheetName val="挂机经验收益(废弃)"/>
    </sheetNames>
    <sheetDataSet>
      <sheetData sheetId="0"/>
      <sheetData sheetId="1">
        <row r="2">
          <cell r="C2">
            <v>15</v>
          </cell>
        </row>
        <row r="3">
          <cell r="C3">
            <v>20</v>
          </cell>
        </row>
        <row r="4">
          <cell r="C4">
            <v>25</v>
          </cell>
        </row>
        <row r="5">
          <cell r="C5">
            <v>30</v>
          </cell>
        </row>
        <row r="6">
          <cell r="C6">
            <v>40</v>
          </cell>
        </row>
        <row r="7">
          <cell r="C7">
            <v>50</v>
          </cell>
        </row>
        <row r="8">
          <cell r="C8">
            <v>60</v>
          </cell>
        </row>
        <row r="9">
          <cell r="C9">
            <v>70</v>
          </cell>
        </row>
        <row r="10">
          <cell r="C10">
            <v>80</v>
          </cell>
        </row>
        <row r="11">
          <cell r="C11">
            <v>95</v>
          </cell>
        </row>
        <row r="12">
          <cell r="C12">
            <v>110</v>
          </cell>
        </row>
        <row r="13">
          <cell r="C13">
            <v>125</v>
          </cell>
        </row>
        <row r="14">
          <cell r="C14">
            <v>140</v>
          </cell>
        </row>
        <row r="15">
          <cell r="C15">
            <v>155</v>
          </cell>
        </row>
        <row r="16">
          <cell r="C16">
            <v>170</v>
          </cell>
        </row>
        <row r="17">
          <cell r="C17">
            <v>190</v>
          </cell>
        </row>
        <row r="18">
          <cell r="C18">
            <v>210</v>
          </cell>
        </row>
        <row r="19">
          <cell r="C19">
            <v>230</v>
          </cell>
        </row>
        <row r="20">
          <cell r="C20">
            <v>250</v>
          </cell>
        </row>
        <row r="21">
          <cell r="C21">
            <v>280</v>
          </cell>
        </row>
        <row r="22">
          <cell r="C22">
            <v>310</v>
          </cell>
        </row>
        <row r="23">
          <cell r="C23">
            <v>340</v>
          </cell>
        </row>
        <row r="24">
          <cell r="C24">
            <v>370</v>
          </cell>
        </row>
        <row r="25">
          <cell r="C25">
            <v>400</v>
          </cell>
        </row>
        <row r="26">
          <cell r="C26">
            <v>430</v>
          </cell>
        </row>
        <row r="27">
          <cell r="C27">
            <v>460</v>
          </cell>
        </row>
        <row r="28">
          <cell r="C28">
            <v>490</v>
          </cell>
        </row>
        <row r="29">
          <cell r="C29">
            <v>520</v>
          </cell>
        </row>
        <row r="30">
          <cell r="C30">
            <v>550</v>
          </cell>
        </row>
        <row r="31">
          <cell r="C31">
            <v>580</v>
          </cell>
        </row>
        <row r="32">
          <cell r="C32">
            <v>610</v>
          </cell>
        </row>
        <row r="33">
          <cell r="C33">
            <v>640</v>
          </cell>
        </row>
        <row r="34">
          <cell r="C34">
            <v>670</v>
          </cell>
        </row>
        <row r="35">
          <cell r="C35">
            <v>700</v>
          </cell>
        </row>
        <row r="36">
          <cell r="C36">
            <v>730</v>
          </cell>
        </row>
        <row r="37">
          <cell r="C37">
            <v>760</v>
          </cell>
        </row>
        <row r="38">
          <cell r="C38">
            <v>790</v>
          </cell>
        </row>
        <row r="39">
          <cell r="C39">
            <v>820</v>
          </cell>
        </row>
        <row r="40">
          <cell r="C40">
            <v>850</v>
          </cell>
        </row>
        <row r="41">
          <cell r="C41">
            <v>880</v>
          </cell>
        </row>
        <row r="42">
          <cell r="C42">
            <v>910</v>
          </cell>
        </row>
        <row r="43">
          <cell r="C43">
            <v>940</v>
          </cell>
        </row>
        <row r="44">
          <cell r="C44">
            <v>970</v>
          </cell>
        </row>
        <row r="45">
          <cell r="C45">
            <v>1000</v>
          </cell>
        </row>
        <row r="46">
          <cell r="C46">
            <v>1030</v>
          </cell>
        </row>
        <row r="47">
          <cell r="C47">
            <v>1060</v>
          </cell>
        </row>
        <row r="48">
          <cell r="C48">
            <v>1090</v>
          </cell>
        </row>
        <row r="49">
          <cell r="C49">
            <v>1120</v>
          </cell>
        </row>
        <row r="50">
          <cell r="C50">
            <v>1150</v>
          </cell>
        </row>
        <row r="51">
          <cell r="C51">
            <v>1180</v>
          </cell>
        </row>
        <row r="52">
          <cell r="C52">
            <v>1210</v>
          </cell>
        </row>
        <row r="53">
          <cell r="C53">
            <v>1240</v>
          </cell>
        </row>
        <row r="54">
          <cell r="C54">
            <v>1270</v>
          </cell>
        </row>
        <row r="55">
          <cell r="C55">
            <v>1300</v>
          </cell>
        </row>
        <row r="56">
          <cell r="C56">
            <v>1330</v>
          </cell>
        </row>
        <row r="57">
          <cell r="C57">
            <v>1360</v>
          </cell>
        </row>
        <row r="58">
          <cell r="C58">
            <v>1390</v>
          </cell>
        </row>
        <row r="59">
          <cell r="C59">
            <v>1420</v>
          </cell>
        </row>
        <row r="60">
          <cell r="C60">
            <v>1450</v>
          </cell>
        </row>
        <row r="61">
          <cell r="C61">
            <v>1480</v>
          </cell>
        </row>
        <row r="62">
          <cell r="C62">
            <v>1510</v>
          </cell>
        </row>
        <row r="63">
          <cell r="C63">
            <v>1540</v>
          </cell>
        </row>
        <row r="64">
          <cell r="C64">
            <v>1570</v>
          </cell>
        </row>
        <row r="65">
          <cell r="C65">
            <v>1600</v>
          </cell>
        </row>
        <row r="66">
          <cell r="C66">
            <v>1630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"/>
  <sheetViews>
    <sheetView tabSelected="1" topLeftCell="A52" workbookViewId="0">
      <selection activeCell="M72" sqref="M72"/>
    </sheetView>
  </sheetViews>
  <sheetFormatPr defaultColWidth="9" defaultRowHeight="14.25" x14ac:dyDescent="0.2"/>
  <cols>
    <col min="1" max="1" width="9" style="1"/>
    <col min="2" max="2" width="11.375" style="1" customWidth="1"/>
    <col min="3" max="3" width="9.625" style="1" customWidth="1"/>
    <col min="4" max="4" width="11" style="3" customWidth="1"/>
    <col min="5" max="5" width="12.5" style="3" customWidth="1"/>
    <col min="6" max="6" width="13" style="3" customWidth="1"/>
    <col min="11" max="11" width="11.375" customWidth="1"/>
    <col min="17" max="17" width="15.125" customWidth="1"/>
  </cols>
  <sheetData>
    <row r="1" spans="1:23" s="1" customFormat="1" ht="20.100000000000001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" t="s">
        <v>8</v>
      </c>
      <c r="K1" s="1" t="s">
        <v>9</v>
      </c>
    </row>
    <row r="2" spans="1:23" s="1" customFormat="1" ht="20.100000000000001" customHeight="1" x14ac:dyDescent="0.2">
      <c r="A2" s="1">
        <v>1</v>
      </c>
      <c r="B2" s="1">
        <f>G2+H2+K2</f>
        <v>225</v>
      </c>
      <c r="C2" s="1">
        <f>ROUND(B2,-2)</f>
        <v>200</v>
      </c>
      <c r="D2" s="1">
        <v>5</v>
      </c>
      <c r="E2" s="1">
        <f>D2/$R$4</f>
        <v>5.0000000000000001E-3</v>
      </c>
      <c r="F2" s="1">
        <f>SUM($E$2:E2)</f>
        <v>5.0000000000000001E-3</v>
      </c>
      <c r="G2" s="1">
        <f>D2*怪物经验!C2</f>
        <v>75</v>
      </c>
      <c r="H2" s="1">
        <f>任务经验!F2</f>
        <v>150</v>
      </c>
      <c r="I2" s="1">
        <v>0</v>
      </c>
      <c r="J2" s="1">
        <v>0</v>
      </c>
      <c r="K2" s="1">
        <f>J2*E2</f>
        <v>0</v>
      </c>
      <c r="M2" s="13">
        <v>225</v>
      </c>
      <c r="Q2" s="1" t="s">
        <v>10</v>
      </c>
      <c r="R2" s="1">
        <v>100</v>
      </c>
    </row>
    <row r="3" spans="1:23" s="1" customFormat="1" ht="20.100000000000001" customHeight="1" x14ac:dyDescent="0.2">
      <c r="A3" s="1">
        <v>2</v>
      </c>
      <c r="B3" s="1">
        <f t="shared" ref="B3:B66" si="0">G3+H3+K3</f>
        <v>500</v>
      </c>
      <c r="C3" s="1">
        <f t="shared" ref="C3:C66" si="1">ROUND(B3,-2)</f>
        <v>500</v>
      </c>
      <c r="D3" s="1">
        <v>10</v>
      </c>
      <c r="E3" s="1">
        <f t="shared" ref="E3:E66" si="2">D3/$R$4</f>
        <v>0.01</v>
      </c>
      <c r="F3" s="1">
        <f>SUM($E$2:E3)</f>
        <v>1.4999999999999999E-2</v>
      </c>
      <c r="G3" s="1">
        <f>D3*怪物经验!C3</f>
        <v>200</v>
      </c>
      <c r="H3" s="1">
        <f>任务经验!F3</f>
        <v>300</v>
      </c>
      <c r="I3" s="1">
        <v>0</v>
      </c>
      <c r="J3" s="1">
        <v>0</v>
      </c>
      <c r="K3" s="1">
        <f t="shared" ref="K3:K15" si="3">J3*E3</f>
        <v>0</v>
      </c>
      <c r="M3" s="13">
        <v>500</v>
      </c>
      <c r="Q3" s="1" t="s">
        <v>11</v>
      </c>
      <c r="R3" s="1">
        <v>10</v>
      </c>
    </row>
    <row r="4" spans="1:23" s="1" customFormat="1" ht="20.100000000000001" customHeight="1" x14ac:dyDescent="0.2">
      <c r="A4" s="1">
        <v>3</v>
      </c>
      <c r="B4" s="1">
        <f t="shared" si="0"/>
        <v>1125</v>
      </c>
      <c r="C4" s="1">
        <f t="shared" si="1"/>
        <v>1100</v>
      </c>
      <c r="D4" s="1">
        <v>20</v>
      </c>
      <c r="E4" s="1">
        <f t="shared" si="2"/>
        <v>0.02</v>
      </c>
      <c r="F4" s="1">
        <f>SUM($E$2:E4)</f>
        <v>3.5000000000000003E-2</v>
      </c>
      <c r="G4" s="1">
        <f>D4*怪物经验!C4</f>
        <v>500</v>
      </c>
      <c r="H4" s="1">
        <f>任务经验!F4</f>
        <v>625</v>
      </c>
      <c r="I4" s="1">
        <v>0</v>
      </c>
      <c r="J4" s="1">
        <v>0</v>
      </c>
      <c r="K4" s="1">
        <f t="shared" si="3"/>
        <v>0</v>
      </c>
      <c r="M4" s="13">
        <v>1125</v>
      </c>
      <c r="Q4" s="1" t="s">
        <v>12</v>
      </c>
      <c r="R4" s="1">
        <f>R3*R2</f>
        <v>1000</v>
      </c>
    </row>
    <row r="5" spans="1:23" s="1" customFormat="1" ht="20.100000000000001" customHeight="1" x14ac:dyDescent="0.2">
      <c r="A5" s="1">
        <v>4</v>
      </c>
      <c r="B5" s="1">
        <f t="shared" si="0"/>
        <v>1350</v>
      </c>
      <c r="C5" s="1">
        <f t="shared" si="1"/>
        <v>1400</v>
      </c>
      <c r="D5" s="1">
        <v>30</v>
      </c>
      <c r="E5" s="1">
        <f t="shared" si="2"/>
        <v>0.03</v>
      </c>
      <c r="F5" s="1">
        <f>SUM($E$2:E5)</f>
        <v>6.5000000000000002E-2</v>
      </c>
      <c r="G5" s="1">
        <f>D5*怪物经验!C5</f>
        <v>900</v>
      </c>
      <c r="H5" s="1">
        <f>任务经验!F5</f>
        <v>450</v>
      </c>
      <c r="I5" s="1">
        <v>0</v>
      </c>
      <c r="J5" s="1">
        <v>0</v>
      </c>
      <c r="K5" s="1">
        <f t="shared" si="3"/>
        <v>0</v>
      </c>
      <c r="M5" s="13">
        <v>1350</v>
      </c>
      <c r="Q5" s="1" t="s">
        <v>13</v>
      </c>
      <c r="R5" s="1">
        <v>5</v>
      </c>
    </row>
    <row r="6" spans="1:23" s="1" customFormat="1" ht="20.100000000000001" customHeight="1" x14ac:dyDescent="0.2">
      <c r="A6" s="1">
        <v>5</v>
      </c>
      <c r="B6" s="1">
        <f t="shared" si="0"/>
        <v>2600</v>
      </c>
      <c r="C6" s="1">
        <f t="shared" si="1"/>
        <v>2600</v>
      </c>
      <c r="D6" s="1">
        <v>50</v>
      </c>
      <c r="E6" s="1">
        <f t="shared" si="2"/>
        <v>0.05</v>
      </c>
      <c r="F6" s="1">
        <f>SUM($E$2:E6)</f>
        <v>0.115</v>
      </c>
      <c r="G6" s="1">
        <f>D6*怪物经验!C6</f>
        <v>2000</v>
      </c>
      <c r="H6" s="1">
        <f>任务经验!F6</f>
        <v>600</v>
      </c>
      <c r="I6" s="1">
        <v>0</v>
      </c>
      <c r="J6" s="1">
        <v>0</v>
      </c>
      <c r="K6" s="1">
        <f t="shared" si="3"/>
        <v>0</v>
      </c>
      <c r="M6" s="13">
        <v>2600</v>
      </c>
    </row>
    <row r="7" spans="1:23" s="1" customFormat="1" ht="20.100000000000001" customHeight="1" x14ac:dyDescent="0.2">
      <c r="A7" s="1">
        <v>6</v>
      </c>
      <c r="B7" s="1">
        <f t="shared" si="0"/>
        <v>4250</v>
      </c>
      <c r="C7" s="1">
        <f t="shared" si="1"/>
        <v>4300</v>
      </c>
      <c r="D7" s="1">
        <f>D6+25</f>
        <v>75</v>
      </c>
      <c r="E7" s="1">
        <f t="shared" si="2"/>
        <v>7.4999999999999997E-2</v>
      </c>
      <c r="F7" s="1">
        <f>SUM($E$2:E7)</f>
        <v>0.19</v>
      </c>
      <c r="G7" s="1">
        <f>D7*怪物经验!C7</f>
        <v>3750</v>
      </c>
      <c r="H7" s="1">
        <f>任务经验!F7</f>
        <v>500</v>
      </c>
      <c r="I7" s="1">
        <v>0</v>
      </c>
      <c r="J7" s="1">
        <v>0</v>
      </c>
      <c r="K7" s="1">
        <f t="shared" si="3"/>
        <v>0</v>
      </c>
      <c r="M7" s="13">
        <v>4250</v>
      </c>
    </row>
    <row r="8" spans="1:23" s="1" customFormat="1" ht="20.100000000000001" customHeight="1" x14ac:dyDescent="0.2">
      <c r="A8" s="1">
        <v>7</v>
      </c>
      <c r="B8" s="1">
        <f t="shared" si="0"/>
        <v>6600</v>
      </c>
      <c r="C8" s="1">
        <f t="shared" si="1"/>
        <v>6600</v>
      </c>
      <c r="D8" s="1">
        <v>100</v>
      </c>
      <c r="E8" s="1">
        <f t="shared" si="2"/>
        <v>0.1</v>
      </c>
      <c r="F8" s="1">
        <f>SUM($E$2:E8)</f>
        <v>0.29000000000000004</v>
      </c>
      <c r="G8" s="1">
        <f>D8*怪物经验!C8</f>
        <v>6000</v>
      </c>
      <c r="H8" s="1">
        <f>任务经验!F8</f>
        <v>600</v>
      </c>
      <c r="I8" s="1">
        <v>0</v>
      </c>
      <c r="J8" s="1">
        <v>0</v>
      </c>
      <c r="K8" s="1">
        <f t="shared" si="3"/>
        <v>0</v>
      </c>
      <c r="M8" s="13">
        <v>6600</v>
      </c>
      <c r="Q8" s="1" t="s">
        <v>14</v>
      </c>
      <c r="R8" s="1" t="s">
        <v>15</v>
      </c>
      <c r="S8" s="1">
        <v>40</v>
      </c>
      <c r="T8" s="1" t="s">
        <v>15</v>
      </c>
      <c r="U8" s="1">
        <v>30</v>
      </c>
      <c r="W8" s="1">
        <f>120/24</f>
        <v>5</v>
      </c>
    </row>
    <row r="9" spans="1:23" s="1" customFormat="1" ht="20.100000000000001" customHeight="1" x14ac:dyDescent="0.2">
      <c r="A9" s="1">
        <v>8</v>
      </c>
      <c r="B9" s="1">
        <f t="shared" si="0"/>
        <v>8400</v>
      </c>
      <c r="C9" s="1">
        <f t="shared" si="1"/>
        <v>8400</v>
      </c>
      <c r="D9" s="1">
        <f>D8+10</f>
        <v>110</v>
      </c>
      <c r="E9" s="1">
        <f t="shared" si="2"/>
        <v>0.11</v>
      </c>
      <c r="F9" s="1">
        <f>SUM($E$2:E9)</f>
        <v>0.4</v>
      </c>
      <c r="G9" s="1">
        <f>D9*怪物经验!C9</f>
        <v>7700</v>
      </c>
      <c r="H9" s="1">
        <f>任务经验!F9</f>
        <v>700</v>
      </c>
      <c r="I9" s="1">
        <v>0</v>
      </c>
      <c r="J9" s="1">
        <v>0</v>
      </c>
      <c r="K9" s="1">
        <f t="shared" si="3"/>
        <v>0</v>
      </c>
      <c r="M9" s="13">
        <v>8400</v>
      </c>
      <c r="R9" s="1" t="s">
        <v>16</v>
      </c>
      <c r="S9" s="1">
        <v>40</v>
      </c>
      <c r="T9" s="1" t="s">
        <v>17</v>
      </c>
      <c r="U9" s="1">
        <v>30</v>
      </c>
      <c r="W9" s="1">
        <v>5</v>
      </c>
    </row>
    <row r="10" spans="1:23" s="1" customFormat="1" ht="20.100000000000001" customHeight="1" x14ac:dyDescent="0.2">
      <c r="A10" s="1">
        <v>9</v>
      </c>
      <c r="B10" s="1">
        <f t="shared" si="0"/>
        <v>10000</v>
      </c>
      <c r="C10" s="1">
        <f t="shared" si="1"/>
        <v>10000</v>
      </c>
      <c r="D10" s="1">
        <f t="shared" ref="D10:D49" si="4">D9+10</f>
        <v>120</v>
      </c>
      <c r="E10" s="1">
        <f t="shared" si="2"/>
        <v>0.12</v>
      </c>
      <c r="F10" s="1">
        <f>SUM($E$2:E10)</f>
        <v>0.52</v>
      </c>
      <c r="G10" s="1">
        <f>D10*怪物经验!C10</f>
        <v>9600</v>
      </c>
      <c r="H10" s="1">
        <f>任务经验!F10</f>
        <v>400</v>
      </c>
      <c r="I10" s="1">
        <v>0</v>
      </c>
      <c r="J10" s="1">
        <v>0</v>
      </c>
      <c r="K10" s="1">
        <f t="shared" si="3"/>
        <v>0</v>
      </c>
      <c r="M10" s="13">
        <v>10000</v>
      </c>
      <c r="R10" s="1" t="s">
        <v>18</v>
      </c>
      <c r="S10" s="1">
        <v>20</v>
      </c>
      <c r="T10" s="1" t="s">
        <v>16</v>
      </c>
      <c r="U10" s="1">
        <v>30</v>
      </c>
      <c r="W10" s="1">
        <v>24</v>
      </c>
    </row>
    <row r="11" spans="1:23" s="1" customFormat="1" ht="20.100000000000001" customHeight="1" x14ac:dyDescent="0.2">
      <c r="A11" s="1">
        <v>10</v>
      </c>
      <c r="B11" s="1">
        <f t="shared" si="0"/>
        <v>12825</v>
      </c>
      <c r="C11" s="1">
        <f t="shared" si="1"/>
        <v>12800</v>
      </c>
      <c r="D11" s="1">
        <f t="shared" si="4"/>
        <v>130</v>
      </c>
      <c r="E11" s="1">
        <f t="shared" si="2"/>
        <v>0.13</v>
      </c>
      <c r="F11" s="1">
        <f>SUM($E$2:E11)</f>
        <v>0.65</v>
      </c>
      <c r="G11" s="1">
        <f>D11*怪物经验!C11</f>
        <v>12350</v>
      </c>
      <c r="H11" s="1">
        <f>任务经验!F11</f>
        <v>475</v>
      </c>
      <c r="I11" s="1">
        <v>0</v>
      </c>
      <c r="J11" s="1">
        <v>0</v>
      </c>
      <c r="K11" s="1">
        <f t="shared" si="3"/>
        <v>0</v>
      </c>
      <c r="M11" s="13">
        <v>12825</v>
      </c>
      <c r="R11" s="1" t="s">
        <v>19</v>
      </c>
      <c r="S11" s="1">
        <v>20</v>
      </c>
      <c r="T11" s="1" t="s">
        <v>20</v>
      </c>
      <c r="U11" s="1">
        <v>30</v>
      </c>
      <c r="W11" s="1">
        <f>W10*W9</f>
        <v>120</v>
      </c>
    </row>
    <row r="12" spans="1:23" s="1" customFormat="1" ht="20.100000000000001" customHeight="1" x14ac:dyDescent="0.2">
      <c r="A12" s="1">
        <v>11</v>
      </c>
      <c r="B12" s="1">
        <f t="shared" si="0"/>
        <v>16060</v>
      </c>
      <c r="C12" s="1">
        <f t="shared" si="1"/>
        <v>16100</v>
      </c>
      <c r="D12" s="1">
        <f t="shared" si="4"/>
        <v>140</v>
      </c>
      <c r="E12" s="1">
        <f t="shared" si="2"/>
        <v>0.14000000000000001</v>
      </c>
      <c r="F12" s="1">
        <f>SUM($E$2:E12)</f>
        <v>0.79</v>
      </c>
      <c r="G12" s="1">
        <f>D12*怪物经验!C12</f>
        <v>15400</v>
      </c>
      <c r="H12" s="1">
        <f>任务经验!F12</f>
        <v>660</v>
      </c>
      <c r="I12" s="1">
        <v>0</v>
      </c>
      <c r="J12" s="1">
        <v>0</v>
      </c>
      <c r="K12" s="1">
        <f t="shared" si="3"/>
        <v>0</v>
      </c>
      <c r="M12" s="13">
        <v>16060</v>
      </c>
      <c r="T12" s="1" t="s">
        <v>18</v>
      </c>
      <c r="U12" s="1">
        <v>20</v>
      </c>
    </row>
    <row r="13" spans="1:23" s="1" customFormat="1" ht="20.100000000000001" customHeight="1" x14ac:dyDescent="0.2">
      <c r="A13" s="1">
        <v>12</v>
      </c>
      <c r="B13" s="1">
        <f t="shared" si="0"/>
        <v>19500</v>
      </c>
      <c r="C13" s="1">
        <f t="shared" si="1"/>
        <v>19500</v>
      </c>
      <c r="D13" s="1">
        <f t="shared" si="4"/>
        <v>150</v>
      </c>
      <c r="E13" s="1">
        <f t="shared" si="2"/>
        <v>0.15</v>
      </c>
      <c r="F13" s="1">
        <f>SUM($E$2:E13)</f>
        <v>0.94000000000000006</v>
      </c>
      <c r="G13" s="1">
        <f>D13*怪物经验!C13</f>
        <v>18750</v>
      </c>
      <c r="H13" s="1">
        <f>任务经验!F13</f>
        <v>750</v>
      </c>
      <c r="I13" s="1">
        <v>0</v>
      </c>
      <c r="J13" s="1">
        <v>0</v>
      </c>
      <c r="K13" s="1">
        <f t="shared" si="3"/>
        <v>0</v>
      </c>
      <c r="M13" s="13">
        <v>19500</v>
      </c>
      <c r="T13" s="1" t="s">
        <v>21</v>
      </c>
      <c r="U13" s="1">
        <v>20</v>
      </c>
    </row>
    <row r="14" spans="1:23" s="1" customFormat="1" ht="20.100000000000001" customHeight="1" x14ac:dyDescent="0.2">
      <c r="A14" s="1">
        <v>13</v>
      </c>
      <c r="B14" s="1">
        <f t="shared" si="0"/>
        <v>22400</v>
      </c>
      <c r="C14" s="1">
        <f t="shared" si="1"/>
        <v>22400</v>
      </c>
      <c r="D14" s="1">
        <f t="shared" si="4"/>
        <v>160</v>
      </c>
      <c r="E14" s="1">
        <f t="shared" si="2"/>
        <v>0.16</v>
      </c>
      <c r="F14" s="1">
        <f>SUM($E$2:E14)</f>
        <v>1.1000000000000001</v>
      </c>
      <c r="G14" s="1">
        <f>D14*怪物经验!C14</f>
        <v>22400</v>
      </c>
      <c r="H14" s="1">
        <f>任务经验!F14</f>
        <v>0</v>
      </c>
      <c r="I14" s="1">
        <v>0</v>
      </c>
      <c r="J14" s="1">
        <v>0</v>
      </c>
      <c r="K14" s="1">
        <f t="shared" si="3"/>
        <v>0</v>
      </c>
      <c r="M14" s="13">
        <v>22400</v>
      </c>
      <c r="S14" s="1">
        <f>SUM(S8:S11)</f>
        <v>120</v>
      </c>
      <c r="T14" s="1" t="s">
        <v>19</v>
      </c>
      <c r="U14" s="1">
        <v>40</v>
      </c>
    </row>
    <row r="15" spans="1:23" s="1" customFormat="1" ht="20.100000000000001" customHeight="1" x14ac:dyDescent="0.2">
      <c r="A15" s="1">
        <v>14</v>
      </c>
      <c r="B15" s="1">
        <f t="shared" si="0"/>
        <v>27280</v>
      </c>
      <c r="C15" s="1">
        <f t="shared" si="1"/>
        <v>27300</v>
      </c>
      <c r="D15" s="1">
        <f t="shared" si="4"/>
        <v>170</v>
      </c>
      <c r="E15" s="1">
        <f t="shared" si="2"/>
        <v>0.17</v>
      </c>
      <c r="F15" s="1">
        <f>SUM($E$2:E15)</f>
        <v>1.27</v>
      </c>
      <c r="G15" s="1">
        <f>D15*怪物经验!C15</f>
        <v>26350</v>
      </c>
      <c r="H15" s="1">
        <f>任务经验!F15</f>
        <v>930</v>
      </c>
      <c r="I15" s="1">
        <v>0</v>
      </c>
      <c r="J15" s="1">
        <v>0</v>
      </c>
      <c r="K15" s="1">
        <f t="shared" si="3"/>
        <v>0</v>
      </c>
      <c r="M15" s="13">
        <v>27280</v>
      </c>
    </row>
    <row r="16" spans="1:23" s="1" customFormat="1" ht="20.100000000000001" customHeight="1" x14ac:dyDescent="0.2">
      <c r="A16" s="1">
        <v>15</v>
      </c>
      <c r="B16" s="1">
        <f t="shared" si="0"/>
        <v>47420</v>
      </c>
      <c r="C16" s="1">
        <f t="shared" si="1"/>
        <v>47400</v>
      </c>
      <c r="D16" s="1">
        <v>100</v>
      </c>
      <c r="E16" s="1">
        <f t="shared" si="2"/>
        <v>0.1</v>
      </c>
      <c r="F16" s="1">
        <f>SUM($E$2:E16)</f>
        <v>1.37</v>
      </c>
      <c r="G16" s="1">
        <f>D16*怪物经验!C16</f>
        <v>17000</v>
      </c>
      <c r="H16" s="1">
        <f>任务经验!F16</f>
        <v>1020</v>
      </c>
      <c r="I16" s="1">
        <v>20</v>
      </c>
      <c r="J16" s="1">
        <f>LOOKUP(I16,组队副本!A:A,组队副本!I:I)</f>
        <v>58800</v>
      </c>
      <c r="K16" s="1">
        <f>J16*E16*$R$5</f>
        <v>29400</v>
      </c>
      <c r="M16" s="13">
        <v>47420</v>
      </c>
      <c r="T16" s="1" t="s">
        <v>22</v>
      </c>
      <c r="U16" s="1">
        <f>SUM(U8:U14)</f>
        <v>200</v>
      </c>
    </row>
    <row r="17" spans="1:13" s="1" customFormat="1" ht="20.100000000000001" customHeight="1" x14ac:dyDescent="0.2">
      <c r="A17" s="1">
        <v>16</v>
      </c>
      <c r="B17" s="1">
        <f t="shared" si="0"/>
        <v>54380</v>
      </c>
      <c r="C17" s="1">
        <f t="shared" si="1"/>
        <v>54400</v>
      </c>
      <c r="D17" s="1">
        <f t="shared" si="4"/>
        <v>110</v>
      </c>
      <c r="E17" s="1">
        <f t="shared" si="2"/>
        <v>0.11</v>
      </c>
      <c r="F17" s="1">
        <f>SUM($E$2:E17)</f>
        <v>1.4800000000000002</v>
      </c>
      <c r="G17" s="1">
        <f>D17*怪物经验!C17</f>
        <v>20900</v>
      </c>
      <c r="H17" s="1">
        <f>任务经验!F17</f>
        <v>1140</v>
      </c>
      <c r="I17" s="1">
        <v>20</v>
      </c>
      <c r="J17" s="1">
        <f>LOOKUP(I17,组队副本!A:A,组队副本!I:I)</f>
        <v>58800</v>
      </c>
      <c r="K17" s="1">
        <f t="shared" ref="K17:K71" si="5">J17*E17*$R$5</f>
        <v>32340</v>
      </c>
      <c r="M17" s="13">
        <v>54380</v>
      </c>
    </row>
    <row r="18" spans="1:13" s="1" customFormat="1" ht="20.100000000000001" customHeight="1" x14ac:dyDescent="0.2">
      <c r="A18" s="1">
        <v>17</v>
      </c>
      <c r="B18" s="1">
        <f t="shared" si="0"/>
        <v>61740</v>
      </c>
      <c r="C18" s="1">
        <f t="shared" si="1"/>
        <v>61700</v>
      </c>
      <c r="D18" s="1">
        <f t="shared" si="4"/>
        <v>120</v>
      </c>
      <c r="E18" s="1">
        <f t="shared" si="2"/>
        <v>0.12</v>
      </c>
      <c r="F18" s="1">
        <f>SUM($E$2:E18)</f>
        <v>1.6</v>
      </c>
      <c r="G18" s="1">
        <f>D18*怪物经验!C18</f>
        <v>25200</v>
      </c>
      <c r="H18" s="1">
        <f>任务经验!F18</f>
        <v>1260</v>
      </c>
      <c r="I18" s="1">
        <v>20</v>
      </c>
      <c r="J18" s="1">
        <f>LOOKUP(I18,组队副本!A:A,组队副本!I:I)</f>
        <v>58800</v>
      </c>
      <c r="K18" s="1">
        <f t="shared" si="5"/>
        <v>35280</v>
      </c>
      <c r="M18" s="13">
        <v>61740</v>
      </c>
    </row>
    <row r="19" spans="1:13" s="1" customFormat="1" ht="20.100000000000001" customHeight="1" x14ac:dyDescent="0.2">
      <c r="A19" s="1">
        <v>18</v>
      </c>
      <c r="B19" s="1">
        <f t="shared" si="0"/>
        <v>69500</v>
      </c>
      <c r="C19" s="1">
        <f t="shared" si="1"/>
        <v>69500</v>
      </c>
      <c r="D19" s="1">
        <f t="shared" si="4"/>
        <v>130</v>
      </c>
      <c r="E19" s="1">
        <f t="shared" si="2"/>
        <v>0.13</v>
      </c>
      <c r="F19" s="1">
        <f>SUM($E$2:E19)</f>
        <v>1.73</v>
      </c>
      <c r="G19" s="1">
        <f>D19*怪物经验!C19</f>
        <v>29900</v>
      </c>
      <c r="H19" s="1">
        <f>任务经验!F19</f>
        <v>1380</v>
      </c>
      <c r="I19" s="1">
        <v>20</v>
      </c>
      <c r="J19" s="1">
        <f>LOOKUP(I19,组队副本!A:A,组队副本!I:I)</f>
        <v>58800</v>
      </c>
      <c r="K19" s="1">
        <f t="shared" si="5"/>
        <v>38220</v>
      </c>
      <c r="M19" s="13">
        <v>69500</v>
      </c>
    </row>
    <row r="20" spans="1:13" s="1" customFormat="1" ht="20.100000000000001" customHeight="1" x14ac:dyDescent="0.2">
      <c r="A20" s="1">
        <v>19</v>
      </c>
      <c r="B20" s="1">
        <f t="shared" si="0"/>
        <v>110300</v>
      </c>
      <c r="C20" s="1">
        <f t="shared" si="1"/>
        <v>110300</v>
      </c>
      <c r="D20" s="1">
        <v>200</v>
      </c>
      <c r="E20" s="1">
        <f t="shared" si="2"/>
        <v>0.2</v>
      </c>
      <c r="F20" s="1">
        <f>SUM($E$2:E20)</f>
        <v>1.93</v>
      </c>
      <c r="G20" s="1">
        <f>D20*怪物经验!C20</f>
        <v>50000</v>
      </c>
      <c r="H20" s="1">
        <f>任务经验!F20</f>
        <v>1500</v>
      </c>
      <c r="I20" s="1">
        <v>20</v>
      </c>
      <c r="J20" s="1">
        <f>LOOKUP(I20,组队副本!A:A,组队副本!I:I)</f>
        <v>58800</v>
      </c>
      <c r="K20" s="1">
        <f t="shared" si="5"/>
        <v>58800</v>
      </c>
      <c r="M20" s="13">
        <v>110300</v>
      </c>
    </row>
    <row r="21" spans="1:13" s="1" customFormat="1" ht="20.100000000000001" customHeight="1" x14ac:dyDescent="0.2">
      <c r="A21" s="1">
        <v>20</v>
      </c>
      <c r="B21" s="1">
        <f t="shared" si="0"/>
        <v>122220</v>
      </c>
      <c r="C21" s="1">
        <f t="shared" si="1"/>
        <v>122200</v>
      </c>
      <c r="D21" s="1">
        <f t="shared" si="4"/>
        <v>210</v>
      </c>
      <c r="E21" s="1">
        <f t="shared" si="2"/>
        <v>0.21</v>
      </c>
      <c r="F21" s="1">
        <f>SUM($E$2:E21)</f>
        <v>2.14</v>
      </c>
      <c r="G21" s="1">
        <f>D21*怪物经验!C21</f>
        <v>58800</v>
      </c>
      <c r="H21" s="1">
        <f>任务经验!F21</f>
        <v>1680</v>
      </c>
      <c r="I21" s="1">
        <v>20</v>
      </c>
      <c r="J21" s="1">
        <f>LOOKUP(I21,组队副本!A:A,组队副本!I:I)</f>
        <v>58800</v>
      </c>
      <c r="K21" s="1">
        <f t="shared" si="5"/>
        <v>61740</v>
      </c>
      <c r="M21" s="13">
        <v>122220</v>
      </c>
    </row>
    <row r="22" spans="1:13" s="1" customFormat="1" ht="20.100000000000001" customHeight="1" x14ac:dyDescent="0.2">
      <c r="A22" s="1">
        <v>21</v>
      </c>
      <c r="B22" s="1">
        <f t="shared" si="0"/>
        <v>135050</v>
      </c>
      <c r="C22" s="1">
        <f t="shared" si="1"/>
        <v>135100</v>
      </c>
      <c r="D22" s="1">
        <f t="shared" si="4"/>
        <v>220</v>
      </c>
      <c r="E22" s="1">
        <f t="shared" si="2"/>
        <v>0.22</v>
      </c>
      <c r="F22" s="1">
        <f>SUM($E$2:E22)</f>
        <v>2.3600000000000003</v>
      </c>
      <c r="G22" s="1">
        <f>D22*怪物经验!C22</f>
        <v>68200</v>
      </c>
      <c r="H22" s="1">
        <f>任务经验!F22</f>
        <v>2170</v>
      </c>
      <c r="I22" s="1">
        <v>20</v>
      </c>
      <c r="J22" s="1">
        <f>LOOKUP(I22,组队副本!A:A,组队副本!I:I)</f>
        <v>58800</v>
      </c>
      <c r="K22" s="1">
        <f t="shared" si="5"/>
        <v>64680</v>
      </c>
      <c r="M22" s="14">
        <v>135050</v>
      </c>
    </row>
    <row r="23" spans="1:13" s="1" customFormat="1" ht="20.100000000000001" customHeight="1" x14ac:dyDescent="0.2">
      <c r="A23" s="1">
        <v>22</v>
      </c>
      <c r="B23" s="1">
        <f t="shared" si="0"/>
        <v>148200</v>
      </c>
      <c r="C23" s="1">
        <f t="shared" si="1"/>
        <v>148200</v>
      </c>
      <c r="D23" s="1">
        <f t="shared" si="4"/>
        <v>230</v>
      </c>
      <c r="E23" s="1">
        <f t="shared" si="2"/>
        <v>0.23</v>
      </c>
      <c r="F23" s="1">
        <f>SUM($E$2:E23)</f>
        <v>2.5900000000000003</v>
      </c>
      <c r="G23" s="1">
        <f>D23*怪物经验!C23</f>
        <v>78200</v>
      </c>
      <c r="H23" s="1">
        <f>任务经验!F23</f>
        <v>2380</v>
      </c>
      <c r="I23" s="1">
        <v>20</v>
      </c>
      <c r="J23" s="1">
        <f>LOOKUP(I23,组队副本!A:A,组队副本!I:I)</f>
        <v>58800</v>
      </c>
      <c r="K23" s="1">
        <f t="shared" si="5"/>
        <v>67620</v>
      </c>
      <c r="M23" s="14">
        <v>148200</v>
      </c>
    </row>
    <row r="24" spans="1:13" s="1" customFormat="1" ht="20.100000000000001" customHeight="1" x14ac:dyDescent="0.2">
      <c r="A24" s="1">
        <v>23</v>
      </c>
      <c r="B24" s="1">
        <f t="shared" si="0"/>
        <v>161950</v>
      </c>
      <c r="C24" s="1">
        <f t="shared" si="1"/>
        <v>162000</v>
      </c>
      <c r="D24" s="1">
        <f t="shared" si="4"/>
        <v>240</v>
      </c>
      <c r="E24" s="1">
        <f t="shared" si="2"/>
        <v>0.24</v>
      </c>
      <c r="F24" s="1">
        <f>SUM($E$2:E24)</f>
        <v>2.83</v>
      </c>
      <c r="G24" s="1">
        <f>D24*怪物经验!C24</f>
        <v>88800</v>
      </c>
      <c r="H24" s="1">
        <f>任务经验!F24</f>
        <v>2590</v>
      </c>
      <c r="I24" s="1">
        <v>20</v>
      </c>
      <c r="J24" s="1">
        <f>LOOKUP(I24,组队副本!A:A,组队副本!I:I)</f>
        <v>58800</v>
      </c>
      <c r="K24" s="1">
        <f t="shared" si="5"/>
        <v>70560</v>
      </c>
      <c r="M24" s="14">
        <v>161950</v>
      </c>
    </row>
    <row r="25" spans="1:13" s="1" customFormat="1" ht="20.100000000000001" customHeight="1" x14ac:dyDescent="0.2">
      <c r="A25" s="1">
        <v>24</v>
      </c>
      <c r="B25" s="1">
        <f t="shared" si="0"/>
        <v>176300</v>
      </c>
      <c r="C25" s="1">
        <f t="shared" si="1"/>
        <v>176300</v>
      </c>
      <c r="D25" s="1">
        <f t="shared" si="4"/>
        <v>250</v>
      </c>
      <c r="E25" s="1">
        <f t="shared" si="2"/>
        <v>0.25</v>
      </c>
      <c r="F25" s="1">
        <f>SUM($E$2:E25)</f>
        <v>3.08</v>
      </c>
      <c r="G25" s="1">
        <f>D25*怪物经验!C25</f>
        <v>100000</v>
      </c>
      <c r="H25" s="1">
        <f>任务经验!F25</f>
        <v>2800</v>
      </c>
      <c r="I25" s="1">
        <v>20</v>
      </c>
      <c r="J25" s="1">
        <f>LOOKUP(I25,组队副本!A:A,组队副本!I:I)</f>
        <v>58800</v>
      </c>
      <c r="K25" s="1">
        <f t="shared" si="5"/>
        <v>73500</v>
      </c>
      <c r="M25" s="14">
        <v>176300</v>
      </c>
    </row>
    <row r="26" spans="1:13" s="1" customFormat="1" ht="20.100000000000001" customHeight="1" x14ac:dyDescent="0.2">
      <c r="A26" s="1">
        <v>25</v>
      </c>
      <c r="B26" s="1">
        <f t="shared" si="0"/>
        <v>191250</v>
      </c>
      <c r="C26" s="1">
        <f t="shared" si="1"/>
        <v>191300</v>
      </c>
      <c r="D26" s="1">
        <f t="shared" si="4"/>
        <v>260</v>
      </c>
      <c r="E26" s="1">
        <f t="shared" si="2"/>
        <v>0.26</v>
      </c>
      <c r="F26" s="1">
        <f>SUM($E$2:E26)</f>
        <v>3.34</v>
      </c>
      <c r="G26" s="1">
        <f>D26*怪物经验!C26</f>
        <v>111800</v>
      </c>
      <c r="H26" s="1">
        <f>任务经验!F26</f>
        <v>3010</v>
      </c>
      <c r="I26" s="1">
        <v>20</v>
      </c>
      <c r="J26" s="1">
        <f>LOOKUP(I26,组队副本!A:A,组队副本!I:I)</f>
        <v>58800</v>
      </c>
      <c r="K26" s="1">
        <f t="shared" si="5"/>
        <v>76440</v>
      </c>
      <c r="M26" s="14">
        <v>191250</v>
      </c>
    </row>
    <row r="27" spans="1:13" s="1" customFormat="1" ht="20.100000000000001" customHeight="1" x14ac:dyDescent="0.2">
      <c r="A27" s="1">
        <v>26</v>
      </c>
      <c r="B27" s="1">
        <f t="shared" si="0"/>
        <v>207260</v>
      </c>
      <c r="C27" s="1">
        <f t="shared" si="1"/>
        <v>207300</v>
      </c>
      <c r="D27" s="1">
        <f t="shared" si="4"/>
        <v>270</v>
      </c>
      <c r="E27" s="1">
        <f t="shared" si="2"/>
        <v>0.27</v>
      </c>
      <c r="F27" s="1">
        <f>SUM($E$2:E27)</f>
        <v>3.61</v>
      </c>
      <c r="G27" s="1">
        <f>D27*怪物经验!C27</f>
        <v>124200</v>
      </c>
      <c r="H27" s="1">
        <f>任务经验!F27</f>
        <v>3680</v>
      </c>
      <c r="I27" s="1">
        <v>20</v>
      </c>
      <c r="J27" s="1">
        <f>LOOKUP(I27,组队副本!A:A,组队副本!I:I)</f>
        <v>58800</v>
      </c>
      <c r="K27" s="1">
        <f t="shared" si="5"/>
        <v>79380.000000000015</v>
      </c>
      <c r="M27" s="14">
        <v>207260</v>
      </c>
    </row>
    <row r="28" spans="1:13" s="1" customFormat="1" ht="20.100000000000001" customHeight="1" x14ac:dyDescent="0.2">
      <c r="A28" s="1">
        <v>27</v>
      </c>
      <c r="B28" s="1">
        <f t="shared" si="0"/>
        <v>223440</v>
      </c>
      <c r="C28" s="1">
        <f t="shared" si="1"/>
        <v>223400</v>
      </c>
      <c r="D28" s="1">
        <f t="shared" si="4"/>
        <v>280</v>
      </c>
      <c r="E28" s="1">
        <f t="shared" si="2"/>
        <v>0.28000000000000003</v>
      </c>
      <c r="F28" s="1">
        <f>SUM($E$2:E28)</f>
        <v>3.8899999999999997</v>
      </c>
      <c r="G28" s="1">
        <f>D28*怪物经验!C28</f>
        <v>137200</v>
      </c>
      <c r="H28" s="1">
        <f>任务经验!F28</f>
        <v>3920</v>
      </c>
      <c r="I28" s="1">
        <v>20</v>
      </c>
      <c r="J28" s="1">
        <f>LOOKUP(I28,组队副本!A:A,组队副本!I:I)</f>
        <v>58800</v>
      </c>
      <c r="K28" s="1">
        <f t="shared" si="5"/>
        <v>82320</v>
      </c>
      <c r="M28" s="14">
        <v>223440</v>
      </c>
    </row>
    <row r="29" spans="1:13" s="1" customFormat="1" ht="20.100000000000001" customHeight="1" x14ac:dyDescent="0.2">
      <c r="A29" s="1">
        <v>28</v>
      </c>
      <c r="B29" s="1">
        <f t="shared" si="0"/>
        <v>240220</v>
      </c>
      <c r="C29" s="1">
        <f t="shared" si="1"/>
        <v>240200</v>
      </c>
      <c r="D29" s="1">
        <f t="shared" si="4"/>
        <v>290</v>
      </c>
      <c r="E29" s="1">
        <f t="shared" si="2"/>
        <v>0.28999999999999998</v>
      </c>
      <c r="F29" s="1">
        <f>SUM($E$2:E29)</f>
        <v>4.18</v>
      </c>
      <c r="G29" s="1">
        <f>D29*怪物经验!C29</f>
        <v>150800</v>
      </c>
      <c r="H29" s="1">
        <f>任务经验!F29</f>
        <v>4160</v>
      </c>
      <c r="I29" s="1">
        <v>20</v>
      </c>
      <c r="J29" s="1">
        <f>LOOKUP(I29,组队副本!A:A,组队副本!I:I)</f>
        <v>58800</v>
      </c>
      <c r="K29" s="1">
        <f t="shared" si="5"/>
        <v>85260</v>
      </c>
      <c r="M29" s="14">
        <v>240220</v>
      </c>
    </row>
    <row r="30" spans="1:13" s="1" customFormat="1" ht="20.100000000000001" customHeight="1" x14ac:dyDescent="0.2">
      <c r="A30" s="1">
        <v>29</v>
      </c>
      <c r="B30" s="1">
        <f t="shared" si="0"/>
        <v>299800</v>
      </c>
      <c r="C30" s="1">
        <f t="shared" si="1"/>
        <v>299800</v>
      </c>
      <c r="D30" s="1">
        <v>350</v>
      </c>
      <c r="E30" s="1">
        <f t="shared" si="2"/>
        <v>0.35</v>
      </c>
      <c r="F30" s="1">
        <f>SUM($E$2:E30)</f>
        <v>4.5299999999999994</v>
      </c>
      <c r="G30" s="1">
        <f>D30*怪物经验!C30</f>
        <v>192500</v>
      </c>
      <c r="H30" s="1">
        <f>任务经验!F30</f>
        <v>4400</v>
      </c>
      <c r="I30" s="1">
        <v>20</v>
      </c>
      <c r="J30" s="1">
        <f>LOOKUP(I30,组队副本!A:A,组队副本!I:I)</f>
        <v>58800</v>
      </c>
      <c r="K30" s="1">
        <f t="shared" si="5"/>
        <v>102900</v>
      </c>
      <c r="M30" s="14">
        <v>299800</v>
      </c>
    </row>
    <row r="31" spans="1:13" s="1" customFormat="1" ht="20.100000000000001" customHeight="1" x14ac:dyDescent="0.2">
      <c r="A31" s="1">
        <v>30</v>
      </c>
      <c r="B31" s="1">
        <f t="shared" si="0"/>
        <v>432680</v>
      </c>
      <c r="C31" s="1">
        <f t="shared" si="1"/>
        <v>432700</v>
      </c>
      <c r="D31" s="1">
        <f t="shared" si="4"/>
        <v>360</v>
      </c>
      <c r="E31" s="1">
        <f t="shared" si="2"/>
        <v>0.36</v>
      </c>
      <c r="F31" s="1">
        <f>SUM($E$2:E31)</f>
        <v>4.8899999999999997</v>
      </c>
      <c r="G31" s="1">
        <f>D31*怪物经验!C31</f>
        <v>208800</v>
      </c>
      <c r="H31" s="1">
        <f>任务经验!F31</f>
        <v>4640</v>
      </c>
      <c r="I31" s="1">
        <v>30</v>
      </c>
      <c r="J31" s="1">
        <f>LOOKUP(I31,组队副本!A:A,组队副本!I:I)</f>
        <v>121800</v>
      </c>
      <c r="K31" s="1">
        <f t="shared" si="5"/>
        <v>219240</v>
      </c>
      <c r="M31" s="14">
        <v>432680</v>
      </c>
    </row>
    <row r="32" spans="1:13" s="1" customFormat="1" ht="20.100000000000001" customHeight="1" x14ac:dyDescent="0.2">
      <c r="A32" s="1">
        <v>31</v>
      </c>
      <c r="B32" s="1">
        <f t="shared" si="0"/>
        <v>456520</v>
      </c>
      <c r="C32" s="1">
        <f t="shared" si="1"/>
        <v>456500</v>
      </c>
      <c r="D32" s="1">
        <f t="shared" si="4"/>
        <v>370</v>
      </c>
      <c r="E32" s="1">
        <f t="shared" si="2"/>
        <v>0.37</v>
      </c>
      <c r="F32" s="1">
        <f>SUM($E$2:E32)</f>
        <v>5.26</v>
      </c>
      <c r="G32" s="1">
        <f>D32*怪物经验!C32</f>
        <v>225700</v>
      </c>
      <c r="H32" s="1">
        <f>任务经验!F32</f>
        <v>5490</v>
      </c>
      <c r="I32" s="1">
        <v>30</v>
      </c>
      <c r="J32" s="1">
        <f>LOOKUP(I32,组队副本!A:A,组队副本!I:I)</f>
        <v>121800</v>
      </c>
      <c r="K32" s="1">
        <f t="shared" si="5"/>
        <v>225330</v>
      </c>
      <c r="M32" s="14">
        <v>456520</v>
      </c>
    </row>
    <row r="33" spans="1:13" s="1" customFormat="1" ht="20.100000000000001" customHeight="1" x14ac:dyDescent="0.2">
      <c r="A33" s="1">
        <v>32</v>
      </c>
      <c r="B33" s="1">
        <f t="shared" si="0"/>
        <v>480380</v>
      </c>
      <c r="C33" s="1">
        <f t="shared" si="1"/>
        <v>480400</v>
      </c>
      <c r="D33" s="1">
        <f t="shared" si="4"/>
        <v>380</v>
      </c>
      <c r="E33" s="1">
        <f t="shared" si="2"/>
        <v>0.38</v>
      </c>
      <c r="F33" s="1">
        <f>SUM($E$2:E33)</f>
        <v>5.64</v>
      </c>
      <c r="G33" s="1">
        <f>D33*怪物经验!C33</f>
        <v>243200</v>
      </c>
      <c r="H33" s="1">
        <f>任务经验!F33</f>
        <v>5760</v>
      </c>
      <c r="I33" s="1">
        <v>30</v>
      </c>
      <c r="J33" s="1">
        <f>LOOKUP(I33,组队副本!A:A,组队副本!I:I)</f>
        <v>121800</v>
      </c>
      <c r="K33" s="1">
        <f t="shared" si="5"/>
        <v>231420</v>
      </c>
      <c r="M33" s="14">
        <v>480380</v>
      </c>
    </row>
    <row r="34" spans="1:13" s="1" customFormat="1" ht="20.100000000000001" customHeight="1" x14ac:dyDescent="0.2">
      <c r="A34" s="1">
        <v>33</v>
      </c>
      <c r="B34" s="1">
        <f t="shared" si="0"/>
        <v>504840</v>
      </c>
      <c r="C34" s="1">
        <f t="shared" si="1"/>
        <v>504800</v>
      </c>
      <c r="D34" s="1">
        <f t="shared" si="4"/>
        <v>390</v>
      </c>
      <c r="E34" s="1">
        <f t="shared" si="2"/>
        <v>0.39</v>
      </c>
      <c r="F34" s="1">
        <f>SUM($E$2:E34)</f>
        <v>6.0299999999999994</v>
      </c>
      <c r="G34" s="1">
        <f>D34*怪物经验!C34</f>
        <v>261300</v>
      </c>
      <c r="H34" s="1">
        <f>任务经验!F34</f>
        <v>6030</v>
      </c>
      <c r="I34" s="1">
        <v>30</v>
      </c>
      <c r="J34" s="1">
        <f>LOOKUP(I34,组队副本!A:A,组队副本!I:I)</f>
        <v>121800</v>
      </c>
      <c r="K34" s="1">
        <f t="shared" si="5"/>
        <v>237510</v>
      </c>
      <c r="M34" s="14">
        <v>504840</v>
      </c>
    </row>
    <row r="35" spans="1:13" s="1" customFormat="1" ht="20.100000000000001" customHeight="1" x14ac:dyDescent="0.2">
      <c r="A35" s="1">
        <v>34</v>
      </c>
      <c r="B35" s="1">
        <f t="shared" si="0"/>
        <v>529900</v>
      </c>
      <c r="C35" s="1">
        <f t="shared" si="1"/>
        <v>529900</v>
      </c>
      <c r="D35" s="1">
        <f t="shared" si="4"/>
        <v>400</v>
      </c>
      <c r="E35" s="1">
        <f t="shared" si="2"/>
        <v>0.4</v>
      </c>
      <c r="F35" s="1">
        <f>SUM($E$2:E35)</f>
        <v>6.43</v>
      </c>
      <c r="G35" s="1">
        <f>D35*怪物经验!C35</f>
        <v>280000</v>
      </c>
      <c r="H35" s="1">
        <f>任务经验!F35</f>
        <v>6300</v>
      </c>
      <c r="I35" s="1">
        <v>30</v>
      </c>
      <c r="J35" s="1">
        <f>LOOKUP(I35,组队副本!A:A,组队副本!I:I)</f>
        <v>121800</v>
      </c>
      <c r="K35" s="1">
        <f t="shared" si="5"/>
        <v>243600</v>
      </c>
      <c r="M35" s="14">
        <v>529900</v>
      </c>
    </row>
    <row r="36" spans="1:13" s="1" customFormat="1" ht="20.100000000000001" customHeight="1" x14ac:dyDescent="0.2">
      <c r="A36" s="1">
        <v>35</v>
      </c>
      <c r="B36" s="1">
        <f t="shared" si="0"/>
        <v>555560</v>
      </c>
      <c r="C36" s="1">
        <f t="shared" si="1"/>
        <v>555600</v>
      </c>
      <c r="D36" s="1">
        <f t="shared" si="4"/>
        <v>410</v>
      </c>
      <c r="E36" s="1">
        <f t="shared" si="2"/>
        <v>0.41</v>
      </c>
      <c r="F36" s="1">
        <f>SUM($E$2:E36)</f>
        <v>6.84</v>
      </c>
      <c r="G36" s="1">
        <f>D36*怪物经验!C36</f>
        <v>299300</v>
      </c>
      <c r="H36" s="1">
        <f>任务经验!F36</f>
        <v>6570</v>
      </c>
      <c r="I36" s="1">
        <v>30</v>
      </c>
      <c r="J36" s="1">
        <f>LOOKUP(I36,组队副本!A:A,组队副本!I:I)</f>
        <v>121800</v>
      </c>
      <c r="K36" s="1">
        <f t="shared" si="5"/>
        <v>249690</v>
      </c>
      <c r="M36" s="14">
        <v>555560</v>
      </c>
    </row>
    <row r="37" spans="1:13" s="1" customFormat="1" ht="20.100000000000001" customHeight="1" x14ac:dyDescent="0.2">
      <c r="A37" s="1">
        <v>36</v>
      </c>
      <c r="B37" s="1">
        <f t="shared" si="0"/>
        <v>582580</v>
      </c>
      <c r="C37" s="1">
        <f t="shared" si="1"/>
        <v>582600</v>
      </c>
      <c r="D37" s="1">
        <f t="shared" si="4"/>
        <v>420</v>
      </c>
      <c r="E37" s="1">
        <f t="shared" si="2"/>
        <v>0.42</v>
      </c>
      <c r="F37" s="1">
        <f>SUM($E$2:E37)</f>
        <v>7.26</v>
      </c>
      <c r="G37" s="1">
        <f>D37*怪物经验!C37</f>
        <v>319200</v>
      </c>
      <c r="H37" s="1">
        <f>任务经验!F37</f>
        <v>7600</v>
      </c>
      <c r="I37" s="1">
        <v>30</v>
      </c>
      <c r="J37" s="1">
        <f>LOOKUP(I37,组队副本!A:A,组队副本!I:I)</f>
        <v>121800</v>
      </c>
      <c r="K37" s="1">
        <f t="shared" si="5"/>
        <v>255780</v>
      </c>
      <c r="M37" s="14">
        <v>582580</v>
      </c>
    </row>
    <row r="38" spans="1:13" s="1" customFormat="1" ht="20.100000000000001" customHeight="1" x14ac:dyDescent="0.2">
      <c r="A38" s="1">
        <v>37</v>
      </c>
      <c r="B38" s="1">
        <f t="shared" si="0"/>
        <v>609470</v>
      </c>
      <c r="C38" s="1">
        <f t="shared" si="1"/>
        <v>609500</v>
      </c>
      <c r="D38" s="1">
        <f t="shared" si="4"/>
        <v>430</v>
      </c>
      <c r="E38" s="1">
        <f t="shared" si="2"/>
        <v>0.43</v>
      </c>
      <c r="F38" s="1">
        <f>SUM($E$2:E38)</f>
        <v>7.6899999999999995</v>
      </c>
      <c r="G38" s="1">
        <f>D38*怪物经验!C38</f>
        <v>339700</v>
      </c>
      <c r="H38" s="1">
        <f>任务经验!F38</f>
        <v>7900</v>
      </c>
      <c r="I38" s="1">
        <v>30</v>
      </c>
      <c r="J38" s="1">
        <f>LOOKUP(I38,组队副本!A:A,组队副本!I:I)</f>
        <v>121800</v>
      </c>
      <c r="K38" s="1">
        <f t="shared" si="5"/>
        <v>261870</v>
      </c>
      <c r="M38" s="14">
        <v>609470</v>
      </c>
    </row>
    <row r="39" spans="1:13" s="1" customFormat="1" ht="20.100000000000001" customHeight="1" x14ac:dyDescent="0.2">
      <c r="A39" s="1">
        <v>38</v>
      </c>
      <c r="B39" s="1">
        <f t="shared" si="0"/>
        <v>636960</v>
      </c>
      <c r="C39" s="1">
        <f t="shared" si="1"/>
        <v>637000</v>
      </c>
      <c r="D39" s="1">
        <f t="shared" si="4"/>
        <v>440</v>
      </c>
      <c r="E39" s="1">
        <f t="shared" si="2"/>
        <v>0.44</v>
      </c>
      <c r="F39" s="1">
        <f>SUM($E$2:E39)</f>
        <v>8.129999999999999</v>
      </c>
      <c r="G39" s="1">
        <f>D39*怪物经验!C39</f>
        <v>360800</v>
      </c>
      <c r="H39" s="1">
        <f>任务经验!F39</f>
        <v>8200</v>
      </c>
      <c r="I39" s="1">
        <v>30</v>
      </c>
      <c r="J39" s="1">
        <f>LOOKUP(I39,组队副本!A:A,组队副本!I:I)</f>
        <v>121800</v>
      </c>
      <c r="K39" s="1">
        <f t="shared" si="5"/>
        <v>267960</v>
      </c>
      <c r="M39" s="14">
        <v>636960</v>
      </c>
    </row>
    <row r="40" spans="1:13" s="1" customFormat="1" ht="20.100000000000001" customHeight="1" x14ac:dyDescent="0.2">
      <c r="A40" s="1">
        <v>39</v>
      </c>
      <c r="B40" s="1">
        <f t="shared" si="0"/>
        <v>738000</v>
      </c>
      <c r="C40" s="1">
        <f t="shared" si="1"/>
        <v>738000</v>
      </c>
      <c r="D40" s="1">
        <v>500</v>
      </c>
      <c r="E40" s="1">
        <f t="shared" si="2"/>
        <v>0.5</v>
      </c>
      <c r="F40" s="1">
        <f>SUM($E$2:E40)</f>
        <v>8.629999999999999</v>
      </c>
      <c r="G40" s="1">
        <f>D40*怪物经验!C40</f>
        <v>425000</v>
      </c>
      <c r="H40" s="1">
        <f>任务经验!F40</f>
        <v>8500</v>
      </c>
      <c r="I40" s="1">
        <v>30</v>
      </c>
      <c r="J40" s="1">
        <f>LOOKUP(I40,组队副本!A:A,组队副本!I:I)</f>
        <v>121800</v>
      </c>
      <c r="K40" s="1">
        <f t="shared" si="5"/>
        <v>304500</v>
      </c>
      <c r="M40" s="14">
        <v>738000</v>
      </c>
    </row>
    <row r="41" spans="1:13" s="1" customFormat="1" ht="20.100000000000001" customHeight="1" x14ac:dyDescent="0.2">
      <c r="A41" s="1">
        <v>40</v>
      </c>
      <c r="B41" s="1">
        <f t="shared" si="0"/>
        <v>928840</v>
      </c>
      <c r="C41" s="1">
        <f t="shared" si="1"/>
        <v>928800</v>
      </c>
      <c r="D41" s="1">
        <f t="shared" si="4"/>
        <v>510</v>
      </c>
      <c r="E41" s="1">
        <f t="shared" si="2"/>
        <v>0.51</v>
      </c>
      <c r="F41" s="1">
        <f>SUM($E$2:E41)</f>
        <v>9.1399999999999988</v>
      </c>
      <c r="G41" s="1">
        <f>D41*怪物经验!C41</f>
        <v>448800</v>
      </c>
      <c r="H41" s="1">
        <f>任务经验!F41</f>
        <v>8800</v>
      </c>
      <c r="I41" s="1">
        <v>40</v>
      </c>
      <c r="J41" s="1">
        <f>LOOKUP(I41,组队副本!A:A,组队副本!I:I)</f>
        <v>184800</v>
      </c>
      <c r="K41" s="1">
        <f t="shared" si="5"/>
        <v>471240</v>
      </c>
      <c r="M41" s="14">
        <v>928840</v>
      </c>
    </row>
    <row r="42" spans="1:13" s="1" customFormat="1" ht="20.100000000000001" customHeight="1" x14ac:dyDescent="0.2">
      <c r="A42" s="1">
        <v>41</v>
      </c>
      <c r="B42" s="1">
        <f t="shared" si="0"/>
        <v>962780</v>
      </c>
      <c r="C42" s="1">
        <f t="shared" si="1"/>
        <v>962800</v>
      </c>
      <c r="D42" s="1">
        <f t="shared" si="4"/>
        <v>520</v>
      </c>
      <c r="E42" s="1">
        <f t="shared" si="2"/>
        <v>0.52</v>
      </c>
      <c r="F42" s="1">
        <f>SUM($E$2:E42)</f>
        <v>9.6599999999999984</v>
      </c>
      <c r="G42" s="1">
        <f>D42*怪物经验!C42</f>
        <v>473200</v>
      </c>
      <c r="H42" s="1">
        <f>任务经验!F42</f>
        <v>9100</v>
      </c>
      <c r="I42" s="1">
        <v>40</v>
      </c>
      <c r="J42" s="1">
        <f>LOOKUP(I42,组队副本!A:A,组队副本!I:I)</f>
        <v>184800</v>
      </c>
      <c r="K42" s="1">
        <f t="shared" si="5"/>
        <v>480480</v>
      </c>
      <c r="M42" s="14">
        <v>962780</v>
      </c>
    </row>
    <row r="43" spans="1:13" s="1" customFormat="1" ht="20.100000000000001" customHeight="1" x14ac:dyDescent="0.2">
      <c r="A43" s="1">
        <v>42</v>
      </c>
      <c r="B43" s="1">
        <f t="shared" si="0"/>
        <v>997320</v>
      </c>
      <c r="C43" s="1">
        <f t="shared" si="1"/>
        <v>997300</v>
      </c>
      <c r="D43" s="1">
        <f t="shared" si="4"/>
        <v>530</v>
      </c>
      <c r="E43" s="1">
        <f t="shared" si="2"/>
        <v>0.53</v>
      </c>
      <c r="F43" s="1">
        <f>SUM($E$2:E43)</f>
        <v>10.189999999999998</v>
      </c>
      <c r="G43" s="1">
        <f>D43*怪物经验!C43</f>
        <v>498200</v>
      </c>
      <c r="H43" s="1">
        <f>任务经验!F43</f>
        <v>9400</v>
      </c>
      <c r="I43" s="1">
        <v>40</v>
      </c>
      <c r="J43" s="1">
        <f>LOOKUP(I43,组队副本!A:A,组队副本!I:I)</f>
        <v>184800</v>
      </c>
      <c r="K43" s="1">
        <f t="shared" si="5"/>
        <v>489720</v>
      </c>
      <c r="M43" s="14">
        <v>997320</v>
      </c>
    </row>
    <row r="44" spans="1:13" s="1" customFormat="1" ht="20.100000000000001" customHeight="1" x14ac:dyDescent="0.2">
      <c r="A44" s="1">
        <v>43</v>
      </c>
      <c r="B44" s="1">
        <f t="shared" si="0"/>
        <v>1032460</v>
      </c>
      <c r="C44" s="1">
        <f t="shared" si="1"/>
        <v>1032500</v>
      </c>
      <c r="D44" s="1">
        <f t="shared" si="4"/>
        <v>540</v>
      </c>
      <c r="E44" s="1">
        <f t="shared" si="2"/>
        <v>0.54</v>
      </c>
      <c r="F44" s="1">
        <f>SUM($E$2:E44)</f>
        <v>10.729999999999997</v>
      </c>
      <c r="G44" s="1">
        <f>D44*怪物经验!C44</f>
        <v>523800</v>
      </c>
      <c r="H44" s="1">
        <f>任务经验!F44</f>
        <v>9700</v>
      </c>
      <c r="I44" s="1">
        <v>40</v>
      </c>
      <c r="J44" s="1">
        <f>LOOKUP(I44,组队副本!A:A,组队副本!I:I)</f>
        <v>184800</v>
      </c>
      <c r="K44" s="1">
        <f t="shared" si="5"/>
        <v>498960</v>
      </c>
      <c r="M44" s="14">
        <v>1032460</v>
      </c>
    </row>
    <row r="45" spans="1:13" s="1" customFormat="1" ht="20.100000000000001" customHeight="1" x14ac:dyDescent="0.2">
      <c r="A45" s="1">
        <v>44</v>
      </c>
      <c r="B45" s="1">
        <f t="shared" si="0"/>
        <v>1068200</v>
      </c>
      <c r="C45" s="1">
        <f t="shared" si="1"/>
        <v>1068200</v>
      </c>
      <c r="D45" s="1">
        <f t="shared" si="4"/>
        <v>550</v>
      </c>
      <c r="E45" s="1">
        <f t="shared" si="2"/>
        <v>0.55000000000000004</v>
      </c>
      <c r="F45" s="1">
        <f>SUM($E$2:E45)</f>
        <v>11.279999999999998</v>
      </c>
      <c r="G45" s="1">
        <f>D45*怪物经验!C45</f>
        <v>550000</v>
      </c>
      <c r="H45" s="1">
        <f>任务经验!F45</f>
        <v>10000</v>
      </c>
      <c r="I45" s="1">
        <v>40</v>
      </c>
      <c r="J45" s="1">
        <f>LOOKUP(I45,组队副本!A:A,组队副本!I:I)</f>
        <v>184800</v>
      </c>
      <c r="K45" s="1">
        <f t="shared" si="5"/>
        <v>508200.00000000006</v>
      </c>
      <c r="M45" s="14">
        <v>1068200</v>
      </c>
    </row>
    <row r="46" spans="1:13" s="1" customFormat="1" ht="20.100000000000001" customHeight="1" x14ac:dyDescent="0.2">
      <c r="A46" s="1">
        <v>45</v>
      </c>
      <c r="B46" s="1">
        <f t="shared" si="0"/>
        <v>1104540</v>
      </c>
      <c r="C46" s="1">
        <f t="shared" si="1"/>
        <v>1104500</v>
      </c>
      <c r="D46" s="1">
        <f t="shared" si="4"/>
        <v>560</v>
      </c>
      <c r="E46" s="1">
        <f t="shared" si="2"/>
        <v>0.56000000000000005</v>
      </c>
      <c r="F46" s="1">
        <f>SUM($E$2:E46)</f>
        <v>11.839999999999998</v>
      </c>
      <c r="G46" s="1">
        <f>D46*怪物经验!C46</f>
        <v>576800</v>
      </c>
      <c r="H46" s="1">
        <f>任务经验!F46</f>
        <v>10300</v>
      </c>
      <c r="I46" s="1">
        <v>40</v>
      </c>
      <c r="J46" s="1">
        <f>LOOKUP(I46,组队副本!A:A,组队副本!I:I)</f>
        <v>184800</v>
      </c>
      <c r="K46" s="1">
        <f t="shared" si="5"/>
        <v>517440.00000000006</v>
      </c>
      <c r="M46" s="14">
        <v>1104540</v>
      </c>
    </row>
    <row r="47" spans="1:13" s="1" customFormat="1" ht="20.100000000000001" customHeight="1" x14ac:dyDescent="0.2">
      <c r="A47" s="1">
        <v>46</v>
      </c>
      <c r="B47" s="1">
        <f t="shared" si="0"/>
        <v>1141480</v>
      </c>
      <c r="C47" s="1">
        <f t="shared" si="1"/>
        <v>1141500</v>
      </c>
      <c r="D47" s="1">
        <f t="shared" si="4"/>
        <v>570</v>
      </c>
      <c r="E47" s="1">
        <f t="shared" si="2"/>
        <v>0.56999999999999995</v>
      </c>
      <c r="F47" s="1">
        <f>SUM($E$2:E47)</f>
        <v>12.409999999999998</v>
      </c>
      <c r="G47" s="1">
        <f>D47*怪物经验!C47</f>
        <v>604200</v>
      </c>
      <c r="H47" s="1">
        <f>任务经验!F47</f>
        <v>10600</v>
      </c>
      <c r="I47" s="1">
        <v>40</v>
      </c>
      <c r="J47" s="1">
        <f>LOOKUP(I47,组队副本!A:A,组队副本!I:I)</f>
        <v>184800</v>
      </c>
      <c r="K47" s="1">
        <f t="shared" si="5"/>
        <v>526679.99999999988</v>
      </c>
      <c r="M47" s="14">
        <v>1141480</v>
      </c>
    </row>
    <row r="48" spans="1:13" s="1" customFormat="1" ht="20.100000000000001" customHeight="1" x14ac:dyDescent="0.2">
      <c r="A48" s="1">
        <v>47</v>
      </c>
      <c r="B48" s="1">
        <f t="shared" si="0"/>
        <v>1179020</v>
      </c>
      <c r="C48" s="1">
        <f t="shared" si="1"/>
        <v>1179000</v>
      </c>
      <c r="D48" s="1">
        <f t="shared" si="4"/>
        <v>580</v>
      </c>
      <c r="E48" s="1">
        <f t="shared" si="2"/>
        <v>0.57999999999999996</v>
      </c>
      <c r="F48" s="1">
        <f>SUM($E$2:E48)</f>
        <v>12.989999999999998</v>
      </c>
      <c r="G48" s="1">
        <f>D48*怪物经验!C48</f>
        <v>632200</v>
      </c>
      <c r="H48" s="1">
        <f>任务经验!F48</f>
        <v>10900</v>
      </c>
      <c r="I48" s="1">
        <v>40</v>
      </c>
      <c r="J48" s="1">
        <f>LOOKUP(I48,组队副本!A:A,组队副本!I:I)</f>
        <v>184800</v>
      </c>
      <c r="K48" s="1">
        <f t="shared" si="5"/>
        <v>535919.99999999988</v>
      </c>
      <c r="M48" s="14">
        <v>1179020</v>
      </c>
    </row>
    <row r="49" spans="1:13" s="1" customFormat="1" ht="20.100000000000001" customHeight="1" x14ac:dyDescent="0.2">
      <c r="A49" s="1">
        <v>48</v>
      </c>
      <c r="B49" s="1">
        <f t="shared" si="0"/>
        <v>1217160</v>
      </c>
      <c r="C49" s="1">
        <f t="shared" si="1"/>
        <v>1217200</v>
      </c>
      <c r="D49" s="1">
        <f t="shared" si="4"/>
        <v>590</v>
      </c>
      <c r="E49" s="1">
        <f t="shared" si="2"/>
        <v>0.59</v>
      </c>
      <c r="F49" s="1">
        <f>SUM($E$2:E49)</f>
        <v>13.579999999999998</v>
      </c>
      <c r="G49" s="1">
        <f>D49*怪物经验!C49</f>
        <v>660800</v>
      </c>
      <c r="H49" s="1">
        <f>任务经验!F49</f>
        <v>11200</v>
      </c>
      <c r="I49" s="1">
        <v>40</v>
      </c>
      <c r="J49" s="1">
        <f>LOOKUP(I49,组队副本!A:A,组队副本!I:I)</f>
        <v>184800</v>
      </c>
      <c r="K49" s="1">
        <f t="shared" si="5"/>
        <v>545160</v>
      </c>
      <c r="M49" s="14">
        <v>1217160</v>
      </c>
    </row>
    <row r="50" spans="1:13" s="1" customFormat="1" ht="20.100000000000001" customHeight="1" x14ac:dyDescent="0.2">
      <c r="A50" s="1">
        <v>49</v>
      </c>
      <c r="B50" s="1">
        <f t="shared" si="0"/>
        <v>1463300</v>
      </c>
      <c r="C50" s="1">
        <f t="shared" si="1"/>
        <v>1463300</v>
      </c>
      <c r="D50" s="1">
        <v>700</v>
      </c>
      <c r="E50" s="1">
        <f t="shared" si="2"/>
        <v>0.7</v>
      </c>
      <c r="F50" s="1">
        <f>SUM($E$2:E50)</f>
        <v>14.279999999999998</v>
      </c>
      <c r="G50" s="1">
        <f>D50*怪物经验!C50</f>
        <v>805000</v>
      </c>
      <c r="H50" s="1">
        <f>任务经验!F50</f>
        <v>11500</v>
      </c>
      <c r="I50" s="1">
        <v>40</v>
      </c>
      <c r="J50" s="1">
        <f>LOOKUP(I50,组队副本!A:A,组队副本!I:I)</f>
        <v>184800</v>
      </c>
      <c r="K50" s="1">
        <f t="shared" si="5"/>
        <v>646799.99999999988</v>
      </c>
      <c r="M50" s="14">
        <v>1463300</v>
      </c>
    </row>
    <row r="51" spans="1:13" s="1" customFormat="1" ht="20.100000000000001" customHeight="1" x14ac:dyDescent="0.2">
      <c r="A51" s="1">
        <v>50</v>
      </c>
      <c r="B51" s="1">
        <f t="shared" si="0"/>
        <v>1826050</v>
      </c>
      <c r="C51" s="1">
        <f t="shared" si="1"/>
        <v>1826100</v>
      </c>
      <c r="D51" s="1">
        <f>D50+50</f>
        <v>750</v>
      </c>
      <c r="E51" s="1">
        <f t="shared" si="2"/>
        <v>0.75</v>
      </c>
      <c r="F51" s="1">
        <f>SUM($E$2:E51)</f>
        <v>15.029999999999998</v>
      </c>
      <c r="G51" s="1">
        <f>D51*怪物经验!C51</f>
        <v>885000</v>
      </c>
      <c r="H51" s="1">
        <f>任务经验!F51</f>
        <v>11800</v>
      </c>
      <c r="I51" s="1">
        <v>50</v>
      </c>
      <c r="J51" s="1">
        <f>LOOKUP(I51,组队副本!A:A,组队副本!I:I)</f>
        <v>247800</v>
      </c>
      <c r="K51" s="1">
        <f t="shared" si="5"/>
        <v>929250</v>
      </c>
      <c r="M51" s="14">
        <v>1826050</v>
      </c>
    </row>
    <row r="52" spans="1:13" s="1" customFormat="1" ht="20.100000000000001" customHeight="1" x14ac:dyDescent="0.2">
      <c r="A52" s="1">
        <v>51</v>
      </c>
      <c r="B52" s="1">
        <f t="shared" si="0"/>
        <v>1971300</v>
      </c>
      <c r="C52" s="1">
        <f t="shared" si="1"/>
        <v>1971300</v>
      </c>
      <c r="D52" s="1">
        <f>D51+50</f>
        <v>800</v>
      </c>
      <c r="E52" s="1">
        <f t="shared" si="2"/>
        <v>0.8</v>
      </c>
      <c r="F52" s="1">
        <f>SUM($E$2:E52)</f>
        <v>15.829999999999998</v>
      </c>
      <c r="G52" s="1">
        <f>D52*怪物经验!C52</f>
        <v>968000</v>
      </c>
      <c r="H52" s="1">
        <f>任务经验!F52</f>
        <v>12100</v>
      </c>
      <c r="I52" s="1">
        <v>50</v>
      </c>
      <c r="J52" s="1">
        <f>LOOKUP(I52,组队副本!A:A,组队副本!I:I)</f>
        <v>247800</v>
      </c>
      <c r="K52" s="1">
        <f t="shared" si="5"/>
        <v>991200</v>
      </c>
      <c r="M52" s="14">
        <v>1971300</v>
      </c>
    </row>
    <row r="53" spans="1:13" s="1" customFormat="1" ht="20.100000000000001" customHeight="1" x14ac:dyDescent="0.2">
      <c r="A53" s="1">
        <v>52</v>
      </c>
      <c r="B53" s="1">
        <f t="shared" si="0"/>
        <v>2243500</v>
      </c>
      <c r="C53" s="1">
        <f t="shared" si="1"/>
        <v>2243500</v>
      </c>
      <c r="D53" s="1">
        <f>D52+100</f>
        <v>900</v>
      </c>
      <c r="E53" s="1">
        <f t="shared" si="2"/>
        <v>0.9</v>
      </c>
      <c r="F53" s="1">
        <f>SUM($E$2:E53)</f>
        <v>16.729999999999997</v>
      </c>
      <c r="G53" s="1">
        <f>D53*怪物经验!C53</f>
        <v>1116000</v>
      </c>
      <c r="H53" s="1">
        <f>任务经验!F53</f>
        <v>12400</v>
      </c>
      <c r="I53" s="1">
        <v>50</v>
      </c>
      <c r="J53" s="1">
        <f>LOOKUP(I53,组队副本!A:A,组队副本!I:I)</f>
        <v>247800</v>
      </c>
      <c r="K53" s="1">
        <f t="shared" si="5"/>
        <v>1115100</v>
      </c>
      <c r="M53" s="14">
        <v>2119550</v>
      </c>
    </row>
    <row r="54" spans="1:13" s="1" customFormat="1" ht="20.100000000000001" customHeight="1" x14ac:dyDescent="0.2">
      <c r="A54" s="1">
        <v>53</v>
      </c>
      <c r="B54" s="1">
        <f t="shared" si="0"/>
        <v>2521700</v>
      </c>
      <c r="C54" s="1">
        <f t="shared" si="1"/>
        <v>2521700</v>
      </c>
      <c r="D54" s="1">
        <f t="shared" ref="D54:D58" si="6">D53+100</f>
        <v>1000</v>
      </c>
      <c r="E54" s="1">
        <f t="shared" si="2"/>
        <v>1</v>
      </c>
      <c r="F54" s="1">
        <f>SUM($E$2:E54)</f>
        <v>17.729999999999997</v>
      </c>
      <c r="G54" s="1">
        <f>D54*怪物经验!C54</f>
        <v>1270000</v>
      </c>
      <c r="H54" s="1">
        <f>任务经验!F54</f>
        <v>12700</v>
      </c>
      <c r="I54" s="1">
        <v>50</v>
      </c>
      <c r="J54" s="1">
        <f>LOOKUP(I54,组队副本!A:A,组队副本!I:I)</f>
        <v>247800</v>
      </c>
      <c r="K54" s="1">
        <f t="shared" si="5"/>
        <v>1239000</v>
      </c>
      <c r="M54" s="14">
        <v>2270800</v>
      </c>
    </row>
    <row r="55" spans="1:13" s="1" customFormat="1" ht="20.100000000000001" customHeight="1" x14ac:dyDescent="0.2">
      <c r="A55" s="1">
        <v>54</v>
      </c>
      <c r="B55" s="1">
        <f t="shared" si="0"/>
        <v>2805900</v>
      </c>
      <c r="C55" s="1">
        <f t="shared" si="1"/>
        <v>2805900</v>
      </c>
      <c r="D55" s="1">
        <f t="shared" si="6"/>
        <v>1100</v>
      </c>
      <c r="E55" s="1">
        <f t="shared" si="2"/>
        <v>1.1000000000000001</v>
      </c>
      <c r="F55" s="1">
        <f>SUM($E$2:E55)</f>
        <v>18.829999999999998</v>
      </c>
      <c r="G55" s="1">
        <f>D55*怪物经验!C55</f>
        <v>1430000</v>
      </c>
      <c r="H55" s="1">
        <f>任务经验!F55</f>
        <v>13000</v>
      </c>
      <c r="I55" s="1">
        <v>50</v>
      </c>
      <c r="J55" s="1">
        <f>LOOKUP(I55,组队副本!A:A,组队副本!I:I)</f>
        <v>247800</v>
      </c>
      <c r="K55" s="1">
        <f t="shared" si="5"/>
        <v>1362900</v>
      </c>
      <c r="M55" s="14">
        <v>2425050</v>
      </c>
    </row>
    <row r="56" spans="1:13" s="1" customFormat="1" ht="20.100000000000001" customHeight="1" x14ac:dyDescent="0.2">
      <c r="A56" s="1">
        <v>55</v>
      </c>
      <c r="B56" s="1">
        <f t="shared" si="0"/>
        <v>3096100</v>
      </c>
      <c r="C56" s="1">
        <f t="shared" si="1"/>
        <v>3096100</v>
      </c>
      <c r="D56" s="1">
        <f t="shared" si="6"/>
        <v>1200</v>
      </c>
      <c r="E56" s="1">
        <f t="shared" si="2"/>
        <v>1.2</v>
      </c>
      <c r="F56" s="1">
        <f>SUM($E$2:E56)</f>
        <v>20.029999999999998</v>
      </c>
      <c r="G56" s="1">
        <f>D56*怪物经验!C56</f>
        <v>1596000</v>
      </c>
      <c r="H56" s="1">
        <f>任务经验!F56</f>
        <v>13300</v>
      </c>
      <c r="I56" s="1">
        <v>50</v>
      </c>
      <c r="J56" s="1">
        <f>LOOKUP(I56,组队副本!A:A,组队副本!I:I)</f>
        <v>247800</v>
      </c>
      <c r="K56" s="1">
        <f t="shared" si="5"/>
        <v>1486800</v>
      </c>
      <c r="M56" s="14">
        <v>2582300</v>
      </c>
    </row>
    <row r="57" spans="1:13" s="1" customFormat="1" ht="20.100000000000001" customHeight="1" x14ac:dyDescent="0.2">
      <c r="A57" s="1">
        <v>56</v>
      </c>
      <c r="B57" s="1">
        <f t="shared" si="0"/>
        <v>3392300</v>
      </c>
      <c r="C57" s="1">
        <f t="shared" si="1"/>
        <v>3392300</v>
      </c>
      <c r="D57" s="1">
        <f t="shared" si="6"/>
        <v>1300</v>
      </c>
      <c r="E57" s="1">
        <f t="shared" si="2"/>
        <v>1.3</v>
      </c>
      <c r="F57" s="1">
        <f>SUM($E$2:E57)</f>
        <v>21.33</v>
      </c>
      <c r="G57" s="1">
        <f>D57*怪物经验!C57</f>
        <v>1768000</v>
      </c>
      <c r="H57" s="1">
        <f>任务经验!F57</f>
        <v>13600</v>
      </c>
      <c r="I57" s="1">
        <v>50</v>
      </c>
      <c r="J57" s="1">
        <f>LOOKUP(I57,组队副本!A:A,组队副本!I:I)</f>
        <v>247800</v>
      </c>
      <c r="K57" s="1">
        <f t="shared" si="5"/>
        <v>1610700</v>
      </c>
      <c r="M57" s="14">
        <v>2742550</v>
      </c>
    </row>
    <row r="58" spans="1:13" s="1" customFormat="1" ht="20.100000000000001" customHeight="1" x14ac:dyDescent="0.2">
      <c r="A58" s="1">
        <v>57</v>
      </c>
      <c r="B58" s="1">
        <f t="shared" si="0"/>
        <v>3694500</v>
      </c>
      <c r="C58" s="1">
        <f t="shared" si="1"/>
        <v>3694500</v>
      </c>
      <c r="D58" s="1">
        <f t="shared" si="6"/>
        <v>1400</v>
      </c>
      <c r="E58" s="1">
        <f t="shared" si="2"/>
        <v>1.4</v>
      </c>
      <c r="F58" s="1">
        <f>SUM($E$2:E58)</f>
        <v>22.729999999999997</v>
      </c>
      <c r="G58" s="1">
        <f>D58*怪物经验!C58</f>
        <v>1946000</v>
      </c>
      <c r="H58" s="1">
        <f>任务经验!F58</f>
        <v>13900</v>
      </c>
      <c r="I58" s="1">
        <v>50</v>
      </c>
      <c r="J58" s="1">
        <f>LOOKUP(I58,组队副本!A:A,组队副本!I:I)</f>
        <v>247800</v>
      </c>
      <c r="K58" s="1">
        <f t="shared" si="5"/>
        <v>1734600</v>
      </c>
      <c r="M58" s="14">
        <v>2905800</v>
      </c>
    </row>
    <row r="59" spans="1:13" s="1" customFormat="1" ht="20.100000000000001" customHeight="1" x14ac:dyDescent="0.2">
      <c r="A59" s="1">
        <v>58</v>
      </c>
      <c r="B59" s="1">
        <f t="shared" si="0"/>
        <v>4268600</v>
      </c>
      <c r="C59" s="1">
        <f t="shared" si="1"/>
        <v>4268600</v>
      </c>
      <c r="D59" s="1">
        <f t="shared" ref="D59:D61" si="7">D58+200</f>
        <v>1600</v>
      </c>
      <c r="E59" s="1">
        <f t="shared" si="2"/>
        <v>1.6</v>
      </c>
      <c r="F59" s="1">
        <f>SUM($E$2:E59)</f>
        <v>24.33</v>
      </c>
      <c r="G59" s="1">
        <f>D59*怪物经验!C59</f>
        <v>2272000</v>
      </c>
      <c r="H59" s="1">
        <f>任务经验!F59</f>
        <v>14200</v>
      </c>
      <c r="I59" s="1">
        <v>50</v>
      </c>
      <c r="J59" s="1">
        <f>LOOKUP(I59,组队副本!A:A,组队副本!I:I)</f>
        <v>247800</v>
      </c>
      <c r="K59" s="1">
        <f t="shared" si="5"/>
        <v>1982400</v>
      </c>
      <c r="M59" s="14">
        <v>3072050</v>
      </c>
    </row>
    <row r="60" spans="1:13" s="1" customFormat="1" ht="20.100000000000001" customHeight="1" x14ac:dyDescent="0.2">
      <c r="A60" s="1">
        <v>59</v>
      </c>
      <c r="B60" s="1">
        <f t="shared" si="0"/>
        <v>4854700</v>
      </c>
      <c r="C60" s="1">
        <f t="shared" si="1"/>
        <v>4854700</v>
      </c>
      <c r="D60" s="1">
        <f t="shared" si="7"/>
        <v>1800</v>
      </c>
      <c r="E60" s="1">
        <f t="shared" si="2"/>
        <v>1.8</v>
      </c>
      <c r="F60" s="1">
        <f>SUM($E$2:E60)</f>
        <v>26.13</v>
      </c>
      <c r="G60" s="1">
        <f>D60*怪物经验!C60</f>
        <v>2610000</v>
      </c>
      <c r="H60" s="1">
        <f>任务经验!F60</f>
        <v>14500</v>
      </c>
      <c r="I60" s="1">
        <v>50</v>
      </c>
      <c r="J60" s="1">
        <f>LOOKUP(I60,组队副本!A:A,组队副本!I:I)</f>
        <v>247800</v>
      </c>
      <c r="K60" s="1">
        <f t="shared" si="5"/>
        <v>2230200</v>
      </c>
      <c r="M60" s="14">
        <v>3241300</v>
      </c>
    </row>
    <row r="61" spans="1:13" s="1" customFormat="1" ht="20.100000000000001" customHeight="1" x14ac:dyDescent="0.2">
      <c r="A61" s="1">
        <v>60</v>
      </c>
      <c r="B61" s="1">
        <f t="shared" si="0"/>
        <v>5452800</v>
      </c>
      <c r="C61" s="1">
        <f t="shared" si="1"/>
        <v>5452800</v>
      </c>
      <c r="D61" s="1">
        <f t="shared" si="7"/>
        <v>2000</v>
      </c>
      <c r="E61" s="1">
        <f t="shared" si="2"/>
        <v>2</v>
      </c>
      <c r="F61" s="1">
        <f>SUM($E$2:E61)</f>
        <v>28.13</v>
      </c>
      <c r="G61" s="1">
        <f>D61*怪物经验!C61</f>
        <v>2960000</v>
      </c>
      <c r="H61" s="1">
        <f>任务经验!F61</f>
        <v>14800</v>
      </c>
      <c r="I61" s="1">
        <v>50</v>
      </c>
      <c r="J61" s="1">
        <f>LOOKUP(I61,组队副本!A:A,组队副本!I:I)</f>
        <v>247800</v>
      </c>
      <c r="K61" s="1">
        <f t="shared" si="5"/>
        <v>2478000</v>
      </c>
      <c r="M61" s="14">
        <v>3413550</v>
      </c>
    </row>
    <row r="62" spans="1:13" s="1" customFormat="1" ht="20.100000000000001" customHeight="1" x14ac:dyDescent="0.2">
      <c r="A62" s="1">
        <v>61</v>
      </c>
      <c r="B62" s="1">
        <f t="shared" si="0"/>
        <v>6887600</v>
      </c>
      <c r="C62" s="1">
        <f t="shared" si="1"/>
        <v>6887600</v>
      </c>
      <c r="D62" s="1">
        <f>D61+500</f>
        <v>2500</v>
      </c>
      <c r="E62" s="1">
        <f t="shared" si="2"/>
        <v>2.5</v>
      </c>
      <c r="F62" s="1">
        <f>SUM($E$2:E62)</f>
        <v>30.63</v>
      </c>
      <c r="G62" s="1">
        <f>D62*怪物经验!C62</f>
        <v>3775000</v>
      </c>
      <c r="H62" s="1">
        <f>任务经验!F62</f>
        <v>15100</v>
      </c>
      <c r="I62" s="1">
        <v>50</v>
      </c>
      <c r="J62" s="1">
        <f>LOOKUP(I62,组队副本!A:A,组队副本!I:I)</f>
        <v>247800</v>
      </c>
      <c r="K62" s="1">
        <f t="shared" si="5"/>
        <v>3097500</v>
      </c>
      <c r="M62" s="14">
        <v>4825850</v>
      </c>
    </row>
    <row r="63" spans="1:13" s="1" customFormat="1" ht="20.100000000000001" customHeight="1" x14ac:dyDescent="0.2">
      <c r="A63" s="1">
        <v>62</v>
      </c>
      <c r="B63" s="1">
        <f t="shared" si="0"/>
        <v>9186100</v>
      </c>
      <c r="C63" s="1">
        <f t="shared" si="1"/>
        <v>9186100</v>
      </c>
      <c r="D63" s="1">
        <f>D62+800</f>
        <v>3300</v>
      </c>
      <c r="E63" s="1">
        <f t="shared" si="2"/>
        <v>3.3</v>
      </c>
      <c r="F63" s="1">
        <f>SUM($E$2:E63)</f>
        <v>33.93</v>
      </c>
      <c r="G63" s="1">
        <f>D63*怪物经验!C63</f>
        <v>5082000</v>
      </c>
      <c r="H63" s="1">
        <f>任务经验!F63</f>
        <v>15400</v>
      </c>
      <c r="I63" s="1">
        <v>50</v>
      </c>
      <c r="J63" s="1">
        <f>LOOKUP(I63,组队副本!A:A,组队副本!I:I)</f>
        <v>247800</v>
      </c>
      <c r="K63" s="1">
        <f t="shared" si="5"/>
        <v>4088700</v>
      </c>
      <c r="M63" s="14">
        <v>6268150</v>
      </c>
    </row>
    <row r="64" spans="1:13" s="1" customFormat="1" ht="20.100000000000001" customHeight="1" x14ac:dyDescent="0.2">
      <c r="A64" s="1">
        <v>63</v>
      </c>
      <c r="B64" s="1">
        <f t="shared" si="0"/>
        <v>12094400</v>
      </c>
      <c r="C64" s="1">
        <f t="shared" si="1"/>
        <v>12094400</v>
      </c>
      <c r="D64" s="1">
        <f>D63+1000</f>
        <v>4300</v>
      </c>
      <c r="E64" s="1">
        <f t="shared" si="2"/>
        <v>4.3</v>
      </c>
      <c r="F64" s="1">
        <f>SUM($E$2:E64)</f>
        <v>38.229999999999997</v>
      </c>
      <c r="G64" s="1">
        <f>D64*怪物经验!C64</f>
        <v>6751000</v>
      </c>
      <c r="H64" s="1">
        <f>任务经验!F64</f>
        <v>15700</v>
      </c>
      <c r="I64" s="1">
        <v>50</v>
      </c>
      <c r="J64" s="1">
        <f>LOOKUP(I64,组队副本!A:A,组队副本!I:I)</f>
        <v>247800</v>
      </c>
      <c r="K64" s="1">
        <f t="shared" si="5"/>
        <v>5327700</v>
      </c>
      <c r="M64" s="14">
        <v>7740450</v>
      </c>
    </row>
    <row r="65" spans="1:13" s="1" customFormat="1" ht="20.100000000000001" customHeight="1" x14ac:dyDescent="0.2">
      <c r="A65" s="1">
        <v>64</v>
      </c>
      <c r="B65" s="1">
        <f t="shared" si="0"/>
        <v>15630500</v>
      </c>
      <c r="C65" s="1">
        <f t="shared" si="1"/>
        <v>15630500</v>
      </c>
      <c r="D65" s="1">
        <f>D64+1200</f>
        <v>5500</v>
      </c>
      <c r="E65" s="1">
        <f t="shared" si="2"/>
        <v>5.5</v>
      </c>
      <c r="F65" s="1">
        <f>SUM($E$2:E65)</f>
        <v>43.73</v>
      </c>
      <c r="G65" s="1">
        <f>D65*怪物经验!C65</f>
        <v>8800000</v>
      </c>
      <c r="H65" s="1">
        <f>任务经验!F65</f>
        <v>16000</v>
      </c>
      <c r="I65" s="1">
        <v>50</v>
      </c>
      <c r="J65" s="1">
        <f>LOOKUP(I65,组队副本!A:A,组队副本!I:I)</f>
        <v>247800</v>
      </c>
      <c r="K65" s="1">
        <f t="shared" si="5"/>
        <v>6814500</v>
      </c>
      <c r="M65" s="14">
        <v>9242750</v>
      </c>
    </row>
    <row r="66" spans="1:13" s="1" customFormat="1" ht="20.100000000000001" customHeight="1" x14ac:dyDescent="0.2">
      <c r="A66" s="1">
        <v>65</v>
      </c>
      <c r="B66" s="1">
        <f t="shared" si="0"/>
        <v>20099300</v>
      </c>
      <c r="C66" s="1">
        <f t="shared" si="1"/>
        <v>20099300</v>
      </c>
      <c r="D66" s="1">
        <f>D65+1500</f>
        <v>7000</v>
      </c>
      <c r="E66" s="1">
        <f t="shared" si="2"/>
        <v>7</v>
      </c>
      <c r="F66" s="1">
        <f>SUM($E$2:E66)</f>
        <v>50.73</v>
      </c>
      <c r="G66" s="1">
        <f>D66*怪物经验!C66</f>
        <v>11410000</v>
      </c>
      <c r="H66" s="1">
        <f>任务经验!F66</f>
        <v>16300</v>
      </c>
      <c r="I66" s="1">
        <v>50</v>
      </c>
      <c r="J66" s="1">
        <f>LOOKUP(I66,组队副本!A:A,组队副本!I:I)</f>
        <v>247800</v>
      </c>
      <c r="K66" s="1">
        <f t="shared" si="5"/>
        <v>8673000</v>
      </c>
      <c r="M66" s="14">
        <v>10775050</v>
      </c>
    </row>
    <row r="67" spans="1:13" s="1" customFormat="1" ht="20.100000000000001" customHeight="1" x14ac:dyDescent="0.2">
      <c r="A67" s="1">
        <v>66</v>
      </c>
      <c r="B67" s="1">
        <f t="shared" ref="B67:B71" si="8">G67+H67+K67</f>
        <v>26091000</v>
      </c>
      <c r="C67" s="1">
        <f t="shared" ref="C67:C71" si="9">ROUND(B67,-2)</f>
        <v>26091000</v>
      </c>
      <c r="D67" s="1">
        <f>D66+2000</f>
        <v>9000</v>
      </c>
      <c r="E67" s="1">
        <f t="shared" ref="E67:E71" si="10">D67/$R$4</f>
        <v>9</v>
      </c>
      <c r="F67" s="1">
        <f>SUM($E$2:E67)</f>
        <v>59.73</v>
      </c>
      <c r="G67" s="1">
        <f>D67*怪物经验!C67</f>
        <v>14940000</v>
      </c>
      <c r="H67" s="1">
        <f>任务经验!F67</f>
        <v>0</v>
      </c>
      <c r="I67" s="1">
        <v>50</v>
      </c>
      <c r="J67" s="1">
        <f>LOOKUP(I67,组队副本!A:A,组队副本!I:I)</f>
        <v>247800</v>
      </c>
      <c r="K67" s="1">
        <f t="shared" si="5"/>
        <v>11151000</v>
      </c>
      <c r="M67" s="14">
        <v>13770250</v>
      </c>
    </row>
    <row r="68" spans="1:13" s="1" customFormat="1" ht="20.100000000000001" customHeight="1" x14ac:dyDescent="0.2">
      <c r="A68" s="1">
        <v>67</v>
      </c>
      <c r="B68" s="1">
        <f t="shared" si="8"/>
        <v>35148000</v>
      </c>
      <c r="C68" s="1">
        <f t="shared" si="9"/>
        <v>35148000</v>
      </c>
      <c r="D68" s="1">
        <f>D67+3000</f>
        <v>12000</v>
      </c>
      <c r="E68" s="1">
        <f t="shared" si="10"/>
        <v>12</v>
      </c>
      <c r="F68" s="1">
        <f>SUM($E$2:E68)</f>
        <v>71.72999999999999</v>
      </c>
      <c r="G68" s="1">
        <f>D68*怪物经验!C68</f>
        <v>20280000</v>
      </c>
      <c r="H68" s="1">
        <f>任务经验!F68</f>
        <v>0</v>
      </c>
      <c r="I68" s="1">
        <v>50</v>
      </c>
      <c r="J68" s="1">
        <f>LOOKUP(I68,组队副本!A:A,组队副本!I:I)</f>
        <v>247800</v>
      </c>
      <c r="K68" s="1">
        <f t="shared" si="5"/>
        <v>14868000</v>
      </c>
      <c r="M68" s="14">
        <v>16841750</v>
      </c>
    </row>
    <row r="69" spans="1:13" s="1" customFormat="1" ht="20.100000000000001" customHeight="1" x14ac:dyDescent="0.2">
      <c r="A69" s="1">
        <v>68</v>
      </c>
      <c r="B69" s="1">
        <f t="shared" si="8"/>
        <v>47344000</v>
      </c>
      <c r="C69" s="1">
        <f t="shared" si="9"/>
        <v>47344000</v>
      </c>
      <c r="D69" s="1">
        <f>D68+4000</f>
        <v>16000</v>
      </c>
      <c r="E69" s="1">
        <f t="shared" si="10"/>
        <v>16</v>
      </c>
      <c r="F69" s="1">
        <f>SUM($E$2:E69)</f>
        <v>87.72999999999999</v>
      </c>
      <c r="G69" s="1">
        <f>D69*怪物经验!C69</f>
        <v>27520000</v>
      </c>
      <c r="H69" s="1">
        <f>任务经验!F69</f>
        <v>0</v>
      </c>
      <c r="I69" s="1">
        <v>50</v>
      </c>
      <c r="J69" s="1">
        <f>LOOKUP(I69,组队副本!A:A,组队副本!I:I)</f>
        <v>247800</v>
      </c>
      <c r="K69" s="1">
        <f t="shared" si="5"/>
        <v>19824000</v>
      </c>
      <c r="M69" s="14">
        <v>21452750</v>
      </c>
    </row>
    <row r="70" spans="1:13" s="1" customFormat="1" ht="20.100000000000001" customHeight="1" x14ac:dyDescent="0.2">
      <c r="A70" s="1">
        <v>69</v>
      </c>
      <c r="B70" s="1">
        <f t="shared" si="8"/>
        <v>59780000</v>
      </c>
      <c r="C70" s="1">
        <f t="shared" si="9"/>
        <v>59780000</v>
      </c>
      <c r="D70" s="1">
        <v>20000</v>
      </c>
      <c r="E70" s="1">
        <f t="shared" si="10"/>
        <v>20</v>
      </c>
      <c r="F70" s="1">
        <f>SUM($E$2:E70)</f>
        <v>107.72999999999999</v>
      </c>
      <c r="G70" s="1">
        <f>D70*怪物经验!C70</f>
        <v>35000000</v>
      </c>
      <c r="H70" s="1">
        <f>任务经验!F70</f>
        <v>0</v>
      </c>
      <c r="I70" s="1">
        <v>50</v>
      </c>
      <c r="J70" s="1">
        <f>LOOKUP(I70,组队副本!A:A,组队副本!I:I)</f>
        <v>247800</v>
      </c>
      <c r="K70" s="1">
        <f t="shared" si="5"/>
        <v>24780000</v>
      </c>
      <c r="M70" s="14">
        <v>29890000</v>
      </c>
    </row>
    <row r="71" spans="1:13" s="1" customFormat="1" ht="20.100000000000001" customHeight="1" x14ac:dyDescent="0.2">
      <c r="A71" s="1">
        <v>70</v>
      </c>
      <c r="B71" s="1">
        <f t="shared" si="8"/>
        <v>75475000</v>
      </c>
      <c r="C71" s="1">
        <f t="shared" si="9"/>
        <v>75475000</v>
      </c>
      <c r="D71" s="1">
        <v>25000</v>
      </c>
      <c r="E71" s="1">
        <f t="shared" si="10"/>
        <v>25</v>
      </c>
      <c r="F71" s="1">
        <f>SUM($E$2:E71)</f>
        <v>132.72999999999999</v>
      </c>
      <c r="G71" s="1">
        <f>D71*怪物经验!C71</f>
        <v>44500000</v>
      </c>
      <c r="H71" s="1">
        <f>任务经验!F71</f>
        <v>0</v>
      </c>
      <c r="I71" s="1">
        <v>50</v>
      </c>
      <c r="J71" s="1">
        <f>LOOKUP(I71,组队副本!A:A,组队副本!I:I)</f>
        <v>247800</v>
      </c>
      <c r="K71" s="1">
        <f t="shared" si="5"/>
        <v>30975000</v>
      </c>
      <c r="M71" s="14">
        <v>34718500</v>
      </c>
    </row>
    <row r="72" spans="1:13" ht="20.100000000000001" customHeight="1" x14ac:dyDescent="0.2">
      <c r="A72" s="17">
        <v>71</v>
      </c>
      <c r="B72" s="17">
        <f t="shared" ref="B72:B76" si="11">G72+H72+K72</f>
        <v>91470000</v>
      </c>
      <c r="C72" s="17">
        <f t="shared" ref="C72:C76" si="12">ROUND(B72,-2)</f>
        <v>91470000</v>
      </c>
      <c r="D72" s="17">
        <v>30000</v>
      </c>
      <c r="E72" s="17">
        <f t="shared" ref="E72:E76" si="13">D72/$R$4</f>
        <v>30</v>
      </c>
      <c r="F72" s="17">
        <f>SUM($E$2:E72)</f>
        <v>162.72999999999999</v>
      </c>
      <c r="G72" s="17">
        <f>D72*怪物经验!C72</f>
        <v>54300000</v>
      </c>
      <c r="H72" s="17">
        <f>任务经验!F72</f>
        <v>0</v>
      </c>
      <c r="I72" s="17">
        <v>50</v>
      </c>
      <c r="J72" s="17">
        <f>LOOKUP(I72,组队副本!A:A,组队副本!I:I)</f>
        <v>247800</v>
      </c>
      <c r="K72" s="17">
        <f t="shared" ref="K72:K76" si="14">J72*E72*$R$5</f>
        <v>37170000</v>
      </c>
    </row>
    <row r="73" spans="1:13" ht="20.100000000000001" customHeight="1" x14ac:dyDescent="0.2">
      <c r="A73" s="17">
        <v>72</v>
      </c>
      <c r="B73" s="17">
        <f t="shared" si="11"/>
        <v>107765000</v>
      </c>
      <c r="C73" s="17">
        <f t="shared" si="12"/>
        <v>107765000</v>
      </c>
      <c r="D73" s="17">
        <v>35000</v>
      </c>
      <c r="E73" s="17">
        <f t="shared" si="13"/>
        <v>35</v>
      </c>
      <c r="F73" s="17">
        <f>SUM($E$2:E73)</f>
        <v>197.73</v>
      </c>
      <c r="G73" s="17">
        <f>D73*怪物经验!C73</f>
        <v>64400000</v>
      </c>
      <c r="H73" s="17">
        <f>任务经验!F73</f>
        <v>0</v>
      </c>
      <c r="I73" s="17">
        <v>50</v>
      </c>
      <c r="J73" s="17">
        <f>LOOKUP(I73,组队副本!A:A,组队副本!I:I)</f>
        <v>247800</v>
      </c>
      <c r="K73" s="17">
        <f t="shared" si="14"/>
        <v>43365000</v>
      </c>
    </row>
    <row r="74" spans="1:13" ht="20.100000000000001" customHeight="1" x14ac:dyDescent="0.2">
      <c r="A74" s="17">
        <v>73</v>
      </c>
      <c r="B74" s="17">
        <f t="shared" si="11"/>
        <v>124360000</v>
      </c>
      <c r="C74" s="17">
        <f t="shared" si="12"/>
        <v>124360000</v>
      </c>
      <c r="D74" s="17">
        <v>40000</v>
      </c>
      <c r="E74" s="17">
        <f t="shared" si="13"/>
        <v>40</v>
      </c>
      <c r="F74" s="17">
        <f>SUM($E$2:E74)</f>
        <v>237.73</v>
      </c>
      <c r="G74" s="17">
        <f>D74*怪物经验!C74</f>
        <v>74800000</v>
      </c>
      <c r="H74" s="17">
        <f>任务经验!F74</f>
        <v>0</v>
      </c>
      <c r="I74" s="17">
        <v>50</v>
      </c>
      <c r="J74" s="17">
        <f>LOOKUP(I74,组队副本!A:A,组队副本!I:I)</f>
        <v>247800</v>
      </c>
      <c r="K74" s="17">
        <f t="shared" si="14"/>
        <v>49560000</v>
      </c>
    </row>
    <row r="75" spans="1:13" ht="20.100000000000001" customHeight="1" x14ac:dyDescent="0.2">
      <c r="A75" s="17">
        <v>74</v>
      </c>
      <c r="B75" s="17">
        <f t="shared" si="11"/>
        <v>156950000</v>
      </c>
      <c r="C75" s="17">
        <f t="shared" si="12"/>
        <v>156950000</v>
      </c>
      <c r="D75" s="17">
        <v>50000</v>
      </c>
      <c r="E75" s="17">
        <f t="shared" si="13"/>
        <v>50</v>
      </c>
      <c r="F75" s="17">
        <f>SUM($E$2:E75)</f>
        <v>287.73</v>
      </c>
      <c r="G75" s="17">
        <f>D75*怪物经验!C75</f>
        <v>95000000</v>
      </c>
      <c r="H75" s="17">
        <f>任务经验!F75</f>
        <v>0</v>
      </c>
      <c r="I75" s="17">
        <v>50</v>
      </c>
      <c r="J75" s="17">
        <f>LOOKUP(I75,组队副本!A:A,组队副本!I:I)</f>
        <v>247800</v>
      </c>
      <c r="K75" s="17">
        <f t="shared" si="14"/>
        <v>61950000</v>
      </c>
    </row>
    <row r="76" spans="1:13" ht="20.100000000000001" customHeight="1" x14ac:dyDescent="0.2">
      <c r="A76" s="17">
        <v>75</v>
      </c>
      <c r="B76" s="17">
        <f t="shared" si="11"/>
        <v>190140000</v>
      </c>
      <c r="C76" s="17">
        <f t="shared" si="12"/>
        <v>190140000</v>
      </c>
      <c r="D76" s="17">
        <v>60000</v>
      </c>
      <c r="E76" s="17">
        <f t="shared" si="13"/>
        <v>60</v>
      </c>
      <c r="F76" s="17">
        <f>SUM($E$2:E76)</f>
        <v>347.73</v>
      </c>
      <c r="G76" s="17">
        <f>D76*怪物经验!C76</f>
        <v>115800000</v>
      </c>
      <c r="H76" s="17">
        <f>任务经验!F76</f>
        <v>0</v>
      </c>
      <c r="I76" s="17">
        <v>50</v>
      </c>
      <c r="J76" s="17">
        <f>LOOKUP(I76,组队副本!A:A,组队副本!I:I)</f>
        <v>247800</v>
      </c>
      <c r="K76" s="17">
        <f t="shared" si="14"/>
        <v>74340000</v>
      </c>
    </row>
    <row r="77" spans="1:13" ht="20.100000000000001" customHeight="1" x14ac:dyDescent="0.2"/>
    <row r="78" spans="1:13" ht="20.100000000000001" customHeight="1" x14ac:dyDescent="0.2"/>
    <row r="79" spans="1:13" ht="20.100000000000001" customHeight="1" x14ac:dyDescent="0.2"/>
    <row r="80" spans="1:13" ht="20.100000000000001" customHeight="1" x14ac:dyDescent="0.2"/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60"/>
  <sheetViews>
    <sheetView topLeftCell="A2" workbookViewId="0">
      <selection activeCell="U40" sqref="U40:U45"/>
    </sheetView>
  </sheetViews>
  <sheetFormatPr defaultColWidth="9" defaultRowHeight="14.25" x14ac:dyDescent="0.2"/>
  <cols>
    <col min="3" max="3" width="11.375" customWidth="1"/>
    <col min="5" max="5" width="11.375" customWidth="1"/>
    <col min="8" max="9" width="11.375" customWidth="1"/>
    <col min="13" max="13" width="11.375" customWidth="1"/>
  </cols>
  <sheetData>
    <row r="1" spans="2:25" s="1" customFormat="1" ht="20.100000000000001" customHeight="1" x14ac:dyDescent="0.2"/>
    <row r="2" spans="2:25" s="1" customFormat="1" ht="20.100000000000001" customHeight="1" x14ac:dyDescent="0.2">
      <c r="B2" s="1" t="s">
        <v>0</v>
      </c>
      <c r="C2" s="1" t="s">
        <v>23</v>
      </c>
      <c r="D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M2" s="1" t="s">
        <v>30</v>
      </c>
      <c r="N2" s="1">
        <v>5</v>
      </c>
      <c r="O2" s="1" t="s">
        <v>31</v>
      </c>
      <c r="Q2" s="1" t="s">
        <v>32</v>
      </c>
      <c r="R2" s="1">
        <v>5</v>
      </c>
      <c r="T2" s="1" t="s">
        <v>32</v>
      </c>
      <c r="V2" s="1" t="s">
        <v>33</v>
      </c>
      <c r="W2" s="1" t="s">
        <v>34</v>
      </c>
      <c r="X2" s="1" t="s">
        <v>24</v>
      </c>
      <c r="Y2" s="1" t="s">
        <v>35</v>
      </c>
    </row>
    <row r="3" spans="2:25" s="1" customFormat="1" ht="20.100000000000001" customHeight="1" x14ac:dyDescent="0.2">
      <c r="B3" s="1">
        <v>1</v>
      </c>
      <c r="C3" s="1">
        <f>G3*$N$2*10</f>
        <v>750</v>
      </c>
      <c r="D3" s="1">
        <v>0.7</v>
      </c>
      <c r="E3" s="1">
        <f>D3*C3</f>
        <v>525</v>
      </c>
      <c r="F3" s="1">
        <f>ROUND(E3,-2)</f>
        <v>500</v>
      </c>
      <c r="G3" s="1">
        <v>15</v>
      </c>
      <c r="H3" s="1">
        <f>F3/$N$3</f>
        <v>25</v>
      </c>
      <c r="I3" s="1">
        <f>H3/$N$4</f>
        <v>5</v>
      </c>
      <c r="J3" s="1">
        <v>200000</v>
      </c>
      <c r="M3" s="1" t="s">
        <v>36</v>
      </c>
      <c r="N3" s="1">
        <v>20</v>
      </c>
      <c r="O3" s="9" t="s">
        <v>37</v>
      </c>
      <c r="Q3" s="1" t="s">
        <v>32</v>
      </c>
      <c r="R3" s="1">
        <v>10</v>
      </c>
      <c r="T3" s="1">
        <v>50</v>
      </c>
      <c r="V3" s="1">
        <v>1</v>
      </c>
      <c r="W3" s="1">
        <v>100</v>
      </c>
      <c r="X3" s="1">
        <v>1</v>
      </c>
      <c r="Y3" s="1">
        <f>X3*W3</f>
        <v>100</v>
      </c>
    </row>
    <row r="4" spans="2:25" s="1" customFormat="1" ht="20.100000000000001" customHeight="1" x14ac:dyDescent="0.2">
      <c r="B4" s="1">
        <v>2</v>
      </c>
      <c r="C4" s="1">
        <f t="shared" ref="C4:C12" si="0">G4*$N$2*10</f>
        <v>900</v>
      </c>
      <c r="D4" s="1">
        <v>1.1499999999999999</v>
      </c>
      <c r="E4" s="1">
        <f t="shared" ref="E4:E12" si="1">D4*C4</f>
        <v>1035</v>
      </c>
      <c r="F4" s="1">
        <f t="shared" ref="F4:F12" si="2">ROUND(E4,-2)</f>
        <v>1000</v>
      </c>
      <c r="G4" s="1">
        <v>18</v>
      </c>
      <c r="H4" s="1">
        <f t="shared" ref="H4:H12" si="3">F4/$N$3</f>
        <v>50</v>
      </c>
      <c r="I4" s="1">
        <f t="shared" ref="I4:I12" si="4">H4/$N$4</f>
        <v>10</v>
      </c>
      <c r="J4" s="1">
        <f>J3+20000</f>
        <v>220000</v>
      </c>
      <c r="M4" s="1" t="s">
        <v>38</v>
      </c>
      <c r="N4" s="1">
        <v>5</v>
      </c>
      <c r="V4" s="1">
        <v>2</v>
      </c>
      <c r="W4" s="1">
        <v>100</v>
      </c>
      <c r="X4" s="1">
        <v>2</v>
      </c>
      <c r="Y4" s="1">
        <f t="shared" ref="Y4:Y12" si="5">X4*W4</f>
        <v>200</v>
      </c>
    </row>
    <row r="5" spans="2:25" s="1" customFormat="1" ht="20.100000000000001" customHeight="1" x14ac:dyDescent="0.2">
      <c r="B5" s="1">
        <v>3</v>
      </c>
      <c r="C5" s="1">
        <f t="shared" si="0"/>
        <v>1050</v>
      </c>
      <c r="D5" s="1">
        <v>1.7</v>
      </c>
      <c r="E5" s="1">
        <f t="shared" si="1"/>
        <v>1785</v>
      </c>
      <c r="F5" s="1">
        <f t="shared" si="2"/>
        <v>1800</v>
      </c>
      <c r="G5" s="1">
        <v>21</v>
      </c>
      <c r="H5" s="1">
        <f t="shared" si="3"/>
        <v>90</v>
      </c>
      <c r="I5" s="1">
        <f t="shared" si="4"/>
        <v>18</v>
      </c>
      <c r="J5" s="1">
        <f t="shared" ref="J5:J10" si="6">J4+20000</f>
        <v>240000</v>
      </c>
      <c r="V5" s="1">
        <v>3</v>
      </c>
      <c r="W5" s="1">
        <v>100</v>
      </c>
      <c r="X5" s="1">
        <v>3</v>
      </c>
      <c r="Y5" s="1">
        <f t="shared" si="5"/>
        <v>300</v>
      </c>
    </row>
    <row r="6" spans="2:25" s="1" customFormat="1" ht="20.100000000000001" customHeight="1" x14ac:dyDescent="0.2">
      <c r="B6" s="1">
        <v>4</v>
      </c>
      <c r="C6" s="1">
        <f t="shared" si="0"/>
        <v>1200</v>
      </c>
      <c r="D6" s="1">
        <f>D5+0.6</f>
        <v>2.2999999999999998</v>
      </c>
      <c r="E6" s="1">
        <f t="shared" si="1"/>
        <v>2760</v>
      </c>
      <c r="F6" s="1">
        <f t="shared" si="2"/>
        <v>2800</v>
      </c>
      <c r="G6" s="1">
        <v>24</v>
      </c>
      <c r="H6" s="1">
        <f t="shared" si="3"/>
        <v>140</v>
      </c>
      <c r="I6" s="1">
        <f t="shared" si="4"/>
        <v>28</v>
      </c>
      <c r="J6" s="1">
        <f t="shared" si="6"/>
        <v>260000</v>
      </c>
      <c r="V6" s="1">
        <v>4</v>
      </c>
      <c r="W6" s="1">
        <v>100</v>
      </c>
      <c r="X6" s="1">
        <v>4</v>
      </c>
      <c r="Y6" s="1">
        <f t="shared" si="5"/>
        <v>400</v>
      </c>
    </row>
    <row r="7" spans="2:25" s="1" customFormat="1" ht="20.100000000000001" customHeight="1" x14ac:dyDescent="0.2">
      <c r="B7" s="1">
        <v>5</v>
      </c>
      <c r="C7" s="1">
        <f t="shared" si="0"/>
        <v>1350</v>
      </c>
      <c r="D7" s="1">
        <f>D6+0.65</f>
        <v>2.9499999999999997</v>
      </c>
      <c r="E7" s="1">
        <f t="shared" si="1"/>
        <v>3982.4999999999995</v>
      </c>
      <c r="F7" s="1">
        <f t="shared" si="2"/>
        <v>4000</v>
      </c>
      <c r="G7" s="1">
        <v>27</v>
      </c>
      <c r="H7" s="1">
        <f t="shared" si="3"/>
        <v>200</v>
      </c>
      <c r="I7" s="1">
        <f t="shared" si="4"/>
        <v>40</v>
      </c>
      <c r="J7" s="1">
        <f t="shared" si="6"/>
        <v>280000</v>
      </c>
      <c r="V7" s="1">
        <v>5</v>
      </c>
      <c r="W7" s="1">
        <v>100</v>
      </c>
      <c r="X7" s="1">
        <v>5</v>
      </c>
      <c r="Y7" s="1">
        <f t="shared" si="5"/>
        <v>500</v>
      </c>
    </row>
    <row r="8" spans="2:25" s="1" customFormat="1" ht="20.100000000000001" customHeight="1" x14ac:dyDescent="0.2">
      <c r="B8" s="1">
        <v>6</v>
      </c>
      <c r="C8" s="1">
        <f t="shared" si="0"/>
        <v>1500</v>
      </c>
      <c r="D8" s="1">
        <f>D7+0.7</f>
        <v>3.6499999999999995</v>
      </c>
      <c r="E8" s="1">
        <f t="shared" si="1"/>
        <v>5474.9999999999991</v>
      </c>
      <c r="F8" s="1">
        <f t="shared" si="2"/>
        <v>5500</v>
      </c>
      <c r="G8" s="1">
        <v>30</v>
      </c>
      <c r="H8" s="1">
        <f t="shared" si="3"/>
        <v>275</v>
      </c>
      <c r="I8" s="1">
        <f t="shared" si="4"/>
        <v>55</v>
      </c>
      <c r="J8" s="1">
        <f t="shared" si="6"/>
        <v>300000</v>
      </c>
      <c r="V8" s="1">
        <v>6</v>
      </c>
      <c r="W8" s="1">
        <v>100</v>
      </c>
      <c r="X8" s="1">
        <v>6</v>
      </c>
      <c r="Y8" s="1">
        <f t="shared" si="5"/>
        <v>600</v>
      </c>
    </row>
    <row r="9" spans="2:25" s="1" customFormat="1" ht="20.100000000000001" customHeight="1" x14ac:dyDescent="0.2">
      <c r="B9" s="1">
        <v>7</v>
      </c>
      <c r="C9" s="1">
        <f t="shared" si="0"/>
        <v>1650</v>
      </c>
      <c r="D9" s="1">
        <f>D8+0.9</f>
        <v>4.55</v>
      </c>
      <c r="E9" s="1">
        <f t="shared" si="1"/>
        <v>7507.5</v>
      </c>
      <c r="F9" s="1">
        <f t="shared" si="2"/>
        <v>7500</v>
      </c>
      <c r="G9" s="1">
        <v>33</v>
      </c>
      <c r="H9" s="1">
        <f t="shared" si="3"/>
        <v>375</v>
      </c>
      <c r="I9" s="1">
        <f t="shared" si="4"/>
        <v>75</v>
      </c>
      <c r="J9" s="1">
        <f t="shared" si="6"/>
        <v>320000</v>
      </c>
      <c r="V9" s="1">
        <v>7</v>
      </c>
      <c r="W9" s="1">
        <v>100</v>
      </c>
      <c r="X9" s="1">
        <v>7</v>
      </c>
      <c r="Y9" s="1">
        <f t="shared" si="5"/>
        <v>700</v>
      </c>
    </row>
    <row r="10" spans="2:25" s="1" customFormat="1" ht="20.100000000000001" customHeight="1" x14ac:dyDescent="0.2">
      <c r="B10" s="1">
        <v>8</v>
      </c>
      <c r="C10" s="1">
        <f t="shared" si="0"/>
        <v>1800</v>
      </c>
      <c r="D10" s="1">
        <f>D9+1</f>
        <v>5.55</v>
      </c>
      <c r="E10" s="1">
        <f t="shared" si="1"/>
        <v>9990</v>
      </c>
      <c r="F10" s="1">
        <f t="shared" si="2"/>
        <v>10000</v>
      </c>
      <c r="G10" s="1">
        <v>36</v>
      </c>
      <c r="H10" s="1">
        <f t="shared" si="3"/>
        <v>500</v>
      </c>
      <c r="I10" s="1">
        <f t="shared" si="4"/>
        <v>100</v>
      </c>
      <c r="J10" s="1">
        <f t="shared" si="6"/>
        <v>340000</v>
      </c>
      <c r="V10" s="1">
        <v>8</v>
      </c>
      <c r="W10" s="1">
        <v>100</v>
      </c>
      <c r="X10" s="1">
        <v>8</v>
      </c>
      <c r="Y10" s="1">
        <f t="shared" si="5"/>
        <v>800</v>
      </c>
    </row>
    <row r="11" spans="2:25" s="1" customFormat="1" ht="20.100000000000001" customHeight="1" x14ac:dyDescent="0.2">
      <c r="B11" s="1">
        <v>9</v>
      </c>
      <c r="C11" s="1">
        <f t="shared" si="0"/>
        <v>1900</v>
      </c>
      <c r="D11" s="1">
        <f>D10+1.3</f>
        <v>6.85</v>
      </c>
      <c r="E11" s="1">
        <f t="shared" si="1"/>
        <v>13015</v>
      </c>
      <c r="F11" s="1">
        <f t="shared" si="2"/>
        <v>13000</v>
      </c>
      <c r="G11" s="1">
        <v>38</v>
      </c>
      <c r="H11" s="1">
        <f t="shared" si="3"/>
        <v>650</v>
      </c>
      <c r="I11" s="1">
        <f t="shared" si="4"/>
        <v>130</v>
      </c>
      <c r="J11" s="1">
        <f t="shared" ref="J11:J12" si="7">J10+30000</f>
        <v>370000</v>
      </c>
      <c r="V11" s="1">
        <v>9</v>
      </c>
      <c r="W11" s="1">
        <v>100</v>
      </c>
      <c r="X11" s="1">
        <v>9</v>
      </c>
      <c r="Y11" s="1">
        <f t="shared" si="5"/>
        <v>900</v>
      </c>
    </row>
    <row r="12" spans="2:25" s="1" customFormat="1" ht="20.100000000000001" customHeight="1" x14ac:dyDescent="0.2">
      <c r="B12" s="1">
        <v>10</v>
      </c>
      <c r="C12" s="1">
        <f t="shared" si="0"/>
        <v>2000</v>
      </c>
      <c r="D12" s="1">
        <f>D11+1.4</f>
        <v>8.25</v>
      </c>
      <c r="E12" s="1">
        <f t="shared" si="1"/>
        <v>16500</v>
      </c>
      <c r="F12" s="1">
        <f t="shared" si="2"/>
        <v>16500</v>
      </c>
      <c r="G12" s="1">
        <v>40</v>
      </c>
      <c r="H12" s="1">
        <f t="shared" si="3"/>
        <v>825</v>
      </c>
      <c r="I12" s="1">
        <f t="shared" si="4"/>
        <v>165</v>
      </c>
      <c r="J12" s="1">
        <f t="shared" si="7"/>
        <v>400000</v>
      </c>
      <c r="V12" s="1">
        <v>10</v>
      </c>
      <c r="W12" s="1">
        <v>100</v>
      </c>
      <c r="X12" s="1">
        <v>10</v>
      </c>
      <c r="Y12" s="1">
        <f t="shared" si="5"/>
        <v>1000</v>
      </c>
    </row>
    <row r="13" spans="2:25" s="1" customFormat="1" ht="20.100000000000001" customHeight="1" x14ac:dyDescent="0.2"/>
    <row r="14" spans="2:25" s="1" customFormat="1" ht="20.100000000000001" customHeight="1" x14ac:dyDescent="0.2">
      <c r="D14" s="1">
        <f>SUM(D3:D11)</f>
        <v>29.4</v>
      </c>
      <c r="X14" s="1">
        <f>SUM(X3:X12)</f>
        <v>55</v>
      </c>
    </row>
    <row r="15" spans="2:25" s="1" customFormat="1" ht="20.100000000000001" customHeight="1" x14ac:dyDescent="0.2">
      <c r="W15" s="1" t="s">
        <v>39</v>
      </c>
      <c r="X15" s="1">
        <f>X14*4</f>
        <v>220</v>
      </c>
    </row>
    <row r="16" spans="2:25" s="1" customFormat="1" ht="20.100000000000001" customHeight="1" x14ac:dyDescent="0.2">
      <c r="M16" s="1" t="s">
        <v>40</v>
      </c>
    </row>
    <row r="17" spans="2:24" s="1" customFormat="1" ht="20.100000000000001" customHeight="1" x14ac:dyDescent="0.2">
      <c r="M17" s="1" t="s">
        <v>41</v>
      </c>
      <c r="O17" s="1">
        <v>1</v>
      </c>
      <c r="P17" s="1">
        <v>50</v>
      </c>
      <c r="S17" s="1">
        <f>P17*6</f>
        <v>300</v>
      </c>
      <c r="U17" s="1" t="str">
        <f>"100403;"&amp;P17</f>
        <v>100403;50</v>
      </c>
      <c r="X17" s="1" t="str">
        <f>"100203;"&amp;S17</f>
        <v>100203;300</v>
      </c>
    </row>
    <row r="18" spans="2:24" s="1" customFormat="1" ht="20.100000000000001" customHeight="1" x14ac:dyDescent="0.2">
      <c r="M18" s="1" t="s">
        <v>42</v>
      </c>
      <c r="O18" s="1">
        <v>2</v>
      </c>
      <c r="P18" s="1">
        <v>100</v>
      </c>
      <c r="Q18" s="1">
        <f>P18-P17</f>
        <v>50</v>
      </c>
      <c r="S18" s="1">
        <f t="shared" ref="S18:S26" si="8">P18*6</f>
        <v>600</v>
      </c>
      <c r="U18" s="1" t="str">
        <f t="shared" ref="U18:U26" si="9">"100403;"&amp;P18</f>
        <v>100403;100</v>
      </c>
      <c r="X18" s="1" t="str">
        <f t="shared" ref="X18:X26" si="10">"100203;"&amp;S18</f>
        <v>100203;600</v>
      </c>
    </row>
    <row r="19" spans="2:24" s="1" customFormat="1" ht="20.100000000000001" customHeight="1" x14ac:dyDescent="0.2">
      <c r="B19" s="1" t="s">
        <v>43</v>
      </c>
      <c r="M19" s="1" t="s">
        <v>44</v>
      </c>
      <c r="O19" s="1">
        <v>3</v>
      </c>
      <c r="P19" s="1">
        <v>200</v>
      </c>
      <c r="Q19" s="1">
        <f t="shared" ref="Q19:Q26" si="11">P19-P18</f>
        <v>100</v>
      </c>
      <c r="S19" s="1">
        <f t="shared" si="8"/>
        <v>1200</v>
      </c>
      <c r="U19" s="1" t="str">
        <f t="shared" si="9"/>
        <v>100403;200</v>
      </c>
      <c r="X19" s="1" t="str">
        <f t="shared" si="10"/>
        <v>100203;1200</v>
      </c>
    </row>
    <row r="20" spans="2:24" s="1" customFormat="1" ht="20.100000000000001" customHeight="1" x14ac:dyDescent="0.2">
      <c r="B20" s="1">
        <v>1</v>
      </c>
      <c r="C20" s="1" t="s">
        <v>45</v>
      </c>
      <c r="M20" s="1" t="s">
        <v>46</v>
      </c>
      <c r="O20" s="1">
        <v>4</v>
      </c>
      <c r="P20" s="1">
        <v>350</v>
      </c>
      <c r="Q20" s="1">
        <f t="shared" si="11"/>
        <v>150</v>
      </c>
      <c r="S20" s="1">
        <f t="shared" si="8"/>
        <v>2100</v>
      </c>
      <c r="U20" s="1" t="str">
        <f t="shared" si="9"/>
        <v>100403;350</v>
      </c>
      <c r="X20" s="1" t="str">
        <f t="shared" si="10"/>
        <v>100203;2100</v>
      </c>
    </row>
    <row r="21" spans="2:24" s="1" customFormat="1" ht="20.100000000000001" customHeight="1" x14ac:dyDescent="0.2">
      <c r="B21" s="1">
        <v>2</v>
      </c>
      <c r="C21" s="1" t="s">
        <v>47</v>
      </c>
      <c r="M21" s="1" t="s">
        <v>48</v>
      </c>
      <c r="O21" s="1">
        <v>5</v>
      </c>
      <c r="P21" s="1">
        <v>500</v>
      </c>
      <c r="Q21" s="1">
        <f t="shared" si="11"/>
        <v>150</v>
      </c>
      <c r="S21" s="1">
        <f t="shared" si="8"/>
        <v>3000</v>
      </c>
      <c r="U21" s="1" t="str">
        <f t="shared" si="9"/>
        <v>100403;500</v>
      </c>
      <c r="X21" s="1" t="str">
        <f t="shared" si="10"/>
        <v>100203;3000</v>
      </c>
    </row>
    <row r="22" spans="2:24" s="1" customFormat="1" ht="20.100000000000001" customHeight="1" x14ac:dyDescent="0.2">
      <c r="B22" s="1">
        <v>3</v>
      </c>
      <c r="O22" s="1">
        <v>6</v>
      </c>
      <c r="P22" s="1">
        <v>700</v>
      </c>
      <c r="Q22" s="1">
        <f t="shared" si="11"/>
        <v>200</v>
      </c>
      <c r="S22" s="1">
        <f t="shared" si="8"/>
        <v>4200</v>
      </c>
      <c r="U22" s="1" t="str">
        <f t="shared" si="9"/>
        <v>100403;700</v>
      </c>
      <c r="X22" s="1" t="str">
        <f t="shared" si="10"/>
        <v>100203;4200</v>
      </c>
    </row>
    <row r="23" spans="2:24" s="1" customFormat="1" ht="20.100000000000001" customHeight="1" x14ac:dyDescent="0.2">
      <c r="O23" s="1">
        <v>7</v>
      </c>
      <c r="P23" s="1">
        <v>900</v>
      </c>
      <c r="Q23" s="1">
        <f t="shared" si="11"/>
        <v>200</v>
      </c>
      <c r="S23" s="1">
        <f t="shared" si="8"/>
        <v>5400</v>
      </c>
      <c r="U23" s="1" t="str">
        <f t="shared" si="9"/>
        <v>100403;900</v>
      </c>
      <c r="X23" s="1" t="str">
        <f t="shared" si="10"/>
        <v>100203;5400</v>
      </c>
    </row>
    <row r="24" spans="2:24" s="1" customFormat="1" ht="20.100000000000001" customHeight="1" x14ac:dyDescent="0.2">
      <c r="O24" s="1">
        <v>8</v>
      </c>
      <c r="P24" s="1">
        <v>1200</v>
      </c>
      <c r="Q24" s="1">
        <f t="shared" si="11"/>
        <v>300</v>
      </c>
      <c r="S24" s="1">
        <f t="shared" si="8"/>
        <v>7200</v>
      </c>
      <c r="U24" s="1" t="str">
        <f t="shared" si="9"/>
        <v>100403;1200</v>
      </c>
      <c r="X24" s="1" t="str">
        <f t="shared" si="10"/>
        <v>100203;7200</v>
      </c>
    </row>
    <row r="25" spans="2:24" s="1" customFormat="1" ht="20.100000000000001" customHeight="1" x14ac:dyDescent="0.2">
      <c r="O25" s="1">
        <v>9</v>
      </c>
      <c r="P25" s="1">
        <v>1500</v>
      </c>
      <c r="Q25" s="1">
        <f t="shared" si="11"/>
        <v>300</v>
      </c>
      <c r="S25" s="1">
        <f t="shared" si="8"/>
        <v>9000</v>
      </c>
      <c r="U25" s="1" t="str">
        <f t="shared" si="9"/>
        <v>100403;1500</v>
      </c>
      <c r="X25" s="1" t="str">
        <f t="shared" si="10"/>
        <v>100203;9000</v>
      </c>
    </row>
    <row r="26" spans="2:24" s="1" customFormat="1" ht="20.100000000000001" customHeight="1" x14ac:dyDescent="0.2">
      <c r="O26" s="1">
        <v>10</v>
      </c>
      <c r="P26" s="1">
        <v>1800</v>
      </c>
      <c r="Q26" s="1">
        <f t="shared" si="11"/>
        <v>300</v>
      </c>
      <c r="S26" s="1">
        <f t="shared" si="8"/>
        <v>10800</v>
      </c>
      <c r="U26" s="1" t="str">
        <f t="shared" si="9"/>
        <v>100403;1800</v>
      </c>
      <c r="X26" s="1" t="str">
        <f t="shared" si="10"/>
        <v>100203;10800</v>
      </c>
    </row>
    <row r="27" spans="2:24" s="1" customFormat="1" ht="20.100000000000001" customHeight="1" x14ac:dyDescent="0.2">
      <c r="J27" s="1" t="s">
        <v>49</v>
      </c>
    </row>
    <row r="28" spans="2:24" s="1" customFormat="1" ht="20.100000000000001" customHeight="1" x14ac:dyDescent="0.2"/>
    <row r="29" spans="2:24" s="1" customFormat="1" ht="20.100000000000001" customHeight="1" x14ac:dyDescent="0.2">
      <c r="C29" s="1" t="s">
        <v>32</v>
      </c>
      <c r="D29" s="1" t="s">
        <v>50</v>
      </c>
      <c r="E29" s="1" t="s">
        <v>51</v>
      </c>
    </row>
    <row r="30" spans="2:24" s="1" customFormat="1" ht="20.100000000000001" customHeight="1" x14ac:dyDescent="0.2">
      <c r="C30" s="1">
        <v>1</v>
      </c>
      <c r="D30" s="1">
        <v>25</v>
      </c>
      <c r="E30" s="1">
        <v>30</v>
      </c>
      <c r="F30" s="1" t="s">
        <v>52</v>
      </c>
      <c r="H30" s="1" t="s">
        <v>53</v>
      </c>
      <c r="K30" s="1">
        <v>5000000</v>
      </c>
    </row>
    <row r="31" spans="2:24" s="3" customFormat="1" ht="20.100000000000001" customHeight="1" x14ac:dyDescent="0.2">
      <c r="C31" s="1">
        <v>2</v>
      </c>
      <c r="D31" s="1">
        <v>20</v>
      </c>
      <c r="E31" s="1">
        <v>25</v>
      </c>
      <c r="F31" s="1" t="s">
        <v>54</v>
      </c>
    </row>
    <row r="32" spans="2:24" s="3" customFormat="1" ht="20.100000000000001" customHeight="1" x14ac:dyDescent="0.2">
      <c r="C32" s="1">
        <v>3</v>
      </c>
      <c r="D32" s="1">
        <v>15</v>
      </c>
      <c r="E32" s="1">
        <v>20</v>
      </c>
      <c r="F32" s="1" t="s">
        <v>55</v>
      </c>
      <c r="K32" s="1">
        <f>K30*0.8*0.6/20</f>
        <v>120000</v>
      </c>
      <c r="U32" s="3">
        <v>0.1</v>
      </c>
    </row>
    <row r="33" spans="3:26" s="3" customFormat="1" ht="20.100000000000001" customHeight="1" x14ac:dyDescent="0.2">
      <c r="C33" s="15" t="s">
        <v>56</v>
      </c>
      <c r="D33" s="1">
        <v>10</v>
      </c>
      <c r="E33" s="1">
        <v>15</v>
      </c>
      <c r="F33" s="1" t="s">
        <v>57</v>
      </c>
      <c r="Q33" s="3">
        <f>200*12</f>
        <v>2400</v>
      </c>
    </row>
    <row r="34" spans="3:26" s="3" customFormat="1" ht="20.100000000000001" customHeight="1" x14ac:dyDescent="0.2">
      <c r="C34" s="16" t="s">
        <v>58</v>
      </c>
      <c r="D34" s="1">
        <v>5</v>
      </c>
      <c r="E34" s="1">
        <v>10</v>
      </c>
      <c r="F34" s="1" t="s">
        <v>59</v>
      </c>
    </row>
    <row r="35" spans="3:26" s="3" customFormat="1" ht="20.100000000000001" customHeight="1" x14ac:dyDescent="0.2">
      <c r="C35" s="1" t="s">
        <v>60</v>
      </c>
      <c r="D35" s="1">
        <v>5</v>
      </c>
      <c r="E35" s="1">
        <v>5</v>
      </c>
      <c r="F35" s="1" t="s">
        <v>61</v>
      </c>
    </row>
    <row r="36" spans="3:26" s="3" customFormat="1" ht="20.100000000000001" customHeight="1" x14ac:dyDescent="0.2">
      <c r="J36" s="10" t="s">
        <v>62</v>
      </c>
    </row>
    <row r="37" spans="3:26" s="3" customFormat="1" ht="20.100000000000001" customHeight="1" x14ac:dyDescent="0.2"/>
    <row r="38" spans="3:26" s="3" customFormat="1" ht="20.100000000000001" customHeight="1" x14ac:dyDescent="0.2"/>
    <row r="39" spans="3:26" s="3" customFormat="1" ht="20.100000000000001" customHeight="1" x14ac:dyDescent="0.2">
      <c r="O39" s="1" t="s">
        <v>63</v>
      </c>
      <c r="P39" s="1">
        <v>0.15</v>
      </c>
      <c r="Q39" s="1"/>
      <c r="R39" s="1"/>
      <c r="S39" s="1"/>
      <c r="T39" s="1">
        <v>0.22500000000000001</v>
      </c>
      <c r="U39" s="1" t="s">
        <v>64</v>
      </c>
      <c r="V39" s="1"/>
      <c r="X39" s="1" t="s">
        <v>65</v>
      </c>
      <c r="Y39" s="1">
        <v>0.3</v>
      </c>
      <c r="Z39" s="1"/>
    </row>
    <row r="40" spans="3:26" s="3" customFormat="1" ht="20.100000000000001" customHeight="1" x14ac:dyDescent="0.2">
      <c r="I40" s="11" t="s">
        <v>66</v>
      </c>
      <c r="L40" s="1">
        <v>2500</v>
      </c>
      <c r="M40" s="1"/>
      <c r="O40" s="1">
        <v>10000</v>
      </c>
      <c r="P40" s="1">
        <f t="shared" ref="P40:P45" si="12">O40*$P$39</f>
        <v>1500</v>
      </c>
      <c r="Q40" s="1">
        <v>2000</v>
      </c>
      <c r="R40" s="1"/>
      <c r="S40" s="1"/>
      <c r="T40" s="1">
        <f t="shared" ref="T40:T45" si="13">O40*$T$39</f>
        <v>2250</v>
      </c>
      <c r="U40" s="1">
        <f t="shared" ref="U40:U45" si="14">T40</f>
        <v>2250</v>
      </c>
      <c r="V40" s="1"/>
      <c r="Y40" s="1">
        <f t="shared" ref="Y40:Y45" si="15">O40*$Y$39</f>
        <v>3000</v>
      </c>
      <c r="Z40" s="1">
        <f t="shared" ref="Z40:Z45" si="16">Y40/12</f>
        <v>250</v>
      </c>
    </row>
    <row r="41" spans="3:26" s="3" customFormat="1" ht="20.100000000000001" customHeight="1" x14ac:dyDescent="0.2">
      <c r="I41" s="11" t="s">
        <v>67</v>
      </c>
      <c r="L41" s="1">
        <v>4000</v>
      </c>
      <c r="M41" s="1">
        <f t="shared" ref="M41:M45" si="17">L41-L40</f>
        <v>1500</v>
      </c>
      <c r="O41" s="1">
        <v>20000</v>
      </c>
      <c r="P41" s="1">
        <f t="shared" si="12"/>
        <v>3000</v>
      </c>
      <c r="Q41" s="1">
        <v>4000</v>
      </c>
      <c r="R41" s="1">
        <f t="shared" ref="R41:R45" si="18">Q41-Q40</f>
        <v>2000</v>
      </c>
      <c r="S41" s="1"/>
      <c r="T41" s="1">
        <f t="shared" si="13"/>
        <v>4500</v>
      </c>
      <c r="U41" s="1">
        <f t="shared" si="14"/>
        <v>4500</v>
      </c>
      <c r="V41" s="1">
        <f>U41-U40</f>
        <v>2250</v>
      </c>
      <c r="Y41" s="1">
        <f t="shared" si="15"/>
        <v>6000</v>
      </c>
      <c r="Z41" s="1">
        <f t="shared" si="16"/>
        <v>500</v>
      </c>
    </row>
    <row r="42" spans="3:26" s="3" customFormat="1" ht="20.100000000000001" customHeight="1" x14ac:dyDescent="0.2">
      <c r="I42" s="11" t="s">
        <v>68</v>
      </c>
      <c r="L42" s="1">
        <v>6000</v>
      </c>
      <c r="M42" s="1">
        <f t="shared" si="17"/>
        <v>2000</v>
      </c>
      <c r="O42" s="1">
        <v>40000</v>
      </c>
      <c r="P42" s="1">
        <f t="shared" si="12"/>
        <v>6000</v>
      </c>
      <c r="Q42" s="1">
        <v>7500</v>
      </c>
      <c r="R42" s="1">
        <f t="shared" si="18"/>
        <v>3500</v>
      </c>
      <c r="S42" s="1"/>
      <c r="T42" s="1">
        <f t="shared" si="13"/>
        <v>9000</v>
      </c>
      <c r="U42" s="1">
        <f t="shared" si="14"/>
        <v>9000</v>
      </c>
      <c r="V42" s="1">
        <f>U42-U41</f>
        <v>4500</v>
      </c>
      <c r="Y42" s="1">
        <f t="shared" si="15"/>
        <v>12000</v>
      </c>
      <c r="Z42" s="1">
        <f t="shared" si="16"/>
        <v>1000</v>
      </c>
    </row>
    <row r="43" spans="3:26" s="3" customFormat="1" ht="20.100000000000001" customHeight="1" x14ac:dyDescent="0.2">
      <c r="I43" s="11" t="s">
        <v>69</v>
      </c>
      <c r="L43" s="1">
        <v>9000</v>
      </c>
      <c r="M43" s="1">
        <f t="shared" si="17"/>
        <v>3000</v>
      </c>
      <c r="O43" s="1">
        <v>60000</v>
      </c>
      <c r="P43" s="1">
        <f t="shared" si="12"/>
        <v>9000</v>
      </c>
      <c r="Q43" s="1">
        <v>12000</v>
      </c>
      <c r="R43" s="1">
        <f t="shared" si="18"/>
        <v>4500</v>
      </c>
      <c r="S43" s="1"/>
      <c r="T43" s="1">
        <f t="shared" si="13"/>
        <v>13500</v>
      </c>
      <c r="U43" s="1">
        <f t="shared" si="14"/>
        <v>13500</v>
      </c>
      <c r="V43" s="1">
        <f>U43-U42</f>
        <v>4500</v>
      </c>
      <c r="Y43" s="1">
        <f t="shared" si="15"/>
        <v>18000</v>
      </c>
      <c r="Z43" s="1">
        <f t="shared" si="16"/>
        <v>1500</v>
      </c>
    </row>
    <row r="44" spans="3:26" s="3" customFormat="1" ht="20.100000000000001" customHeight="1" x14ac:dyDescent="0.2">
      <c r="I44" s="11" t="s">
        <v>70</v>
      </c>
      <c r="L44" s="1">
        <v>12000</v>
      </c>
      <c r="M44" s="1">
        <f t="shared" si="17"/>
        <v>3000</v>
      </c>
      <c r="O44" s="1">
        <v>80000</v>
      </c>
      <c r="P44" s="1">
        <f t="shared" si="12"/>
        <v>12000</v>
      </c>
      <c r="Q44" s="1">
        <v>18000</v>
      </c>
      <c r="R44" s="1">
        <f t="shared" si="18"/>
        <v>6000</v>
      </c>
      <c r="S44" s="1"/>
      <c r="T44" s="1">
        <f t="shared" si="13"/>
        <v>18000</v>
      </c>
      <c r="U44" s="1">
        <f t="shared" si="14"/>
        <v>18000</v>
      </c>
      <c r="V44" s="1">
        <f>U44-U43</f>
        <v>4500</v>
      </c>
      <c r="Y44" s="1">
        <f t="shared" si="15"/>
        <v>24000</v>
      </c>
      <c r="Z44" s="1">
        <f t="shared" si="16"/>
        <v>2000</v>
      </c>
    </row>
    <row r="45" spans="3:26" s="3" customFormat="1" ht="20.100000000000001" customHeight="1" x14ac:dyDescent="0.2">
      <c r="L45" s="1">
        <v>35000</v>
      </c>
      <c r="M45" s="1">
        <f t="shared" si="17"/>
        <v>23000</v>
      </c>
      <c r="O45" s="1">
        <v>120000</v>
      </c>
      <c r="P45" s="1">
        <f t="shared" si="12"/>
        <v>18000</v>
      </c>
      <c r="Q45" s="1">
        <v>24000</v>
      </c>
      <c r="R45" s="1">
        <f t="shared" si="18"/>
        <v>6000</v>
      </c>
      <c r="S45" s="1"/>
      <c r="T45" s="1">
        <f t="shared" si="13"/>
        <v>27000</v>
      </c>
      <c r="U45" s="1">
        <f t="shared" si="14"/>
        <v>27000</v>
      </c>
      <c r="V45" s="1">
        <f>U45-U44</f>
        <v>9000</v>
      </c>
      <c r="Y45" s="1">
        <f t="shared" si="15"/>
        <v>36000</v>
      </c>
      <c r="Z45" s="1">
        <f t="shared" si="16"/>
        <v>3000</v>
      </c>
    </row>
    <row r="46" spans="3:26" s="3" customFormat="1" ht="20.100000000000001" customHeight="1" x14ac:dyDescent="0.2"/>
    <row r="47" spans="3:26" s="3" customFormat="1" ht="20.100000000000001" customHeight="1" x14ac:dyDescent="0.2"/>
    <row r="48" spans="3:26" s="3" customFormat="1" ht="20.100000000000001" customHeight="1" x14ac:dyDescent="0.2"/>
    <row r="49" s="3" customFormat="1" ht="20.100000000000001" customHeight="1" x14ac:dyDescent="0.2"/>
    <row r="50" s="3" customFormat="1" ht="20.100000000000001" customHeight="1" x14ac:dyDescent="0.2"/>
    <row r="51" s="3" customFormat="1" ht="20.100000000000001" customHeight="1" x14ac:dyDescent="0.2"/>
    <row r="52" s="3" customFormat="1" ht="20.100000000000001" customHeight="1" x14ac:dyDescent="0.2"/>
    <row r="53" s="3" customFormat="1" ht="20.100000000000001" customHeight="1" x14ac:dyDescent="0.2"/>
    <row r="54" s="3" customFormat="1" ht="20.100000000000001" customHeight="1" x14ac:dyDescent="0.2"/>
    <row r="55" s="3" customFormat="1" ht="20.100000000000001" customHeight="1" x14ac:dyDescent="0.2"/>
    <row r="56" s="3" customFormat="1" ht="20.100000000000001" customHeight="1" x14ac:dyDescent="0.2"/>
    <row r="57" s="3" customFormat="1" ht="20.100000000000001" customHeight="1" x14ac:dyDescent="0.2"/>
    <row r="58" s="3" customFormat="1" ht="20.100000000000001" customHeight="1" x14ac:dyDescent="0.2"/>
    <row r="59" s="3" customFormat="1" ht="20.100000000000001" customHeight="1" x14ac:dyDescent="0.2"/>
    <row r="60" s="3" customFormat="1" ht="20.100000000000001" customHeight="1" x14ac:dyDescent="0.2"/>
  </sheetData>
  <phoneticPr fontId="7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13"/>
  <sheetViews>
    <sheetView workbookViewId="0">
      <selection activeCell="F17" sqref="F17"/>
    </sheetView>
  </sheetViews>
  <sheetFormatPr defaultColWidth="9" defaultRowHeight="14.25" x14ac:dyDescent="0.2"/>
  <sheetData>
    <row r="3" spans="2:3" x14ac:dyDescent="0.2">
      <c r="B3" t="s">
        <v>71</v>
      </c>
    </row>
    <row r="4" spans="2:3" x14ac:dyDescent="0.2">
      <c r="B4" s="2">
        <v>1</v>
      </c>
      <c r="C4" s="2">
        <v>18</v>
      </c>
    </row>
    <row r="5" spans="2:3" x14ac:dyDescent="0.2">
      <c r="B5" s="2">
        <v>2</v>
      </c>
      <c r="C5" s="2">
        <v>25</v>
      </c>
    </row>
    <row r="6" spans="2:3" x14ac:dyDescent="0.2">
      <c r="B6" s="2">
        <v>3</v>
      </c>
      <c r="C6" s="2">
        <v>30</v>
      </c>
    </row>
    <row r="7" spans="2:3" x14ac:dyDescent="0.2">
      <c r="B7" s="2">
        <v>4</v>
      </c>
      <c r="C7" s="2">
        <v>35</v>
      </c>
    </row>
    <row r="8" spans="2:3" x14ac:dyDescent="0.2">
      <c r="B8" s="2">
        <v>5</v>
      </c>
      <c r="C8" s="2">
        <v>40</v>
      </c>
    </row>
    <row r="9" spans="2:3" x14ac:dyDescent="0.2">
      <c r="B9" s="2">
        <v>6</v>
      </c>
      <c r="C9" s="2">
        <v>45</v>
      </c>
    </row>
    <row r="10" spans="2:3" x14ac:dyDescent="0.2">
      <c r="B10" s="2">
        <v>7</v>
      </c>
      <c r="C10" s="2">
        <v>50</v>
      </c>
    </row>
    <row r="11" spans="2:3" x14ac:dyDescent="0.2">
      <c r="B11" s="2">
        <v>8</v>
      </c>
      <c r="C11" s="2">
        <v>55</v>
      </c>
    </row>
    <row r="12" spans="2:3" x14ac:dyDescent="0.2">
      <c r="B12" s="2">
        <v>9</v>
      </c>
      <c r="C12" s="2">
        <v>58</v>
      </c>
    </row>
    <row r="13" spans="2:3" x14ac:dyDescent="0.2">
      <c r="B13" s="2">
        <v>10</v>
      </c>
      <c r="C13" s="2">
        <v>60</v>
      </c>
    </row>
  </sheetData>
  <phoneticPr fontId="7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5"/>
  <sheetViews>
    <sheetView topLeftCell="A64" workbookViewId="0">
      <selection activeCell="F83" sqref="F83"/>
    </sheetView>
  </sheetViews>
  <sheetFormatPr defaultColWidth="9" defaultRowHeight="14.25" x14ac:dyDescent="0.2"/>
  <cols>
    <col min="1" max="1" width="9" style="4"/>
    <col min="2" max="3" width="9" style="3"/>
    <col min="4" max="7" width="11.625" style="3" customWidth="1"/>
  </cols>
  <sheetData>
    <row r="1" spans="1:15" s="1" customFormat="1" ht="20.100000000000001" customHeight="1" x14ac:dyDescent="0.2">
      <c r="A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K1" s="1" t="s">
        <v>0</v>
      </c>
      <c r="L1" s="1" t="s">
        <v>78</v>
      </c>
      <c r="M1" s="1" t="s">
        <v>79</v>
      </c>
      <c r="N1" s="1" t="s">
        <v>80</v>
      </c>
    </row>
    <row r="2" spans="1:15" s="1" customFormat="1" ht="20.100000000000001" customHeight="1" x14ac:dyDescent="0.2">
      <c r="A2" s="1">
        <v>1</v>
      </c>
      <c r="B2" s="1">
        <v>5</v>
      </c>
      <c r="C2" s="1">
        <v>15</v>
      </c>
      <c r="D2" s="1">
        <f>C2*2</f>
        <v>30</v>
      </c>
      <c r="E2" s="1">
        <f>C2*2</f>
        <v>30</v>
      </c>
      <c r="F2" s="1">
        <f>C2*2</f>
        <v>30</v>
      </c>
      <c r="G2" s="1">
        <f>C2*10</f>
        <v>150</v>
      </c>
      <c r="K2" s="6">
        <v>1</v>
      </c>
      <c r="L2" s="6">
        <v>1</v>
      </c>
      <c r="M2" s="1">
        <f>IF(L2=1,LOOKUP(K2,A:A,C:C),"")</f>
        <v>15</v>
      </c>
      <c r="N2" s="1" t="str">
        <f>IF(L2=3,LOOKUP(K2,A:A,G:G),"")</f>
        <v/>
      </c>
      <c r="O2" s="1">
        <f>IF(M2="",N2,M2)</f>
        <v>15</v>
      </c>
    </row>
    <row r="3" spans="1:15" s="1" customFormat="1" ht="20.100000000000001" customHeight="1" x14ac:dyDescent="0.2">
      <c r="A3" s="1">
        <v>2</v>
      </c>
      <c r="B3" s="1">
        <v>5</v>
      </c>
      <c r="C3" s="1">
        <f>C2+B3</f>
        <v>20</v>
      </c>
      <c r="D3" s="1">
        <f t="shared" ref="D3:D66" si="0">C3*2</f>
        <v>40</v>
      </c>
      <c r="E3" s="1">
        <f t="shared" ref="E3:E66" si="1">C3*2</f>
        <v>40</v>
      </c>
      <c r="F3" s="1">
        <f t="shared" ref="F3:F66" si="2">C3*2</f>
        <v>40</v>
      </c>
      <c r="G3" s="1">
        <f t="shared" ref="G3:G66" si="3">C3*20</f>
        <v>400</v>
      </c>
      <c r="K3" s="6">
        <v>2</v>
      </c>
      <c r="L3" s="6">
        <v>1</v>
      </c>
      <c r="M3" s="1">
        <f t="shared" ref="M3:M66" si="4">IF(L3=1,LOOKUP(K3,A:A,C:C),"")</f>
        <v>20</v>
      </c>
      <c r="N3" s="1" t="str">
        <f t="shared" ref="N3:N66" si="5">IF(L3=3,LOOKUP(K3,A:A,G:G),"")</f>
        <v/>
      </c>
      <c r="O3" s="1">
        <f t="shared" ref="O3:O66" si="6">IF(M3="",N3,M3)</f>
        <v>20</v>
      </c>
    </row>
    <row r="4" spans="1:15" s="1" customFormat="1" ht="20.100000000000001" customHeight="1" x14ac:dyDescent="0.2">
      <c r="A4" s="1">
        <v>3</v>
      </c>
      <c r="B4" s="1">
        <v>5</v>
      </c>
      <c r="C4" s="1">
        <f t="shared" ref="C4:C66" si="7">C3+B4</f>
        <v>25</v>
      </c>
      <c r="D4" s="1">
        <f t="shared" si="0"/>
        <v>50</v>
      </c>
      <c r="E4" s="1">
        <f t="shared" si="1"/>
        <v>50</v>
      </c>
      <c r="F4" s="1">
        <f t="shared" si="2"/>
        <v>50</v>
      </c>
      <c r="G4" s="1">
        <f t="shared" si="3"/>
        <v>500</v>
      </c>
      <c r="K4" s="6">
        <v>3</v>
      </c>
      <c r="L4" s="6">
        <v>1</v>
      </c>
      <c r="M4" s="1">
        <f t="shared" si="4"/>
        <v>25</v>
      </c>
      <c r="N4" s="1" t="str">
        <f t="shared" si="5"/>
        <v/>
      </c>
      <c r="O4" s="1">
        <f t="shared" si="6"/>
        <v>25</v>
      </c>
    </row>
    <row r="5" spans="1:15" s="1" customFormat="1" ht="20.100000000000001" customHeight="1" x14ac:dyDescent="0.2">
      <c r="A5" s="1">
        <v>4</v>
      </c>
      <c r="B5" s="1">
        <v>5</v>
      </c>
      <c r="C5" s="1">
        <f t="shared" si="7"/>
        <v>30</v>
      </c>
      <c r="D5" s="1">
        <f t="shared" si="0"/>
        <v>60</v>
      </c>
      <c r="E5" s="1">
        <f t="shared" si="1"/>
        <v>60</v>
      </c>
      <c r="F5" s="1">
        <f t="shared" si="2"/>
        <v>60</v>
      </c>
      <c r="G5" s="1">
        <f t="shared" si="3"/>
        <v>600</v>
      </c>
      <c r="K5" s="6">
        <v>3</v>
      </c>
      <c r="L5" s="6">
        <v>3</v>
      </c>
      <c r="M5" s="1" t="str">
        <f t="shared" si="4"/>
        <v/>
      </c>
      <c r="N5" s="1">
        <f t="shared" si="5"/>
        <v>500</v>
      </c>
      <c r="O5" s="1">
        <f t="shared" si="6"/>
        <v>500</v>
      </c>
    </row>
    <row r="6" spans="1:15" s="1" customFormat="1" ht="20.100000000000001" customHeight="1" x14ac:dyDescent="0.2">
      <c r="A6" s="1">
        <v>5</v>
      </c>
      <c r="B6" s="1">
        <v>10</v>
      </c>
      <c r="C6" s="1">
        <f t="shared" si="7"/>
        <v>40</v>
      </c>
      <c r="D6" s="1">
        <f t="shared" si="0"/>
        <v>80</v>
      </c>
      <c r="E6" s="1">
        <f t="shared" si="1"/>
        <v>80</v>
      </c>
      <c r="F6" s="1">
        <f t="shared" si="2"/>
        <v>80</v>
      </c>
      <c r="G6" s="1">
        <f t="shared" si="3"/>
        <v>800</v>
      </c>
      <c r="K6" s="6">
        <v>4</v>
      </c>
      <c r="L6" s="6">
        <v>1</v>
      </c>
      <c r="M6" s="1">
        <f t="shared" si="4"/>
        <v>30</v>
      </c>
      <c r="N6" s="1" t="str">
        <f t="shared" si="5"/>
        <v/>
      </c>
      <c r="O6" s="1">
        <f t="shared" si="6"/>
        <v>30</v>
      </c>
    </row>
    <row r="7" spans="1:15" s="1" customFormat="1" ht="20.100000000000001" customHeight="1" x14ac:dyDescent="0.2">
      <c r="A7" s="1">
        <v>6</v>
      </c>
      <c r="B7" s="1">
        <v>10</v>
      </c>
      <c r="C7" s="1">
        <f t="shared" si="7"/>
        <v>50</v>
      </c>
      <c r="D7" s="1">
        <f t="shared" si="0"/>
        <v>100</v>
      </c>
      <c r="E7" s="1">
        <f t="shared" si="1"/>
        <v>100</v>
      </c>
      <c r="F7" s="1">
        <f t="shared" si="2"/>
        <v>100</v>
      </c>
      <c r="G7" s="1">
        <f t="shared" si="3"/>
        <v>1000</v>
      </c>
      <c r="K7" s="6">
        <v>4</v>
      </c>
      <c r="L7" s="6">
        <v>1</v>
      </c>
      <c r="M7" s="1">
        <f t="shared" si="4"/>
        <v>30</v>
      </c>
      <c r="N7" s="1" t="str">
        <f t="shared" si="5"/>
        <v/>
      </c>
      <c r="O7" s="1">
        <f t="shared" si="6"/>
        <v>30</v>
      </c>
    </row>
    <row r="8" spans="1:15" s="1" customFormat="1" ht="20.100000000000001" customHeight="1" x14ac:dyDescent="0.2">
      <c r="A8" s="1">
        <v>7</v>
      </c>
      <c r="B8" s="1">
        <v>10</v>
      </c>
      <c r="C8" s="1">
        <f t="shared" si="7"/>
        <v>60</v>
      </c>
      <c r="D8" s="1">
        <f t="shared" si="0"/>
        <v>120</v>
      </c>
      <c r="E8" s="1">
        <f t="shared" si="1"/>
        <v>120</v>
      </c>
      <c r="F8" s="1">
        <f t="shared" si="2"/>
        <v>120</v>
      </c>
      <c r="G8" s="1">
        <f t="shared" si="3"/>
        <v>1200</v>
      </c>
      <c r="K8" s="7">
        <v>4</v>
      </c>
      <c r="L8" s="7">
        <v>1</v>
      </c>
      <c r="M8" s="1">
        <f t="shared" si="4"/>
        <v>30</v>
      </c>
      <c r="N8" s="1" t="str">
        <f t="shared" si="5"/>
        <v/>
      </c>
      <c r="O8" s="1">
        <f t="shared" si="6"/>
        <v>30</v>
      </c>
    </row>
    <row r="9" spans="1:15" s="1" customFormat="1" ht="20.100000000000001" customHeight="1" x14ac:dyDescent="0.2">
      <c r="A9" s="1">
        <v>8</v>
      </c>
      <c r="B9" s="1">
        <v>10</v>
      </c>
      <c r="C9" s="1">
        <f t="shared" si="7"/>
        <v>70</v>
      </c>
      <c r="D9" s="1">
        <f t="shared" si="0"/>
        <v>140</v>
      </c>
      <c r="E9" s="1">
        <f t="shared" si="1"/>
        <v>140</v>
      </c>
      <c r="F9" s="1">
        <f t="shared" si="2"/>
        <v>140</v>
      </c>
      <c r="G9" s="1">
        <f t="shared" si="3"/>
        <v>1400</v>
      </c>
      <c r="K9" s="6">
        <v>4</v>
      </c>
      <c r="L9" s="6">
        <v>1</v>
      </c>
      <c r="M9" s="1">
        <f t="shared" si="4"/>
        <v>30</v>
      </c>
      <c r="N9" s="1" t="str">
        <f t="shared" si="5"/>
        <v/>
      </c>
      <c r="O9" s="1">
        <f t="shared" si="6"/>
        <v>30</v>
      </c>
    </row>
    <row r="10" spans="1:15" s="1" customFormat="1" ht="20.100000000000001" customHeight="1" x14ac:dyDescent="0.2">
      <c r="A10" s="1">
        <v>9</v>
      </c>
      <c r="B10" s="1">
        <v>10</v>
      </c>
      <c r="C10" s="1">
        <f t="shared" si="7"/>
        <v>80</v>
      </c>
      <c r="D10" s="1">
        <f t="shared" si="0"/>
        <v>160</v>
      </c>
      <c r="E10" s="1">
        <f t="shared" si="1"/>
        <v>160</v>
      </c>
      <c r="F10" s="1">
        <f t="shared" si="2"/>
        <v>160</v>
      </c>
      <c r="G10" s="1">
        <f t="shared" si="3"/>
        <v>1600</v>
      </c>
      <c r="K10" s="6">
        <v>5</v>
      </c>
      <c r="L10" s="6">
        <v>3</v>
      </c>
      <c r="M10" s="1" t="str">
        <f t="shared" si="4"/>
        <v/>
      </c>
      <c r="N10" s="1">
        <f t="shared" si="5"/>
        <v>800</v>
      </c>
      <c r="O10" s="1">
        <f t="shared" si="6"/>
        <v>800</v>
      </c>
    </row>
    <row r="11" spans="1:15" s="1" customFormat="1" ht="20.100000000000001" customHeight="1" x14ac:dyDescent="0.2">
      <c r="A11" s="1">
        <v>10</v>
      </c>
      <c r="B11" s="1">
        <v>15</v>
      </c>
      <c r="C11" s="1">
        <f t="shared" si="7"/>
        <v>95</v>
      </c>
      <c r="D11" s="1">
        <f t="shared" si="0"/>
        <v>190</v>
      </c>
      <c r="E11" s="1">
        <f t="shared" si="1"/>
        <v>190</v>
      </c>
      <c r="F11" s="1">
        <f t="shared" si="2"/>
        <v>190</v>
      </c>
      <c r="G11" s="1">
        <f t="shared" si="3"/>
        <v>1900</v>
      </c>
      <c r="K11" s="6">
        <v>7</v>
      </c>
      <c r="L11" s="6">
        <v>1</v>
      </c>
      <c r="M11" s="1">
        <f t="shared" si="4"/>
        <v>60</v>
      </c>
      <c r="N11" s="1" t="str">
        <f t="shared" si="5"/>
        <v/>
      </c>
      <c r="O11" s="1">
        <f t="shared" si="6"/>
        <v>60</v>
      </c>
    </row>
    <row r="12" spans="1:15" s="1" customFormat="1" ht="20.100000000000001" customHeight="1" x14ac:dyDescent="0.2">
      <c r="A12" s="1">
        <v>11</v>
      </c>
      <c r="B12" s="1">
        <v>15</v>
      </c>
      <c r="C12" s="1">
        <f t="shared" si="7"/>
        <v>110</v>
      </c>
      <c r="D12" s="1">
        <f t="shared" si="0"/>
        <v>220</v>
      </c>
      <c r="E12" s="1">
        <f t="shared" si="1"/>
        <v>220</v>
      </c>
      <c r="F12" s="1">
        <f t="shared" si="2"/>
        <v>220</v>
      </c>
      <c r="G12" s="1">
        <f t="shared" si="3"/>
        <v>2200</v>
      </c>
      <c r="K12" s="7">
        <v>7</v>
      </c>
      <c r="L12" s="7">
        <v>1</v>
      </c>
      <c r="M12" s="1">
        <f t="shared" si="4"/>
        <v>60</v>
      </c>
      <c r="N12" s="1" t="str">
        <f t="shared" si="5"/>
        <v/>
      </c>
      <c r="O12" s="1">
        <f t="shared" si="6"/>
        <v>60</v>
      </c>
    </row>
    <row r="13" spans="1:15" s="1" customFormat="1" ht="20.100000000000001" customHeight="1" x14ac:dyDescent="0.2">
      <c r="A13" s="1">
        <v>12</v>
      </c>
      <c r="B13" s="1">
        <v>15</v>
      </c>
      <c r="C13" s="1">
        <f t="shared" si="7"/>
        <v>125</v>
      </c>
      <c r="D13" s="1">
        <f t="shared" si="0"/>
        <v>250</v>
      </c>
      <c r="E13" s="1">
        <f t="shared" si="1"/>
        <v>250</v>
      </c>
      <c r="F13" s="1">
        <f t="shared" si="2"/>
        <v>250</v>
      </c>
      <c r="G13" s="1">
        <f t="shared" si="3"/>
        <v>2500</v>
      </c>
      <c r="K13" s="7">
        <v>8</v>
      </c>
      <c r="L13" s="7">
        <v>1</v>
      </c>
      <c r="M13" s="1">
        <f t="shared" si="4"/>
        <v>70</v>
      </c>
      <c r="N13" s="1" t="str">
        <f t="shared" si="5"/>
        <v/>
      </c>
      <c r="O13" s="1">
        <f t="shared" si="6"/>
        <v>70</v>
      </c>
    </row>
    <row r="14" spans="1:15" s="1" customFormat="1" ht="20.100000000000001" customHeight="1" x14ac:dyDescent="0.2">
      <c r="A14" s="1">
        <v>13</v>
      </c>
      <c r="B14" s="1">
        <v>15</v>
      </c>
      <c r="C14" s="1">
        <f t="shared" si="7"/>
        <v>140</v>
      </c>
      <c r="D14" s="1">
        <f t="shared" si="0"/>
        <v>280</v>
      </c>
      <c r="E14" s="1">
        <f t="shared" si="1"/>
        <v>280</v>
      </c>
      <c r="F14" s="1">
        <f t="shared" si="2"/>
        <v>280</v>
      </c>
      <c r="G14" s="1">
        <f t="shared" si="3"/>
        <v>2800</v>
      </c>
      <c r="K14" s="6">
        <v>10</v>
      </c>
      <c r="L14" s="6">
        <v>3</v>
      </c>
      <c r="M14" s="1" t="str">
        <f t="shared" si="4"/>
        <v/>
      </c>
      <c r="N14" s="1">
        <f t="shared" si="5"/>
        <v>1900</v>
      </c>
      <c r="O14" s="1">
        <f t="shared" si="6"/>
        <v>1900</v>
      </c>
    </row>
    <row r="15" spans="1:15" s="1" customFormat="1" ht="20.100000000000001" customHeight="1" x14ac:dyDescent="0.2">
      <c r="A15" s="1">
        <v>14</v>
      </c>
      <c r="B15" s="1">
        <v>15</v>
      </c>
      <c r="C15" s="1">
        <f t="shared" si="7"/>
        <v>155</v>
      </c>
      <c r="D15" s="1">
        <f t="shared" si="0"/>
        <v>310</v>
      </c>
      <c r="E15" s="1">
        <f t="shared" si="1"/>
        <v>310</v>
      </c>
      <c r="F15" s="1">
        <f t="shared" si="2"/>
        <v>310</v>
      </c>
      <c r="G15" s="1">
        <f t="shared" si="3"/>
        <v>3100</v>
      </c>
      <c r="K15" s="6">
        <v>10</v>
      </c>
      <c r="L15" s="6">
        <v>1</v>
      </c>
      <c r="M15" s="1">
        <f t="shared" si="4"/>
        <v>95</v>
      </c>
      <c r="N15" s="1" t="str">
        <f t="shared" si="5"/>
        <v/>
      </c>
      <c r="O15" s="1">
        <f t="shared" si="6"/>
        <v>95</v>
      </c>
    </row>
    <row r="16" spans="1:15" s="1" customFormat="1" ht="20.100000000000001" customHeight="1" x14ac:dyDescent="0.2">
      <c r="A16" s="1">
        <v>15</v>
      </c>
      <c r="B16" s="1">
        <v>15</v>
      </c>
      <c r="C16" s="1">
        <f t="shared" si="7"/>
        <v>170</v>
      </c>
      <c r="D16" s="1">
        <f t="shared" si="0"/>
        <v>340</v>
      </c>
      <c r="E16" s="1">
        <f t="shared" si="1"/>
        <v>340</v>
      </c>
      <c r="F16" s="1">
        <f t="shared" si="2"/>
        <v>340</v>
      </c>
      <c r="G16" s="1">
        <f t="shared" si="3"/>
        <v>3400</v>
      </c>
      <c r="K16" s="6">
        <v>10</v>
      </c>
      <c r="L16" s="6">
        <v>1</v>
      </c>
      <c r="M16" s="1">
        <f t="shared" si="4"/>
        <v>95</v>
      </c>
      <c r="N16" s="1" t="str">
        <f t="shared" si="5"/>
        <v/>
      </c>
      <c r="O16" s="1">
        <f t="shared" si="6"/>
        <v>95</v>
      </c>
    </row>
    <row r="17" spans="1:15" s="1" customFormat="1" ht="20.100000000000001" customHeight="1" x14ac:dyDescent="0.2">
      <c r="A17" s="1">
        <v>16</v>
      </c>
      <c r="B17" s="1">
        <v>20</v>
      </c>
      <c r="C17" s="1">
        <f t="shared" si="7"/>
        <v>190</v>
      </c>
      <c r="D17" s="1">
        <f t="shared" si="0"/>
        <v>380</v>
      </c>
      <c r="E17" s="1">
        <f t="shared" si="1"/>
        <v>380</v>
      </c>
      <c r="F17" s="1">
        <f t="shared" si="2"/>
        <v>380</v>
      </c>
      <c r="G17" s="1">
        <f t="shared" si="3"/>
        <v>3800</v>
      </c>
      <c r="K17" s="7">
        <v>10</v>
      </c>
      <c r="L17" s="7">
        <v>1</v>
      </c>
      <c r="M17" s="1">
        <f t="shared" si="4"/>
        <v>95</v>
      </c>
      <c r="N17" s="1" t="str">
        <f t="shared" si="5"/>
        <v/>
      </c>
      <c r="O17" s="1">
        <f t="shared" si="6"/>
        <v>95</v>
      </c>
    </row>
    <row r="18" spans="1:15" s="1" customFormat="1" ht="20.100000000000001" customHeight="1" x14ac:dyDescent="0.2">
      <c r="A18" s="1">
        <v>17</v>
      </c>
      <c r="B18" s="1">
        <v>20</v>
      </c>
      <c r="C18" s="1">
        <f t="shared" si="7"/>
        <v>210</v>
      </c>
      <c r="D18" s="1">
        <f t="shared" si="0"/>
        <v>420</v>
      </c>
      <c r="E18" s="1">
        <f t="shared" si="1"/>
        <v>420</v>
      </c>
      <c r="F18" s="1">
        <f t="shared" si="2"/>
        <v>420</v>
      </c>
      <c r="G18" s="1">
        <f t="shared" si="3"/>
        <v>4200</v>
      </c>
      <c r="K18" s="7">
        <v>10</v>
      </c>
      <c r="L18" s="7">
        <v>1</v>
      </c>
      <c r="M18" s="1">
        <f t="shared" si="4"/>
        <v>95</v>
      </c>
      <c r="N18" s="1" t="str">
        <f t="shared" si="5"/>
        <v/>
      </c>
      <c r="O18" s="1">
        <f t="shared" si="6"/>
        <v>95</v>
      </c>
    </row>
    <row r="19" spans="1:15" s="1" customFormat="1" ht="20.100000000000001" customHeight="1" x14ac:dyDescent="0.2">
      <c r="A19" s="1">
        <v>18</v>
      </c>
      <c r="B19" s="1">
        <v>20</v>
      </c>
      <c r="C19" s="1">
        <f t="shared" si="7"/>
        <v>230</v>
      </c>
      <c r="D19" s="1">
        <f t="shared" si="0"/>
        <v>460</v>
      </c>
      <c r="E19" s="1">
        <f t="shared" si="1"/>
        <v>460</v>
      </c>
      <c r="F19" s="1">
        <f t="shared" si="2"/>
        <v>460</v>
      </c>
      <c r="G19" s="1">
        <f t="shared" si="3"/>
        <v>4600</v>
      </c>
      <c r="K19" s="6">
        <v>10</v>
      </c>
      <c r="L19" s="6">
        <v>1</v>
      </c>
      <c r="M19" s="1">
        <f t="shared" si="4"/>
        <v>95</v>
      </c>
      <c r="N19" s="1" t="str">
        <f t="shared" si="5"/>
        <v/>
      </c>
      <c r="O19" s="1">
        <f t="shared" si="6"/>
        <v>95</v>
      </c>
    </row>
    <row r="20" spans="1:15" s="1" customFormat="1" ht="20.100000000000001" customHeight="1" x14ac:dyDescent="0.2">
      <c r="A20" s="1">
        <v>19</v>
      </c>
      <c r="B20" s="1">
        <v>20</v>
      </c>
      <c r="C20" s="1">
        <f t="shared" si="7"/>
        <v>250</v>
      </c>
      <c r="D20" s="1">
        <f t="shared" si="0"/>
        <v>500</v>
      </c>
      <c r="E20" s="1">
        <f t="shared" si="1"/>
        <v>500</v>
      </c>
      <c r="F20" s="1">
        <f t="shared" si="2"/>
        <v>500</v>
      </c>
      <c r="G20" s="1">
        <f t="shared" si="3"/>
        <v>5000</v>
      </c>
      <c r="K20" s="6">
        <v>12</v>
      </c>
      <c r="L20" s="6">
        <v>3</v>
      </c>
      <c r="M20" s="1" t="str">
        <f t="shared" si="4"/>
        <v/>
      </c>
      <c r="N20" s="1">
        <f t="shared" si="5"/>
        <v>2500</v>
      </c>
      <c r="O20" s="1">
        <f t="shared" si="6"/>
        <v>2500</v>
      </c>
    </row>
    <row r="21" spans="1:15" s="1" customFormat="1" ht="20.100000000000001" customHeight="1" x14ac:dyDescent="0.2">
      <c r="A21" s="1">
        <v>20</v>
      </c>
      <c r="B21" s="1">
        <v>30</v>
      </c>
      <c r="C21" s="1">
        <f t="shared" si="7"/>
        <v>280</v>
      </c>
      <c r="D21" s="1">
        <f t="shared" si="0"/>
        <v>560</v>
      </c>
      <c r="E21" s="1">
        <f t="shared" si="1"/>
        <v>560</v>
      </c>
      <c r="F21" s="1">
        <f t="shared" si="2"/>
        <v>560</v>
      </c>
      <c r="G21" s="1">
        <f t="shared" si="3"/>
        <v>5600</v>
      </c>
      <c r="K21" s="6">
        <v>13</v>
      </c>
      <c r="L21" s="6">
        <v>1</v>
      </c>
      <c r="M21" s="1">
        <f t="shared" si="4"/>
        <v>140</v>
      </c>
      <c r="N21" s="1" t="str">
        <f t="shared" si="5"/>
        <v/>
      </c>
      <c r="O21" s="1">
        <f t="shared" si="6"/>
        <v>140</v>
      </c>
    </row>
    <row r="22" spans="1:15" s="1" customFormat="1" ht="20.100000000000001" customHeight="1" x14ac:dyDescent="0.2">
      <c r="A22" s="1">
        <v>21</v>
      </c>
      <c r="B22" s="1">
        <v>30</v>
      </c>
      <c r="C22" s="1">
        <f t="shared" si="7"/>
        <v>310</v>
      </c>
      <c r="D22" s="1">
        <f t="shared" si="0"/>
        <v>620</v>
      </c>
      <c r="E22" s="1">
        <f t="shared" si="1"/>
        <v>620</v>
      </c>
      <c r="F22" s="1">
        <f t="shared" si="2"/>
        <v>620</v>
      </c>
      <c r="G22" s="1">
        <f t="shared" si="3"/>
        <v>6200</v>
      </c>
      <c r="K22" s="7">
        <v>13</v>
      </c>
      <c r="L22" s="7">
        <v>1</v>
      </c>
      <c r="M22" s="1">
        <f t="shared" si="4"/>
        <v>140</v>
      </c>
      <c r="N22" s="1" t="str">
        <f t="shared" si="5"/>
        <v/>
      </c>
      <c r="O22" s="1">
        <f t="shared" si="6"/>
        <v>140</v>
      </c>
    </row>
    <row r="23" spans="1:15" s="1" customFormat="1" ht="20.100000000000001" customHeight="1" x14ac:dyDescent="0.2">
      <c r="A23" s="1">
        <v>22</v>
      </c>
      <c r="B23" s="1">
        <v>30</v>
      </c>
      <c r="C23" s="1">
        <f t="shared" si="7"/>
        <v>340</v>
      </c>
      <c r="D23" s="1">
        <f t="shared" si="0"/>
        <v>680</v>
      </c>
      <c r="E23" s="1">
        <f t="shared" si="1"/>
        <v>680</v>
      </c>
      <c r="F23" s="1">
        <f t="shared" si="2"/>
        <v>680</v>
      </c>
      <c r="G23" s="1">
        <f t="shared" si="3"/>
        <v>6800</v>
      </c>
      <c r="K23" s="6">
        <v>15</v>
      </c>
      <c r="L23" s="6">
        <v>3</v>
      </c>
      <c r="M23" s="1" t="str">
        <f t="shared" si="4"/>
        <v/>
      </c>
      <c r="N23" s="1">
        <f t="shared" si="5"/>
        <v>3400</v>
      </c>
      <c r="O23" s="1">
        <f t="shared" si="6"/>
        <v>3400</v>
      </c>
    </row>
    <row r="24" spans="1:15" s="1" customFormat="1" ht="20.100000000000001" customHeight="1" x14ac:dyDescent="0.2">
      <c r="A24" s="1">
        <v>23</v>
      </c>
      <c r="B24" s="1">
        <v>30</v>
      </c>
      <c r="C24" s="1">
        <f t="shared" si="7"/>
        <v>370</v>
      </c>
      <c r="D24" s="1">
        <f t="shared" si="0"/>
        <v>740</v>
      </c>
      <c r="E24" s="1">
        <f t="shared" si="1"/>
        <v>740</v>
      </c>
      <c r="F24" s="1">
        <f t="shared" si="2"/>
        <v>740</v>
      </c>
      <c r="G24" s="1">
        <f t="shared" si="3"/>
        <v>7400</v>
      </c>
      <c r="K24" s="6">
        <v>19</v>
      </c>
      <c r="L24" s="6">
        <v>1</v>
      </c>
      <c r="M24" s="1">
        <f t="shared" si="4"/>
        <v>250</v>
      </c>
      <c r="N24" s="1" t="str">
        <f t="shared" si="5"/>
        <v/>
      </c>
      <c r="O24" s="1">
        <f t="shared" si="6"/>
        <v>250</v>
      </c>
    </row>
    <row r="25" spans="1:15" s="1" customFormat="1" ht="20.100000000000001" customHeight="1" x14ac:dyDescent="0.2">
      <c r="A25" s="1">
        <v>24</v>
      </c>
      <c r="B25" s="1">
        <v>30</v>
      </c>
      <c r="C25" s="1">
        <f t="shared" si="7"/>
        <v>400</v>
      </c>
      <c r="D25" s="1">
        <f t="shared" si="0"/>
        <v>800</v>
      </c>
      <c r="E25" s="1">
        <f t="shared" si="1"/>
        <v>800</v>
      </c>
      <c r="F25" s="1">
        <f t="shared" si="2"/>
        <v>800</v>
      </c>
      <c r="G25" s="1">
        <f t="shared" si="3"/>
        <v>8000</v>
      </c>
      <c r="K25" s="6">
        <v>19</v>
      </c>
      <c r="L25" s="6">
        <v>1</v>
      </c>
      <c r="M25" s="1">
        <f t="shared" si="4"/>
        <v>250</v>
      </c>
      <c r="N25" s="1" t="str">
        <f t="shared" si="5"/>
        <v/>
      </c>
      <c r="O25" s="1">
        <f t="shared" si="6"/>
        <v>250</v>
      </c>
    </row>
    <row r="26" spans="1:15" s="1" customFormat="1" ht="20.100000000000001" customHeight="1" x14ac:dyDescent="0.2">
      <c r="A26" s="1">
        <v>25</v>
      </c>
      <c r="B26" s="1">
        <v>30</v>
      </c>
      <c r="C26" s="1">
        <f t="shared" si="7"/>
        <v>430</v>
      </c>
      <c r="D26" s="1">
        <f t="shared" si="0"/>
        <v>860</v>
      </c>
      <c r="E26" s="1">
        <f t="shared" si="1"/>
        <v>860</v>
      </c>
      <c r="F26" s="1">
        <f t="shared" si="2"/>
        <v>860</v>
      </c>
      <c r="G26" s="1">
        <f t="shared" si="3"/>
        <v>8600</v>
      </c>
      <c r="K26" s="6">
        <v>22</v>
      </c>
      <c r="L26" s="6">
        <v>3</v>
      </c>
      <c r="M26" s="1" t="str">
        <f t="shared" si="4"/>
        <v/>
      </c>
      <c r="N26" s="1">
        <f t="shared" si="5"/>
        <v>6800</v>
      </c>
      <c r="O26" s="1">
        <f t="shared" si="6"/>
        <v>6800</v>
      </c>
    </row>
    <row r="27" spans="1:15" s="1" customFormat="1" ht="20.100000000000001" customHeight="1" x14ac:dyDescent="0.2">
      <c r="A27" s="1">
        <v>26</v>
      </c>
      <c r="B27" s="1">
        <v>30</v>
      </c>
      <c r="C27" s="1">
        <f t="shared" si="7"/>
        <v>460</v>
      </c>
      <c r="D27" s="1">
        <f t="shared" si="0"/>
        <v>920</v>
      </c>
      <c r="E27" s="1">
        <f t="shared" si="1"/>
        <v>920</v>
      </c>
      <c r="F27" s="1">
        <f t="shared" si="2"/>
        <v>920</v>
      </c>
      <c r="G27" s="1">
        <f t="shared" si="3"/>
        <v>9200</v>
      </c>
      <c r="K27" s="6">
        <v>23</v>
      </c>
      <c r="L27" s="6">
        <v>1</v>
      </c>
      <c r="M27" s="1">
        <f t="shared" si="4"/>
        <v>370</v>
      </c>
      <c r="N27" s="1" t="str">
        <f t="shared" si="5"/>
        <v/>
      </c>
      <c r="O27" s="1">
        <f t="shared" si="6"/>
        <v>370</v>
      </c>
    </row>
    <row r="28" spans="1:15" s="1" customFormat="1" ht="20.100000000000001" customHeight="1" x14ac:dyDescent="0.2">
      <c r="A28" s="1">
        <v>27</v>
      </c>
      <c r="B28" s="1">
        <v>30</v>
      </c>
      <c r="C28" s="1">
        <f t="shared" si="7"/>
        <v>490</v>
      </c>
      <c r="D28" s="1">
        <f t="shared" si="0"/>
        <v>980</v>
      </c>
      <c r="E28" s="1">
        <f t="shared" si="1"/>
        <v>980</v>
      </c>
      <c r="F28" s="1">
        <f t="shared" si="2"/>
        <v>980</v>
      </c>
      <c r="G28" s="1">
        <f t="shared" si="3"/>
        <v>9800</v>
      </c>
      <c r="K28" s="6">
        <v>23</v>
      </c>
      <c r="L28" s="6">
        <v>1</v>
      </c>
      <c r="M28" s="1">
        <f t="shared" si="4"/>
        <v>370</v>
      </c>
      <c r="N28" s="1" t="str">
        <f t="shared" si="5"/>
        <v/>
      </c>
      <c r="O28" s="1">
        <f t="shared" si="6"/>
        <v>370</v>
      </c>
    </row>
    <row r="29" spans="1:15" s="1" customFormat="1" ht="20.100000000000001" customHeight="1" x14ac:dyDescent="0.2">
      <c r="A29" s="1">
        <v>28</v>
      </c>
      <c r="B29" s="1">
        <v>30</v>
      </c>
      <c r="C29" s="1">
        <f t="shared" si="7"/>
        <v>520</v>
      </c>
      <c r="D29" s="1">
        <f t="shared" si="0"/>
        <v>1040</v>
      </c>
      <c r="E29" s="1">
        <f t="shared" si="1"/>
        <v>1040</v>
      </c>
      <c r="F29" s="1">
        <f t="shared" si="2"/>
        <v>1040</v>
      </c>
      <c r="G29" s="1">
        <f t="shared" si="3"/>
        <v>10400</v>
      </c>
      <c r="K29" s="6">
        <v>25</v>
      </c>
      <c r="L29" s="6">
        <v>3</v>
      </c>
      <c r="M29" s="1" t="str">
        <f t="shared" si="4"/>
        <v/>
      </c>
      <c r="N29" s="1">
        <f t="shared" si="5"/>
        <v>8600</v>
      </c>
      <c r="O29" s="1">
        <f t="shared" si="6"/>
        <v>8600</v>
      </c>
    </row>
    <row r="30" spans="1:15" s="1" customFormat="1" ht="20.100000000000001" customHeight="1" x14ac:dyDescent="0.2">
      <c r="A30" s="1">
        <v>29</v>
      </c>
      <c r="B30" s="1">
        <v>30</v>
      </c>
      <c r="C30" s="1">
        <f t="shared" si="7"/>
        <v>550</v>
      </c>
      <c r="D30" s="1">
        <f t="shared" si="0"/>
        <v>1100</v>
      </c>
      <c r="E30" s="1">
        <f t="shared" si="1"/>
        <v>1100</v>
      </c>
      <c r="F30" s="1">
        <f t="shared" si="2"/>
        <v>1100</v>
      </c>
      <c r="G30" s="1">
        <f t="shared" si="3"/>
        <v>11000</v>
      </c>
      <c r="K30" s="6">
        <v>25</v>
      </c>
      <c r="L30" s="6">
        <v>3</v>
      </c>
      <c r="M30" s="1" t="str">
        <f t="shared" si="4"/>
        <v/>
      </c>
      <c r="N30" s="1">
        <f t="shared" si="5"/>
        <v>8600</v>
      </c>
      <c r="O30" s="1">
        <f t="shared" si="6"/>
        <v>8600</v>
      </c>
    </row>
    <row r="31" spans="1:15" s="1" customFormat="1" ht="20.100000000000001" customHeight="1" x14ac:dyDescent="0.2">
      <c r="A31" s="1">
        <v>30</v>
      </c>
      <c r="B31" s="1">
        <v>30</v>
      </c>
      <c r="C31" s="1">
        <f t="shared" si="7"/>
        <v>580</v>
      </c>
      <c r="D31" s="1">
        <f t="shared" si="0"/>
        <v>1160</v>
      </c>
      <c r="E31" s="1">
        <f t="shared" si="1"/>
        <v>1160</v>
      </c>
      <c r="F31" s="1">
        <f t="shared" si="2"/>
        <v>1160</v>
      </c>
      <c r="G31" s="1">
        <f t="shared" si="3"/>
        <v>11600</v>
      </c>
      <c r="K31" s="6">
        <v>26</v>
      </c>
      <c r="L31" s="6">
        <v>1</v>
      </c>
      <c r="M31" s="1">
        <f t="shared" si="4"/>
        <v>460</v>
      </c>
      <c r="N31" s="1" t="str">
        <f t="shared" si="5"/>
        <v/>
      </c>
      <c r="O31" s="1">
        <f t="shared" si="6"/>
        <v>460</v>
      </c>
    </row>
    <row r="32" spans="1:15" s="1" customFormat="1" ht="20.100000000000001" customHeight="1" x14ac:dyDescent="0.2">
      <c r="A32" s="1">
        <v>31</v>
      </c>
      <c r="B32" s="1">
        <v>30</v>
      </c>
      <c r="C32" s="1">
        <f t="shared" si="7"/>
        <v>610</v>
      </c>
      <c r="D32" s="1">
        <f t="shared" si="0"/>
        <v>1220</v>
      </c>
      <c r="E32" s="1">
        <f t="shared" si="1"/>
        <v>1220</v>
      </c>
      <c r="F32" s="1">
        <f t="shared" si="2"/>
        <v>1220</v>
      </c>
      <c r="G32" s="1">
        <f t="shared" si="3"/>
        <v>12200</v>
      </c>
      <c r="K32" s="6">
        <v>26</v>
      </c>
      <c r="L32" s="6">
        <v>1</v>
      </c>
      <c r="M32" s="1">
        <f t="shared" si="4"/>
        <v>460</v>
      </c>
      <c r="N32" s="1" t="str">
        <f t="shared" si="5"/>
        <v/>
      </c>
      <c r="O32" s="1">
        <f t="shared" si="6"/>
        <v>460</v>
      </c>
    </row>
    <row r="33" spans="1:15" s="1" customFormat="1" ht="20.100000000000001" customHeight="1" x14ac:dyDescent="0.2">
      <c r="A33" s="1">
        <v>32</v>
      </c>
      <c r="B33" s="1">
        <v>30</v>
      </c>
      <c r="C33" s="1">
        <f t="shared" si="7"/>
        <v>640</v>
      </c>
      <c r="D33" s="1">
        <f t="shared" si="0"/>
        <v>1280</v>
      </c>
      <c r="E33" s="1">
        <f t="shared" si="1"/>
        <v>1280</v>
      </c>
      <c r="F33" s="1">
        <f t="shared" si="2"/>
        <v>1280</v>
      </c>
      <c r="G33" s="1">
        <f t="shared" si="3"/>
        <v>12800</v>
      </c>
      <c r="K33" s="6">
        <v>27</v>
      </c>
      <c r="L33" s="6">
        <v>1</v>
      </c>
      <c r="M33" s="1">
        <f t="shared" si="4"/>
        <v>490</v>
      </c>
      <c r="N33" s="1" t="str">
        <f t="shared" si="5"/>
        <v/>
      </c>
      <c r="O33" s="1">
        <f t="shared" si="6"/>
        <v>490</v>
      </c>
    </row>
    <row r="34" spans="1:15" s="1" customFormat="1" ht="20.100000000000001" customHeight="1" x14ac:dyDescent="0.2">
      <c r="A34" s="1">
        <v>33</v>
      </c>
      <c r="B34" s="1">
        <v>30</v>
      </c>
      <c r="C34" s="1">
        <f t="shared" si="7"/>
        <v>670</v>
      </c>
      <c r="D34" s="1">
        <f t="shared" si="0"/>
        <v>1340</v>
      </c>
      <c r="E34" s="1">
        <f t="shared" si="1"/>
        <v>1340</v>
      </c>
      <c r="F34" s="1">
        <f t="shared" si="2"/>
        <v>1340</v>
      </c>
      <c r="G34" s="1">
        <f t="shared" si="3"/>
        <v>13400</v>
      </c>
      <c r="K34" s="6">
        <v>28</v>
      </c>
      <c r="L34" s="6">
        <v>1</v>
      </c>
      <c r="M34" s="1">
        <f t="shared" si="4"/>
        <v>520</v>
      </c>
      <c r="N34" s="1" t="str">
        <f t="shared" si="5"/>
        <v/>
      </c>
      <c r="O34" s="1">
        <f t="shared" si="6"/>
        <v>520</v>
      </c>
    </row>
    <row r="35" spans="1:15" s="1" customFormat="1" ht="20.100000000000001" customHeight="1" x14ac:dyDescent="0.2">
      <c r="A35" s="1">
        <v>34</v>
      </c>
      <c r="B35" s="1">
        <v>30</v>
      </c>
      <c r="C35" s="1">
        <f t="shared" si="7"/>
        <v>700</v>
      </c>
      <c r="D35" s="1">
        <f t="shared" si="0"/>
        <v>1400</v>
      </c>
      <c r="E35" s="1">
        <f t="shared" si="1"/>
        <v>1400</v>
      </c>
      <c r="F35" s="1">
        <f t="shared" si="2"/>
        <v>1400</v>
      </c>
      <c r="G35" s="1">
        <f t="shared" si="3"/>
        <v>14000</v>
      </c>
      <c r="K35" s="6">
        <v>29</v>
      </c>
      <c r="L35" s="6">
        <v>3</v>
      </c>
      <c r="M35" s="1" t="str">
        <f t="shared" si="4"/>
        <v/>
      </c>
      <c r="N35" s="1">
        <f t="shared" si="5"/>
        <v>11000</v>
      </c>
      <c r="O35" s="1">
        <f t="shared" si="6"/>
        <v>11000</v>
      </c>
    </row>
    <row r="36" spans="1:15" s="1" customFormat="1" ht="20.100000000000001" customHeight="1" x14ac:dyDescent="0.2">
      <c r="A36" s="1">
        <v>35</v>
      </c>
      <c r="B36" s="1">
        <v>30</v>
      </c>
      <c r="C36" s="1">
        <f t="shared" si="7"/>
        <v>730</v>
      </c>
      <c r="D36" s="1">
        <f t="shared" si="0"/>
        <v>1460</v>
      </c>
      <c r="E36" s="1">
        <f t="shared" si="1"/>
        <v>1460</v>
      </c>
      <c r="F36" s="1">
        <f t="shared" si="2"/>
        <v>1460</v>
      </c>
      <c r="G36" s="1">
        <f t="shared" si="3"/>
        <v>14600</v>
      </c>
      <c r="K36" s="6">
        <v>30</v>
      </c>
      <c r="L36" s="6">
        <v>1</v>
      </c>
      <c r="M36" s="1">
        <f t="shared" si="4"/>
        <v>580</v>
      </c>
      <c r="N36" s="1" t="str">
        <f t="shared" si="5"/>
        <v/>
      </c>
      <c r="O36" s="1">
        <f t="shared" si="6"/>
        <v>580</v>
      </c>
    </row>
    <row r="37" spans="1:15" s="1" customFormat="1" ht="20.100000000000001" customHeight="1" x14ac:dyDescent="0.2">
      <c r="A37" s="1">
        <v>36</v>
      </c>
      <c r="B37" s="1">
        <v>30</v>
      </c>
      <c r="C37" s="1">
        <f t="shared" si="7"/>
        <v>760</v>
      </c>
      <c r="D37" s="1">
        <f t="shared" si="0"/>
        <v>1520</v>
      </c>
      <c r="E37" s="1">
        <f t="shared" si="1"/>
        <v>1520</v>
      </c>
      <c r="F37" s="1">
        <f t="shared" si="2"/>
        <v>1520</v>
      </c>
      <c r="G37" s="1">
        <f t="shared" si="3"/>
        <v>15200</v>
      </c>
      <c r="K37" s="6">
        <v>30</v>
      </c>
      <c r="L37" s="6">
        <v>1</v>
      </c>
      <c r="M37" s="1">
        <f t="shared" si="4"/>
        <v>580</v>
      </c>
      <c r="N37" s="1" t="str">
        <f t="shared" si="5"/>
        <v/>
      </c>
      <c r="O37" s="1">
        <f t="shared" si="6"/>
        <v>580</v>
      </c>
    </row>
    <row r="38" spans="1:15" s="1" customFormat="1" ht="20.100000000000001" customHeight="1" x14ac:dyDescent="0.2">
      <c r="A38" s="1">
        <v>37</v>
      </c>
      <c r="B38" s="1">
        <v>30</v>
      </c>
      <c r="C38" s="1">
        <f t="shared" si="7"/>
        <v>790</v>
      </c>
      <c r="D38" s="1">
        <f t="shared" si="0"/>
        <v>1580</v>
      </c>
      <c r="E38" s="1">
        <f t="shared" si="1"/>
        <v>1580</v>
      </c>
      <c r="F38" s="1">
        <f t="shared" si="2"/>
        <v>1580</v>
      </c>
      <c r="G38" s="1">
        <f t="shared" si="3"/>
        <v>15800</v>
      </c>
      <c r="K38" s="6">
        <v>32</v>
      </c>
      <c r="L38" s="6">
        <v>3</v>
      </c>
      <c r="M38" s="1" t="str">
        <f t="shared" si="4"/>
        <v/>
      </c>
      <c r="N38" s="1">
        <f t="shared" si="5"/>
        <v>12800</v>
      </c>
      <c r="O38" s="1">
        <f t="shared" si="6"/>
        <v>12800</v>
      </c>
    </row>
    <row r="39" spans="1:15" s="1" customFormat="1" ht="20.100000000000001" customHeight="1" x14ac:dyDescent="0.2">
      <c r="A39" s="1">
        <v>38</v>
      </c>
      <c r="B39" s="1">
        <v>30</v>
      </c>
      <c r="C39" s="1">
        <f t="shared" si="7"/>
        <v>820</v>
      </c>
      <c r="D39" s="1">
        <f t="shared" si="0"/>
        <v>1640</v>
      </c>
      <c r="E39" s="1">
        <f t="shared" si="1"/>
        <v>1640</v>
      </c>
      <c r="F39" s="1">
        <f t="shared" si="2"/>
        <v>1640</v>
      </c>
      <c r="G39" s="1">
        <f t="shared" si="3"/>
        <v>16400</v>
      </c>
      <c r="K39" s="6">
        <v>32</v>
      </c>
      <c r="L39" s="6">
        <v>1</v>
      </c>
      <c r="M39" s="1">
        <f t="shared" si="4"/>
        <v>640</v>
      </c>
      <c r="N39" s="1" t="str">
        <f t="shared" si="5"/>
        <v/>
      </c>
      <c r="O39" s="1">
        <f t="shared" si="6"/>
        <v>640</v>
      </c>
    </row>
    <row r="40" spans="1:15" s="1" customFormat="1" ht="20.100000000000001" customHeight="1" x14ac:dyDescent="0.2">
      <c r="A40" s="1">
        <v>39</v>
      </c>
      <c r="B40" s="1">
        <v>30</v>
      </c>
      <c r="C40" s="1">
        <f t="shared" si="7"/>
        <v>850</v>
      </c>
      <c r="D40" s="1">
        <f t="shared" si="0"/>
        <v>1700</v>
      </c>
      <c r="E40" s="1">
        <f t="shared" si="1"/>
        <v>1700</v>
      </c>
      <c r="F40" s="1">
        <f t="shared" si="2"/>
        <v>1700</v>
      </c>
      <c r="G40" s="1">
        <f t="shared" si="3"/>
        <v>17000</v>
      </c>
      <c r="K40" s="6">
        <v>32</v>
      </c>
      <c r="L40" s="6">
        <v>1</v>
      </c>
      <c r="M40" s="1">
        <f t="shared" si="4"/>
        <v>640</v>
      </c>
      <c r="N40" s="1" t="str">
        <f t="shared" si="5"/>
        <v/>
      </c>
      <c r="O40" s="1">
        <f t="shared" si="6"/>
        <v>640</v>
      </c>
    </row>
    <row r="41" spans="1:15" s="1" customFormat="1" ht="20.100000000000001" customHeight="1" x14ac:dyDescent="0.2">
      <c r="A41" s="1">
        <v>40</v>
      </c>
      <c r="B41" s="1">
        <v>30</v>
      </c>
      <c r="C41" s="1">
        <f t="shared" si="7"/>
        <v>880</v>
      </c>
      <c r="D41" s="1">
        <f t="shared" si="0"/>
        <v>1760</v>
      </c>
      <c r="E41" s="1">
        <f t="shared" si="1"/>
        <v>1760</v>
      </c>
      <c r="F41" s="1">
        <f t="shared" si="2"/>
        <v>1760</v>
      </c>
      <c r="G41" s="1">
        <f t="shared" si="3"/>
        <v>17600</v>
      </c>
      <c r="K41" s="6">
        <v>34</v>
      </c>
      <c r="L41" s="6">
        <v>3</v>
      </c>
      <c r="M41" s="1" t="str">
        <f t="shared" si="4"/>
        <v/>
      </c>
      <c r="N41" s="1">
        <f t="shared" si="5"/>
        <v>14000</v>
      </c>
      <c r="O41" s="1">
        <f t="shared" si="6"/>
        <v>14000</v>
      </c>
    </row>
    <row r="42" spans="1:15" s="1" customFormat="1" ht="20.100000000000001" customHeight="1" x14ac:dyDescent="0.2">
      <c r="A42" s="1">
        <v>41</v>
      </c>
      <c r="B42" s="1">
        <v>30</v>
      </c>
      <c r="C42" s="1">
        <f t="shared" si="7"/>
        <v>910</v>
      </c>
      <c r="D42" s="1">
        <f t="shared" si="0"/>
        <v>1820</v>
      </c>
      <c r="E42" s="1">
        <f t="shared" si="1"/>
        <v>1820</v>
      </c>
      <c r="F42" s="1">
        <f t="shared" si="2"/>
        <v>1820</v>
      </c>
      <c r="G42" s="1">
        <f t="shared" si="3"/>
        <v>18200</v>
      </c>
      <c r="K42" s="6">
        <v>34</v>
      </c>
      <c r="L42" s="6">
        <v>1</v>
      </c>
      <c r="M42" s="1">
        <f t="shared" si="4"/>
        <v>700</v>
      </c>
      <c r="N42" s="1" t="str">
        <f t="shared" si="5"/>
        <v/>
      </c>
      <c r="O42" s="1">
        <f t="shared" si="6"/>
        <v>700</v>
      </c>
    </row>
    <row r="43" spans="1:15" s="1" customFormat="1" ht="20.100000000000001" customHeight="1" x14ac:dyDescent="0.2">
      <c r="A43" s="1">
        <v>42</v>
      </c>
      <c r="B43" s="1">
        <v>30</v>
      </c>
      <c r="C43" s="1">
        <f t="shared" si="7"/>
        <v>940</v>
      </c>
      <c r="D43" s="1">
        <f t="shared" si="0"/>
        <v>1880</v>
      </c>
      <c r="E43" s="1">
        <f t="shared" si="1"/>
        <v>1880</v>
      </c>
      <c r="F43" s="1">
        <f t="shared" si="2"/>
        <v>1880</v>
      </c>
      <c r="G43" s="1">
        <f t="shared" si="3"/>
        <v>18800</v>
      </c>
      <c r="K43" s="6">
        <v>34</v>
      </c>
      <c r="L43" s="6">
        <v>1</v>
      </c>
      <c r="M43" s="1">
        <f t="shared" si="4"/>
        <v>700</v>
      </c>
      <c r="N43" s="1" t="str">
        <f t="shared" si="5"/>
        <v/>
      </c>
      <c r="O43" s="1">
        <f t="shared" si="6"/>
        <v>700</v>
      </c>
    </row>
    <row r="44" spans="1:15" s="1" customFormat="1" ht="20.100000000000001" customHeight="1" x14ac:dyDescent="0.2">
      <c r="A44" s="1">
        <v>43</v>
      </c>
      <c r="B44" s="1">
        <v>30</v>
      </c>
      <c r="C44" s="1">
        <f t="shared" si="7"/>
        <v>970</v>
      </c>
      <c r="D44" s="1">
        <f t="shared" si="0"/>
        <v>1940</v>
      </c>
      <c r="E44" s="1">
        <f t="shared" si="1"/>
        <v>1940</v>
      </c>
      <c r="F44" s="1">
        <f t="shared" si="2"/>
        <v>1940</v>
      </c>
      <c r="G44" s="1">
        <f t="shared" si="3"/>
        <v>19400</v>
      </c>
      <c r="K44" s="6">
        <v>35</v>
      </c>
      <c r="L44" s="6">
        <v>1</v>
      </c>
      <c r="M44" s="1">
        <f t="shared" si="4"/>
        <v>730</v>
      </c>
      <c r="N44" s="1" t="str">
        <f t="shared" si="5"/>
        <v/>
      </c>
      <c r="O44" s="1">
        <f t="shared" si="6"/>
        <v>730</v>
      </c>
    </row>
    <row r="45" spans="1:15" s="1" customFormat="1" ht="20.100000000000001" customHeight="1" x14ac:dyDescent="0.2">
      <c r="A45" s="1">
        <v>44</v>
      </c>
      <c r="B45" s="1">
        <v>30</v>
      </c>
      <c r="C45" s="1">
        <f t="shared" si="7"/>
        <v>1000</v>
      </c>
      <c r="D45" s="1">
        <f t="shared" si="0"/>
        <v>2000</v>
      </c>
      <c r="E45" s="1">
        <f t="shared" si="1"/>
        <v>2000</v>
      </c>
      <c r="F45" s="1">
        <f t="shared" si="2"/>
        <v>2000</v>
      </c>
      <c r="G45" s="1">
        <f t="shared" si="3"/>
        <v>20000</v>
      </c>
      <c r="K45" s="6">
        <v>35</v>
      </c>
      <c r="L45" s="6">
        <v>1</v>
      </c>
      <c r="M45" s="1">
        <f t="shared" si="4"/>
        <v>730</v>
      </c>
      <c r="N45" s="1" t="str">
        <f t="shared" si="5"/>
        <v/>
      </c>
      <c r="O45" s="1">
        <f t="shared" si="6"/>
        <v>730</v>
      </c>
    </row>
    <row r="46" spans="1:15" s="1" customFormat="1" ht="20.100000000000001" customHeight="1" x14ac:dyDescent="0.2">
      <c r="A46" s="1">
        <v>45</v>
      </c>
      <c r="B46" s="1">
        <v>30</v>
      </c>
      <c r="C46" s="1">
        <f t="shared" si="7"/>
        <v>1030</v>
      </c>
      <c r="D46" s="1">
        <f t="shared" si="0"/>
        <v>2060</v>
      </c>
      <c r="E46" s="1">
        <f t="shared" si="1"/>
        <v>2060</v>
      </c>
      <c r="F46" s="1">
        <f t="shared" si="2"/>
        <v>2060</v>
      </c>
      <c r="G46" s="1">
        <f t="shared" si="3"/>
        <v>20600</v>
      </c>
      <c r="K46" s="6">
        <v>36</v>
      </c>
      <c r="L46" s="6">
        <v>1</v>
      </c>
      <c r="M46" s="1">
        <f t="shared" si="4"/>
        <v>760</v>
      </c>
      <c r="N46" s="1" t="str">
        <f t="shared" si="5"/>
        <v/>
      </c>
      <c r="O46" s="1">
        <f t="shared" si="6"/>
        <v>760</v>
      </c>
    </row>
    <row r="47" spans="1:15" s="1" customFormat="1" ht="20.100000000000001" customHeight="1" x14ac:dyDescent="0.2">
      <c r="A47" s="1">
        <v>46</v>
      </c>
      <c r="B47" s="1">
        <v>30</v>
      </c>
      <c r="C47" s="1">
        <f t="shared" si="7"/>
        <v>1060</v>
      </c>
      <c r="D47" s="1">
        <f t="shared" si="0"/>
        <v>2120</v>
      </c>
      <c r="E47" s="1">
        <f t="shared" si="1"/>
        <v>2120</v>
      </c>
      <c r="F47" s="1">
        <f t="shared" si="2"/>
        <v>2120</v>
      </c>
      <c r="G47" s="1">
        <f t="shared" si="3"/>
        <v>21200</v>
      </c>
      <c r="K47" s="6">
        <v>36</v>
      </c>
      <c r="L47" s="6">
        <v>3</v>
      </c>
      <c r="M47" s="1" t="str">
        <f t="shared" si="4"/>
        <v/>
      </c>
      <c r="N47" s="1">
        <f t="shared" si="5"/>
        <v>15200</v>
      </c>
      <c r="O47" s="1">
        <f t="shared" si="6"/>
        <v>15200</v>
      </c>
    </row>
    <row r="48" spans="1:15" s="1" customFormat="1" ht="20.100000000000001" customHeight="1" x14ac:dyDescent="0.2">
      <c r="A48" s="1">
        <v>47</v>
      </c>
      <c r="B48" s="1">
        <v>30</v>
      </c>
      <c r="C48" s="1">
        <f t="shared" si="7"/>
        <v>1090</v>
      </c>
      <c r="D48" s="1">
        <f t="shared" si="0"/>
        <v>2180</v>
      </c>
      <c r="E48" s="1">
        <f t="shared" si="1"/>
        <v>2180</v>
      </c>
      <c r="F48" s="1">
        <f t="shared" si="2"/>
        <v>2180</v>
      </c>
      <c r="G48" s="1">
        <f t="shared" si="3"/>
        <v>21800</v>
      </c>
      <c r="K48" s="6">
        <v>38</v>
      </c>
      <c r="L48" s="6">
        <v>2</v>
      </c>
      <c r="M48" s="1" t="str">
        <f t="shared" si="4"/>
        <v/>
      </c>
      <c r="N48" s="1" t="str">
        <f t="shared" si="5"/>
        <v/>
      </c>
      <c r="O48" s="1" t="str">
        <f t="shared" si="6"/>
        <v/>
      </c>
    </row>
    <row r="49" spans="1:15" s="1" customFormat="1" ht="20.100000000000001" customHeight="1" x14ac:dyDescent="0.2">
      <c r="A49" s="1">
        <v>48</v>
      </c>
      <c r="B49" s="1">
        <v>30</v>
      </c>
      <c r="C49" s="1">
        <f t="shared" si="7"/>
        <v>1120</v>
      </c>
      <c r="D49" s="1">
        <f t="shared" si="0"/>
        <v>2240</v>
      </c>
      <c r="E49" s="1">
        <f t="shared" si="1"/>
        <v>2240</v>
      </c>
      <c r="F49" s="1">
        <f t="shared" si="2"/>
        <v>2240</v>
      </c>
      <c r="G49" s="1">
        <f t="shared" si="3"/>
        <v>22400</v>
      </c>
      <c r="K49" s="6">
        <v>37</v>
      </c>
      <c r="L49" s="6">
        <v>1</v>
      </c>
      <c r="M49" s="1">
        <f t="shared" si="4"/>
        <v>790</v>
      </c>
      <c r="N49" s="1" t="str">
        <f t="shared" si="5"/>
        <v/>
      </c>
      <c r="O49" s="1">
        <f t="shared" si="6"/>
        <v>790</v>
      </c>
    </row>
    <row r="50" spans="1:15" s="1" customFormat="1" ht="20.100000000000001" customHeight="1" x14ac:dyDescent="0.2">
      <c r="A50" s="1">
        <v>49</v>
      </c>
      <c r="B50" s="1">
        <v>30</v>
      </c>
      <c r="C50" s="1">
        <f t="shared" si="7"/>
        <v>1150</v>
      </c>
      <c r="D50" s="1">
        <f t="shared" si="0"/>
        <v>2300</v>
      </c>
      <c r="E50" s="1">
        <f t="shared" si="1"/>
        <v>2300</v>
      </c>
      <c r="F50" s="1">
        <f t="shared" si="2"/>
        <v>2300</v>
      </c>
      <c r="G50" s="1">
        <f t="shared" si="3"/>
        <v>23000</v>
      </c>
      <c r="K50" s="6">
        <v>37</v>
      </c>
      <c r="L50" s="6">
        <v>1</v>
      </c>
      <c r="M50" s="1">
        <f t="shared" si="4"/>
        <v>790</v>
      </c>
      <c r="N50" s="1" t="str">
        <f t="shared" si="5"/>
        <v/>
      </c>
      <c r="O50" s="1">
        <f t="shared" si="6"/>
        <v>790</v>
      </c>
    </row>
    <row r="51" spans="1:15" s="1" customFormat="1" ht="20.100000000000001" customHeight="1" x14ac:dyDescent="0.2">
      <c r="A51" s="1">
        <v>50</v>
      </c>
      <c r="B51" s="1">
        <v>30</v>
      </c>
      <c r="C51" s="1">
        <f t="shared" si="7"/>
        <v>1180</v>
      </c>
      <c r="D51" s="1">
        <f t="shared" si="0"/>
        <v>2360</v>
      </c>
      <c r="E51" s="1">
        <f t="shared" si="1"/>
        <v>2360</v>
      </c>
      <c r="F51" s="1">
        <f t="shared" si="2"/>
        <v>2360</v>
      </c>
      <c r="G51" s="1">
        <f t="shared" si="3"/>
        <v>23600</v>
      </c>
      <c r="K51" s="6">
        <v>39</v>
      </c>
      <c r="L51" s="6">
        <v>3</v>
      </c>
      <c r="M51" s="1" t="str">
        <f t="shared" si="4"/>
        <v/>
      </c>
      <c r="N51" s="1">
        <f t="shared" si="5"/>
        <v>17000</v>
      </c>
      <c r="O51" s="1">
        <f t="shared" si="6"/>
        <v>17000</v>
      </c>
    </row>
    <row r="52" spans="1:15" s="1" customFormat="1" ht="20.100000000000001" customHeight="1" x14ac:dyDescent="0.2">
      <c r="A52" s="1">
        <v>51</v>
      </c>
      <c r="B52" s="1">
        <v>30</v>
      </c>
      <c r="C52" s="1">
        <f t="shared" si="7"/>
        <v>1210</v>
      </c>
      <c r="D52" s="1">
        <f t="shared" si="0"/>
        <v>2420</v>
      </c>
      <c r="E52" s="1">
        <f t="shared" si="1"/>
        <v>2420</v>
      </c>
      <c r="F52" s="1">
        <f t="shared" si="2"/>
        <v>2420</v>
      </c>
      <c r="G52" s="1">
        <f t="shared" si="3"/>
        <v>24200</v>
      </c>
      <c r="K52" s="6">
        <v>40</v>
      </c>
      <c r="L52" s="6">
        <v>1</v>
      </c>
      <c r="M52" s="1">
        <f t="shared" si="4"/>
        <v>880</v>
      </c>
      <c r="N52" s="1" t="str">
        <f t="shared" si="5"/>
        <v/>
      </c>
      <c r="O52" s="1">
        <f t="shared" si="6"/>
        <v>880</v>
      </c>
    </row>
    <row r="53" spans="1:15" s="1" customFormat="1" ht="20.100000000000001" customHeight="1" x14ac:dyDescent="0.2">
      <c r="A53" s="1">
        <v>52</v>
      </c>
      <c r="B53" s="1">
        <v>30</v>
      </c>
      <c r="C53" s="1">
        <f t="shared" si="7"/>
        <v>1240</v>
      </c>
      <c r="D53" s="1">
        <f t="shared" si="0"/>
        <v>2480</v>
      </c>
      <c r="E53" s="1">
        <f t="shared" si="1"/>
        <v>2480</v>
      </c>
      <c r="F53" s="1">
        <f t="shared" si="2"/>
        <v>2480</v>
      </c>
      <c r="G53" s="1">
        <f t="shared" si="3"/>
        <v>24800</v>
      </c>
      <c r="K53" s="6">
        <v>40</v>
      </c>
      <c r="L53" s="6">
        <v>1</v>
      </c>
      <c r="M53" s="1">
        <f t="shared" si="4"/>
        <v>880</v>
      </c>
      <c r="N53" s="1" t="str">
        <f t="shared" si="5"/>
        <v/>
      </c>
      <c r="O53" s="1">
        <f t="shared" si="6"/>
        <v>880</v>
      </c>
    </row>
    <row r="54" spans="1:15" s="1" customFormat="1" ht="20.100000000000001" customHeight="1" x14ac:dyDescent="0.2">
      <c r="A54" s="1">
        <v>53</v>
      </c>
      <c r="B54" s="1">
        <v>30</v>
      </c>
      <c r="C54" s="1">
        <f t="shared" si="7"/>
        <v>1270</v>
      </c>
      <c r="D54" s="1">
        <f t="shared" si="0"/>
        <v>2540</v>
      </c>
      <c r="E54" s="1">
        <f t="shared" si="1"/>
        <v>2540</v>
      </c>
      <c r="F54" s="1">
        <f t="shared" si="2"/>
        <v>2540</v>
      </c>
      <c r="G54" s="1">
        <f t="shared" si="3"/>
        <v>25400</v>
      </c>
      <c r="K54" s="6">
        <v>42</v>
      </c>
      <c r="L54" s="6">
        <v>3</v>
      </c>
      <c r="M54" s="1" t="str">
        <f t="shared" si="4"/>
        <v/>
      </c>
      <c r="N54" s="1">
        <f t="shared" si="5"/>
        <v>18800</v>
      </c>
      <c r="O54" s="1">
        <f t="shared" si="6"/>
        <v>18800</v>
      </c>
    </row>
    <row r="55" spans="1:15" s="1" customFormat="1" ht="20.100000000000001" customHeight="1" x14ac:dyDescent="0.2">
      <c r="A55" s="1">
        <v>54</v>
      </c>
      <c r="B55" s="1">
        <v>30</v>
      </c>
      <c r="C55" s="1">
        <f t="shared" si="7"/>
        <v>1300</v>
      </c>
      <c r="D55" s="1">
        <f t="shared" si="0"/>
        <v>2600</v>
      </c>
      <c r="E55" s="1">
        <f t="shared" si="1"/>
        <v>2600</v>
      </c>
      <c r="F55" s="1">
        <f t="shared" si="2"/>
        <v>2600</v>
      </c>
      <c r="G55" s="1">
        <f t="shared" si="3"/>
        <v>26000</v>
      </c>
      <c r="K55" s="6">
        <v>42</v>
      </c>
      <c r="L55" s="6">
        <v>1</v>
      </c>
      <c r="M55" s="1">
        <f t="shared" si="4"/>
        <v>940</v>
      </c>
      <c r="N55" s="1" t="str">
        <f t="shared" si="5"/>
        <v/>
      </c>
      <c r="O55" s="1">
        <f t="shared" si="6"/>
        <v>940</v>
      </c>
    </row>
    <row r="56" spans="1:15" s="1" customFormat="1" ht="20.100000000000001" customHeight="1" x14ac:dyDescent="0.2">
      <c r="A56" s="1">
        <v>55</v>
      </c>
      <c r="B56" s="1">
        <v>30</v>
      </c>
      <c r="C56" s="1">
        <f t="shared" si="7"/>
        <v>1330</v>
      </c>
      <c r="D56" s="1">
        <f t="shared" si="0"/>
        <v>2660</v>
      </c>
      <c r="E56" s="1">
        <f t="shared" si="1"/>
        <v>2660</v>
      </c>
      <c r="F56" s="1">
        <f t="shared" si="2"/>
        <v>2660</v>
      </c>
      <c r="G56" s="1">
        <f t="shared" si="3"/>
        <v>26600</v>
      </c>
      <c r="K56" s="6">
        <v>42</v>
      </c>
      <c r="L56" s="6">
        <v>1</v>
      </c>
      <c r="M56" s="1">
        <f t="shared" si="4"/>
        <v>940</v>
      </c>
      <c r="N56" s="1" t="str">
        <f t="shared" si="5"/>
        <v/>
      </c>
      <c r="O56" s="1">
        <f t="shared" si="6"/>
        <v>940</v>
      </c>
    </row>
    <row r="57" spans="1:15" s="1" customFormat="1" ht="20.100000000000001" customHeight="1" x14ac:dyDescent="0.2">
      <c r="A57" s="1">
        <v>56</v>
      </c>
      <c r="B57" s="1">
        <v>30</v>
      </c>
      <c r="C57" s="1">
        <f t="shared" si="7"/>
        <v>1360</v>
      </c>
      <c r="D57" s="1">
        <f t="shared" si="0"/>
        <v>2720</v>
      </c>
      <c r="E57" s="1">
        <f t="shared" si="1"/>
        <v>2720</v>
      </c>
      <c r="F57" s="1">
        <f t="shared" si="2"/>
        <v>2720</v>
      </c>
      <c r="G57" s="1">
        <f t="shared" si="3"/>
        <v>27200</v>
      </c>
      <c r="K57" s="6">
        <v>44</v>
      </c>
      <c r="L57" s="6">
        <v>3</v>
      </c>
      <c r="M57" s="1" t="str">
        <f t="shared" si="4"/>
        <v/>
      </c>
      <c r="N57" s="1">
        <f t="shared" si="5"/>
        <v>20000</v>
      </c>
      <c r="O57" s="1">
        <f t="shared" si="6"/>
        <v>20000</v>
      </c>
    </row>
    <row r="58" spans="1:15" s="1" customFormat="1" ht="20.100000000000001" customHeight="1" x14ac:dyDescent="0.2">
      <c r="A58" s="1">
        <v>57</v>
      </c>
      <c r="B58" s="1">
        <v>30</v>
      </c>
      <c r="C58" s="1">
        <f t="shared" si="7"/>
        <v>1390</v>
      </c>
      <c r="D58" s="1">
        <f t="shared" si="0"/>
        <v>2780</v>
      </c>
      <c r="E58" s="1">
        <f t="shared" si="1"/>
        <v>2780</v>
      </c>
      <c r="F58" s="1">
        <f t="shared" si="2"/>
        <v>2780</v>
      </c>
      <c r="G58" s="1">
        <f t="shared" si="3"/>
        <v>27800</v>
      </c>
      <c r="K58" s="6">
        <v>45</v>
      </c>
      <c r="L58" s="6">
        <v>1</v>
      </c>
      <c r="M58" s="1">
        <f t="shared" si="4"/>
        <v>1030</v>
      </c>
      <c r="N58" s="1" t="str">
        <f t="shared" si="5"/>
        <v/>
      </c>
      <c r="O58" s="1">
        <f t="shared" si="6"/>
        <v>1030</v>
      </c>
    </row>
    <row r="59" spans="1:15" s="1" customFormat="1" ht="20.100000000000001" customHeight="1" x14ac:dyDescent="0.2">
      <c r="A59" s="1">
        <v>58</v>
      </c>
      <c r="B59" s="1">
        <v>30</v>
      </c>
      <c r="C59" s="1">
        <f t="shared" si="7"/>
        <v>1420</v>
      </c>
      <c r="D59" s="1">
        <f t="shared" si="0"/>
        <v>2840</v>
      </c>
      <c r="E59" s="1">
        <f t="shared" si="1"/>
        <v>2840</v>
      </c>
      <c r="F59" s="1">
        <f t="shared" si="2"/>
        <v>2840</v>
      </c>
      <c r="G59" s="1">
        <f t="shared" si="3"/>
        <v>28400</v>
      </c>
      <c r="K59" s="6">
        <v>44</v>
      </c>
      <c r="L59" s="6">
        <v>1</v>
      </c>
      <c r="M59" s="1">
        <f t="shared" si="4"/>
        <v>1000</v>
      </c>
      <c r="N59" s="1" t="str">
        <f t="shared" si="5"/>
        <v/>
      </c>
      <c r="O59" s="1">
        <f t="shared" si="6"/>
        <v>1000</v>
      </c>
    </row>
    <row r="60" spans="1:15" s="1" customFormat="1" ht="20.100000000000001" customHeight="1" x14ac:dyDescent="0.2">
      <c r="A60" s="1">
        <v>59</v>
      </c>
      <c r="B60" s="1">
        <v>30</v>
      </c>
      <c r="C60" s="1">
        <f t="shared" si="7"/>
        <v>1450</v>
      </c>
      <c r="D60" s="1">
        <f t="shared" si="0"/>
        <v>2900</v>
      </c>
      <c r="E60" s="1">
        <f t="shared" si="1"/>
        <v>2900</v>
      </c>
      <c r="F60" s="1">
        <f t="shared" si="2"/>
        <v>2900</v>
      </c>
      <c r="G60" s="1">
        <f t="shared" si="3"/>
        <v>29000</v>
      </c>
      <c r="K60" s="6">
        <v>44</v>
      </c>
      <c r="L60" s="6">
        <v>1</v>
      </c>
      <c r="M60" s="1">
        <f t="shared" si="4"/>
        <v>1000</v>
      </c>
      <c r="N60" s="1" t="str">
        <f t="shared" si="5"/>
        <v/>
      </c>
      <c r="O60" s="1">
        <f t="shared" si="6"/>
        <v>1000</v>
      </c>
    </row>
    <row r="61" spans="1:15" s="1" customFormat="1" ht="20.100000000000001" customHeight="1" x14ac:dyDescent="0.2">
      <c r="A61" s="1">
        <v>60</v>
      </c>
      <c r="B61" s="1">
        <v>30</v>
      </c>
      <c r="C61" s="1">
        <f t="shared" si="7"/>
        <v>1480</v>
      </c>
      <c r="D61" s="1">
        <f t="shared" si="0"/>
        <v>2960</v>
      </c>
      <c r="E61" s="1">
        <f t="shared" si="1"/>
        <v>2960</v>
      </c>
      <c r="F61" s="1">
        <f t="shared" si="2"/>
        <v>2960</v>
      </c>
      <c r="G61" s="1">
        <f t="shared" si="3"/>
        <v>29600</v>
      </c>
      <c r="K61" s="6">
        <v>46</v>
      </c>
      <c r="L61" s="6">
        <v>3</v>
      </c>
      <c r="M61" s="1" t="str">
        <f t="shared" si="4"/>
        <v/>
      </c>
      <c r="N61" s="1">
        <f t="shared" si="5"/>
        <v>21200</v>
      </c>
      <c r="O61" s="1">
        <f t="shared" si="6"/>
        <v>21200</v>
      </c>
    </row>
    <row r="62" spans="1:15" s="1" customFormat="1" ht="20.100000000000001" customHeight="1" x14ac:dyDescent="0.2">
      <c r="A62" s="1">
        <v>61</v>
      </c>
      <c r="B62" s="1">
        <v>30</v>
      </c>
      <c r="C62" s="1">
        <f t="shared" si="7"/>
        <v>1510</v>
      </c>
      <c r="D62" s="1">
        <f t="shared" si="0"/>
        <v>3020</v>
      </c>
      <c r="E62" s="1">
        <f t="shared" si="1"/>
        <v>3020</v>
      </c>
      <c r="F62" s="1">
        <f t="shared" si="2"/>
        <v>3020</v>
      </c>
      <c r="G62" s="1">
        <f t="shared" si="3"/>
        <v>30200</v>
      </c>
      <c r="K62" s="6">
        <v>46</v>
      </c>
      <c r="L62" s="6">
        <v>1</v>
      </c>
      <c r="M62" s="1">
        <f t="shared" si="4"/>
        <v>1060</v>
      </c>
      <c r="N62" s="1" t="str">
        <f t="shared" si="5"/>
        <v/>
      </c>
      <c r="O62" s="1">
        <f t="shared" si="6"/>
        <v>1060</v>
      </c>
    </row>
    <row r="63" spans="1:15" s="1" customFormat="1" ht="20.100000000000001" customHeight="1" x14ac:dyDescent="0.2">
      <c r="A63" s="1">
        <v>62</v>
      </c>
      <c r="B63" s="1">
        <v>30</v>
      </c>
      <c r="C63" s="1">
        <f t="shared" si="7"/>
        <v>1540</v>
      </c>
      <c r="D63" s="1">
        <f t="shared" si="0"/>
        <v>3080</v>
      </c>
      <c r="E63" s="1">
        <f t="shared" si="1"/>
        <v>3080</v>
      </c>
      <c r="F63" s="1">
        <f t="shared" si="2"/>
        <v>3080</v>
      </c>
      <c r="G63" s="1">
        <f t="shared" si="3"/>
        <v>30800</v>
      </c>
      <c r="K63" s="6">
        <v>47</v>
      </c>
      <c r="L63" s="6">
        <v>1</v>
      </c>
      <c r="M63" s="1">
        <f t="shared" si="4"/>
        <v>1090</v>
      </c>
      <c r="N63" s="1" t="str">
        <f t="shared" si="5"/>
        <v/>
      </c>
      <c r="O63" s="1">
        <f t="shared" si="6"/>
        <v>1090</v>
      </c>
    </row>
    <row r="64" spans="1:15" s="1" customFormat="1" ht="20.100000000000001" customHeight="1" x14ac:dyDescent="0.2">
      <c r="A64" s="1">
        <v>63</v>
      </c>
      <c r="B64" s="1">
        <v>30</v>
      </c>
      <c r="C64" s="1">
        <f t="shared" si="7"/>
        <v>1570</v>
      </c>
      <c r="D64" s="1">
        <f t="shared" si="0"/>
        <v>3140</v>
      </c>
      <c r="E64" s="1">
        <f t="shared" si="1"/>
        <v>3140</v>
      </c>
      <c r="F64" s="1">
        <f t="shared" si="2"/>
        <v>3140</v>
      </c>
      <c r="G64" s="1">
        <f t="shared" si="3"/>
        <v>31400</v>
      </c>
      <c r="K64" s="6">
        <v>49</v>
      </c>
      <c r="L64" s="6">
        <v>3</v>
      </c>
      <c r="M64" s="1" t="str">
        <f t="shared" si="4"/>
        <v/>
      </c>
      <c r="N64" s="1">
        <f t="shared" si="5"/>
        <v>23000</v>
      </c>
      <c r="O64" s="1">
        <f t="shared" si="6"/>
        <v>23000</v>
      </c>
    </row>
    <row r="65" spans="1:15" s="1" customFormat="1" ht="20.100000000000001" customHeight="1" x14ac:dyDescent="0.2">
      <c r="A65" s="1">
        <v>64</v>
      </c>
      <c r="B65" s="1">
        <v>30</v>
      </c>
      <c r="C65" s="1">
        <f t="shared" si="7"/>
        <v>1600</v>
      </c>
      <c r="D65" s="1">
        <f t="shared" si="0"/>
        <v>3200</v>
      </c>
      <c r="E65" s="1">
        <f t="shared" si="1"/>
        <v>3200</v>
      </c>
      <c r="F65" s="1">
        <f t="shared" si="2"/>
        <v>3200</v>
      </c>
      <c r="G65" s="1">
        <f t="shared" si="3"/>
        <v>32000</v>
      </c>
      <c r="K65" s="6">
        <v>50</v>
      </c>
      <c r="L65" s="6">
        <v>1</v>
      </c>
      <c r="M65" s="1">
        <f t="shared" si="4"/>
        <v>1180</v>
      </c>
      <c r="N65" s="1" t="str">
        <f t="shared" si="5"/>
        <v/>
      </c>
      <c r="O65" s="1">
        <f t="shared" si="6"/>
        <v>1180</v>
      </c>
    </row>
    <row r="66" spans="1:15" s="1" customFormat="1" ht="20.100000000000001" customHeight="1" x14ac:dyDescent="0.2">
      <c r="A66" s="1">
        <v>65</v>
      </c>
      <c r="B66" s="1">
        <v>30</v>
      </c>
      <c r="C66" s="1">
        <f t="shared" si="7"/>
        <v>1630</v>
      </c>
      <c r="D66" s="1">
        <f t="shared" si="0"/>
        <v>3260</v>
      </c>
      <c r="E66" s="1">
        <f t="shared" si="1"/>
        <v>3260</v>
      </c>
      <c r="F66" s="1">
        <f t="shared" si="2"/>
        <v>3260</v>
      </c>
      <c r="G66" s="1">
        <f t="shared" si="3"/>
        <v>32600</v>
      </c>
      <c r="K66" s="6">
        <v>51</v>
      </c>
      <c r="L66" s="6">
        <v>1</v>
      </c>
      <c r="M66" s="1">
        <f t="shared" si="4"/>
        <v>1210</v>
      </c>
      <c r="N66" s="1" t="str">
        <f t="shared" si="5"/>
        <v/>
      </c>
      <c r="O66" s="1">
        <f t="shared" si="6"/>
        <v>1210</v>
      </c>
    </row>
    <row r="67" spans="1:15" s="1" customFormat="1" ht="20.100000000000001" customHeight="1" x14ac:dyDescent="0.2">
      <c r="A67" s="1">
        <v>66</v>
      </c>
      <c r="B67" s="1">
        <v>30</v>
      </c>
      <c r="C67" s="1">
        <f t="shared" ref="C67:C71" si="8">C66+B67</f>
        <v>1660</v>
      </c>
      <c r="D67" s="1">
        <f t="shared" ref="D67:D71" si="9">C67*2</f>
        <v>3320</v>
      </c>
      <c r="E67" s="1">
        <f t="shared" ref="E67:E71" si="10">C67*2</f>
        <v>3320</v>
      </c>
      <c r="F67" s="1">
        <f t="shared" ref="F67:F71" si="11">C67*2</f>
        <v>3320</v>
      </c>
      <c r="G67" s="1">
        <f t="shared" ref="G67:G71" si="12">C67*20</f>
        <v>33200</v>
      </c>
      <c r="K67" s="6">
        <v>52</v>
      </c>
      <c r="L67" s="6">
        <v>3</v>
      </c>
      <c r="M67" s="1" t="str">
        <f t="shared" ref="M67:M76" si="13">IF(L67=1,LOOKUP(K67,A:A,C:C),"")</f>
        <v/>
      </c>
      <c r="N67" s="1">
        <f t="shared" ref="N67:N76" si="14">IF(L67=3,LOOKUP(K67,A:A,G:G),"")</f>
        <v>24800</v>
      </c>
      <c r="O67" s="1">
        <f t="shared" ref="O67:O76" si="15">IF(M67="",N67,M67)</f>
        <v>24800</v>
      </c>
    </row>
    <row r="68" spans="1:15" s="1" customFormat="1" ht="20.100000000000001" customHeight="1" x14ac:dyDescent="0.2">
      <c r="A68" s="1">
        <v>67</v>
      </c>
      <c r="B68" s="1">
        <v>30</v>
      </c>
      <c r="C68" s="1">
        <f t="shared" si="8"/>
        <v>1690</v>
      </c>
      <c r="D68" s="1">
        <f t="shared" si="9"/>
        <v>3380</v>
      </c>
      <c r="E68" s="1">
        <f t="shared" si="10"/>
        <v>3380</v>
      </c>
      <c r="F68" s="1">
        <f t="shared" si="11"/>
        <v>3380</v>
      </c>
      <c r="G68" s="1">
        <f t="shared" si="12"/>
        <v>33800</v>
      </c>
      <c r="K68" s="6">
        <v>54</v>
      </c>
      <c r="L68" s="6">
        <v>3</v>
      </c>
      <c r="M68" s="1" t="str">
        <f t="shared" si="13"/>
        <v/>
      </c>
      <c r="N68" s="1">
        <f t="shared" si="14"/>
        <v>26000</v>
      </c>
      <c r="O68" s="1">
        <f t="shared" si="15"/>
        <v>26000</v>
      </c>
    </row>
    <row r="69" spans="1:15" s="1" customFormat="1" ht="20.100000000000001" customHeight="1" x14ac:dyDescent="0.2">
      <c r="A69" s="1">
        <v>68</v>
      </c>
      <c r="B69" s="1">
        <v>30</v>
      </c>
      <c r="C69" s="1">
        <f t="shared" si="8"/>
        <v>1720</v>
      </c>
      <c r="D69" s="1">
        <f t="shared" si="9"/>
        <v>3440</v>
      </c>
      <c r="E69" s="1">
        <f t="shared" si="10"/>
        <v>3440</v>
      </c>
      <c r="F69" s="1">
        <f t="shared" si="11"/>
        <v>3440</v>
      </c>
      <c r="G69" s="1">
        <f t="shared" si="12"/>
        <v>34400</v>
      </c>
      <c r="K69" s="6">
        <v>52</v>
      </c>
      <c r="L69" s="6">
        <v>1</v>
      </c>
      <c r="M69" s="1">
        <f t="shared" si="13"/>
        <v>1240</v>
      </c>
      <c r="N69" s="1" t="str">
        <f t="shared" si="14"/>
        <v/>
      </c>
      <c r="O69" s="1">
        <f t="shared" si="15"/>
        <v>1240</v>
      </c>
    </row>
    <row r="70" spans="1:15" s="1" customFormat="1" ht="20.100000000000001" customHeight="1" x14ac:dyDescent="0.2">
      <c r="A70" s="1">
        <v>69</v>
      </c>
      <c r="B70" s="1">
        <v>30</v>
      </c>
      <c r="C70" s="1">
        <f t="shared" si="8"/>
        <v>1750</v>
      </c>
      <c r="D70" s="1">
        <f t="shared" si="9"/>
        <v>3500</v>
      </c>
      <c r="E70" s="1">
        <f t="shared" si="10"/>
        <v>3500</v>
      </c>
      <c r="F70" s="1">
        <f t="shared" si="11"/>
        <v>3500</v>
      </c>
      <c r="G70" s="1">
        <f t="shared" si="12"/>
        <v>35000</v>
      </c>
      <c r="K70" s="8">
        <v>50</v>
      </c>
      <c r="L70" s="8">
        <v>1</v>
      </c>
      <c r="M70" s="1">
        <f t="shared" si="13"/>
        <v>1180</v>
      </c>
      <c r="N70" s="1" t="str">
        <f t="shared" si="14"/>
        <v/>
      </c>
      <c r="O70" s="1">
        <f t="shared" si="15"/>
        <v>1180</v>
      </c>
    </row>
    <row r="71" spans="1:15" s="1" customFormat="1" ht="20.100000000000001" customHeight="1" x14ac:dyDescent="0.2">
      <c r="A71" s="1">
        <v>70</v>
      </c>
      <c r="B71" s="1">
        <v>30</v>
      </c>
      <c r="C71" s="1">
        <f t="shared" si="8"/>
        <v>1780</v>
      </c>
      <c r="D71" s="1">
        <f t="shared" si="9"/>
        <v>3560</v>
      </c>
      <c r="E71" s="1">
        <f t="shared" si="10"/>
        <v>3560</v>
      </c>
      <c r="F71" s="1">
        <f t="shared" si="11"/>
        <v>3560</v>
      </c>
      <c r="G71" s="1">
        <f t="shared" si="12"/>
        <v>35600</v>
      </c>
      <c r="K71" s="8">
        <v>50</v>
      </c>
      <c r="L71" s="8">
        <v>1</v>
      </c>
      <c r="M71" s="1">
        <f t="shared" si="13"/>
        <v>1180</v>
      </c>
      <c r="N71" s="1" t="str">
        <f t="shared" si="14"/>
        <v/>
      </c>
      <c r="O71" s="1">
        <f t="shared" si="15"/>
        <v>1180</v>
      </c>
    </row>
    <row r="72" spans="1:15" ht="20.100000000000001" customHeight="1" x14ac:dyDescent="0.2">
      <c r="A72" s="1">
        <v>71</v>
      </c>
      <c r="B72" s="1">
        <v>30</v>
      </c>
      <c r="C72" s="1">
        <f t="shared" ref="C72:C76" si="16">C71+B72</f>
        <v>1810</v>
      </c>
      <c r="D72" s="1">
        <f t="shared" ref="D72:D76" si="17">C72*2</f>
        <v>3620</v>
      </c>
      <c r="E72" s="1">
        <f t="shared" ref="E72:E76" si="18">C72*2</f>
        <v>3620</v>
      </c>
      <c r="F72" s="1">
        <f t="shared" ref="F72:F76" si="19">C72*2</f>
        <v>3620</v>
      </c>
      <c r="G72" s="1">
        <f t="shared" ref="G72:G76" si="20">C72*20</f>
        <v>36200</v>
      </c>
      <c r="K72" s="8">
        <v>50</v>
      </c>
      <c r="L72" s="8">
        <v>1</v>
      </c>
      <c r="M72" s="1">
        <f t="shared" si="13"/>
        <v>1180</v>
      </c>
      <c r="N72" s="1" t="str">
        <f t="shared" si="14"/>
        <v/>
      </c>
      <c r="O72" s="1">
        <f t="shared" si="15"/>
        <v>1180</v>
      </c>
    </row>
    <row r="73" spans="1:15" ht="20.100000000000001" customHeight="1" x14ac:dyDescent="0.2">
      <c r="A73" s="1">
        <v>72</v>
      </c>
      <c r="B73" s="1">
        <v>30</v>
      </c>
      <c r="C73" s="1">
        <f t="shared" si="16"/>
        <v>1840</v>
      </c>
      <c r="D73" s="1">
        <f t="shared" si="17"/>
        <v>3680</v>
      </c>
      <c r="E73" s="1">
        <f t="shared" si="18"/>
        <v>3680</v>
      </c>
      <c r="F73" s="1">
        <f t="shared" si="19"/>
        <v>3680</v>
      </c>
      <c r="G73" s="1">
        <f t="shared" si="20"/>
        <v>36800</v>
      </c>
      <c r="K73" s="6">
        <v>55</v>
      </c>
      <c r="L73" s="6">
        <v>1</v>
      </c>
      <c r="M73" s="1">
        <f t="shared" si="13"/>
        <v>1330</v>
      </c>
      <c r="N73" s="1" t="str">
        <f t="shared" si="14"/>
        <v/>
      </c>
      <c r="O73" s="1">
        <f t="shared" si="15"/>
        <v>1330</v>
      </c>
    </row>
    <row r="74" spans="1:15" ht="20.100000000000001" customHeight="1" x14ac:dyDescent="0.2">
      <c r="A74" s="1">
        <v>73</v>
      </c>
      <c r="B74" s="1">
        <v>30</v>
      </c>
      <c r="C74" s="1">
        <f t="shared" si="16"/>
        <v>1870</v>
      </c>
      <c r="D74" s="1">
        <f t="shared" si="17"/>
        <v>3740</v>
      </c>
      <c r="E74" s="1">
        <f t="shared" si="18"/>
        <v>3740</v>
      </c>
      <c r="F74" s="1">
        <f t="shared" si="19"/>
        <v>3740</v>
      </c>
      <c r="G74" s="1">
        <f t="shared" si="20"/>
        <v>37400</v>
      </c>
      <c r="K74" s="6">
        <v>56</v>
      </c>
      <c r="L74" s="6">
        <v>3</v>
      </c>
      <c r="M74" s="1" t="str">
        <f t="shared" si="13"/>
        <v/>
      </c>
      <c r="N74" s="1">
        <f t="shared" si="14"/>
        <v>27200</v>
      </c>
      <c r="O74" s="1">
        <f t="shared" si="15"/>
        <v>27200</v>
      </c>
    </row>
    <row r="75" spans="1:15" ht="20.100000000000001" customHeight="1" x14ac:dyDescent="0.2">
      <c r="A75" s="1">
        <v>74</v>
      </c>
      <c r="B75" s="1">
        <v>30</v>
      </c>
      <c r="C75" s="1">
        <f t="shared" si="16"/>
        <v>1900</v>
      </c>
      <c r="D75" s="1">
        <f t="shared" si="17"/>
        <v>3800</v>
      </c>
      <c r="E75" s="1">
        <f t="shared" si="18"/>
        <v>3800</v>
      </c>
      <c r="F75" s="1">
        <f t="shared" si="19"/>
        <v>3800</v>
      </c>
      <c r="G75" s="1">
        <f t="shared" si="20"/>
        <v>38000</v>
      </c>
      <c r="K75" s="6">
        <v>58</v>
      </c>
      <c r="L75" s="6">
        <v>3</v>
      </c>
      <c r="M75" s="1" t="str">
        <f t="shared" si="13"/>
        <v/>
      </c>
      <c r="N75" s="1">
        <f t="shared" si="14"/>
        <v>28400</v>
      </c>
      <c r="O75" s="1">
        <f t="shared" si="15"/>
        <v>28400</v>
      </c>
    </row>
    <row r="76" spans="1:15" ht="20.100000000000001" customHeight="1" x14ac:dyDescent="0.2">
      <c r="A76" s="1">
        <v>75</v>
      </c>
      <c r="B76" s="1">
        <v>30</v>
      </c>
      <c r="C76" s="1">
        <f t="shared" si="16"/>
        <v>1930</v>
      </c>
      <c r="D76" s="1">
        <f t="shared" si="17"/>
        <v>3860</v>
      </c>
      <c r="E76" s="1">
        <f t="shared" si="18"/>
        <v>3860</v>
      </c>
      <c r="F76" s="1">
        <f t="shared" si="19"/>
        <v>3860</v>
      </c>
      <c r="G76" s="1">
        <f t="shared" si="20"/>
        <v>38600</v>
      </c>
      <c r="K76" s="6">
        <v>60</v>
      </c>
      <c r="L76" s="6">
        <v>3</v>
      </c>
      <c r="M76" s="1" t="str">
        <f t="shared" si="13"/>
        <v/>
      </c>
      <c r="N76" s="1">
        <f t="shared" si="14"/>
        <v>29600</v>
      </c>
      <c r="O76" s="1">
        <f t="shared" si="15"/>
        <v>29600</v>
      </c>
    </row>
    <row r="77" spans="1:15" ht="20.100000000000001" customHeight="1" x14ac:dyDescent="0.2">
      <c r="A77" s="1">
        <v>76</v>
      </c>
      <c r="B77" s="1">
        <v>30</v>
      </c>
      <c r="C77" s="1">
        <f t="shared" ref="C77:C81" si="21">C76+B77</f>
        <v>1960</v>
      </c>
      <c r="D77" s="1">
        <f t="shared" ref="D77:D81" si="22">C77*2</f>
        <v>3920</v>
      </c>
      <c r="E77" s="1">
        <f t="shared" ref="E77:E81" si="23">C77*2</f>
        <v>3920</v>
      </c>
      <c r="F77" s="1">
        <f t="shared" ref="F77:F81" si="24">C77*2</f>
        <v>3920</v>
      </c>
      <c r="G77" s="1">
        <f t="shared" ref="G77:G81" si="25">C77*20</f>
        <v>39200</v>
      </c>
    </row>
    <row r="78" spans="1:15" ht="20.100000000000001" customHeight="1" x14ac:dyDescent="0.2">
      <c r="A78" s="1">
        <v>77</v>
      </c>
      <c r="B78" s="1">
        <v>30</v>
      </c>
      <c r="C78" s="1">
        <f t="shared" si="21"/>
        <v>1990</v>
      </c>
      <c r="D78" s="1">
        <f t="shared" si="22"/>
        <v>3980</v>
      </c>
      <c r="E78" s="1">
        <f t="shared" si="23"/>
        <v>3980</v>
      </c>
      <c r="F78" s="1">
        <f t="shared" si="24"/>
        <v>3980</v>
      </c>
      <c r="G78" s="1">
        <f t="shared" si="25"/>
        <v>39800</v>
      </c>
    </row>
    <row r="79" spans="1:15" ht="20.100000000000001" customHeight="1" x14ac:dyDescent="0.2">
      <c r="A79" s="1">
        <v>78</v>
      </c>
      <c r="B79" s="1">
        <v>30</v>
      </c>
      <c r="C79" s="1">
        <f t="shared" si="21"/>
        <v>2020</v>
      </c>
      <c r="D79" s="1">
        <f t="shared" si="22"/>
        <v>4040</v>
      </c>
      <c r="E79" s="1">
        <f t="shared" si="23"/>
        <v>4040</v>
      </c>
      <c r="F79" s="1">
        <f t="shared" si="24"/>
        <v>4040</v>
      </c>
      <c r="G79" s="1">
        <f t="shared" si="25"/>
        <v>40400</v>
      </c>
    </row>
    <row r="80" spans="1:15" ht="20.100000000000001" customHeight="1" x14ac:dyDescent="0.2">
      <c r="A80" s="1">
        <v>79</v>
      </c>
      <c r="B80" s="1">
        <v>30</v>
      </c>
      <c r="C80" s="1">
        <f t="shared" si="21"/>
        <v>2050</v>
      </c>
      <c r="D80" s="1">
        <f t="shared" si="22"/>
        <v>4100</v>
      </c>
      <c r="E80" s="1">
        <f t="shared" si="23"/>
        <v>4100</v>
      </c>
      <c r="F80" s="1">
        <f t="shared" si="24"/>
        <v>4100</v>
      </c>
      <c r="G80" s="1">
        <f t="shared" si="25"/>
        <v>41000</v>
      </c>
    </row>
    <row r="81" spans="1:7" ht="20.100000000000001" customHeight="1" x14ac:dyDescent="0.2">
      <c r="A81" s="1">
        <v>80</v>
      </c>
      <c r="B81" s="1">
        <v>30</v>
      </c>
      <c r="C81" s="1">
        <f t="shared" si="21"/>
        <v>2080</v>
      </c>
      <c r="D81" s="1">
        <f t="shared" si="22"/>
        <v>4160</v>
      </c>
      <c r="E81" s="1">
        <f t="shared" si="23"/>
        <v>4160</v>
      </c>
      <c r="F81" s="1">
        <f t="shared" si="24"/>
        <v>4160</v>
      </c>
      <c r="G81" s="1">
        <f t="shared" si="25"/>
        <v>41600</v>
      </c>
    </row>
    <row r="82" spans="1:7" ht="20.100000000000001" customHeight="1" x14ac:dyDescent="0.2">
      <c r="A82" s="1"/>
    </row>
    <row r="83" spans="1:7" ht="20.100000000000001" customHeight="1" x14ac:dyDescent="0.2"/>
    <row r="84" spans="1:7" ht="20.100000000000001" customHeight="1" x14ac:dyDescent="0.2"/>
    <row r="85" spans="1:7" ht="20.100000000000001" customHeight="1" x14ac:dyDescent="0.2"/>
  </sheetData>
  <phoneticPr fontId="7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3"/>
  <sheetViews>
    <sheetView workbookViewId="0">
      <selection activeCell="D4" sqref="D4"/>
    </sheetView>
  </sheetViews>
  <sheetFormatPr defaultColWidth="9" defaultRowHeight="14.25" x14ac:dyDescent="0.2"/>
  <cols>
    <col min="1" max="3" width="9" style="3"/>
    <col min="4" max="5" width="15.125" style="4" customWidth="1"/>
    <col min="6" max="6" width="9" style="3"/>
    <col min="9" max="9" width="9" style="1"/>
    <col min="10" max="10" width="9" style="4"/>
  </cols>
  <sheetData>
    <row r="1" spans="1:10" s="1" customFormat="1" ht="20.100000000000001" customHeight="1" x14ac:dyDescent="0.2">
      <c r="A1" s="1" t="s">
        <v>81</v>
      </c>
      <c r="B1" s="1" t="s">
        <v>82</v>
      </c>
      <c r="C1" s="1" t="s">
        <v>7</v>
      </c>
      <c r="D1" s="1" t="s">
        <v>83</v>
      </c>
      <c r="E1" s="1" t="s">
        <v>84</v>
      </c>
      <c r="F1" s="1" t="s">
        <v>7</v>
      </c>
    </row>
    <row r="2" spans="1:10" s="1" customFormat="1" ht="20.100000000000001" customHeight="1" x14ac:dyDescent="0.2">
      <c r="A2" s="1">
        <v>1</v>
      </c>
      <c r="B2" s="1">
        <v>5</v>
      </c>
      <c r="C2" s="1">
        <f>B2*[1]怪物经验!C2</f>
        <v>75</v>
      </c>
      <c r="D2" s="1">
        <v>2</v>
      </c>
      <c r="E2" s="1">
        <v>2</v>
      </c>
      <c r="F2" s="1">
        <f t="shared" ref="F2:F65" si="0">E2*C2</f>
        <v>150</v>
      </c>
      <c r="I2" s="1">
        <v>1</v>
      </c>
      <c r="J2" s="1">
        <f>VLOOKUP(I2,$A$2:$C$66,3,FALSE)</f>
        <v>75</v>
      </c>
    </row>
    <row r="3" spans="1:10" s="1" customFormat="1" ht="20.100000000000001" customHeight="1" x14ac:dyDescent="0.2">
      <c r="A3" s="1">
        <v>2</v>
      </c>
      <c r="B3" s="1">
        <v>5</v>
      </c>
      <c r="C3" s="1">
        <f>B3*[1]怪物经验!C3</f>
        <v>100</v>
      </c>
      <c r="D3" s="1">
        <v>1</v>
      </c>
      <c r="E3" s="1">
        <v>3</v>
      </c>
      <c r="F3" s="1">
        <f t="shared" si="0"/>
        <v>300</v>
      </c>
      <c r="I3" s="1">
        <v>1</v>
      </c>
      <c r="J3" s="1">
        <f t="shared" ref="J3:J34" si="1">VLOOKUP(I3,$A$2:$C$66,3,FALSE)</f>
        <v>75</v>
      </c>
    </row>
    <row r="4" spans="1:10" s="1" customFormat="1" ht="20.100000000000001" customHeight="1" x14ac:dyDescent="0.2">
      <c r="A4" s="1">
        <v>3</v>
      </c>
      <c r="B4" s="1">
        <v>5</v>
      </c>
      <c r="C4" s="1">
        <f>B4*[1]怪物经验!C4</f>
        <v>125</v>
      </c>
      <c r="D4" s="1">
        <v>10</v>
      </c>
      <c r="E4" s="1">
        <v>5</v>
      </c>
      <c r="F4" s="1">
        <f t="shared" si="0"/>
        <v>625</v>
      </c>
      <c r="I4" s="1">
        <v>2</v>
      </c>
      <c r="J4" s="1">
        <f t="shared" si="1"/>
        <v>100</v>
      </c>
    </row>
    <row r="5" spans="1:10" s="1" customFormat="1" ht="20.100000000000001" customHeight="1" x14ac:dyDescent="0.2">
      <c r="A5" s="1">
        <v>4</v>
      </c>
      <c r="B5" s="1">
        <v>5</v>
      </c>
      <c r="C5" s="1">
        <f>B5*[1]怪物经验!C5</f>
        <v>150</v>
      </c>
      <c r="D5" s="1">
        <v>4</v>
      </c>
      <c r="E5" s="1">
        <v>3</v>
      </c>
      <c r="F5" s="1">
        <f t="shared" si="0"/>
        <v>450</v>
      </c>
      <c r="I5" s="1">
        <v>3</v>
      </c>
      <c r="J5" s="1">
        <f t="shared" si="1"/>
        <v>125</v>
      </c>
    </row>
    <row r="6" spans="1:10" s="1" customFormat="1" ht="20.100000000000001" customHeight="1" x14ac:dyDescent="0.2">
      <c r="A6" s="1">
        <v>5</v>
      </c>
      <c r="B6" s="1">
        <v>5</v>
      </c>
      <c r="C6" s="1">
        <f>B6*[1]怪物经验!C6</f>
        <v>200</v>
      </c>
      <c r="D6" s="1">
        <v>3</v>
      </c>
      <c r="E6" s="1">
        <v>3</v>
      </c>
      <c r="F6" s="1">
        <f t="shared" si="0"/>
        <v>600</v>
      </c>
      <c r="I6" s="1">
        <v>3</v>
      </c>
      <c r="J6" s="1">
        <f t="shared" si="1"/>
        <v>125</v>
      </c>
    </row>
    <row r="7" spans="1:10" s="1" customFormat="1" ht="20.100000000000001" customHeight="1" x14ac:dyDescent="0.2">
      <c r="A7" s="1">
        <v>6</v>
      </c>
      <c r="B7" s="1">
        <v>5</v>
      </c>
      <c r="C7" s="1">
        <f>B7*[1]怪物经验!C7</f>
        <v>250</v>
      </c>
      <c r="D7" s="1">
        <v>2</v>
      </c>
      <c r="E7" s="1">
        <v>2</v>
      </c>
      <c r="F7" s="1">
        <f t="shared" si="0"/>
        <v>500</v>
      </c>
      <c r="I7" s="1">
        <v>3</v>
      </c>
      <c r="J7" s="1">
        <f t="shared" si="1"/>
        <v>125</v>
      </c>
    </row>
    <row r="8" spans="1:10" s="1" customFormat="1" ht="20.100000000000001" customHeight="1" x14ac:dyDescent="0.2">
      <c r="A8" s="1">
        <v>7</v>
      </c>
      <c r="B8" s="1">
        <v>5</v>
      </c>
      <c r="C8" s="1">
        <f>B8*[1]怪物经验!C8</f>
        <v>300</v>
      </c>
      <c r="D8" s="1">
        <v>2</v>
      </c>
      <c r="E8" s="1">
        <v>2</v>
      </c>
      <c r="F8" s="1">
        <f t="shared" si="0"/>
        <v>600</v>
      </c>
      <c r="I8" s="1">
        <v>3</v>
      </c>
      <c r="J8" s="1">
        <f t="shared" si="1"/>
        <v>125</v>
      </c>
    </row>
    <row r="9" spans="1:10" s="1" customFormat="1" ht="20.100000000000001" customHeight="1" x14ac:dyDescent="0.2">
      <c r="A9" s="1">
        <v>8</v>
      </c>
      <c r="B9" s="1">
        <v>5</v>
      </c>
      <c r="C9" s="1">
        <f>B9*[1]怪物经验!C9</f>
        <v>350</v>
      </c>
      <c r="D9" s="1">
        <v>2</v>
      </c>
      <c r="E9" s="1">
        <v>2</v>
      </c>
      <c r="F9" s="1">
        <f t="shared" si="0"/>
        <v>700</v>
      </c>
      <c r="I9" s="1">
        <v>3</v>
      </c>
      <c r="J9" s="1">
        <f t="shared" si="1"/>
        <v>125</v>
      </c>
    </row>
    <row r="10" spans="1:10" s="1" customFormat="1" ht="20.100000000000001" customHeight="1" x14ac:dyDescent="0.2">
      <c r="A10" s="1">
        <v>9</v>
      </c>
      <c r="B10" s="1">
        <v>5</v>
      </c>
      <c r="C10" s="1">
        <f>B10*[1]怪物经验!C10</f>
        <v>400</v>
      </c>
      <c r="D10" s="1">
        <v>1</v>
      </c>
      <c r="E10" s="1">
        <v>1</v>
      </c>
      <c r="F10" s="1">
        <f t="shared" si="0"/>
        <v>400</v>
      </c>
      <c r="I10" s="1">
        <v>3</v>
      </c>
      <c r="J10" s="1">
        <f t="shared" si="1"/>
        <v>125</v>
      </c>
    </row>
    <row r="11" spans="1:10" s="1" customFormat="1" ht="20.100000000000001" customHeight="1" x14ac:dyDescent="0.2">
      <c r="A11" s="1">
        <v>10</v>
      </c>
      <c r="B11" s="1">
        <v>5</v>
      </c>
      <c r="C11" s="1">
        <f>B11*[1]怪物经验!C11</f>
        <v>475</v>
      </c>
      <c r="D11" s="1">
        <v>1</v>
      </c>
      <c r="E11" s="1">
        <v>1</v>
      </c>
      <c r="F11" s="1">
        <f t="shared" si="0"/>
        <v>475</v>
      </c>
      <c r="I11" s="1">
        <v>3</v>
      </c>
      <c r="J11" s="1">
        <f t="shared" si="1"/>
        <v>125</v>
      </c>
    </row>
    <row r="12" spans="1:10" s="1" customFormat="1" ht="20.100000000000001" customHeight="1" x14ac:dyDescent="0.2">
      <c r="A12" s="1">
        <v>11</v>
      </c>
      <c r="B12" s="1">
        <v>6</v>
      </c>
      <c r="C12" s="1">
        <f>B12*[1]怪物经验!C12</f>
        <v>660</v>
      </c>
      <c r="D12" s="1">
        <v>1</v>
      </c>
      <c r="E12" s="1">
        <v>1</v>
      </c>
      <c r="F12" s="1">
        <f t="shared" si="0"/>
        <v>660</v>
      </c>
      <c r="I12" s="1">
        <v>3</v>
      </c>
      <c r="J12" s="1">
        <f t="shared" si="1"/>
        <v>125</v>
      </c>
    </row>
    <row r="13" spans="1:10" s="1" customFormat="1" ht="20.100000000000001" customHeight="1" x14ac:dyDescent="0.2">
      <c r="A13" s="1">
        <v>12</v>
      </c>
      <c r="B13" s="1">
        <v>6</v>
      </c>
      <c r="C13" s="1">
        <f>B13*[1]怪物经验!C13</f>
        <v>750</v>
      </c>
      <c r="D13" s="1">
        <v>1</v>
      </c>
      <c r="E13" s="1">
        <v>1</v>
      </c>
      <c r="F13" s="1">
        <f t="shared" si="0"/>
        <v>750</v>
      </c>
      <c r="I13" s="1">
        <v>3</v>
      </c>
      <c r="J13" s="1">
        <f t="shared" si="1"/>
        <v>125</v>
      </c>
    </row>
    <row r="14" spans="1:10" s="1" customFormat="1" ht="20.100000000000001" customHeight="1" x14ac:dyDescent="0.2">
      <c r="A14" s="1">
        <v>13</v>
      </c>
      <c r="B14" s="1">
        <v>6</v>
      </c>
      <c r="C14" s="1">
        <f>B14*[1]怪物经验!C14</f>
        <v>840</v>
      </c>
      <c r="D14" s="1">
        <v>0</v>
      </c>
      <c r="E14" s="1">
        <v>0</v>
      </c>
      <c r="F14" s="1">
        <f t="shared" si="0"/>
        <v>0</v>
      </c>
      <c r="I14" s="1">
        <v>3</v>
      </c>
      <c r="J14" s="1">
        <f t="shared" si="1"/>
        <v>125</v>
      </c>
    </row>
    <row r="15" spans="1:10" s="1" customFormat="1" ht="20.100000000000001" customHeight="1" x14ac:dyDescent="0.2">
      <c r="A15" s="1">
        <v>14</v>
      </c>
      <c r="B15" s="1">
        <v>6</v>
      </c>
      <c r="C15" s="1">
        <f>B15*[1]怪物经验!C15</f>
        <v>930</v>
      </c>
      <c r="D15" s="1">
        <v>1</v>
      </c>
      <c r="E15" s="1">
        <v>1</v>
      </c>
      <c r="F15" s="1">
        <f t="shared" si="0"/>
        <v>930</v>
      </c>
      <c r="I15" s="1">
        <v>4</v>
      </c>
      <c r="J15" s="1">
        <f t="shared" si="1"/>
        <v>150</v>
      </c>
    </row>
    <row r="16" spans="1:10" s="1" customFormat="1" ht="20.100000000000001" customHeight="1" x14ac:dyDescent="0.2">
      <c r="A16" s="1">
        <v>15</v>
      </c>
      <c r="B16" s="1">
        <v>6</v>
      </c>
      <c r="C16" s="1">
        <f>B16*[1]怪物经验!C16</f>
        <v>1020</v>
      </c>
      <c r="D16" s="1">
        <v>1</v>
      </c>
      <c r="E16" s="1">
        <v>1</v>
      </c>
      <c r="F16" s="1">
        <f t="shared" si="0"/>
        <v>1020</v>
      </c>
      <c r="I16" s="1">
        <v>4</v>
      </c>
      <c r="J16" s="1">
        <f t="shared" si="1"/>
        <v>150</v>
      </c>
    </row>
    <row r="17" spans="1:10" s="1" customFormat="1" ht="20.100000000000001" customHeight="1" x14ac:dyDescent="0.2">
      <c r="A17" s="1">
        <v>16</v>
      </c>
      <c r="B17" s="1">
        <v>6</v>
      </c>
      <c r="C17" s="1">
        <f>B17*[1]怪物经验!C17</f>
        <v>1140</v>
      </c>
      <c r="D17" s="5">
        <v>1</v>
      </c>
      <c r="E17" s="5">
        <v>1</v>
      </c>
      <c r="F17" s="1">
        <f t="shared" si="0"/>
        <v>1140</v>
      </c>
      <c r="I17" s="1">
        <v>4</v>
      </c>
      <c r="J17" s="1">
        <f t="shared" si="1"/>
        <v>150</v>
      </c>
    </row>
    <row r="18" spans="1:10" s="1" customFormat="1" ht="20.100000000000001" customHeight="1" x14ac:dyDescent="0.2">
      <c r="A18" s="1">
        <v>17</v>
      </c>
      <c r="B18" s="1">
        <v>6</v>
      </c>
      <c r="C18" s="1">
        <f>B18*[1]怪物经验!C18</f>
        <v>1260</v>
      </c>
      <c r="D18" s="5">
        <v>1</v>
      </c>
      <c r="E18" s="5">
        <v>1</v>
      </c>
      <c r="F18" s="1">
        <f t="shared" si="0"/>
        <v>1260</v>
      </c>
      <c r="I18" s="1">
        <v>4</v>
      </c>
      <c r="J18" s="1">
        <f t="shared" si="1"/>
        <v>150</v>
      </c>
    </row>
    <row r="19" spans="1:10" s="1" customFormat="1" ht="20.100000000000001" customHeight="1" x14ac:dyDescent="0.2">
      <c r="A19" s="1">
        <v>18</v>
      </c>
      <c r="B19" s="1">
        <v>6</v>
      </c>
      <c r="C19" s="1">
        <f>B19*[1]怪物经验!C19</f>
        <v>1380</v>
      </c>
      <c r="D19" s="5">
        <v>1</v>
      </c>
      <c r="E19" s="5">
        <v>1</v>
      </c>
      <c r="F19" s="1">
        <f t="shared" si="0"/>
        <v>1380</v>
      </c>
      <c r="I19" s="1">
        <v>5</v>
      </c>
      <c r="J19" s="1">
        <f t="shared" si="1"/>
        <v>200</v>
      </c>
    </row>
    <row r="20" spans="1:10" s="1" customFormat="1" ht="20.100000000000001" customHeight="1" x14ac:dyDescent="0.2">
      <c r="A20" s="1">
        <v>19</v>
      </c>
      <c r="B20" s="1">
        <v>6</v>
      </c>
      <c r="C20" s="1">
        <f>B20*[1]怪物经验!C20</f>
        <v>1500</v>
      </c>
      <c r="D20" s="5">
        <v>1</v>
      </c>
      <c r="E20" s="5">
        <v>1</v>
      </c>
      <c r="F20" s="1">
        <f t="shared" si="0"/>
        <v>1500</v>
      </c>
      <c r="I20" s="1">
        <v>5</v>
      </c>
      <c r="J20" s="1">
        <f t="shared" si="1"/>
        <v>200</v>
      </c>
    </row>
    <row r="21" spans="1:10" s="1" customFormat="1" ht="20.100000000000001" customHeight="1" x14ac:dyDescent="0.2">
      <c r="A21" s="1">
        <v>20</v>
      </c>
      <c r="B21" s="1">
        <v>6</v>
      </c>
      <c r="C21" s="1">
        <f>B21*[1]怪物经验!C21</f>
        <v>1680</v>
      </c>
      <c r="D21" s="5">
        <v>1</v>
      </c>
      <c r="E21" s="5">
        <v>1</v>
      </c>
      <c r="F21" s="1">
        <f t="shared" si="0"/>
        <v>1680</v>
      </c>
      <c r="I21" s="1">
        <v>5</v>
      </c>
      <c r="J21" s="1">
        <f t="shared" si="1"/>
        <v>200</v>
      </c>
    </row>
    <row r="22" spans="1:10" s="1" customFormat="1" ht="20.100000000000001" customHeight="1" x14ac:dyDescent="0.2">
      <c r="A22" s="1">
        <v>21</v>
      </c>
      <c r="B22" s="1">
        <v>7</v>
      </c>
      <c r="C22" s="1">
        <f>B22*[1]怪物经验!C22</f>
        <v>2170</v>
      </c>
      <c r="D22" s="5">
        <v>1</v>
      </c>
      <c r="E22" s="5">
        <v>1</v>
      </c>
      <c r="F22" s="1">
        <f t="shared" si="0"/>
        <v>2170</v>
      </c>
      <c r="I22" s="1">
        <v>6</v>
      </c>
      <c r="J22" s="1">
        <f t="shared" si="1"/>
        <v>250</v>
      </c>
    </row>
    <row r="23" spans="1:10" s="1" customFormat="1" ht="20.100000000000001" customHeight="1" x14ac:dyDescent="0.2">
      <c r="A23" s="1">
        <v>22</v>
      </c>
      <c r="B23" s="1">
        <v>7</v>
      </c>
      <c r="C23" s="1">
        <f>B23*[1]怪物经验!C23</f>
        <v>2380</v>
      </c>
      <c r="D23" s="5">
        <v>1</v>
      </c>
      <c r="E23" s="5">
        <v>1</v>
      </c>
      <c r="F23" s="1">
        <f t="shared" si="0"/>
        <v>2380</v>
      </c>
      <c r="I23" s="1">
        <v>6</v>
      </c>
      <c r="J23" s="1">
        <f t="shared" si="1"/>
        <v>250</v>
      </c>
    </row>
    <row r="24" spans="1:10" s="1" customFormat="1" ht="20.100000000000001" customHeight="1" x14ac:dyDescent="0.2">
      <c r="A24" s="1">
        <v>23</v>
      </c>
      <c r="B24" s="1">
        <v>7</v>
      </c>
      <c r="C24" s="1">
        <f>B24*[1]怪物经验!C24</f>
        <v>2590</v>
      </c>
      <c r="D24" s="5">
        <v>1</v>
      </c>
      <c r="E24" s="5">
        <v>1</v>
      </c>
      <c r="F24" s="1">
        <f t="shared" si="0"/>
        <v>2590</v>
      </c>
      <c r="I24" s="1">
        <v>7</v>
      </c>
      <c r="J24" s="1">
        <f t="shared" si="1"/>
        <v>300</v>
      </c>
    </row>
    <row r="25" spans="1:10" s="1" customFormat="1" ht="20.100000000000001" customHeight="1" x14ac:dyDescent="0.2">
      <c r="A25" s="1">
        <v>24</v>
      </c>
      <c r="B25" s="1">
        <v>7</v>
      </c>
      <c r="C25" s="1">
        <f>B25*[1]怪物经验!C25</f>
        <v>2800</v>
      </c>
      <c r="D25" s="5">
        <v>1</v>
      </c>
      <c r="E25" s="5">
        <v>1</v>
      </c>
      <c r="F25" s="1">
        <f t="shared" si="0"/>
        <v>2800</v>
      </c>
      <c r="I25" s="1">
        <v>7</v>
      </c>
      <c r="J25" s="1">
        <f t="shared" si="1"/>
        <v>300</v>
      </c>
    </row>
    <row r="26" spans="1:10" s="1" customFormat="1" ht="20.100000000000001" customHeight="1" x14ac:dyDescent="0.2">
      <c r="A26" s="1">
        <v>25</v>
      </c>
      <c r="B26" s="1">
        <v>7</v>
      </c>
      <c r="C26" s="1">
        <f>B26*[1]怪物经验!C26</f>
        <v>3010</v>
      </c>
      <c r="D26" s="5">
        <v>1</v>
      </c>
      <c r="E26" s="5">
        <v>1</v>
      </c>
      <c r="F26" s="1">
        <f t="shared" si="0"/>
        <v>3010</v>
      </c>
      <c r="I26" s="1">
        <v>8</v>
      </c>
      <c r="J26" s="1">
        <f t="shared" si="1"/>
        <v>350</v>
      </c>
    </row>
    <row r="27" spans="1:10" s="1" customFormat="1" ht="20.100000000000001" customHeight="1" x14ac:dyDescent="0.2">
      <c r="A27" s="1">
        <v>26</v>
      </c>
      <c r="B27" s="1">
        <v>8</v>
      </c>
      <c r="C27" s="1">
        <f>B27*[1]怪物经验!C27</f>
        <v>3680</v>
      </c>
      <c r="D27" s="5">
        <v>1</v>
      </c>
      <c r="E27" s="5">
        <v>1</v>
      </c>
      <c r="F27" s="1">
        <f t="shared" si="0"/>
        <v>3680</v>
      </c>
      <c r="I27" s="1">
        <v>8</v>
      </c>
      <c r="J27" s="1">
        <f t="shared" si="1"/>
        <v>350</v>
      </c>
    </row>
    <row r="28" spans="1:10" s="1" customFormat="1" ht="20.100000000000001" customHeight="1" x14ac:dyDescent="0.2">
      <c r="A28" s="1">
        <v>27</v>
      </c>
      <c r="B28" s="1">
        <v>8</v>
      </c>
      <c r="C28" s="1">
        <f>B28*[1]怪物经验!C28</f>
        <v>3920</v>
      </c>
      <c r="D28" s="5">
        <v>1</v>
      </c>
      <c r="E28" s="5">
        <v>1</v>
      </c>
      <c r="F28" s="1">
        <f t="shared" si="0"/>
        <v>3920</v>
      </c>
      <c r="I28" s="1">
        <v>9</v>
      </c>
      <c r="J28" s="1">
        <f t="shared" si="1"/>
        <v>400</v>
      </c>
    </row>
    <row r="29" spans="1:10" s="1" customFormat="1" ht="20.100000000000001" customHeight="1" x14ac:dyDescent="0.2">
      <c r="A29" s="1">
        <v>28</v>
      </c>
      <c r="B29" s="1">
        <v>8</v>
      </c>
      <c r="C29" s="1">
        <f>B29*[1]怪物经验!C29</f>
        <v>4160</v>
      </c>
      <c r="D29" s="5">
        <v>1</v>
      </c>
      <c r="E29" s="5">
        <v>1</v>
      </c>
      <c r="F29" s="1">
        <f t="shared" si="0"/>
        <v>4160</v>
      </c>
      <c r="I29" s="1">
        <v>10</v>
      </c>
      <c r="J29" s="1">
        <f t="shared" si="1"/>
        <v>475</v>
      </c>
    </row>
    <row r="30" spans="1:10" s="1" customFormat="1" ht="20.100000000000001" customHeight="1" x14ac:dyDescent="0.2">
      <c r="A30" s="1">
        <v>29</v>
      </c>
      <c r="B30" s="1">
        <v>8</v>
      </c>
      <c r="C30" s="1">
        <f>B30*[1]怪物经验!C30</f>
        <v>4400</v>
      </c>
      <c r="D30" s="5">
        <v>1</v>
      </c>
      <c r="E30" s="5">
        <v>1</v>
      </c>
      <c r="F30" s="1">
        <f t="shared" si="0"/>
        <v>4400</v>
      </c>
      <c r="I30" s="1">
        <v>11</v>
      </c>
      <c r="J30" s="1">
        <f t="shared" si="1"/>
        <v>660</v>
      </c>
    </row>
    <row r="31" spans="1:10" s="1" customFormat="1" ht="20.100000000000001" customHeight="1" x14ac:dyDescent="0.2">
      <c r="A31" s="1">
        <v>30</v>
      </c>
      <c r="B31" s="1">
        <v>8</v>
      </c>
      <c r="C31" s="1">
        <f>B31*[1]怪物经验!C31</f>
        <v>4640</v>
      </c>
      <c r="D31" s="5">
        <v>1</v>
      </c>
      <c r="E31" s="5">
        <v>1</v>
      </c>
      <c r="F31" s="1">
        <f t="shared" si="0"/>
        <v>4640</v>
      </c>
      <c r="I31" s="1">
        <v>12</v>
      </c>
      <c r="J31" s="1">
        <f t="shared" si="1"/>
        <v>750</v>
      </c>
    </row>
    <row r="32" spans="1:10" s="1" customFormat="1" ht="20.100000000000001" customHeight="1" x14ac:dyDescent="0.2">
      <c r="A32" s="1">
        <v>31</v>
      </c>
      <c r="B32" s="1">
        <v>9</v>
      </c>
      <c r="C32" s="1">
        <f>B32*[1]怪物经验!C32</f>
        <v>5490</v>
      </c>
      <c r="D32" s="5">
        <v>1</v>
      </c>
      <c r="E32" s="5">
        <v>1</v>
      </c>
      <c r="F32" s="1">
        <f t="shared" si="0"/>
        <v>5490</v>
      </c>
      <c r="I32" s="1">
        <v>12</v>
      </c>
      <c r="J32" s="1">
        <f t="shared" si="1"/>
        <v>750</v>
      </c>
    </row>
    <row r="33" spans="1:10" s="1" customFormat="1" ht="20.100000000000001" customHeight="1" x14ac:dyDescent="0.2">
      <c r="A33" s="1">
        <v>32</v>
      </c>
      <c r="B33" s="1">
        <v>9</v>
      </c>
      <c r="C33" s="1">
        <f>B33*[1]怪物经验!C33</f>
        <v>5760</v>
      </c>
      <c r="D33" s="5">
        <v>1</v>
      </c>
      <c r="E33" s="5">
        <v>1</v>
      </c>
      <c r="F33" s="1">
        <f t="shared" si="0"/>
        <v>5760</v>
      </c>
      <c r="I33" s="1">
        <v>14</v>
      </c>
      <c r="J33" s="1">
        <f t="shared" si="1"/>
        <v>930</v>
      </c>
    </row>
    <row r="34" spans="1:10" s="1" customFormat="1" ht="20.100000000000001" customHeight="1" x14ac:dyDescent="0.2">
      <c r="A34" s="1">
        <v>33</v>
      </c>
      <c r="B34" s="1">
        <v>9</v>
      </c>
      <c r="C34" s="1">
        <f>B34*[1]怪物经验!C34</f>
        <v>6030</v>
      </c>
      <c r="D34" s="5">
        <v>1</v>
      </c>
      <c r="E34" s="5">
        <v>1</v>
      </c>
      <c r="F34" s="1">
        <f t="shared" si="0"/>
        <v>6030</v>
      </c>
      <c r="I34" s="1">
        <v>15</v>
      </c>
      <c r="J34" s="1">
        <f t="shared" si="1"/>
        <v>1020</v>
      </c>
    </row>
    <row r="35" spans="1:10" s="1" customFormat="1" ht="20.100000000000001" customHeight="1" x14ac:dyDescent="0.2">
      <c r="A35" s="1">
        <v>34</v>
      </c>
      <c r="B35" s="1">
        <v>9</v>
      </c>
      <c r="C35" s="1">
        <f>B35*[1]怪物经验!C35</f>
        <v>6300</v>
      </c>
      <c r="D35" s="5">
        <v>1</v>
      </c>
      <c r="E35" s="5">
        <v>1</v>
      </c>
      <c r="F35" s="1">
        <f t="shared" si="0"/>
        <v>6300</v>
      </c>
    </row>
    <row r="36" spans="1:10" s="1" customFormat="1" ht="20.100000000000001" customHeight="1" x14ac:dyDescent="0.2">
      <c r="A36" s="1">
        <v>35</v>
      </c>
      <c r="B36" s="1">
        <v>9</v>
      </c>
      <c r="C36" s="1">
        <f>B36*[1]怪物经验!C36</f>
        <v>6570</v>
      </c>
      <c r="D36" s="5">
        <v>1</v>
      </c>
      <c r="E36" s="5">
        <v>1</v>
      </c>
      <c r="F36" s="1">
        <f t="shared" si="0"/>
        <v>6570</v>
      </c>
    </row>
    <row r="37" spans="1:10" s="1" customFormat="1" ht="20.100000000000001" customHeight="1" x14ac:dyDescent="0.2">
      <c r="A37" s="1">
        <v>36</v>
      </c>
      <c r="B37" s="1">
        <v>10</v>
      </c>
      <c r="C37" s="1">
        <f>B37*[1]怪物经验!C37</f>
        <v>7600</v>
      </c>
      <c r="D37" s="5">
        <v>1</v>
      </c>
      <c r="E37" s="5">
        <v>1</v>
      </c>
      <c r="F37" s="1">
        <f t="shared" si="0"/>
        <v>7600</v>
      </c>
    </row>
    <row r="38" spans="1:10" s="1" customFormat="1" ht="20.100000000000001" customHeight="1" x14ac:dyDescent="0.2">
      <c r="A38" s="1">
        <v>37</v>
      </c>
      <c r="B38" s="1">
        <v>10</v>
      </c>
      <c r="C38" s="1">
        <f>B38*[1]怪物经验!C38</f>
        <v>7900</v>
      </c>
      <c r="D38" s="5">
        <v>1</v>
      </c>
      <c r="E38" s="5">
        <v>1</v>
      </c>
      <c r="F38" s="1">
        <f t="shared" si="0"/>
        <v>7900</v>
      </c>
    </row>
    <row r="39" spans="1:10" s="1" customFormat="1" ht="20.100000000000001" customHeight="1" x14ac:dyDescent="0.2">
      <c r="A39" s="1">
        <v>38</v>
      </c>
      <c r="B39" s="1">
        <v>10</v>
      </c>
      <c r="C39" s="1">
        <f>B39*[1]怪物经验!C39</f>
        <v>8200</v>
      </c>
      <c r="D39" s="5">
        <v>1</v>
      </c>
      <c r="E39" s="5">
        <v>1</v>
      </c>
      <c r="F39" s="1">
        <f t="shared" si="0"/>
        <v>8200</v>
      </c>
    </row>
    <row r="40" spans="1:10" s="1" customFormat="1" ht="20.100000000000001" customHeight="1" x14ac:dyDescent="0.2">
      <c r="A40" s="1">
        <v>39</v>
      </c>
      <c r="B40" s="1">
        <v>10</v>
      </c>
      <c r="C40" s="1">
        <f>B40*[1]怪物经验!C40</f>
        <v>8500</v>
      </c>
      <c r="D40" s="5">
        <v>1</v>
      </c>
      <c r="E40" s="5">
        <v>1</v>
      </c>
      <c r="F40" s="1">
        <f t="shared" si="0"/>
        <v>8500</v>
      </c>
    </row>
    <row r="41" spans="1:10" s="1" customFormat="1" ht="20.100000000000001" customHeight="1" x14ac:dyDescent="0.2">
      <c r="A41" s="1">
        <v>40</v>
      </c>
      <c r="B41" s="1">
        <v>10</v>
      </c>
      <c r="C41" s="1">
        <f>B41*[1]怪物经验!C41</f>
        <v>8800</v>
      </c>
      <c r="D41" s="5">
        <v>1</v>
      </c>
      <c r="E41" s="5">
        <v>1</v>
      </c>
      <c r="F41" s="1">
        <f t="shared" si="0"/>
        <v>8800</v>
      </c>
    </row>
    <row r="42" spans="1:10" s="1" customFormat="1" ht="20.100000000000001" customHeight="1" x14ac:dyDescent="0.2">
      <c r="A42" s="1">
        <v>41</v>
      </c>
      <c r="B42" s="1">
        <v>10</v>
      </c>
      <c r="C42" s="1">
        <f>B42*[1]怪物经验!C42</f>
        <v>9100</v>
      </c>
      <c r="D42" s="5">
        <v>1</v>
      </c>
      <c r="E42" s="5">
        <v>1</v>
      </c>
      <c r="F42" s="1">
        <f t="shared" si="0"/>
        <v>9100</v>
      </c>
    </row>
    <row r="43" spans="1:10" s="1" customFormat="1" ht="20.100000000000001" customHeight="1" x14ac:dyDescent="0.2">
      <c r="A43" s="1">
        <v>42</v>
      </c>
      <c r="B43" s="1">
        <v>10</v>
      </c>
      <c r="C43" s="1">
        <f>B43*[1]怪物经验!C43</f>
        <v>9400</v>
      </c>
      <c r="D43" s="5">
        <v>1</v>
      </c>
      <c r="E43" s="5">
        <v>1</v>
      </c>
      <c r="F43" s="1">
        <f t="shared" si="0"/>
        <v>9400</v>
      </c>
    </row>
    <row r="44" spans="1:10" s="1" customFormat="1" ht="20.100000000000001" customHeight="1" x14ac:dyDescent="0.2">
      <c r="A44" s="1">
        <v>43</v>
      </c>
      <c r="B44" s="1">
        <v>10</v>
      </c>
      <c r="C44" s="1">
        <f>B44*[1]怪物经验!C44</f>
        <v>9700</v>
      </c>
      <c r="D44" s="5">
        <v>1</v>
      </c>
      <c r="E44" s="5">
        <v>1</v>
      </c>
      <c r="F44" s="1">
        <f t="shared" si="0"/>
        <v>9700</v>
      </c>
    </row>
    <row r="45" spans="1:10" s="1" customFormat="1" ht="20.100000000000001" customHeight="1" x14ac:dyDescent="0.2">
      <c r="A45" s="1">
        <v>44</v>
      </c>
      <c r="B45" s="1">
        <v>10</v>
      </c>
      <c r="C45" s="1">
        <f>B45*[1]怪物经验!C45</f>
        <v>10000</v>
      </c>
      <c r="D45" s="5">
        <v>1</v>
      </c>
      <c r="E45" s="5">
        <v>1</v>
      </c>
      <c r="F45" s="1">
        <f t="shared" si="0"/>
        <v>10000</v>
      </c>
    </row>
    <row r="46" spans="1:10" s="1" customFormat="1" ht="20.100000000000001" customHeight="1" x14ac:dyDescent="0.2">
      <c r="A46" s="1">
        <v>45</v>
      </c>
      <c r="B46" s="1">
        <v>10</v>
      </c>
      <c r="C46" s="1">
        <f>B46*[1]怪物经验!C46</f>
        <v>10300</v>
      </c>
      <c r="D46" s="5">
        <v>1</v>
      </c>
      <c r="E46" s="5">
        <v>1</v>
      </c>
      <c r="F46" s="1">
        <f t="shared" si="0"/>
        <v>10300</v>
      </c>
    </row>
    <row r="47" spans="1:10" s="1" customFormat="1" ht="20.100000000000001" customHeight="1" x14ac:dyDescent="0.2">
      <c r="A47" s="1">
        <v>46</v>
      </c>
      <c r="B47" s="1">
        <v>10</v>
      </c>
      <c r="C47" s="1">
        <f>B47*[1]怪物经验!C47</f>
        <v>10600</v>
      </c>
      <c r="D47" s="5">
        <v>1</v>
      </c>
      <c r="E47" s="5">
        <v>1</v>
      </c>
      <c r="F47" s="1">
        <f t="shared" si="0"/>
        <v>10600</v>
      </c>
    </row>
    <row r="48" spans="1:10" s="1" customFormat="1" ht="20.100000000000001" customHeight="1" x14ac:dyDescent="0.2">
      <c r="A48" s="1">
        <v>47</v>
      </c>
      <c r="B48" s="1">
        <v>10</v>
      </c>
      <c r="C48" s="1">
        <f>B48*[1]怪物经验!C48</f>
        <v>10900</v>
      </c>
      <c r="D48" s="5">
        <v>1</v>
      </c>
      <c r="E48" s="5">
        <v>1</v>
      </c>
      <c r="F48" s="1">
        <f t="shared" si="0"/>
        <v>10900</v>
      </c>
    </row>
    <row r="49" spans="1:6" s="1" customFormat="1" ht="20.100000000000001" customHeight="1" x14ac:dyDescent="0.2">
      <c r="A49" s="1">
        <v>48</v>
      </c>
      <c r="B49" s="1">
        <v>10</v>
      </c>
      <c r="C49" s="1">
        <f>B49*[1]怪物经验!C49</f>
        <v>11200</v>
      </c>
      <c r="D49" s="5">
        <v>1</v>
      </c>
      <c r="E49" s="5">
        <v>1</v>
      </c>
      <c r="F49" s="1">
        <f t="shared" si="0"/>
        <v>11200</v>
      </c>
    </row>
    <row r="50" spans="1:6" s="1" customFormat="1" ht="20.100000000000001" customHeight="1" x14ac:dyDescent="0.2">
      <c r="A50" s="1">
        <v>49</v>
      </c>
      <c r="B50" s="1">
        <v>10</v>
      </c>
      <c r="C50" s="1">
        <f>B50*[1]怪物经验!C50</f>
        <v>11500</v>
      </c>
      <c r="D50" s="5">
        <v>1</v>
      </c>
      <c r="E50" s="5">
        <v>1</v>
      </c>
      <c r="F50" s="1">
        <f t="shared" si="0"/>
        <v>11500</v>
      </c>
    </row>
    <row r="51" spans="1:6" s="1" customFormat="1" ht="20.100000000000001" customHeight="1" x14ac:dyDescent="0.2">
      <c r="A51" s="1">
        <v>50</v>
      </c>
      <c r="B51" s="1">
        <v>10</v>
      </c>
      <c r="C51" s="1">
        <f>B51*[1]怪物经验!C51</f>
        <v>11800</v>
      </c>
      <c r="D51" s="5">
        <v>1</v>
      </c>
      <c r="E51" s="5">
        <v>1</v>
      </c>
      <c r="F51" s="1">
        <f t="shared" si="0"/>
        <v>11800</v>
      </c>
    </row>
    <row r="52" spans="1:6" s="1" customFormat="1" ht="20.100000000000001" customHeight="1" x14ac:dyDescent="0.2">
      <c r="A52" s="1">
        <v>51</v>
      </c>
      <c r="B52" s="1">
        <v>10</v>
      </c>
      <c r="C52" s="1">
        <f>B52*[1]怪物经验!C52</f>
        <v>12100</v>
      </c>
      <c r="D52" s="5">
        <v>1</v>
      </c>
      <c r="E52" s="5">
        <v>1</v>
      </c>
      <c r="F52" s="1">
        <f t="shared" si="0"/>
        <v>12100</v>
      </c>
    </row>
    <row r="53" spans="1:6" s="1" customFormat="1" ht="20.100000000000001" customHeight="1" x14ac:dyDescent="0.2">
      <c r="A53" s="1">
        <v>52</v>
      </c>
      <c r="B53" s="1">
        <v>10</v>
      </c>
      <c r="C53" s="1">
        <f>B53*[1]怪物经验!C53</f>
        <v>12400</v>
      </c>
      <c r="D53" s="5">
        <v>1</v>
      </c>
      <c r="E53" s="5">
        <v>1</v>
      </c>
      <c r="F53" s="1">
        <f t="shared" si="0"/>
        <v>12400</v>
      </c>
    </row>
    <row r="54" spans="1:6" s="1" customFormat="1" ht="20.100000000000001" customHeight="1" x14ac:dyDescent="0.2">
      <c r="A54" s="1">
        <v>53</v>
      </c>
      <c r="B54" s="1">
        <v>10</v>
      </c>
      <c r="C54" s="1">
        <f>B54*[1]怪物经验!C54</f>
        <v>12700</v>
      </c>
      <c r="D54" s="5">
        <v>1</v>
      </c>
      <c r="E54" s="5">
        <v>1</v>
      </c>
      <c r="F54" s="1">
        <f t="shared" si="0"/>
        <v>12700</v>
      </c>
    </row>
    <row r="55" spans="1:6" s="1" customFormat="1" ht="20.100000000000001" customHeight="1" x14ac:dyDescent="0.2">
      <c r="A55" s="1">
        <v>54</v>
      </c>
      <c r="B55" s="1">
        <v>10</v>
      </c>
      <c r="C55" s="1">
        <f>B55*[1]怪物经验!C55</f>
        <v>13000</v>
      </c>
      <c r="D55" s="5">
        <v>1</v>
      </c>
      <c r="E55" s="5">
        <v>1</v>
      </c>
      <c r="F55" s="1">
        <f t="shared" si="0"/>
        <v>13000</v>
      </c>
    </row>
    <row r="56" spans="1:6" s="1" customFormat="1" ht="20.100000000000001" customHeight="1" x14ac:dyDescent="0.2">
      <c r="A56" s="1">
        <v>55</v>
      </c>
      <c r="B56" s="1">
        <v>10</v>
      </c>
      <c r="C56" s="1">
        <f>B56*[1]怪物经验!C56</f>
        <v>13300</v>
      </c>
      <c r="D56" s="5">
        <v>1</v>
      </c>
      <c r="E56" s="5">
        <v>1</v>
      </c>
      <c r="F56" s="1">
        <f t="shared" si="0"/>
        <v>13300</v>
      </c>
    </row>
    <row r="57" spans="1:6" s="1" customFormat="1" ht="20.100000000000001" customHeight="1" x14ac:dyDescent="0.2">
      <c r="A57" s="1">
        <v>56</v>
      </c>
      <c r="B57" s="1">
        <v>10</v>
      </c>
      <c r="C57" s="1">
        <f>B57*[1]怪物经验!C57</f>
        <v>13600</v>
      </c>
      <c r="D57" s="5">
        <v>1</v>
      </c>
      <c r="E57" s="5">
        <v>1</v>
      </c>
      <c r="F57" s="1">
        <f t="shared" si="0"/>
        <v>13600</v>
      </c>
    </row>
    <row r="58" spans="1:6" s="1" customFormat="1" ht="20.100000000000001" customHeight="1" x14ac:dyDescent="0.2">
      <c r="A58" s="1">
        <v>57</v>
      </c>
      <c r="B58" s="1">
        <v>10</v>
      </c>
      <c r="C58" s="1">
        <f>B58*[1]怪物经验!C58</f>
        <v>13900</v>
      </c>
      <c r="D58" s="5">
        <v>1</v>
      </c>
      <c r="E58" s="5">
        <v>1</v>
      </c>
      <c r="F58" s="1">
        <f t="shared" si="0"/>
        <v>13900</v>
      </c>
    </row>
    <row r="59" spans="1:6" s="1" customFormat="1" ht="20.100000000000001" customHeight="1" x14ac:dyDescent="0.2">
      <c r="A59" s="1">
        <v>58</v>
      </c>
      <c r="B59" s="1">
        <v>10</v>
      </c>
      <c r="C59" s="1">
        <f>B59*[1]怪物经验!C59</f>
        <v>14200</v>
      </c>
      <c r="D59" s="5">
        <v>1</v>
      </c>
      <c r="E59" s="5">
        <v>1</v>
      </c>
      <c r="F59" s="1">
        <f t="shared" si="0"/>
        <v>14200</v>
      </c>
    </row>
    <row r="60" spans="1:6" s="1" customFormat="1" ht="20.100000000000001" customHeight="1" x14ac:dyDescent="0.2">
      <c r="A60" s="1">
        <v>59</v>
      </c>
      <c r="B60" s="1">
        <v>10</v>
      </c>
      <c r="C60" s="1">
        <f>B60*[1]怪物经验!C60</f>
        <v>14500</v>
      </c>
      <c r="D60" s="5">
        <v>1</v>
      </c>
      <c r="E60" s="5">
        <v>1</v>
      </c>
      <c r="F60" s="1">
        <f t="shared" si="0"/>
        <v>14500</v>
      </c>
    </row>
    <row r="61" spans="1:6" s="1" customFormat="1" ht="20.100000000000001" customHeight="1" x14ac:dyDescent="0.2">
      <c r="A61" s="1">
        <v>60</v>
      </c>
      <c r="B61" s="1">
        <v>10</v>
      </c>
      <c r="C61" s="1">
        <f>B61*[1]怪物经验!C61</f>
        <v>14800</v>
      </c>
      <c r="D61" s="5">
        <v>1</v>
      </c>
      <c r="E61" s="5">
        <v>1</v>
      </c>
      <c r="F61" s="1">
        <f t="shared" si="0"/>
        <v>14800</v>
      </c>
    </row>
    <row r="62" spans="1:6" s="1" customFormat="1" ht="20.100000000000001" customHeight="1" x14ac:dyDescent="0.2">
      <c r="A62" s="1">
        <v>61</v>
      </c>
      <c r="B62" s="1">
        <v>10</v>
      </c>
      <c r="C62" s="1">
        <f>B62*[1]怪物经验!C62</f>
        <v>15100</v>
      </c>
      <c r="D62" s="5">
        <v>1</v>
      </c>
      <c r="E62" s="5">
        <v>1</v>
      </c>
      <c r="F62" s="1">
        <f t="shared" si="0"/>
        <v>15100</v>
      </c>
    </row>
    <row r="63" spans="1:6" s="1" customFormat="1" ht="20.100000000000001" customHeight="1" x14ac:dyDescent="0.2">
      <c r="A63" s="1">
        <v>62</v>
      </c>
      <c r="B63" s="1">
        <v>10</v>
      </c>
      <c r="C63" s="1">
        <f>B63*[1]怪物经验!C63</f>
        <v>15400</v>
      </c>
      <c r="D63" s="5">
        <v>1</v>
      </c>
      <c r="E63" s="5">
        <v>1</v>
      </c>
      <c r="F63" s="1">
        <f t="shared" si="0"/>
        <v>15400</v>
      </c>
    </row>
    <row r="64" spans="1:6" s="1" customFormat="1" ht="20.100000000000001" customHeight="1" x14ac:dyDescent="0.2">
      <c r="A64" s="1">
        <v>63</v>
      </c>
      <c r="B64" s="1">
        <v>10</v>
      </c>
      <c r="C64" s="1">
        <f>B64*[1]怪物经验!C64</f>
        <v>15700</v>
      </c>
      <c r="D64" s="5">
        <v>1</v>
      </c>
      <c r="E64" s="5">
        <v>1</v>
      </c>
      <c r="F64" s="1">
        <f t="shared" si="0"/>
        <v>15700</v>
      </c>
    </row>
    <row r="65" spans="1:6" s="1" customFormat="1" ht="20.100000000000001" customHeight="1" x14ac:dyDescent="0.2">
      <c r="A65" s="1">
        <v>64</v>
      </c>
      <c r="B65" s="1">
        <v>10</v>
      </c>
      <c r="C65" s="1">
        <f>B65*[1]怪物经验!C65</f>
        <v>16000</v>
      </c>
      <c r="D65" s="5">
        <v>1</v>
      </c>
      <c r="E65" s="5">
        <v>1</v>
      </c>
      <c r="F65" s="1">
        <f t="shared" si="0"/>
        <v>16000</v>
      </c>
    </row>
    <row r="66" spans="1:6" s="1" customFormat="1" ht="20.100000000000001" customHeight="1" x14ac:dyDescent="0.2">
      <c r="A66" s="1">
        <v>65</v>
      </c>
      <c r="B66" s="1">
        <v>10</v>
      </c>
      <c r="C66" s="1">
        <f>B66*[1]怪物经验!C66</f>
        <v>16300</v>
      </c>
      <c r="D66" s="5">
        <v>1</v>
      </c>
      <c r="E66" s="5">
        <v>1</v>
      </c>
      <c r="F66" s="1">
        <f t="shared" ref="F66:F101" si="2">E66*C66</f>
        <v>16300</v>
      </c>
    </row>
    <row r="67" spans="1:6" s="1" customFormat="1" ht="20.100000000000001" customHeight="1" x14ac:dyDescent="0.2">
      <c r="A67" s="1">
        <v>66</v>
      </c>
      <c r="B67" s="1">
        <v>10</v>
      </c>
      <c r="C67" s="1">
        <f>B67*[1]怪物经验!C67</f>
        <v>0</v>
      </c>
      <c r="D67" s="5">
        <v>1</v>
      </c>
      <c r="E67" s="5">
        <v>1</v>
      </c>
      <c r="F67" s="1">
        <f t="shared" si="2"/>
        <v>0</v>
      </c>
    </row>
    <row r="68" spans="1:6" s="1" customFormat="1" ht="20.100000000000001" customHeight="1" x14ac:dyDescent="0.2">
      <c r="A68" s="1">
        <v>67</v>
      </c>
      <c r="B68" s="1">
        <v>10</v>
      </c>
      <c r="C68" s="1">
        <f>B68*[1]怪物经验!C68</f>
        <v>0</v>
      </c>
      <c r="D68" s="5">
        <v>1</v>
      </c>
      <c r="E68" s="5">
        <v>1</v>
      </c>
      <c r="F68" s="1">
        <f t="shared" si="2"/>
        <v>0</v>
      </c>
    </row>
    <row r="69" spans="1:6" s="1" customFormat="1" ht="20.100000000000001" customHeight="1" x14ac:dyDescent="0.2">
      <c r="A69" s="1">
        <v>68</v>
      </c>
      <c r="B69" s="1">
        <v>10</v>
      </c>
      <c r="C69" s="1">
        <f>B69*[1]怪物经验!C69</f>
        <v>0</v>
      </c>
      <c r="D69" s="5">
        <v>1</v>
      </c>
      <c r="E69" s="5">
        <v>1</v>
      </c>
      <c r="F69" s="1">
        <f t="shared" si="2"/>
        <v>0</v>
      </c>
    </row>
    <row r="70" spans="1:6" s="1" customFormat="1" ht="20.100000000000001" customHeight="1" x14ac:dyDescent="0.2">
      <c r="A70" s="1">
        <v>69</v>
      </c>
      <c r="B70" s="1">
        <v>10</v>
      </c>
      <c r="C70" s="1">
        <f>B70*[1]怪物经验!C70</f>
        <v>0</v>
      </c>
      <c r="D70" s="5">
        <v>1</v>
      </c>
      <c r="E70" s="5">
        <v>1</v>
      </c>
      <c r="F70" s="1">
        <f t="shared" si="2"/>
        <v>0</v>
      </c>
    </row>
    <row r="71" spans="1:6" s="1" customFormat="1" ht="20.100000000000001" customHeight="1" x14ac:dyDescent="0.2">
      <c r="A71" s="1">
        <v>70</v>
      </c>
      <c r="B71" s="1">
        <v>10</v>
      </c>
      <c r="C71" s="1">
        <f>B71*[1]怪物经验!C71</f>
        <v>0</v>
      </c>
      <c r="D71" s="5">
        <v>1</v>
      </c>
      <c r="E71" s="5">
        <v>1</v>
      </c>
      <c r="F71" s="1">
        <f t="shared" si="2"/>
        <v>0</v>
      </c>
    </row>
    <row r="72" spans="1:6" s="1" customFormat="1" ht="20.100000000000001" customHeight="1" x14ac:dyDescent="0.2">
      <c r="A72" s="1">
        <v>71</v>
      </c>
      <c r="B72" s="1">
        <v>10</v>
      </c>
      <c r="C72" s="1">
        <f>B72*[1]怪物经验!C72</f>
        <v>0</v>
      </c>
      <c r="D72" s="5">
        <v>1</v>
      </c>
      <c r="E72" s="5">
        <v>1</v>
      </c>
      <c r="F72" s="1">
        <f t="shared" si="2"/>
        <v>0</v>
      </c>
    </row>
    <row r="73" spans="1:6" s="1" customFormat="1" ht="20.100000000000001" customHeight="1" x14ac:dyDescent="0.2">
      <c r="A73" s="1">
        <v>72</v>
      </c>
      <c r="B73" s="1">
        <v>10</v>
      </c>
      <c r="C73" s="1">
        <f>B73*[1]怪物经验!C73</f>
        <v>0</v>
      </c>
      <c r="D73" s="5">
        <v>1</v>
      </c>
      <c r="E73" s="5">
        <v>1</v>
      </c>
      <c r="F73" s="1">
        <f t="shared" si="2"/>
        <v>0</v>
      </c>
    </row>
    <row r="74" spans="1:6" s="1" customFormat="1" ht="20.100000000000001" customHeight="1" x14ac:dyDescent="0.2">
      <c r="A74" s="1">
        <v>73</v>
      </c>
      <c r="B74" s="1">
        <v>10</v>
      </c>
      <c r="C74" s="1">
        <f>B74*[1]怪物经验!C74</f>
        <v>0</v>
      </c>
      <c r="D74" s="5">
        <v>1</v>
      </c>
      <c r="E74" s="5">
        <v>1</v>
      </c>
      <c r="F74" s="1">
        <f t="shared" si="2"/>
        <v>0</v>
      </c>
    </row>
    <row r="75" spans="1:6" s="1" customFormat="1" ht="20.100000000000001" customHeight="1" x14ac:dyDescent="0.2">
      <c r="A75" s="1">
        <v>74</v>
      </c>
      <c r="B75" s="1">
        <v>10</v>
      </c>
      <c r="C75" s="1">
        <f>B75*[1]怪物经验!C75</f>
        <v>0</v>
      </c>
      <c r="D75" s="5">
        <v>1</v>
      </c>
      <c r="E75" s="5">
        <v>1</v>
      </c>
      <c r="F75" s="1">
        <f t="shared" si="2"/>
        <v>0</v>
      </c>
    </row>
    <row r="76" spans="1:6" s="1" customFormat="1" ht="20.100000000000001" customHeight="1" x14ac:dyDescent="0.2">
      <c r="A76" s="1">
        <v>75</v>
      </c>
      <c r="B76" s="1">
        <v>10</v>
      </c>
      <c r="C76" s="1">
        <f>B76*[1]怪物经验!C76</f>
        <v>0</v>
      </c>
      <c r="D76" s="5">
        <v>1</v>
      </c>
      <c r="E76" s="5">
        <v>1</v>
      </c>
      <c r="F76" s="1">
        <f t="shared" si="2"/>
        <v>0</v>
      </c>
    </row>
    <row r="77" spans="1:6" s="1" customFormat="1" ht="20.100000000000001" customHeight="1" x14ac:dyDescent="0.2">
      <c r="A77" s="1">
        <v>76</v>
      </c>
      <c r="B77" s="1">
        <v>10</v>
      </c>
      <c r="C77" s="1">
        <f>B77*[1]怪物经验!C77</f>
        <v>0</v>
      </c>
      <c r="D77" s="5">
        <v>1</v>
      </c>
      <c r="E77" s="5">
        <v>1</v>
      </c>
      <c r="F77" s="1">
        <f t="shared" si="2"/>
        <v>0</v>
      </c>
    </row>
    <row r="78" spans="1:6" s="1" customFormat="1" ht="20.100000000000001" customHeight="1" x14ac:dyDescent="0.2">
      <c r="A78" s="1">
        <v>77</v>
      </c>
      <c r="B78" s="1">
        <v>10</v>
      </c>
      <c r="C78" s="1">
        <f>B78*[1]怪物经验!C78</f>
        <v>0</v>
      </c>
      <c r="D78" s="5">
        <v>1</v>
      </c>
      <c r="E78" s="5">
        <v>1</v>
      </c>
      <c r="F78" s="1">
        <f t="shared" si="2"/>
        <v>0</v>
      </c>
    </row>
    <row r="79" spans="1:6" s="1" customFormat="1" ht="20.100000000000001" customHeight="1" x14ac:dyDescent="0.2">
      <c r="A79" s="1">
        <v>78</v>
      </c>
      <c r="B79" s="1">
        <v>10</v>
      </c>
      <c r="C79" s="1">
        <f>B79*[1]怪物经验!C79</f>
        <v>0</v>
      </c>
      <c r="D79" s="5">
        <v>1</v>
      </c>
      <c r="E79" s="5">
        <v>1</v>
      </c>
      <c r="F79" s="1">
        <f t="shared" si="2"/>
        <v>0</v>
      </c>
    </row>
    <row r="80" spans="1:6" s="1" customFormat="1" ht="20.100000000000001" customHeight="1" x14ac:dyDescent="0.2">
      <c r="A80" s="1">
        <v>79</v>
      </c>
      <c r="B80" s="1">
        <v>10</v>
      </c>
      <c r="C80" s="1">
        <f>B80*[1]怪物经验!C80</f>
        <v>0</v>
      </c>
      <c r="D80" s="5">
        <v>1</v>
      </c>
      <c r="E80" s="5">
        <v>1</v>
      </c>
      <c r="F80" s="1">
        <f t="shared" si="2"/>
        <v>0</v>
      </c>
    </row>
    <row r="81" spans="1:6" s="1" customFormat="1" ht="20.100000000000001" customHeight="1" x14ac:dyDescent="0.2">
      <c r="A81" s="1">
        <v>80</v>
      </c>
      <c r="B81" s="1">
        <v>10</v>
      </c>
      <c r="C81" s="1">
        <f>B81*[1]怪物经验!C81</f>
        <v>0</v>
      </c>
      <c r="D81" s="5">
        <v>1</v>
      </c>
      <c r="E81" s="5">
        <v>1</v>
      </c>
      <c r="F81" s="1">
        <f t="shared" si="2"/>
        <v>0</v>
      </c>
    </row>
    <row r="82" spans="1:6" s="1" customFormat="1" ht="20.100000000000001" customHeight="1" x14ac:dyDescent="0.2">
      <c r="A82" s="1">
        <v>81</v>
      </c>
      <c r="B82" s="1">
        <v>10</v>
      </c>
      <c r="C82" s="1">
        <f>B82*[1]怪物经验!C82</f>
        <v>0</v>
      </c>
      <c r="D82" s="5">
        <v>1</v>
      </c>
      <c r="E82" s="5">
        <v>1</v>
      </c>
      <c r="F82" s="1">
        <f t="shared" si="2"/>
        <v>0</v>
      </c>
    </row>
    <row r="83" spans="1:6" s="1" customFormat="1" ht="20.100000000000001" customHeight="1" x14ac:dyDescent="0.2">
      <c r="A83" s="1">
        <v>82</v>
      </c>
      <c r="B83" s="1">
        <v>10</v>
      </c>
      <c r="C83" s="1">
        <f>B83*[1]怪物经验!C83</f>
        <v>0</v>
      </c>
      <c r="D83" s="5">
        <v>1</v>
      </c>
      <c r="E83" s="5">
        <v>1</v>
      </c>
      <c r="F83" s="1">
        <f t="shared" si="2"/>
        <v>0</v>
      </c>
    </row>
    <row r="84" spans="1:6" s="1" customFormat="1" ht="20.100000000000001" customHeight="1" x14ac:dyDescent="0.2">
      <c r="A84" s="1">
        <v>83</v>
      </c>
      <c r="B84" s="1">
        <v>10</v>
      </c>
      <c r="C84" s="1">
        <f>B84*[1]怪物经验!C84</f>
        <v>0</v>
      </c>
      <c r="D84" s="5">
        <v>1</v>
      </c>
      <c r="E84" s="5">
        <v>1</v>
      </c>
      <c r="F84" s="1">
        <f t="shared" si="2"/>
        <v>0</v>
      </c>
    </row>
    <row r="85" spans="1:6" s="1" customFormat="1" ht="20.100000000000001" customHeight="1" x14ac:dyDescent="0.2">
      <c r="A85" s="1">
        <v>84</v>
      </c>
      <c r="B85" s="1">
        <v>10</v>
      </c>
      <c r="C85" s="1">
        <f>B85*[1]怪物经验!C85</f>
        <v>0</v>
      </c>
      <c r="D85" s="5">
        <v>1</v>
      </c>
      <c r="E85" s="5">
        <v>1</v>
      </c>
      <c r="F85" s="1">
        <f t="shared" si="2"/>
        <v>0</v>
      </c>
    </row>
    <row r="86" spans="1:6" s="1" customFormat="1" ht="20.100000000000001" customHeight="1" x14ac:dyDescent="0.2">
      <c r="A86" s="1">
        <v>85</v>
      </c>
      <c r="B86" s="1">
        <v>10</v>
      </c>
      <c r="C86" s="1">
        <f>B86*[1]怪物经验!C86</f>
        <v>0</v>
      </c>
      <c r="D86" s="5">
        <v>1</v>
      </c>
      <c r="E86" s="5">
        <v>1</v>
      </c>
      <c r="F86" s="1">
        <f t="shared" si="2"/>
        <v>0</v>
      </c>
    </row>
    <row r="87" spans="1:6" s="1" customFormat="1" ht="20.100000000000001" customHeight="1" x14ac:dyDescent="0.2">
      <c r="A87" s="1">
        <v>86</v>
      </c>
      <c r="B87" s="1">
        <v>10</v>
      </c>
      <c r="C87" s="1">
        <f>B87*[1]怪物经验!C87</f>
        <v>0</v>
      </c>
      <c r="D87" s="5">
        <v>1</v>
      </c>
      <c r="E87" s="5">
        <v>1</v>
      </c>
      <c r="F87" s="1">
        <f t="shared" si="2"/>
        <v>0</v>
      </c>
    </row>
    <row r="88" spans="1:6" s="1" customFormat="1" ht="20.100000000000001" customHeight="1" x14ac:dyDescent="0.2">
      <c r="A88" s="1">
        <v>87</v>
      </c>
      <c r="B88" s="1">
        <v>10</v>
      </c>
      <c r="C88" s="1">
        <f>B88*[1]怪物经验!C88</f>
        <v>0</v>
      </c>
      <c r="D88" s="5">
        <v>1</v>
      </c>
      <c r="E88" s="5">
        <v>1</v>
      </c>
      <c r="F88" s="1">
        <f t="shared" si="2"/>
        <v>0</v>
      </c>
    </row>
    <row r="89" spans="1:6" s="1" customFormat="1" ht="20.100000000000001" customHeight="1" x14ac:dyDescent="0.2">
      <c r="A89" s="1">
        <v>88</v>
      </c>
      <c r="B89" s="1">
        <v>10</v>
      </c>
      <c r="C89" s="1">
        <f>B89*[1]怪物经验!C89</f>
        <v>0</v>
      </c>
      <c r="D89" s="5">
        <v>1</v>
      </c>
      <c r="E89" s="5">
        <v>1</v>
      </c>
      <c r="F89" s="1">
        <f t="shared" si="2"/>
        <v>0</v>
      </c>
    </row>
    <row r="90" spans="1:6" s="1" customFormat="1" ht="20.100000000000001" customHeight="1" x14ac:dyDescent="0.2">
      <c r="A90" s="1">
        <v>89</v>
      </c>
      <c r="B90" s="1">
        <v>10</v>
      </c>
      <c r="C90" s="1">
        <f>B90*[1]怪物经验!C90</f>
        <v>0</v>
      </c>
      <c r="D90" s="5">
        <v>1</v>
      </c>
      <c r="E90" s="5">
        <v>1</v>
      </c>
      <c r="F90" s="1">
        <f t="shared" si="2"/>
        <v>0</v>
      </c>
    </row>
    <row r="91" spans="1:6" s="1" customFormat="1" ht="20.100000000000001" customHeight="1" x14ac:dyDescent="0.2">
      <c r="A91" s="1">
        <v>90</v>
      </c>
      <c r="B91" s="1">
        <v>10</v>
      </c>
      <c r="C91" s="1">
        <f>B91*[1]怪物经验!C91</f>
        <v>0</v>
      </c>
      <c r="D91" s="5">
        <v>1</v>
      </c>
      <c r="E91" s="5">
        <v>1</v>
      </c>
      <c r="F91" s="1">
        <f t="shared" si="2"/>
        <v>0</v>
      </c>
    </row>
    <row r="92" spans="1:6" s="1" customFormat="1" ht="20.100000000000001" customHeight="1" x14ac:dyDescent="0.2">
      <c r="A92" s="1">
        <v>91</v>
      </c>
      <c r="B92" s="1">
        <v>10</v>
      </c>
      <c r="C92" s="1">
        <f>B92*[1]怪物经验!C92</f>
        <v>0</v>
      </c>
      <c r="D92" s="5">
        <v>1</v>
      </c>
      <c r="E92" s="5">
        <v>1</v>
      </c>
      <c r="F92" s="1">
        <f t="shared" si="2"/>
        <v>0</v>
      </c>
    </row>
    <row r="93" spans="1:6" s="1" customFormat="1" ht="20.100000000000001" customHeight="1" x14ac:dyDescent="0.2">
      <c r="A93" s="1">
        <v>92</v>
      </c>
      <c r="B93" s="1">
        <v>10</v>
      </c>
      <c r="C93" s="1">
        <f>B93*[1]怪物经验!C93</f>
        <v>0</v>
      </c>
      <c r="D93" s="5">
        <v>1</v>
      </c>
      <c r="E93" s="5">
        <v>1</v>
      </c>
      <c r="F93" s="1">
        <f t="shared" si="2"/>
        <v>0</v>
      </c>
    </row>
    <row r="94" spans="1:6" s="1" customFormat="1" ht="20.100000000000001" customHeight="1" x14ac:dyDescent="0.2">
      <c r="A94" s="1">
        <v>93</v>
      </c>
      <c r="B94" s="1">
        <v>10</v>
      </c>
      <c r="C94" s="1">
        <f>B94*[1]怪物经验!C94</f>
        <v>0</v>
      </c>
      <c r="D94" s="5">
        <v>1</v>
      </c>
      <c r="E94" s="5">
        <v>1</v>
      </c>
      <c r="F94" s="1">
        <f t="shared" si="2"/>
        <v>0</v>
      </c>
    </row>
    <row r="95" spans="1:6" s="1" customFormat="1" ht="20.100000000000001" customHeight="1" x14ac:dyDescent="0.2">
      <c r="A95" s="1">
        <v>94</v>
      </c>
      <c r="B95" s="1">
        <v>10</v>
      </c>
      <c r="C95" s="1">
        <f>B95*[1]怪物经验!C95</f>
        <v>0</v>
      </c>
      <c r="D95" s="5">
        <v>1</v>
      </c>
      <c r="E95" s="5">
        <v>1</v>
      </c>
      <c r="F95" s="1">
        <f t="shared" si="2"/>
        <v>0</v>
      </c>
    </row>
    <row r="96" spans="1:6" s="1" customFormat="1" ht="20.100000000000001" customHeight="1" x14ac:dyDescent="0.2">
      <c r="A96" s="1">
        <v>95</v>
      </c>
      <c r="B96" s="1">
        <v>10</v>
      </c>
      <c r="C96" s="1">
        <f>B96*[1]怪物经验!C96</f>
        <v>0</v>
      </c>
      <c r="D96" s="5">
        <v>1</v>
      </c>
      <c r="E96" s="5">
        <v>1</v>
      </c>
      <c r="F96" s="1">
        <f t="shared" si="2"/>
        <v>0</v>
      </c>
    </row>
    <row r="97" spans="1:6" s="1" customFormat="1" ht="20.100000000000001" customHeight="1" x14ac:dyDescent="0.2">
      <c r="A97" s="1">
        <v>96</v>
      </c>
      <c r="B97" s="1">
        <v>10</v>
      </c>
      <c r="C97" s="1">
        <f>B97*[1]怪物经验!C97</f>
        <v>0</v>
      </c>
      <c r="D97" s="5">
        <v>1</v>
      </c>
      <c r="E97" s="5">
        <v>1</v>
      </c>
      <c r="F97" s="1">
        <f t="shared" si="2"/>
        <v>0</v>
      </c>
    </row>
    <row r="98" spans="1:6" s="1" customFormat="1" ht="20.100000000000001" customHeight="1" x14ac:dyDescent="0.2">
      <c r="A98" s="1">
        <v>97</v>
      </c>
      <c r="B98" s="1">
        <v>10</v>
      </c>
      <c r="C98" s="1">
        <f>B98*[1]怪物经验!C98</f>
        <v>0</v>
      </c>
      <c r="D98" s="5">
        <v>1</v>
      </c>
      <c r="E98" s="5">
        <v>1</v>
      </c>
      <c r="F98" s="1">
        <f t="shared" si="2"/>
        <v>0</v>
      </c>
    </row>
    <row r="99" spans="1:6" s="1" customFormat="1" ht="20.100000000000001" customHeight="1" x14ac:dyDescent="0.2">
      <c r="A99" s="1">
        <v>98</v>
      </c>
      <c r="B99" s="1">
        <v>10</v>
      </c>
      <c r="C99" s="1">
        <f>B99*[1]怪物经验!C99</f>
        <v>0</v>
      </c>
      <c r="D99" s="5">
        <v>1</v>
      </c>
      <c r="E99" s="5">
        <v>1</v>
      </c>
      <c r="F99" s="1">
        <f t="shared" si="2"/>
        <v>0</v>
      </c>
    </row>
    <row r="100" spans="1:6" s="1" customFormat="1" ht="20.100000000000001" customHeight="1" x14ac:dyDescent="0.2">
      <c r="A100" s="1">
        <v>99</v>
      </c>
      <c r="B100" s="1">
        <v>10</v>
      </c>
      <c r="C100" s="1">
        <f>B100*[1]怪物经验!C100</f>
        <v>0</v>
      </c>
      <c r="D100" s="5">
        <v>1</v>
      </c>
      <c r="E100" s="5">
        <v>1</v>
      </c>
      <c r="F100" s="1">
        <f t="shared" si="2"/>
        <v>0</v>
      </c>
    </row>
    <row r="101" spans="1:6" s="1" customFormat="1" ht="20.100000000000001" customHeight="1" x14ac:dyDescent="0.2">
      <c r="A101" s="1">
        <v>100</v>
      </c>
      <c r="B101" s="1">
        <v>10</v>
      </c>
      <c r="C101" s="1">
        <f>B101*[1]怪物经验!C101</f>
        <v>0</v>
      </c>
      <c r="D101" s="5">
        <v>1</v>
      </c>
      <c r="E101" s="5">
        <v>1</v>
      </c>
      <c r="F101" s="1">
        <f t="shared" si="2"/>
        <v>0</v>
      </c>
    </row>
    <row r="102" spans="1:6" s="1" customFormat="1" ht="20.100000000000001" customHeight="1" x14ac:dyDescent="0.2"/>
    <row r="103" spans="1:6" s="1" customFormat="1" ht="20.100000000000001" customHeight="1" x14ac:dyDescent="0.2"/>
  </sheetData>
  <phoneticPr fontId="7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"/>
  <sheetViews>
    <sheetView workbookViewId="0">
      <selection activeCell="I5" sqref="A1:I5"/>
    </sheetView>
  </sheetViews>
  <sheetFormatPr defaultColWidth="9" defaultRowHeight="14.25" x14ac:dyDescent="0.2"/>
  <cols>
    <col min="1" max="1" width="9" style="2"/>
    <col min="2" max="2" width="13" style="2" customWidth="1"/>
    <col min="3" max="3" width="17.25" style="2" customWidth="1"/>
    <col min="5" max="5" width="17.875" customWidth="1"/>
    <col min="7" max="7" width="15" customWidth="1"/>
    <col min="16" max="16" width="12.125" customWidth="1"/>
  </cols>
  <sheetData>
    <row r="1" spans="1:17" s="1" customFormat="1" ht="20.100000000000001" customHeight="1" x14ac:dyDescent="0.2">
      <c r="A1" s="1" t="s">
        <v>85</v>
      </c>
      <c r="B1" s="1" t="s">
        <v>86</v>
      </c>
      <c r="C1" s="1" t="s">
        <v>87</v>
      </c>
      <c r="E1" s="1" t="s">
        <v>88</v>
      </c>
      <c r="G1" s="1" t="s">
        <v>89</v>
      </c>
      <c r="I1" s="1" t="s">
        <v>90</v>
      </c>
    </row>
    <row r="2" spans="1:17" s="1" customFormat="1" ht="20.100000000000001" customHeight="1" x14ac:dyDescent="0.2">
      <c r="A2" s="1">
        <v>20</v>
      </c>
      <c r="B2" s="1">
        <f>LOOKUP(A2,怪物经验!A:A,怪物经验!C:C)</f>
        <v>280</v>
      </c>
      <c r="C2" s="1">
        <v>1</v>
      </c>
      <c r="D2" s="1">
        <f>B2*C2</f>
        <v>280</v>
      </c>
      <c r="E2" s="1">
        <v>20</v>
      </c>
      <c r="F2" s="1">
        <f>E2*B2</f>
        <v>5600</v>
      </c>
      <c r="G2" s="1">
        <v>100</v>
      </c>
      <c r="H2" s="1">
        <f>G2*B2</f>
        <v>28000</v>
      </c>
      <c r="I2" s="1">
        <f>H2+F2*$Q$3+D2*$Q$2</f>
        <v>58800</v>
      </c>
      <c r="P2" s="1" t="s">
        <v>91</v>
      </c>
      <c r="Q2" s="1">
        <v>50</v>
      </c>
    </row>
    <row r="3" spans="1:17" s="1" customFormat="1" ht="20.100000000000001" customHeight="1" x14ac:dyDescent="0.2">
      <c r="A3" s="1">
        <v>30</v>
      </c>
      <c r="B3" s="1">
        <f>LOOKUP(A3,怪物经验!A:A,怪物经验!C:C)</f>
        <v>580</v>
      </c>
      <c r="C3" s="1">
        <v>1</v>
      </c>
      <c r="D3" s="1">
        <f t="shared" ref="D3:D5" si="0">B3*C3</f>
        <v>580</v>
      </c>
      <c r="E3" s="1">
        <v>20</v>
      </c>
      <c r="F3" s="1">
        <f t="shared" ref="F3:F5" si="1">E3*B3</f>
        <v>11600</v>
      </c>
      <c r="G3" s="1">
        <v>100</v>
      </c>
      <c r="H3" s="1">
        <f t="shared" ref="H3:H5" si="2">G3*B3</f>
        <v>58000</v>
      </c>
      <c r="I3" s="1">
        <f t="shared" ref="I3:I5" si="3">H3+F3*$Q$3+D3*$Q$2</f>
        <v>121800</v>
      </c>
      <c r="P3" s="1" t="s">
        <v>92</v>
      </c>
      <c r="Q3" s="1">
        <v>3</v>
      </c>
    </row>
    <row r="4" spans="1:17" s="1" customFormat="1" ht="20.100000000000001" customHeight="1" x14ac:dyDescent="0.2">
      <c r="A4" s="1">
        <v>40</v>
      </c>
      <c r="B4" s="1">
        <f>LOOKUP(A4,怪物经验!A:A,怪物经验!C:C)</f>
        <v>880</v>
      </c>
      <c r="C4" s="1">
        <v>1</v>
      </c>
      <c r="D4" s="1">
        <f t="shared" si="0"/>
        <v>880</v>
      </c>
      <c r="E4" s="1">
        <v>20</v>
      </c>
      <c r="F4" s="1">
        <f t="shared" si="1"/>
        <v>17600</v>
      </c>
      <c r="G4" s="1">
        <v>100</v>
      </c>
      <c r="H4" s="1">
        <f t="shared" si="2"/>
        <v>88000</v>
      </c>
      <c r="I4" s="1">
        <f t="shared" si="3"/>
        <v>184800</v>
      </c>
    </row>
    <row r="5" spans="1:17" s="1" customFormat="1" ht="20.100000000000001" customHeight="1" x14ac:dyDescent="0.2">
      <c r="A5" s="1">
        <v>50</v>
      </c>
      <c r="B5" s="1">
        <f>LOOKUP(A5,怪物经验!A:A,怪物经验!C:C)</f>
        <v>1180</v>
      </c>
      <c r="C5" s="1">
        <v>1</v>
      </c>
      <c r="D5" s="1">
        <f t="shared" si="0"/>
        <v>1180</v>
      </c>
      <c r="E5" s="1">
        <v>20</v>
      </c>
      <c r="F5" s="1">
        <f t="shared" si="1"/>
        <v>23600</v>
      </c>
      <c r="G5" s="1">
        <v>100</v>
      </c>
      <c r="H5" s="1">
        <f t="shared" si="2"/>
        <v>118000</v>
      </c>
      <c r="I5" s="1">
        <f t="shared" si="3"/>
        <v>247800</v>
      </c>
    </row>
    <row r="6" spans="1:17" s="1" customFormat="1" ht="20.100000000000001" customHeight="1" x14ac:dyDescent="0.2"/>
    <row r="7" spans="1:17" s="1" customFormat="1" ht="20.100000000000001" customHeight="1" x14ac:dyDescent="0.2"/>
    <row r="8" spans="1:17" s="1" customFormat="1" ht="20.100000000000001" customHeight="1" x14ac:dyDescent="0.2"/>
    <row r="9" spans="1:17" s="1" customFormat="1" ht="20.100000000000001" customHeight="1" x14ac:dyDescent="0.2"/>
    <row r="10" spans="1:17" s="1" customFormat="1" ht="20.100000000000001" customHeight="1" x14ac:dyDescent="0.2"/>
    <row r="11" spans="1:17" s="1" customFormat="1" ht="20.100000000000001" customHeight="1" x14ac:dyDescent="0.2"/>
    <row r="12" spans="1:17" s="1" customFormat="1" ht="20.100000000000001" customHeight="1" x14ac:dyDescent="0.2"/>
    <row r="13" spans="1:17" s="1" customFormat="1" ht="20.100000000000001" customHeight="1" x14ac:dyDescent="0.2"/>
    <row r="14" spans="1:17" s="1" customFormat="1" ht="20.100000000000001" customHeight="1" x14ac:dyDescent="0.2"/>
    <row r="15" spans="1:17" s="1" customFormat="1" ht="20.100000000000001" customHeight="1" x14ac:dyDescent="0.2"/>
    <row r="16" spans="1:17" s="1" customFormat="1" ht="20.100000000000001" customHeight="1" x14ac:dyDescent="0.2"/>
    <row r="17" s="1" customFormat="1" ht="20.100000000000001" customHeight="1" x14ac:dyDescent="0.2"/>
    <row r="18" s="1" customFormat="1" ht="20.100000000000001" customHeight="1" x14ac:dyDescent="0.2"/>
    <row r="19" s="1" customFormat="1" ht="20.100000000000001" customHeight="1" x14ac:dyDescent="0.2"/>
    <row r="20" s="1" customFormat="1" ht="20.100000000000001" customHeight="1" x14ac:dyDescent="0.2"/>
    <row r="21" s="1" customFormat="1" ht="20.100000000000001" customHeight="1" x14ac:dyDescent="0.2"/>
    <row r="22" s="1" customFormat="1" ht="20.100000000000001" customHeight="1" x14ac:dyDescent="0.2"/>
    <row r="23" s="1" customFormat="1" ht="20.100000000000001" customHeight="1" x14ac:dyDescent="0.2"/>
    <row r="24" s="1" customFormat="1" ht="20.100000000000001" customHeight="1" x14ac:dyDescent="0.2"/>
    <row r="25" s="1" customFormat="1" ht="20.100000000000001" customHeight="1" x14ac:dyDescent="0.2"/>
    <row r="26" s="1" customFormat="1" ht="20.100000000000001" customHeight="1" x14ac:dyDescent="0.2"/>
    <row r="27" s="1" customFormat="1" ht="20.100000000000001" customHeight="1" x14ac:dyDescent="0.2"/>
    <row r="28" s="1" customFormat="1" ht="20.100000000000001" customHeight="1" x14ac:dyDescent="0.2"/>
    <row r="29" s="1" customFormat="1" ht="20.100000000000001" customHeight="1" x14ac:dyDescent="0.2"/>
    <row r="30" s="1" customFormat="1" ht="20.100000000000001" customHeight="1" x14ac:dyDescent="0.2"/>
    <row r="31" s="1" customFormat="1" ht="20.100000000000001" customHeight="1" x14ac:dyDescent="0.2"/>
    <row r="32" s="1" customFormat="1" ht="20.100000000000001" customHeight="1" x14ac:dyDescent="0.2"/>
    <row r="33" s="1" customFormat="1" ht="20.100000000000001" customHeight="1" x14ac:dyDescent="0.2"/>
    <row r="34" s="1" customFormat="1" ht="20.100000000000001" customHeight="1" x14ac:dyDescent="0.2"/>
    <row r="35" s="1" customFormat="1" ht="20.100000000000001" customHeight="1" x14ac:dyDescent="0.2"/>
    <row r="36" s="1" customFormat="1" ht="20.100000000000001" customHeight="1" x14ac:dyDescent="0.2"/>
    <row r="37" s="1" customFormat="1" ht="20.100000000000001" customHeight="1" x14ac:dyDescent="0.2"/>
    <row r="38" s="1" customFormat="1" ht="20.100000000000001" customHeight="1" x14ac:dyDescent="0.2"/>
    <row r="39" s="1" customFormat="1" ht="20.100000000000001" customHeight="1" x14ac:dyDescent="0.2"/>
    <row r="40" s="1" customFormat="1" ht="20.100000000000001" customHeight="1" x14ac:dyDescent="0.2"/>
    <row r="41" s="1" customFormat="1" ht="20.100000000000001" customHeight="1" x14ac:dyDescent="0.2"/>
    <row r="42" s="1" customFormat="1" ht="20.100000000000001" customHeight="1" x14ac:dyDescent="0.2"/>
    <row r="43" s="1" customFormat="1" ht="20.100000000000001" customHeight="1" x14ac:dyDescent="0.2"/>
    <row r="44" s="1" customFormat="1" ht="20.100000000000001" customHeight="1" x14ac:dyDescent="0.2"/>
    <row r="45" s="1" customFormat="1" ht="20.100000000000001" customHeight="1" x14ac:dyDescent="0.2"/>
    <row r="46" s="1" customFormat="1" ht="20.100000000000001" customHeight="1" x14ac:dyDescent="0.2"/>
    <row r="47" s="1" customFormat="1" ht="20.100000000000001" customHeight="1" x14ac:dyDescent="0.2"/>
    <row r="48" s="1" customFormat="1" ht="20.100000000000001" customHeight="1" x14ac:dyDescent="0.2"/>
    <row r="49" s="1" customFormat="1" ht="20.100000000000001" customHeight="1" x14ac:dyDescent="0.2"/>
    <row r="50" s="1" customFormat="1" ht="20.100000000000001" customHeight="1" x14ac:dyDescent="0.2"/>
    <row r="51" s="1" customFormat="1" ht="20.100000000000001" customHeight="1" x14ac:dyDescent="0.2"/>
    <row r="52" s="1" customFormat="1" ht="20.100000000000001" customHeight="1" x14ac:dyDescent="0.2"/>
    <row r="53" s="1" customFormat="1" ht="20.100000000000001" customHeight="1" x14ac:dyDescent="0.2"/>
    <row r="54" s="1" customFormat="1" ht="20.100000000000001" customHeight="1" x14ac:dyDescent="0.2"/>
    <row r="55" s="1" customFormat="1" ht="20.100000000000001" customHeight="1" x14ac:dyDescent="0.2"/>
    <row r="56" s="1" customFormat="1" ht="20.100000000000001" customHeight="1" x14ac:dyDescent="0.2"/>
    <row r="57" s="1" customFormat="1" ht="20.100000000000001" customHeight="1" x14ac:dyDescent="0.2"/>
    <row r="58" s="1" customFormat="1" ht="20.100000000000001" customHeight="1" x14ac:dyDescent="0.2"/>
    <row r="59" s="1" customFormat="1" ht="20.100000000000001" customHeight="1" x14ac:dyDescent="0.2"/>
    <row r="60" s="1" customFormat="1" ht="20.100000000000001" customHeight="1" x14ac:dyDescent="0.2"/>
    <row r="61" s="1" customFormat="1" ht="20.100000000000001" customHeight="1" x14ac:dyDescent="0.2"/>
    <row r="62" s="1" customFormat="1" ht="20.100000000000001" customHeight="1" x14ac:dyDescent="0.2"/>
    <row r="63" s="1" customFormat="1" ht="20.100000000000001" customHeight="1" x14ac:dyDescent="0.2"/>
    <row r="64" s="1" customFormat="1" ht="20.100000000000001" customHeight="1" x14ac:dyDescent="0.2"/>
    <row r="65" s="1" customFormat="1" ht="20.100000000000001" customHeight="1" x14ac:dyDescent="0.2"/>
    <row r="66" s="1" customFormat="1" ht="20.100000000000001" customHeight="1" x14ac:dyDescent="0.2"/>
    <row r="67" s="1" customFormat="1" ht="20.100000000000001" customHeight="1" x14ac:dyDescent="0.2"/>
    <row r="68" s="1" customFormat="1" ht="20.100000000000001" customHeight="1" x14ac:dyDescent="0.2"/>
    <row r="69" s="1" customFormat="1" ht="20.100000000000001" customHeight="1" x14ac:dyDescent="0.2"/>
    <row r="70" s="1" customFormat="1" ht="20.100000000000001" customHeight="1" x14ac:dyDescent="0.2"/>
    <row r="71" s="1" customFormat="1" ht="20.100000000000001" customHeight="1" x14ac:dyDescent="0.2"/>
    <row r="72" s="1" customFormat="1" ht="20.100000000000001" customHeight="1" x14ac:dyDescent="0.2"/>
    <row r="73" s="1" customFormat="1" ht="20.100000000000001" customHeight="1" x14ac:dyDescent="0.2"/>
    <row r="74" s="1" customFormat="1" ht="20.100000000000001" customHeight="1" x14ac:dyDescent="0.2"/>
    <row r="75" s="1" customFormat="1" ht="20.100000000000001" customHeight="1" x14ac:dyDescent="0.2"/>
    <row r="76" s="1" customFormat="1" ht="20.100000000000001" customHeight="1" x14ac:dyDescent="0.2"/>
    <row r="77" s="1" customFormat="1" ht="20.100000000000001" customHeight="1" x14ac:dyDescent="0.2"/>
    <row r="78" s="1" customFormat="1" ht="20.100000000000001" customHeight="1" x14ac:dyDescent="0.2"/>
    <row r="79" s="1" customFormat="1" ht="20.100000000000001" customHeight="1" x14ac:dyDescent="0.2"/>
    <row r="80" s="1" customFormat="1" ht="20.100000000000001" customHeight="1" x14ac:dyDescent="0.2"/>
    <row r="81" s="1" customFormat="1" ht="20.100000000000001" customHeight="1" x14ac:dyDescent="0.2"/>
    <row r="82" s="1" customFormat="1" ht="20.100000000000001" customHeight="1" x14ac:dyDescent="0.2"/>
    <row r="83" s="1" customFormat="1" ht="20.100000000000001" customHeight="1" x14ac:dyDescent="0.2"/>
    <row r="84" s="1" customFormat="1" ht="20.100000000000001" customHeight="1" x14ac:dyDescent="0.2"/>
    <row r="85" s="1" customFormat="1" ht="20.100000000000001" customHeight="1" x14ac:dyDescent="0.2"/>
    <row r="86" s="1" customFormat="1" ht="20.100000000000001" customHeight="1" x14ac:dyDescent="0.2"/>
    <row r="87" s="1" customFormat="1" ht="20.100000000000001" customHeight="1" x14ac:dyDescent="0.2"/>
    <row r="88" s="1" customFormat="1" ht="20.100000000000001" customHeight="1" x14ac:dyDescent="0.2"/>
    <row r="89" s="1" customFormat="1" ht="20.100000000000001" customHeight="1" x14ac:dyDescent="0.2"/>
    <row r="90" s="1" customFormat="1" ht="20.100000000000001" customHeight="1" x14ac:dyDescent="0.2"/>
    <row r="91" s="1" customFormat="1" ht="20.100000000000001" customHeight="1" x14ac:dyDescent="0.2"/>
    <row r="92" s="1" customFormat="1" ht="20.100000000000001" customHeight="1" x14ac:dyDescent="0.2"/>
    <row r="93" s="1" customFormat="1" ht="20.100000000000001" customHeight="1" x14ac:dyDescent="0.2"/>
    <row r="94" s="1" customFormat="1" ht="20.100000000000001" customHeight="1" x14ac:dyDescent="0.2"/>
    <row r="95" s="1" customFormat="1" ht="20.100000000000001" customHeight="1" x14ac:dyDescent="0.2"/>
    <row r="96" s="1" customFormat="1" ht="20.100000000000001" customHeight="1" x14ac:dyDescent="0.2"/>
    <row r="97" s="1" customFormat="1" ht="20.100000000000001" customHeight="1" x14ac:dyDescent="0.2"/>
    <row r="98" s="1" customFormat="1" ht="20.100000000000001" customHeight="1" x14ac:dyDescent="0.2"/>
    <row r="99" s="1" customFormat="1" ht="20.100000000000001" customHeight="1" x14ac:dyDescent="0.2"/>
    <row r="100" s="1" customFormat="1" ht="20.100000000000001" customHeight="1" x14ac:dyDescent="0.2"/>
  </sheetData>
  <phoneticPr fontId="7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总表</vt:lpstr>
      <vt:lpstr>家族经验</vt:lpstr>
      <vt:lpstr>Sheet1</vt:lpstr>
      <vt:lpstr>怪物经验</vt:lpstr>
      <vt:lpstr>任务经验</vt:lpstr>
      <vt:lpstr>组队副本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王永康</dc:creator>
  <cp:lastModifiedBy>xiaojin chen</cp:lastModifiedBy>
  <dcterms:created xsi:type="dcterms:W3CDTF">2015-06-05T18:19:00Z</dcterms:created>
  <dcterms:modified xsi:type="dcterms:W3CDTF">2025-11-18T09:54:25Z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